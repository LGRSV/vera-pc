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macbook/Downloads/"/>
    </mc:Choice>
  </mc:AlternateContent>
  <xr:revisionPtr revIDLastSave="0" documentId="8_{1981EE43-0390-6A43-BCF8-5544EE85FEF7}" xr6:coauthVersionLast="47" xr6:coauthVersionMax="47" xr10:uidLastSave="{00000000-0000-0000-0000-000000000000}"/>
  <bookViews>
    <workbookView xWindow="0" yWindow="600" windowWidth="20740" windowHeight="11040" tabRatio="1000" firstSheet="2" activeTab="2" xr2:uid="{00000000-000D-0000-FFFF-FFFF00000000}"/>
  </bookViews>
  <sheets>
    <sheet name="Dados" sheetId="13" r:id="rId1"/>
    <sheet name="Planilha1" sheetId="12" r:id="rId2"/>
    <sheet name="Dados Tratados" sheetId="6" r:id="rId3"/>
    <sheet name="Dashboard" sheetId="1" r:id="rId4"/>
    <sheet name="Análise Detalhada" sheetId="2" state="hidden" r:id="rId5"/>
    <sheet name="Pendências DMSL" sheetId="3" r:id="rId6"/>
    <sheet name="Orçamento Cabos" sheetId="4" r:id="rId7"/>
    <sheet name="Por Equipamento" sheetId="5" r:id="rId8"/>
    <sheet name="Pivot - Resumos" sheetId="7" r:id="rId9"/>
    <sheet name="SS Repetidas" sheetId="8" r:id="rId10"/>
    <sheet name="Próximas Ações" sheetId="9" r:id="rId11"/>
    <sheet name="Tratativas Religadores" sheetId="11" r:id="rId12"/>
  </sheets>
  <externalReferences>
    <externalReference r:id="rId13"/>
  </externalReferences>
  <definedNames>
    <definedName name="_xlnm._FilterDatabase" localSheetId="2" hidden="1">'Dados Tratados'!$A$1:$BB$184</definedName>
    <definedName name="_xlnm._FilterDatabase" localSheetId="5" hidden="1">'Pendências DMSL'!$C$89:$S$89</definedName>
    <definedName name="DadosExternos_1" localSheetId="0" hidden="1">Dados!$A$1:$S$171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R3" i="11" l="1"/>
  <c r="R4" i="11"/>
  <c r="R5" i="11"/>
  <c r="R6" i="11"/>
  <c r="R7" i="11"/>
  <c r="R8" i="11"/>
  <c r="R9" i="11"/>
  <c r="R10" i="11"/>
  <c r="R11" i="11"/>
  <c r="R12" i="11"/>
  <c r="R13" i="11"/>
  <c r="R14" i="11"/>
  <c r="R15" i="11"/>
  <c r="R16" i="11"/>
  <c r="R17" i="11"/>
  <c r="R18" i="11"/>
  <c r="R19" i="11"/>
  <c r="R2" i="11"/>
  <c r="P19" i="11"/>
  <c r="P18" i="11"/>
  <c r="P17" i="11"/>
  <c r="P16" i="11"/>
  <c r="P15" i="11"/>
  <c r="P14" i="11"/>
  <c r="P13" i="11"/>
  <c r="P12" i="11"/>
  <c r="P11" i="11"/>
  <c r="P10" i="11"/>
  <c r="P9" i="11"/>
  <c r="P8" i="11"/>
  <c r="P7" i="11"/>
  <c r="P6" i="11"/>
  <c r="P5" i="11"/>
  <c r="P4" i="11"/>
  <c r="P3" i="11"/>
  <c r="P2" i="11"/>
  <c r="H26" i="3" l="1"/>
  <c r="H27" i="3"/>
  <c r="H28" i="3"/>
  <c r="H29" i="3"/>
  <c r="H30" i="3"/>
  <c r="H31" i="3"/>
  <c r="H32" i="3"/>
  <c r="H33" i="3"/>
  <c r="H34" i="3"/>
  <c r="H35" i="3"/>
  <c r="H36" i="3"/>
  <c r="H37" i="3"/>
  <c r="H38" i="3"/>
  <c r="H39" i="3"/>
  <c r="H40" i="3"/>
  <c r="H41" i="3"/>
  <c r="H42" i="3"/>
  <c r="H25" i="3"/>
  <c r="B26" i="3"/>
  <c r="B27" i="3"/>
  <c r="B28" i="3"/>
  <c r="B29" i="3"/>
  <c r="B30" i="3"/>
  <c r="B31" i="3"/>
  <c r="B32" i="3"/>
  <c r="B33" i="3"/>
  <c r="B34" i="3"/>
  <c r="B35" i="3"/>
  <c r="B36" i="3"/>
  <c r="B37" i="3"/>
  <c r="B38" i="3"/>
  <c r="B39" i="3"/>
  <c r="B40" i="3"/>
  <c r="B41" i="3"/>
  <c r="B42" i="3"/>
  <c r="B25" i="3"/>
  <c r="G48" i="3" l="1"/>
  <c r="G49" i="3"/>
  <c r="G50" i="3"/>
  <c r="G51" i="3"/>
  <c r="G52" i="3"/>
  <c r="G53" i="3"/>
  <c r="G54" i="3"/>
  <c r="G47" i="3"/>
  <c r="D76" i="3"/>
  <c r="D71" i="3"/>
  <c r="D64" i="3"/>
  <c r="D5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AW183" i="6"/>
  <c r="AW87" i="6"/>
  <c r="AW134" i="6"/>
  <c r="AW12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tc={8D03F37D-C931-4F80-97BF-9900BDFE4E89}</author>
    <author>tc={C4A3B259-50D9-4846-9AED-2E057D4A96BF}</author>
    <author>tc={22A58142-61EA-4FF5-A2D0-DEE18287FF3F}</author>
    <author>tc={240485C0-75F4-42D0-911C-2D7275A82D1E}</author>
    <author>tc={F023EDF7-4748-4730-B622-AB45614517BC}</author>
    <author>tc={845DBEDD-A43A-4099-917A-0E1CA86F6A6D}</author>
    <author>tc={ACCDA810-4A93-479C-A04B-AA522906C741}</author>
    <author>tc={ABDE0B45-7C10-481A-BC9F-AC8918C614A0}</author>
    <author>tc={0FE3D114-F18D-4BA1-893D-AF6268E35F06}</author>
    <author>tc={F6D71FD1-78C6-4EFE-A21C-6EA6A38A3C6C}</author>
    <author>tc={9DEA08EB-53DA-4AC1-A637-92E368DCF0FC}</author>
  </authors>
  <commentList>
    <comment ref="A29" authorId="0" shapeId="0" xr:uid="{8D03F37D-C931-4F80-97BF-9900BDFE4E89}">
      <text>
        <t>[Comentário encadeado]
Sua versão do Excel permite que você leia este comentário encadeado, no entanto, as edições serão removidas se o arquivo for aberto em uma versão mais recente do Excel. Saiba mais: https://go.microsoft.com/fwlink/?linkid=870924
Comentário:
    Verificar se tem obra</t>
      </text>
    </comment>
    <comment ref="A38" authorId="1" shapeId="0" xr:uid="{C4A3B259-50D9-4846-9AED-2E057D4A96BF}">
      <text>
        <t>[Comentário encadeado]
Sua versão do Excel permite que você leia este comentário encadeado, no entanto, as edições serão removidas se o arquivo for aberto em uma versão mais recente do Excel. Saiba mais: https://go.microsoft.com/fwlink/?linkid=870924
Comentário:
    cancelar</t>
      </text>
    </comment>
    <comment ref="A49" authorId="2" shapeId="0" xr:uid="{22A58142-61EA-4FF5-A2D0-DEE18287FF3F}">
      <text>
        <t>[Comentário encadeado]
Sua versão do Excel permite que você leia este comentário encadeado, no entanto, as edições serão removidas se o arquivo for aberto em uma versão mais recente do Excel. Saiba mais: https://go.microsoft.com/fwlink/?linkid=870924
Comentário:
    cOMPRA</t>
      </text>
    </comment>
    <comment ref="A87" authorId="3" shapeId="0" xr:uid="{240485C0-75F4-42D0-911C-2D7275A82D1E}">
      <text>
        <t>[Comentário encadeado]
Sua versão do Excel permite que você leia este comentário encadeado, no entanto, as edições serão removidas se o arquivo for aberto em uma versão mais recente do Excel. Saiba mais: https://go.microsoft.com/fwlink/?linkid=870924
Comentário:
    Cancelar</t>
      </text>
    </comment>
    <comment ref="A99" authorId="4" shapeId="0" xr:uid="{F023EDF7-4748-4730-B622-AB45614517BC}">
      <text>
        <t>[Comentário encadeado]
Sua versão do Excel permite que você leia este comentário encadeado, no entanto, as edições serão removidas se o arquivo for aberto em uma versão mais recente do Excel. Saiba mais: https://go.microsoft.com/fwlink/?linkid=870924
Comentário:
    Verificar se está em operação ou não</t>
      </text>
    </comment>
    <comment ref="A126" authorId="5" shapeId="0" xr:uid="{845DBEDD-A43A-4099-917A-0E1CA86F6A6D}">
      <text>
        <t>[Comentário encadeado]
Sua versão do Excel permite que você leia este comentário encadeado, no entanto, as edições serão removidas se o arquivo for aberto em uma versão mais recente do Excel. Saiba mais: https://go.microsoft.com/fwlink/?linkid=870924
Comentário:
    Cancelar</t>
      </text>
    </comment>
    <comment ref="A145" authorId="6" shapeId="0" xr:uid="{ACCDA810-4A93-479C-A04B-AA522906C741}">
      <text>
        <t>[Comentário encadeado]
Sua versão do Excel permite que você leia este comentário encadeado, no entanto, as edições serão removidas se o arquivo for aberto em uma versão mais recente do Excel. Saiba mais: https://go.microsoft.com/fwlink/?linkid=870924
Comentário:
    Olhar no Scada, senão tiver informação lá , Falar com o Dione
Responder:
    Realmente precisamos comprar ou tomar providências</t>
      </text>
    </comment>
    <comment ref="A149" authorId="7" shapeId="0" xr:uid="{ABDE0B45-7C10-481A-BC9F-AC8918C614A0}">
      <text>
        <t>[Comentário encadeado]
Sua versão do Excel permite que você leia este comentário encadeado, no entanto, as edições serão removidas se o arquivo for aberto em uma versão mais recente do Excel. Saiba mais: https://go.microsoft.com/fwlink/?linkid=870924
Comentário:
    Verificar com o Miguel no Scada novamente</t>
      </text>
    </comment>
    <comment ref="A160" authorId="8" shapeId="0" xr:uid="{0FE3D114-F18D-4BA1-893D-AF6268E35F06}">
      <text>
        <t>[Comentário encadeado]
Sua versão do Excel permite que você leia este comentário encadeado, no entanto, as edições serão removidas se o arquivo for aberto em uma versão mais recente do Excel. Saiba mais: https://go.microsoft.com/fwlink/?linkid=870924
Comentário:
    Verificar no Scada se já ta em operação
Responder:
    Senão tiver ETO-RD-GU</t>
      </text>
    </comment>
    <comment ref="A175" authorId="9" shapeId="0" xr:uid="{F6D71FD1-78C6-4EFE-A21C-6EA6A38A3C6C}">
      <text>
        <t>[Comentário encadeado]
Sua versão do Excel permite que você leia este comentário encadeado, no entanto, as edições serão removidas se o arquivo for aberto em uma versão mais recente do Excel. Saiba mais: https://go.microsoft.com/fwlink/?linkid=870924
Comentário:
    Verificar no Scada Com o Miguel</t>
      </text>
    </comment>
    <comment ref="A179" authorId="10" shapeId="0" xr:uid="{9DEA08EB-53DA-4AC1-A637-92E368DCF0FC}">
      <text>
        <t>[Comentário encadeado]
Sua versão do Excel permite que você leia este comentário encadeado, no entanto, as edições serão removidas se o arquivo for aberto em uma versão mais recente do Excel. Saiba mais: https://go.microsoft.com/fwlink/?linkid=870924
Comentário:
    Verificar se está em operação ou não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tc={90347809-C64D-41C2-8088-301371D07BF6}</author>
  </authors>
  <commentList>
    <comment ref="A19" authorId="0" shapeId="0" xr:uid="{90347809-C64D-41C2-8088-301371D07BF6}">
      <text>
        <t>[Comentário encadeado]
Sua versão do Excel permite que você leia este comentário encadeado, no entanto, as edições serão removidas se o arquivo for aberto em uma versão mais recente do Excel. Saiba mais: https://go.microsoft.com/fwlink/?linkid=870924
Comentário:
    Novo</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E5F25E-F3DF-414C-9848-62FEADAC191E}" keepAlive="1" name="Consulta - Dados" description="Conexão com a consulta 'Dados' na pasta de trabalho." type="5" refreshedVersion="8" background="1" saveData="1">
    <dbPr connection="Provider=Microsoft.Mashup.OleDb.1;Data Source=$Workbook$;Location=Dados;Extended Properties=&quot;&quot;" command="SELECT * FROM [Dados]"/>
  </connection>
</connections>
</file>

<file path=xl/sharedStrings.xml><?xml version="1.0" encoding="utf-8"?>
<sst xmlns="http://schemas.openxmlformats.org/spreadsheetml/2006/main" count="8954" uniqueCount="2348">
  <si>
    <t>NUMERO_SS</t>
  </si>
  <si>
    <t>ANO</t>
  </si>
  <si>
    <t>SIGLAORGAO</t>
  </si>
  <si>
    <t>DEPARTCODE</t>
  </si>
  <si>
    <t>LOCATIONID</t>
  </si>
  <si>
    <t>PLACEMENTDESC</t>
  </si>
  <si>
    <t>CRITICIDADE_SS</t>
  </si>
  <si>
    <t>SITUACAO_SS</t>
  </si>
  <si>
    <t>DATA_OCORRENCIA_SS</t>
  </si>
  <si>
    <t>DATA_ABERTURA_SS</t>
  </si>
  <si>
    <t>DATA_TERMINO_SS</t>
  </si>
  <si>
    <t>DATA_LIMITE_SS</t>
  </si>
  <si>
    <t>DESCRICAO_DO_ATIVO</t>
  </si>
  <si>
    <t>OBJSPECDESC</t>
  </si>
  <si>
    <t>LOCALIDADE</t>
  </si>
  <si>
    <t>RURA_URBANO</t>
  </si>
  <si>
    <t>HRNAME</t>
  </si>
  <si>
    <t>TIPOSS</t>
  </si>
  <si>
    <t>ABRANGENCIA</t>
  </si>
  <si>
    <t>ETO-COEP 00092/2023</t>
  </si>
  <si>
    <t>COI</t>
  </si>
  <si>
    <t>ETO-COEP</t>
  </si>
  <si>
    <t>AL05010004</t>
  </si>
  <si>
    <t>5902839004</t>
  </si>
  <si>
    <t>PROGRAMAVEL</t>
  </si>
  <si>
    <t>SS PENDENTE</t>
  </si>
  <si>
    <t>BANCO CAPACITOR DE DISTRIBUIÇÃO GIS</t>
  </si>
  <si>
    <t>BANCO CAPACITOR - 13.8</t>
  </si>
  <si>
    <t>ARAGUAINA</t>
  </si>
  <si>
    <t>URBANO</t>
  </si>
  <si>
    <t>CLEBSON ALVES DUARTE</t>
  </si>
  <si>
    <t>INDISPONIBILIDADE PARA OPERAÇÃO</t>
  </si>
  <si>
    <t>ETO-COEP 00013/2023</t>
  </si>
  <si>
    <t>AL01040003</t>
  </si>
  <si>
    <t>7915029003</t>
  </si>
  <si>
    <t>EMERGENCIAL</t>
  </si>
  <si>
    <t>RELIGADOR DE REDE GIS</t>
  </si>
  <si>
    <t>RELIGADOR DE LINHA - 27kV</t>
  </si>
  <si>
    <t>GURUPI</t>
  </si>
  <si>
    <t>Euzilan Mateus Barreira Santos</t>
  </si>
  <si>
    <t>OBRAS (NOVOS EQUIPAMENTOS)</t>
  </si>
  <si>
    <t>ETO-COEP 00011/2023</t>
  </si>
  <si>
    <t>AL02096004</t>
  </si>
  <si>
    <t>7923674004</t>
  </si>
  <si>
    <t>ALTA</t>
  </si>
  <si>
    <t>LOCAL INSTAL RELIGADOR DE LINHA GIS</t>
  </si>
  <si>
    <t>BLOCO RELIGADOR DE LINHA</t>
  </si>
  <si>
    <t>RURAL</t>
  </si>
  <si>
    <t>EM OPERAÇÃO COM ANOMALIA</t>
  </si>
  <si>
    <t>9023675004</t>
  </si>
  <si>
    <t>ETO-COEP 00030/2023</t>
  </si>
  <si>
    <t>AL02003036</t>
  </si>
  <si>
    <t>5900438097</t>
  </si>
  <si>
    <t>TALISMA</t>
  </si>
  <si>
    <t>ETO-COEP 00063/2023</t>
  </si>
  <si>
    <t>ETO-COEP 00148/2025</t>
  </si>
  <si>
    <t>AL07010004</t>
  </si>
  <si>
    <t>5703627004</t>
  </si>
  <si>
    <t>TRANSFORMADOR DE DISTRIBUIÇÃO GIS</t>
  </si>
  <si>
    <t>TRANSFORMADOR DE DISTRIBUIÇÃO ENERGISA 13.8Kv</t>
  </si>
  <si>
    <t>LEONARDO SANTOS DA SILVA</t>
  </si>
  <si>
    <t>AVISO DE EMERGÊNCIA</t>
  </si>
  <si>
    <t>ETO-COEP 00018/2024</t>
  </si>
  <si>
    <t>AL04059122</t>
  </si>
  <si>
    <t>5952243122</t>
  </si>
  <si>
    <t>PALMAS</t>
  </si>
  <si>
    <t>0352243122</t>
  </si>
  <si>
    <t>ETO-COEP 00082/2025</t>
  </si>
  <si>
    <t>AL02113003</t>
  </si>
  <si>
    <t>5901886003</t>
  </si>
  <si>
    <t>JULIO CESAR RODRIGUES SANTANA</t>
  </si>
  <si>
    <t>0301886003</t>
  </si>
  <si>
    <t>ETO-COEP 00058/2024</t>
  </si>
  <si>
    <t>AL03103004</t>
  </si>
  <si>
    <t>5924849004</t>
  </si>
  <si>
    <t>0324849004</t>
  </si>
  <si>
    <t>ETO-COEP 00060/2024</t>
  </si>
  <si>
    <t>5913313004</t>
  </si>
  <si>
    <t>0313313004</t>
  </si>
  <si>
    <t>ETO-COEP 00085/2025</t>
  </si>
  <si>
    <t>AL01010004</t>
  </si>
  <si>
    <t>5903718004</t>
  </si>
  <si>
    <t>ETO-COEP 00084/2025</t>
  </si>
  <si>
    <t>AL02010004</t>
  </si>
  <si>
    <t>5900470004</t>
  </si>
  <si>
    <t>ETO-COEP 00083/2024</t>
  </si>
  <si>
    <t>AL01061029</t>
  </si>
  <si>
    <t>5900064029</t>
  </si>
  <si>
    <t>PALMEIROPOLIS</t>
  </si>
  <si>
    <t>0300064029</t>
  </si>
  <si>
    <t>ETO-COEP 00109/2026</t>
  </si>
  <si>
    <t>COPC</t>
  </si>
  <si>
    <t>LD01059122</t>
  </si>
  <si>
    <t>5852775092</t>
  </si>
  <si>
    <t>REGULADOR DE TENSÃO DE DISTRIBUIÇÃO GIS</t>
  </si>
  <si>
    <t>REGULADOR DE TENSAO DE DIST. - 34.5</t>
  </si>
  <si>
    <t>NOVO ACORDO</t>
  </si>
  <si>
    <t>Lorrane Sousa Gonçalves</t>
  </si>
  <si>
    <t>9007536092</t>
  </si>
  <si>
    <t>ETO-COEP 00146/2024</t>
  </si>
  <si>
    <t>AL03062013</t>
  </si>
  <si>
    <t>5900003013</t>
  </si>
  <si>
    <t>PARAISO DO TOCANTINS</t>
  </si>
  <si>
    <t>VALDENISIO FILHO RAMOS DE JESUS</t>
  </si>
  <si>
    <t>0300003013</t>
  </si>
  <si>
    <t>ETO-COEP 00086/2026</t>
  </si>
  <si>
    <t>LD02025012</t>
  </si>
  <si>
    <t>7908686014</t>
  </si>
  <si>
    <t>RELIGADOR DE LINHA - 38kV</t>
  </si>
  <si>
    <t>PIUM</t>
  </si>
  <si>
    <t>VINICIUS CAMARGO COSTA</t>
  </si>
  <si>
    <t>ETO-COEP 00119/2025</t>
  </si>
  <si>
    <t>COPO</t>
  </si>
  <si>
    <t>AL01048007</t>
  </si>
  <si>
    <t>7925573007</t>
  </si>
  <si>
    <t>RELIGADOR DE LINHA - 13,8kV</t>
  </si>
  <si>
    <t>MIRACEMA DO TOCANTINS</t>
  </si>
  <si>
    <t>JULIA GRAZYELLE BRITO OLIVEIRA</t>
  </si>
  <si>
    <t>ETO-COEP 00025/2026</t>
  </si>
  <si>
    <t>AL01018071</t>
  </si>
  <si>
    <t>5854681071</t>
  </si>
  <si>
    <t>REGULADOR DE TENSAO DE DIST. - 13.8</t>
  </si>
  <si>
    <t>BREJINHO DE NAZARE</t>
  </si>
  <si>
    <t>BOAVENTURA JUNIOR FERREIRA LOPE</t>
  </si>
  <si>
    <t>9000001071</t>
  </si>
  <si>
    <t>ETO-COEP 00162/2024</t>
  </si>
  <si>
    <t>7936753097</t>
  </si>
  <si>
    <t>9000457097</t>
  </si>
  <si>
    <t>ETO-COEP 00138/2025</t>
  </si>
  <si>
    <t>LD03105019</t>
  </si>
  <si>
    <t>5700008077</t>
  </si>
  <si>
    <t>URGENTE</t>
  </si>
  <si>
    <t>POSTE RD GIS</t>
  </si>
  <si>
    <t>POSTE Concreto Duplo T</t>
  </si>
  <si>
    <t>GOIATINS</t>
  </si>
  <si>
    <t>SOLICITAÇÃO DE SERVIÇO</t>
  </si>
  <si>
    <t>5755363077</t>
  </si>
  <si>
    <t>ETO-COEP 00100/2025</t>
  </si>
  <si>
    <t>LD01065015</t>
  </si>
  <si>
    <t>7900001227</t>
  </si>
  <si>
    <t>RECURSOLANDIA</t>
  </si>
  <si>
    <t>AVISO PROTEÇÃO &amp; SELETIVIDADE</t>
  </si>
  <si>
    <t>9000001227</t>
  </si>
  <si>
    <t>ETO-COEP 00133/2025</t>
  </si>
  <si>
    <t>DEOP</t>
  </si>
  <si>
    <t>LD04010004</t>
  </si>
  <si>
    <t>5700008159</t>
  </si>
  <si>
    <t>MURICILANDIA</t>
  </si>
  <si>
    <t>AVISO DE ANOMALIA</t>
  </si>
  <si>
    <t>ETO-COEP 00158/2025</t>
  </si>
  <si>
    <t>LD03046026</t>
  </si>
  <si>
    <t>7942485096</t>
  </si>
  <si>
    <t>PINDORAMA DO TOCANTINS</t>
  </si>
  <si>
    <t>8800153096</t>
  </si>
  <si>
    <t>ETO-COEP 00089/2025</t>
  </si>
  <si>
    <t>AL02054060</t>
  </si>
  <si>
    <t>5719217060</t>
  </si>
  <si>
    <t>NOVA OLINDA</t>
  </si>
  <si>
    <t>ETO-COEP 00090/2025</t>
  </si>
  <si>
    <t>5719218060</t>
  </si>
  <si>
    <t>ETO-COEP 00136/2025</t>
  </si>
  <si>
    <t>AL04040004</t>
  </si>
  <si>
    <t>5703964004</t>
  </si>
  <si>
    <t>ETO-COEP 00047/2025</t>
  </si>
  <si>
    <t>COEP</t>
  </si>
  <si>
    <t>AL01065015</t>
  </si>
  <si>
    <t>5700078015</t>
  </si>
  <si>
    <t>LOCAL INSTAL TRANSFORMADOR DE DISTRIBUIÇÃO GIS</t>
  </si>
  <si>
    <t>BLOCO TRANSFORMADOR DE DISTRIBUIÇÃO</t>
  </si>
  <si>
    <t>PEDRO AFONSO</t>
  </si>
  <si>
    <t>Halana Aline Silva Nogueira</t>
  </si>
  <si>
    <t>PM TRANSFORMADOR</t>
  </si>
  <si>
    <t>0300077015</t>
  </si>
  <si>
    <t>ETO-COEP 00123/2025</t>
  </si>
  <si>
    <t>LD03005098</t>
  </si>
  <si>
    <t>5858783119</t>
  </si>
  <si>
    <t>SAO BENTO DO TOCANTINS</t>
  </si>
  <si>
    <t>Allan Pereira de Souza</t>
  </si>
  <si>
    <t>8800002119</t>
  </si>
  <si>
    <t>ETO-COEP 00112/2025</t>
  </si>
  <si>
    <t>LD02010153</t>
  </si>
  <si>
    <t>5856825025</t>
  </si>
  <si>
    <t>ARAPOEMA</t>
  </si>
  <si>
    <t>EDNA MARIA DOS SANTOS PINTO</t>
  </si>
  <si>
    <t>COMISSIONAMENTO</t>
  </si>
  <si>
    <t>8837969025</t>
  </si>
  <si>
    <t>ETO-COEP 00106/2026</t>
  </si>
  <si>
    <t>LD02105019</t>
  </si>
  <si>
    <t>7900230155</t>
  </si>
  <si>
    <t>PALMEIRANTE</t>
  </si>
  <si>
    <t>DENER SOARES DE ALBUQUERQUE</t>
  </si>
  <si>
    <t>9000231155</t>
  </si>
  <si>
    <t>ETO-COEP 00106/2025</t>
  </si>
  <si>
    <t>LD01414027</t>
  </si>
  <si>
    <t>5855606027</t>
  </si>
  <si>
    <t>PONTE ALTA DO BOM JESUS</t>
  </si>
  <si>
    <t>Joao Antonio Lagares Milhomem de Souza</t>
  </si>
  <si>
    <t>8800332027</t>
  </si>
  <si>
    <t>ETO-COEP 00099/2025</t>
  </si>
  <si>
    <t>LD03038009</t>
  </si>
  <si>
    <t>7949660066</t>
  </si>
  <si>
    <t>TUPIRATINS</t>
  </si>
  <si>
    <t>ETO-COEP 00146/2025</t>
  </si>
  <si>
    <t>AL03096004</t>
  </si>
  <si>
    <t>5704169004</t>
  </si>
  <si>
    <t>ETO-COEP 00064/2025</t>
  </si>
  <si>
    <t>AL02055123</t>
  </si>
  <si>
    <t>5900293123</t>
  </si>
  <si>
    <t>AGUIARNOPOLIS</t>
  </si>
  <si>
    <t>0300293123</t>
  </si>
  <si>
    <t>ETO-COEP 00063/2025</t>
  </si>
  <si>
    <t>MANUT</t>
  </si>
  <si>
    <t>LD05028074</t>
  </si>
  <si>
    <t>7908206074</t>
  </si>
  <si>
    <t>DIANOPOLIS</t>
  </si>
  <si>
    <t>9001744074</t>
  </si>
  <si>
    <t>ETO-COEP 00134/2025</t>
  </si>
  <si>
    <t>5747384004</t>
  </si>
  <si>
    <t>ETO-COEP 00093/2025</t>
  </si>
  <si>
    <t>5701907060</t>
  </si>
  <si>
    <t>AVISO DE INCONSISTÊNCIA</t>
  </si>
  <si>
    <t>ETO-COEP 00087/2026</t>
  </si>
  <si>
    <t>LD03040003</t>
  </si>
  <si>
    <t>7900453110</t>
  </si>
  <si>
    <t>SANTA RITA DO TOCANTINS</t>
  </si>
  <si>
    <t>EDSON CURCINO DOS SANTOS</t>
  </si>
  <si>
    <t>9000453110</t>
  </si>
  <si>
    <t>ETO-COEP 00145/2025</t>
  </si>
  <si>
    <t>8804228004</t>
  </si>
  <si>
    <t>ETO-COEP 00073/2025</t>
  </si>
  <si>
    <t>AL02060122</t>
  </si>
  <si>
    <t>5900489122</t>
  </si>
  <si>
    <t>ETO-COEP 00074/2025</t>
  </si>
  <si>
    <t>AL06059122</t>
  </si>
  <si>
    <t>5952202122</t>
  </si>
  <si>
    <t>8800388122</t>
  </si>
  <si>
    <t>ETO-COEP 00075/2025</t>
  </si>
  <si>
    <t>AL07060122</t>
  </si>
  <si>
    <t>5952327122</t>
  </si>
  <si>
    <t>0352228122</t>
  </si>
  <si>
    <t>ETO-COEP 00076/2025</t>
  </si>
  <si>
    <t>AL08059122</t>
  </si>
  <si>
    <t>5951650122</t>
  </si>
  <si>
    <t>8800777122</t>
  </si>
  <si>
    <t>ETO-COEP 00079/2025</t>
  </si>
  <si>
    <t>LD02059122</t>
  </si>
  <si>
    <t>7923927122</t>
  </si>
  <si>
    <t>9023928122</t>
  </si>
  <si>
    <t>ETO-COEP 00147/2025</t>
  </si>
  <si>
    <t>AL01040004</t>
  </si>
  <si>
    <t>5703750004</t>
  </si>
  <si>
    <t>ETO-COEP 00077/2025</t>
  </si>
  <si>
    <t>COCM</t>
  </si>
  <si>
    <t>AL05060122</t>
  </si>
  <si>
    <t>5907243122</t>
  </si>
  <si>
    <t>0307243122</t>
  </si>
  <si>
    <t>ETO-COEP 00103/2025</t>
  </si>
  <si>
    <t>7910027196</t>
  </si>
  <si>
    <t>LAGOA DO TOCANTINS</t>
  </si>
  <si>
    <t>ZENILSON MOREIRA SANTOS</t>
  </si>
  <si>
    <t>9000347196</t>
  </si>
  <si>
    <t>ETO-COEP 00095/2025</t>
  </si>
  <si>
    <t>5955192004</t>
  </si>
  <si>
    <t>NOTA DE SERVIÇO (NS) - LINHA VIVA</t>
  </si>
  <si>
    <t>0355192004</t>
  </si>
  <si>
    <t>ETO-COEP 00101/2025</t>
  </si>
  <si>
    <t>LD02066094</t>
  </si>
  <si>
    <t>5855776094</t>
  </si>
  <si>
    <t>PEIXE</t>
  </si>
  <si>
    <t>8800173094</t>
  </si>
  <si>
    <t>ETO-COEP 00102/2025</t>
  </si>
  <si>
    <t>LD02010004</t>
  </si>
  <si>
    <t>7900532053</t>
  </si>
  <si>
    <t>PIRAQUE</t>
  </si>
  <si>
    <t>ETO-COEP 00179/2025</t>
  </si>
  <si>
    <t>AL03109039</t>
  </si>
  <si>
    <t>7922995039</t>
  </si>
  <si>
    <t>ARAGUATINS</t>
  </si>
  <si>
    <t>ETO-COEP 00162/2025</t>
  </si>
  <si>
    <t>LD02109039</t>
  </si>
  <si>
    <t>7928564039</t>
  </si>
  <si>
    <t>ETO-COEP 00120/2025</t>
  </si>
  <si>
    <t>LD01084002</t>
  </si>
  <si>
    <t>7920024127</t>
  </si>
  <si>
    <t>PALMEIRAS DO TOCANTINS</t>
  </si>
  <si>
    <t>9001177127</t>
  </si>
  <si>
    <t>ETO-COEP 00135/2025</t>
  </si>
  <si>
    <t>AL06010004</t>
  </si>
  <si>
    <t>0303612004</t>
  </si>
  <si>
    <t>8859685004</t>
  </si>
  <si>
    <t>ETO-COEP 00156/2025</t>
  </si>
  <si>
    <t>LD04062013</t>
  </si>
  <si>
    <t>7957126085</t>
  </si>
  <si>
    <t>MONTE SANTO DO TOCANTINS</t>
  </si>
  <si>
    <t>ETO-COEP 00109/2025</t>
  </si>
  <si>
    <t>5946473071</t>
  </si>
  <si>
    <t xml:space="preserve">CARLOS ANDRE RODRIGUES BASTOS </t>
  </si>
  <si>
    <t>ETO-COEP 00108/2025</t>
  </si>
  <si>
    <t>5946472071</t>
  </si>
  <si>
    <t>ETO-COEP 00131/2025</t>
  </si>
  <si>
    <t>5700232011</t>
  </si>
  <si>
    <t>TUPIRAMA</t>
  </si>
  <si>
    <t>KELLITON PEREIRA MARTINS</t>
  </si>
  <si>
    <t>FORMS SUBST DE POSTES</t>
  </si>
  <si>
    <t>ETO-COEP 00055/2026</t>
  </si>
  <si>
    <t>LD04002091</t>
  </si>
  <si>
    <t>5856156091</t>
  </si>
  <si>
    <t>ALMAS</t>
  </si>
  <si>
    <t>8832258091</t>
  </si>
  <si>
    <t>ETO-COEP 00141/2025</t>
  </si>
  <si>
    <t>DESATIVADA</t>
  </si>
  <si>
    <t>2ARM-004-7900930040</t>
  </si>
  <si>
    <t>RELIGADOR</t>
  </si>
  <si>
    <t>Ativos descartados que não permitem exclusão</t>
  </si>
  <si>
    <t>ETO-COEP 00163/2025</t>
  </si>
  <si>
    <t>7931219078</t>
  </si>
  <si>
    <t>ITACAJA</t>
  </si>
  <si>
    <t>9000475078</t>
  </si>
  <si>
    <t>ETO-COEP 00114/2025</t>
  </si>
  <si>
    <t>AL01044024</t>
  </si>
  <si>
    <t>7900275024</t>
  </si>
  <si>
    <t>RELIGADOR DE LINHA - 19</t>
  </si>
  <si>
    <t>ITAPORA DO TOCANTINS</t>
  </si>
  <si>
    <t>ETO-COEP 00115/2025</t>
  </si>
  <si>
    <t>AL01008032</t>
  </si>
  <si>
    <t>7901216032</t>
  </si>
  <si>
    <t>ARAGUACU</t>
  </si>
  <si>
    <t>ETO-COEP 00143/2025</t>
  </si>
  <si>
    <t>LD02072001</t>
  </si>
  <si>
    <t>7927446001</t>
  </si>
  <si>
    <t>PORTO NACIONAL</t>
  </si>
  <si>
    <t>9027446001</t>
  </si>
  <si>
    <t>ETO-COEP 00151/2025</t>
  </si>
  <si>
    <t>LD01100001</t>
  </si>
  <si>
    <t>7930428001</t>
  </si>
  <si>
    <t>9030428001</t>
  </si>
  <si>
    <t>ETO-COEP 00084/2026</t>
  </si>
  <si>
    <t>AL01062013</t>
  </si>
  <si>
    <t>7900117013</t>
  </si>
  <si>
    <t>RELIGADOR DE LINHA - 15,0kV</t>
  </si>
  <si>
    <t>ETO-COEP 00170/2025</t>
  </si>
  <si>
    <t>LD01020023</t>
  </si>
  <si>
    <t>5863381155</t>
  </si>
  <si>
    <t>8800518155</t>
  </si>
  <si>
    <t>ETO-COEP 00139/2025</t>
  </si>
  <si>
    <t>7928241200</t>
  </si>
  <si>
    <t>SAO SALVADOR DO TOCANTINS</t>
  </si>
  <si>
    <t>9000422200</t>
  </si>
  <si>
    <t>ETO-COEP 00140/2025</t>
  </si>
  <si>
    <t>AL01036052</t>
  </si>
  <si>
    <t>5900129052</t>
  </si>
  <si>
    <t>FORMOSO DO ARAGUAIA</t>
  </si>
  <si>
    <t>0300129052</t>
  </si>
  <si>
    <t>ETO-COEP 00149/2025</t>
  </si>
  <si>
    <t>7955520116</t>
  </si>
  <si>
    <t>CHAPADA DA NATIVIDADE</t>
  </si>
  <si>
    <t>3333967116</t>
  </si>
  <si>
    <t>ETO-COEP 00175/2025</t>
  </si>
  <si>
    <t>AL01084002</t>
  </si>
  <si>
    <t>5900010002</t>
  </si>
  <si>
    <t>TOCANTINOPOLIS</t>
  </si>
  <si>
    <t>HELIOMAR PEREIRA SANTOS</t>
  </si>
  <si>
    <t>0300010002</t>
  </si>
  <si>
    <t>ETO-COEP 00089/2026</t>
  </si>
  <si>
    <t>AL01015049</t>
  </si>
  <si>
    <t>7908705049</t>
  </si>
  <si>
    <t>AURORA DO TOCANTINS</t>
  </si>
  <si>
    <t>0908705049</t>
  </si>
  <si>
    <t>ETO-COEP 00176/2025</t>
  </si>
  <si>
    <t>LD02038009</t>
  </si>
  <si>
    <t>5860500009</t>
  </si>
  <si>
    <t>GUARAI</t>
  </si>
  <si>
    <t>7960498009</t>
  </si>
  <si>
    <t>ETO-COEP 00056/2026</t>
  </si>
  <si>
    <t>5856070091</t>
  </si>
  <si>
    <t>BAIXA</t>
  </si>
  <si>
    <t>ETO-COEP 00171/2025</t>
  </si>
  <si>
    <t>5800438116</t>
  </si>
  <si>
    <t>9000387116</t>
  </si>
  <si>
    <t>ETO-COEP 00160/2025</t>
  </si>
  <si>
    <t>5854566043</t>
  </si>
  <si>
    <t>SILVANOPOLIS</t>
  </si>
  <si>
    <t>ETO-COEP 00189/2025</t>
  </si>
  <si>
    <t>7925704079</t>
  </si>
  <si>
    <t>RELIGADOR DE LINHA - 34,5kV</t>
  </si>
  <si>
    <t>ITAPIRATINS</t>
  </si>
  <si>
    <t>ETO-COEP 00200/2025</t>
  </si>
  <si>
    <t>AL01012025</t>
  </si>
  <si>
    <t>5700026025</t>
  </si>
  <si>
    <t>0300025025</t>
  </si>
  <si>
    <t>ETO-COEP 00167/2025</t>
  </si>
  <si>
    <t>AL01054060</t>
  </si>
  <si>
    <t>5844630060</t>
  </si>
  <si>
    <t>9001931060</t>
  </si>
  <si>
    <t>ETO-COEP 00173/2025</t>
  </si>
  <si>
    <t>LD03010004</t>
  </si>
  <si>
    <t>7900535058</t>
  </si>
  <si>
    <t>SANTA FE DO ARAGUAIA</t>
  </si>
  <si>
    <t>ETO-COEP 00180/2025</t>
  </si>
  <si>
    <t>AL01038009</t>
  </si>
  <si>
    <t>5850308009</t>
  </si>
  <si>
    <t>ETO-COEP 00182/2025</t>
  </si>
  <si>
    <t>LD02036052</t>
  </si>
  <si>
    <t>5855643052</t>
  </si>
  <si>
    <t>8801154052</t>
  </si>
  <si>
    <t>ETO-COEP 00208/2025</t>
  </si>
  <si>
    <t>LD02050008</t>
  </si>
  <si>
    <t>7955430075</t>
  </si>
  <si>
    <t>DOIS IRMAOS DO TOCANTINS</t>
  </si>
  <si>
    <t>ETO-COEP 00193/2025</t>
  </si>
  <si>
    <t>ETO-COEP 00187/2025</t>
  </si>
  <si>
    <t>5800371025</t>
  </si>
  <si>
    <t>9000370025</t>
  </si>
  <si>
    <t>ETO-COEP 00216/2025</t>
  </si>
  <si>
    <t>LD01062013</t>
  </si>
  <si>
    <t>5827102054</t>
  </si>
  <si>
    <t>PUGMIL</t>
  </si>
  <si>
    <t>9000260054</t>
  </si>
  <si>
    <t>ETO-COEP 00192/2025</t>
  </si>
  <si>
    <t>5704256004</t>
  </si>
  <si>
    <t>AVISO DE CADASTRO</t>
  </si>
  <si>
    <t>ETO-COEP 00199/2025</t>
  </si>
  <si>
    <t>AL02017017</t>
  </si>
  <si>
    <t>5855411017</t>
  </si>
  <si>
    <t>BARROLANDIA</t>
  </si>
  <si>
    <t>0320187017</t>
  </si>
  <si>
    <t>ETO-COEP 00184/2025</t>
  </si>
  <si>
    <t>LD05010004</t>
  </si>
  <si>
    <t>7903112004</t>
  </si>
  <si>
    <t>ETO-COEP 00021/2026</t>
  </si>
  <si>
    <t>AL01102271</t>
  </si>
  <si>
    <t>5803327001</t>
  </si>
  <si>
    <t>8851077001</t>
  </si>
  <si>
    <t>ETO-COEP 00005/2026</t>
  </si>
  <si>
    <t>5700440004</t>
  </si>
  <si>
    <t>ETO-COEP 00198/2025</t>
  </si>
  <si>
    <t>AL03072001</t>
  </si>
  <si>
    <t>5835587001</t>
  </si>
  <si>
    <t>3103141001</t>
  </si>
  <si>
    <t>ETO-COEP 00006/2026</t>
  </si>
  <si>
    <t>AL03010004</t>
  </si>
  <si>
    <t>5700244004</t>
  </si>
  <si>
    <t>POSTE Madeira Circular</t>
  </si>
  <si>
    <t>ETO-COEP 00047/2026</t>
  </si>
  <si>
    <t>AL05097122</t>
  </si>
  <si>
    <t>5950106122</t>
  </si>
  <si>
    <t>MARCELO COSTA PRIMO</t>
  </si>
  <si>
    <t>0350106122</t>
  </si>
  <si>
    <t>ETO-COEP 00017/2026</t>
  </si>
  <si>
    <t>AL08097122</t>
  </si>
  <si>
    <t>8804511122</t>
  </si>
  <si>
    <t>Joao Angelo da Silva Junior</t>
  </si>
  <si>
    <t>ETO-COEP 00202/2025</t>
  </si>
  <si>
    <t>5820044123</t>
  </si>
  <si>
    <t>AJUSTES DE PROTEÇÃO</t>
  </si>
  <si>
    <t>9020043123</t>
  </si>
  <si>
    <t>ETO-COEP 00082/2026</t>
  </si>
  <si>
    <t>AL01099059</t>
  </si>
  <si>
    <t>7933766059</t>
  </si>
  <si>
    <t>Felipe Divino Alves Monteiro</t>
  </si>
  <si>
    <t>9007788059</t>
  </si>
  <si>
    <t>ETO-COEP 00080/2026</t>
  </si>
  <si>
    <t>AL02033047</t>
  </si>
  <si>
    <t>7900573047</t>
  </si>
  <si>
    <t>FIGUEIROPOLIS</t>
  </si>
  <si>
    <t>8800576047</t>
  </si>
  <si>
    <t>ETO-COEP 00083/2026</t>
  </si>
  <si>
    <t>AL08060122</t>
  </si>
  <si>
    <t>7931610122</t>
  </si>
  <si>
    <t>9007740122</t>
  </si>
  <si>
    <t>ETO-COEP 00007/2026</t>
  </si>
  <si>
    <t>5704265004</t>
  </si>
  <si>
    <t>ETO-COEP 00217/2025</t>
  </si>
  <si>
    <t>AL01020023</t>
  </si>
  <si>
    <t>5862546023</t>
  </si>
  <si>
    <t>COLINAS DO TOCANTINS</t>
  </si>
  <si>
    <t>8813300023</t>
  </si>
  <si>
    <t>ETO-COEP 00218/2025</t>
  </si>
  <si>
    <t>0300839122</t>
  </si>
  <si>
    <t>CHAVE FUSÍVEL GIS</t>
  </si>
  <si>
    <t>CHAVE FUSIVEL - 13,8kV</t>
  </si>
  <si>
    <t>ETO-COEP 00015/2026</t>
  </si>
  <si>
    <t>AL01101271</t>
  </si>
  <si>
    <t>8803678271</t>
  </si>
  <si>
    <t>ETO-COEP 00033/2026</t>
  </si>
  <si>
    <t>LD02065015</t>
  </si>
  <si>
    <t>7947203070</t>
  </si>
  <si>
    <t>RIO SONO</t>
  </si>
  <si>
    <t>8800157070</t>
  </si>
  <si>
    <t>ETO-COEP 00220/2025</t>
  </si>
  <si>
    <t>LD02010021</t>
  </si>
  <si>
    <t>7927713200</t>
  </si>
  <si>
    <t>ETO-COEP 00221/2025</t>
  </si>
  <si>
    <t>SCADA</t>
  </si>
  <si>
    <t>LD03028074</t>
  </si>
  <si>
    <t>5800961074</t>
  </si>
  <si>
    <t>9000973074</t>
  </si>
  <si>
    <t>ETO-COEP 00225/2025</t>
  </si>
  <si>
    <t>6803759004</t>
  </si>
  <si>
    <t>WANDERLANDIA</t>
  </si>
  <si>
    <t>0303759004</t>
  </si>
  <si>
    <t>ETO-COEP 00222/2025</t>
  </si>
  <si>
    <t>LD01010021</t>
  </si>
  <si>
    <t>7925087021</t>
  </si>
  <si>
    <t>PARANA</t>
  </si>
  <si>
    <t>ETO-COEP 00223/2025</t>
  </si>
  <si>
    <t>LD05002091</t>
  </si>
  <si>
    <t>5862236091</t>
  </si>
  <si>
    <t>8800691091</t>
  </si>
  <si>
    <t>ETO-COEP 00061/2026</t>
  </si>
  <si>
    <t>7901110084</t>
  </si>
  <si>
    <t>DIVINOPOLIS DO TOCANTINS</t>
  </si>
  <si>
    <t>9001107084</t>
  </si>
  <si>
    <t>ETO-COEP 00228/2025</t>
  </si>
  <si>
    <t>LD01066094</t>
  </si>
  <si>
    <t>7937102148</t>
  </si>
  <si>
    <t>SAO VALERIO</t>
  </si>
  <si>
    <t>ETO-COEP 00002/2026</t>
  </si>
  <si>
    <t>AL01033047</t>
  </si>
  <si>
    <t>5900038047</t>
  </si>
  <si>
    <t>0300697047</t>
  </si>
  <si>
    <t>ETO-COEP 00029/2026</t>
  </si>
  <si>
    <t>7927646026</t>
  </si>
  <si>
    <t>PONTE ALTA DO TOCANTINS</t>
  </si>
  <si>
    <t>ETO-COEP 00009/2026</t>
  </si>
  <si>
    <t>AL07097122</t>
  </si>
  <si>
    <t>6800953122</t>
  </si>
  <si>
    <t>0300953122</t>
  </si>
  <si>
    <t>ETO-COEP 00036/2026</t>
  </si>
  <si>
    <t>7927169001</t>
  </si>
  <si>
    <t>ETO-COEP 00011/2026</t>
  </si>
  <si>
    <t>8806782122</t>
  </si>
  <si>
    <t>ETO-COEP 00013/2026</t>
  </si>
  <si>
    <t>5702635122</t>
  </si>
  <si>
    <t>0300587122</t>
  </si>
  <si>
    <t>ETO-COEP 00020/2026</t>
  </si>
  <si>
    <t>7908708116</t>
  </si>
  <si>
    <t>ETO-COEP 00038/2026</t>
  </si>
  <si>
    <t>7908249152</t>
  </si>
  <si>
    <t>SANTA ROSA DO TOCANTINS</t>
  </si>
  <si>
    <t>ETO-COEP 00073/2026</t>
  </si>
  <si>
    <t>7967181127</t>
  </si>
  <si>
    <t>6800580127</t>
  </si>
  <si>
    <t>ETO-COEP 00024/2026</t>
  </si>
  <si>
    <t>7933585074</t>
  </si>
  <si>
    <t>ETO-COEP 00040/2026</t>
  </si>
  <si>
    <t>AL08099059</t>
  </si>
  <si>
    <t>7931608059</t>
  </si>
  <si>
    <t>ETO-COEP 00049/2026</t>
  </si>
  <si>
    <t>LD01056046</t>
  </si>
  <si>
    <t>7963661046</t>
  </si>
  <si>
    <t>NOVA ROSALANDIA</t>
  </si>
  <si>
    <t>8863660046</t>
  </si>
  <si>
    <t>ETO-COEP 00059/2026</t>
  </si>
  <si>
    <t>LD02022033</t>
  </si>
  <si>
    <t>7925744087</t>
  </si>
  <si>
    <t>GOIANORTE</t>
  </si>
  <si>
    <t xml:space="preserve">LARA SOARES FARIAS </t>
  </si>
  <si>
    <t>9025744087</t>
  </si>
  <si>
    <t>ETO-COEP 00031/2026</t>
  </si>
  <si>
    <t>5701123004</t>
  </si>
  <si>
    <t>MELHORIA POSTO DE TRANSFORMAÇÃO</t>
  </si>
  <si>
    <t>8804224004</t>
  </si>
  <si>
    <t>ETO-COEP 00088/2026</t>
  </si>
  <si>
    <t>LD01025012</t>
  </si>
  <si>
    <t>7921202014</t>
  </si>
  <si>
    <t>RELIGADOR 34,5 KV</t>
  </si>
  <si>
    <t>ETO-COEP 00035/2026</t>
  </si>
  <si>
    <t>8800416159</t>
  </si>
  <si>
    <t>RICARDO DA CONCEICAO MOURA</t>
  </si>
  <si>
    <t>ETO-COEP 00050/2026</t>
  </si>
  <si>
    <t>7953610256</t>
  </si>
  <si>
    <t>MATEIROS</t>
  </si>
  <si>
    <t>8800246256</t>
  </si>
  <si>
    <t>ETO-COEP 00045/2026</t>
  </si>
  <si>
    <t>LD03036052</t>
  </si>
  <si>
    <t>7927396052</t>
  </si>
  <si>
    <t>9001632052</t>
  </si>
  <si>
    <t>ETO-COEP 00051/2026</t>
  </si>
  <si>
    <t>LD01051035</t>
  </si>
  <si>
    <t>7926442035</t>
  </si>
  <si>
    <t>MONTE DO CARMO</t>
  </si>
  <si>
    <t>ETO-COEP 00074/2026</t>
  </si>
  <si>
    <t>LD01047073</t>
  </si>
  <si>
    <t>7919270014</t>
  </si>
  <si>
    <t>LAGOA DA CONFUSAO</t>
  </si>
  <si>
    <t>8801059073</t>
  </si>
  <si>
    <t>ETO-COEP 00042/2026</t>
  </si>
  <si>
    <t>7900505026</t>
  </si>
  <si>
    <t>ETO-COEP 00043/2026</t>
  </si>
  <si>
    <t>8801170015</t>
  </si>
  <si>
    <t>ETO-COEP 00069/2026</t>
  </si>
  <si>
    <t>9000448083</t>
  </si>
  <si>
    <t>APARECIDA DO RIO NEGRO</t>
  </si>
  <si>
    <t>ETO-COEP 00070/2026</t>
  </si>
  <si>
    <t>8801094083</t>
  </si>
  <si>
    <t>ETO-COEP 00044/2026</t>
  </si>
  <si>
    <t>LD02040003</t>
  </si>
  <si>
    <t>7936038076</t>
  </si>
  <si>
    <t>DUERE</t>
  </si>
  <si>
    <t>ETO-COEP 00077/2026</t>
  </si>
  <si>
    <t>5801866013</t>
  </si>
  <si>
    <t>9001891013</t>
  </si>
  <si>
    <t>ETO-COEP 00064/2026</t>
  </si>
  <si>
    <t>LD05050008</t>
  </si>
  <si>
    <t>7955946007</t>
  </si>
  <si>
    <t>6800948007</t>
  </si>
  <si>
    <t>ETO-COEP 00046/2026</t>
  </si>
  <si>
    <t>5739148227</t>
  </si>
  <si>
    <t>0300002227</t>
  </si>
  <si>
    <t>ETO-COEP 00060/2026</t>
  </si>
  <si>
    <t>7903569004</t>
  </si>
  <si>
    <t>9004017004</t>
  </si>
  <si>
    <t>ETO-COEP 00058/2026</t>
  </si>
  <si>
    <t>LD01414015</t>
  </si>
  <si>
    <t>7925733015</t>
  </si>
  <si>
    <t>9001166015</t>
  </si>
  <si>
    <t>ETO-COEP 00048/2026</t>
  </si>
  <si>
    <t>7925871077</t>
  </si>
  <si>
    <t>ETO-COEP 00063/2026</t>
  </si>
  <si>
    <t>LD01434149</t>
  </si>
  <si>
    <t>7944559149</t>
  </si>
  <si>
    <t>CASEARA</t>
  </si>
  <si>
    <t>ETO-COEP 00068/2026</t>
  </si>
  <si>
    <t>7929376022</t>
  </si>
  <si>
    <t>BABACULANDIA</t>
  </si>
  <si>
    <t>9001690022</t>
  </si>
  <si>
    <t>ETO-COEP 00057/2026</t>
  </si>
  <si>
    <t>AL04010004</t>
  </si>
  <si>
    <t>7923673004</t>
  </si>
  <si>
    <t>ETO-COEP 00078/2026</t>
  </si>
  <si>
    <t>LD03062013</t>
  </si>
  <si>
    <t>7926089013</t>
  </si>
  <si>
    <t>ETO-COEP 00062/2026</t>
  </si>
  <si>
    <t>7955986084</t>
  </si>
  <si>
    <t>ETO-COEP 00117/2026</t>
  </si>
  <si>
    <t>5800090147</t>
  </si>
  <si>
    <t>TAIPAS DO TOCANTINS</t>
  </si>
  <si>
    <t>8841310147</t>
  </si>
  <si>
    <t>ETO-COEP 00108/2026</t>
  </si>
  <si>
    <t>7933726256</t>
  </si>
  <si>
    <t>9000464256</t>
  </si>
  <si>
    <t>ETO-COEP 00071/2026</t>
  </si>
  <si>
    <t>7908302256</t>
  </si>
  <si>
    <t>ETO-COEP 00072/2026</t>
  </si>
  <si>
    <t>LD02424015</t>
  </si>
  <si>
    <t>7900525015</t>
  </si>
  <si>
    <t>9000526015</t>
  </si>
  <si>
    <t>ETO-COEP 00095/2026</t>
  </si>
  <si>
    <t>5836786094</t>
  </si>
  <si>
    <t>9002534094</t>
  </si>
  <si>
    <t>ETO-COEP 00113/2026</t>
  </si>
  <si>
    <t>7900594026</t>
  </si>
  <si>
    <t>ETO-COEP 00110/2026</t>
  </si>
  <si>
    <t>7942572059</t>
  </si>
  <si>
    <t>9007806059</t>
  </si>
  <si>
    <t>ETO-COEP 00090/2026</t>
  </si>
  <si>
    <t>AL01041003</t>
  </si>
  <si>
    <t>5948602003</t>
  </si>
  <si>
    <t>8802043003</t>
  </si>
  <si>
    <t>ETO-COEP 00091/2026</t>
  </si>
  <si>
    <t>AL06097122</t>
  </si>
  <si>
    <t>5953586122</t>
  </si>
  <si>
    <t>JERES RODRIGUES DE LIMA</t>
  </si>
  <si>
    <t>8807649122</t>
  </si>
  <si>
    <t>ETO-COEP 00105/2026</t>
  </si>
  <si>
    <t>LD04040003</t>
  </si>
  <si>
    <t>5846328094</t>
  </si>
  <si>
    <t>3594901</t>
  </si>
  <si>
    <t>ETO-COEP 00093/2026</t>
  </si>
  <si>
    <t>5922361122</t>
  </si>
  <si>
    <t>0322361122</t>
  </si>
  <si>
    <t>ETO-COEP 00092/2026</t>
  </si>
  <si>
    <t>5900272004</t>
  </si>
  <si>
    <t>0300272004</t>
  </si>
  <si>
    <t>ETO-COEP 00094/2026</t>
  </si>
  <si>
    <t>AL09097122</t>
  </si>
  <si>
    <t>5959941122</t>
  </si>
  <si>
    <t>0300787122</t>
  </si>
  <si>
    <t>ETO-COEP 00099/2026</t>
  </si>
  <si>
    <t>AL05099059</t>
  </si>
  <si>
    <t>5961616059</t>
  </si>
  <si>
    <t>7961993059</t>
  </si>
  <si>
    <t>ETO-COEP 00100/2026</t>
  </si>
  <si>
    <t>5900109059</t>
  </si>
  <si>
    <t>0300109059</t>
  </si>
  <si>
    <t>ETO-COEP 00101/2026</t>
  </si>
  <si>
    <t>5952342122</t>
  </si>
  <si>
    <t>0300975122</t>
  </si>
  <si>
    <t>ETO-COEP 00104/2026</t>
  </si>
  <si>
    <t>AL01059122</t>
  </si>
  <si>
    <t>8800063122</t>
  </si>
  <si>
    <t>ETO-COEP 00103/2026</t>
  </si>
  <si>
    <t>5900358003</t>
  </si>
  <si>
    <t>0300358003</t>
  </si>
  <si>
    <t>ETO-COEP 00102/2026</t>
  </si>
  <si>
    <t>5952248122</t>
  </si>
  <si>
    <t>0352248122</t>
  </si>
  <si>
    <t>ETO-COEP 00115/2026</t>
  </si>
  <si>
    <t>5800859011</t>
  </si>
  <si>
    <t>9000207011</t>
  </si>
  <si>
    <t>ETO-COEP 00116/2026</t>
  </si>
  <si>
    <t>5944271122</t>
  </si>
  <si>
    <t>0344271122</t>
  </si>
  <si>
    <t>ETO-COEP 00114/2026</t>
  </si>
  <si>
    <t>AL01031076</t>
  </si>
  <si>
    <t>7913662076</t>
  </si>
  <si>
    <t>ETO-COEP 00118/2026</t>
  </si>
  <si>
    <t>5900600004</t>
  </si>
  <si>
    <t>ANOMALIA EM BANCO DE CAPACITOR</t>
  </si>
  <si>
    <t>0300600004</t>
  </si>
  <si>
    <t>SS</t>
  </si>
  <si>
    <t>Ano</t>
  </si>
  <si>
    <t>Descrição</t>
  </si>
  <si>
    <t>DataOcorrência</t>
  </si>
  <si>
    <t>Abrangencia</t>
  </si>
  <si>
    <t>Instalação</t>
  </si>
  <si>
    <t>Trecho</t>
  </si>
  <si>
    <t>Localização</t>
  </si>
  <si>
    <t>Complemento</t>
  </si>
  <si>
    <t>Sigla Orgao</t>
  </si>
  <si>
    <t>SolicNome</t>
  </si>
  <si>
    <t>DescPrioridade</t>
  </si>
  <si>
    <t>SS-Estados</t>
  </si>
  <si>
    <t>Data/Hora Limite</t>
  </si>
  <si>
    <t>Ativos</t>
  </si>
  <si>
    <t>Qtd_Clientes</t>
  </si>
  <si>
    <t>Espécies</t>
  </si>
  <si>
    <t>SS-Tipos</t>
  </si>
  <si>
    <t>Término</t>
  </si>
  <si>
    <t>OSNumero</t>
  </si>
  <si>
    <t>OS-Estados</t>
  </si>
  <si>
    <t>PlanDataInicio</t>
  </si>
  <si>
    <t>PlanDataFinal</t>
  </si>
  <si>
    <t>DescOrigem</t>
  </si>
  <si>
    <t>Condição Operativa COI</t>
  </si>
  <si>
    <t>Descrição do Defeito</t>
  </si>
  <si>
    <t>Lida</t>
  </si>
  <si>
    <t>Processo</t>
  </si>
  <si>
    <t>UF</t>
  </si>
  <si>
    <t>Bairro</t>
  </si>
  <si>
    <t>Logradouro</t>
  </si>
  <si>
    <t>OS SIATT</t>
  </si>
  <si>
    <t>SS PRINCIPAL</t>
  </si>
  <si>
    <t>SOMA</t>
  </si>
  <si>
    <t>COORDENADA UTM Y</t>
  </si>
  <si>
    <t>COORDENADA UTM X</t>
  </si>
  <si>
    <t>EST PRIMÁRIA</t>
  </si>
  <si>
    <t>EST SECUNDÁRIA</t>
  </si>
  <si>
    <t>EQUIPAMENTO/CATEGORIA</t>
  </si>
  <si>
    <t>STATUS</t>
  </si>
  <si>
    <t>ANÁLISE TÉCNICA</t>
  </si>
  <si>
    <t>GRUPO ANÁLISE</t>
  </si>
  <si>
    <t>EQUIPAMENTO PRINCIPAL</t>
  </si>
  <si>
    <t>OBSERVAÇÕES</t>
  </si>
  <si>
    <t>POSSÍVEL REPETIÇÃO</t>
  </si>
  <si>
    <t>mm</t>
  </si>
  <si>
    <t>metros</t>
  </si>
  <si>
    <t>ou</t>
  </si>
  <si>
    <t>mm2</t>
  </si>
  <si>
    <t>metros2</t>
  </si>
  <si>
    <t>Atualizações</t>
  </si>
  <si>
    <t>SEGUE SOLICITAÇÃO DE SERVIÇO PARA BANCO CAPACITOR COM CÉLULA DA FASE B QUEIMADA EQUIPE 047OP01 INFORMOU QUE JA FIZERAM TESTE E NÃO ACEITOU 
ID#81133777
RDU DE FIGUEIROPOLIS</t>
  </si>
  <si>
    <t>06/01/2026 09:26:14</t>
  </si>
  <si>
    <t>190-16323937</t>
  </si>
  <si>
    <t>JONATAN ALVES DE SOUZA</t>
  </si>
  <si>
    <t>09/01/2026 09:45:30</t>
  </si>
  <si>
    <t>0</t>
  </si>
  <si>
    <t>CORPO (CÉLULA)</t>
  </si>
  <si>
    <t>CURTO CIRCUITO</t>
  </si>
  <si>
    <t>NÃO</t>
  </si>
  <si>
    <t>ETO-RD-GU 00023/2026</t>
  </si>
  <si>
    <t>Não</t>
  </si>
  <si>
    <t>EQUIPAMENTO ESPECIAL</t>
  </si>
  <si>
    <t>PENDÊNCIA DCMD</t>
  </si>
  <si>
    <t>REPASSAR DMSL</t>
  </si>
  <si>
    <t>ANÁLISE</t>
  </si>
  <si>
    <t>A DEFINIR (REPASSE)</t>
  </si>
  <si>
    <t>TROCAR BARRAMENTO DO TRAFO 5700440004 PARA 70MM</t>
  </si>
  <si>
    <t>05/09/2025 09:26:08</t>
  </si>
  <si>
    <t>190-15833293</t>
  </si>
  <si>
    <t>15/03/2026 15:40:18</t>
  </si>
  <si>
    <t>40</t>
  </si>
  <si>
    <t>SOBRECARGA PREVENTIVA</t>
  </si>
  <si>
    <t>SOBRECARGA</t>
  </si>
  <si>
    <t>ETO-RD-AR 01312/2025</t>
  </si>
  <si>
    <t>PLANO DE MEDIDAS</t>
  </si>
  <si>
    <t>REPASSAR COCM</t>
  </si>
  <si>
    <t>REPASSE</t>
  </si>
  <si>
    <t>FAVOR SUBSTITUIR 150 MTS DE  CABO CONVENCIONAL  DETERIORADO E CHEIO DE EMENDAS POR CADO MULTIPLEX   NO TRAFO 5700244004  ENTRE OS ID : 63111183 AO ID :63239363 SEGUE FOTOS EM ANEXO</t>
  </si>
  <si>
    <t>10/09/2025 17:08:23</t>
  </si>
  <si>
    <t>190-1648091</t>
  </si>
  <si>
    <t>WESLEY FRANCISCO DE ASSIS ROCH</t>
  </si>
  <si>
    <t>15/03/2026 15:40:49</t>
  </si>
  <si>
    <t>90</t>
  </si>
  <si>
    <t>CABOS BT</t>
  </si>
  <si>
    <t>DETERIORADA</t>
  </si>
  <si>
    <t>Tocantins</t>
  </si>
  <si>
    <t>ETO-RD-AR 01339/2025</t>
  </si>
  <si>
    <t>S1</t>
  </si>
  <si>
    <t>CABOS FORA COEP</t>
  </si>
  <si>
    <t>CABOS</t>
  </si>
  <si>
    <t>MANUTENÇÃO</t>
  </si>
  <si>
    <t>35/70</t>
  </si>
  <si>
    <t>Bom Dia
Segue SS
Senhores enviar equipe de manutenção para trocar cabo deteriorado a RDU de Araguaína
ID: 76492244
Trafo 5704265004
Instalar cabo entre os ID: 76492244 e 76492235
Endereço: Rua QE21 Lt 64 Jardim Boa sorte
Levar: 150 metros de cabo 35mm multiplex
Equipe: 004op07
Contato da equipe:99216-8451</t>
  </si>
  <si>
    <t>27/10/2025 11:12:10</t>
  </si>
  <si>
    <t>190-1842256</t>
  </si>
  <si>
    <t>ERLAN PEREIRA DE SOUSA</t>
  </si>
  <si>
    <t>16/03/2026 13:30:16</t>
  </si>
  <si>
    <t>66</t>
  </si>
  <si>
    <t>ETO-RD-AR 01611/2025</t>
  </si>
  <si>
    <t>SI-3</t>
  </si>
  <si>
    <t>Segue SS para instalar chave faca para manobra na quadra 1203 Sul. 
ID 57429768
Estrutura N4 
Chave de referencia 0300953122. 
Serviço a ser executado com linha viva
*********************************
PARECER COCM
COEP gentileza verificar solicitação da operação. Sendo interessante para ETO, gentileza direcionar atendimento ao COCM informando de onde o custo será debitado.</t>
  </si>
  <si>
    <t>13/01/2026 22:44:13</t>
  </si>
  <si>
    <t>190-399314</t>
  </si>
  <si>
    <t>HERIK BUARQUE DOS SANTOS</t>
  </si>
  <si>
    <t>19/01/2026 14:33:47</t>
  </si>
  <si>
    <t>1,097</t>
  </si>
  <si>
    <t>CHAVE</t>
  </si>
  <si>
    <t>INEXISTENTE</t>
  </si>
  <si>
    <t>ETO-RD-PA 00026/2026</t>
  </si>
  <si>
    <t>N4</t>
  </si>
  <si>
    <t>S4</t>
  </si>
  <si>
    <t>CHAVE- FACA</t>
  </si>
  <si>
    <t>Remover chave 0306784122 para estrutura N4, poste ID#59387277 .
Ação oriunda ocorrências relevantes realizada em 16/01 ( desarme AL 4 SE Palmas II).
*********************************
PARECER COCM
COEP gentileza verificar solicitação da operação. Sendo interessante para ETO, gentileza direcionar atendimento ao COCM informando de onde o custo será debitado.</t>
  </si>
  <si>
    <t>16/01/2026 16:08:28</t>
  </si>
  <si>
    <t>190-441396</t>
  </si>
  <si>
    <t>MIGUEL FRANCISCO PEREIRA</t>
  </si>
  <si>
    <t>23/01/2026 16:55:04</t>
  </si>
  <si>
    <t>582</t>
  </si>
  <si>
    <t>ETO-RD-PA 00044/2026</t>
  </si>
  <si>
    <t>S3</t>
  </si>
  <si>
    <t>TRAFO ANTIGO com sobrecarga.
Potência: 112,5 kVA - Substituir por um de 150 kVA.
Tensão: 13,8 kV.
***********************************
PARECER COCM CENTRO
COEP favor verificar ações para constatações de sobrecarga e direcionar atendimento de substituição se for o caso.</t>
  </si>
  <si>
    <t>19/01/2026 21:07:34</t>
  </si>
  <si>
    <t>190-13722315</t>
  </si>
  <si>
    <t>ASTROGILDO PIRES BERNARDO</t>
  </si>
  <si>
    <t>23/01/2026 08:18:40</t>
  </si>
  <si>
    <t>69</t>
  </si>
  <si>
    <t>DOLP-RD-PA 00097/2026</t>
  </si>
  <si>
    <t>Segue nota para envia equipe LV instala jogo de chave faca no poste ID-57357485 estrutura N4, Tensão 13.8kv, Cabo AA / 2/0, Acesso livre, Circuito do AL-01 de Luzimangues. Obs. CH para facilitar manobras no trecho. 
********************************
PARECER DO COCM
COEP favor analisar solicitação da operação de melhoria na rede e se validada retornar demanda ao COCM informando aonde será lançado o custo.</t>
  </si>
  <si>
    <t>18/11/2025 10:38:14</t>
  </si>
  <si>
    <t>190-411989</t>
  </si>
  <si>
    <t>SAMUEL PINTO GOMES</t>
  </si>
  <si>
    <t>24/02/2027 18:25:18</t>
  </si>
  <si>
    <t>955</t>
  </si>
  <si>
    <t>OUTROS</t>
  </si>
  <si>
    <t>INSPEÇÃO VISUAL</t>
  </si>
  <si>
    <t>ETO-RD-PA 00778/2025</t>
  </si>
  <si>
    <t>MELHORIA DE REDE</t>
  </si>
  <si>
    <t>ETO-COEP 00016/2026</t>
  </si>
  <si>
    <t>rdu Palmas proximo Unimed e hospital Cristo rei 
id 57403822 sj 57404949 estrutura N4 istalar jogo de chave faca 13,8 NF para manobra 
id 42151836 sj 57404952 estruutra N4/N3 ch 0300839122  substituir jogo chave lamina po jogo de chave faca 13,8
************************
PARECER DO COCM
COEP favor analisar solicitação da operação de melhoria na rede e se validada retornar demanda ao COCM informando aonde será lançado o custo.</t>
  </si>
  <si>
    <t>26/09/2025 18:40:52</t>
  </si>
  <si>
    <t>8801117122</t>
  </si>
  <si>
    <t>190-17402150</t>
  </si>
  <si>
    <t>CLEONE PEREIRA DE SOUZA LIMA</t>
  </si>
  <si>
    <t>23/01/2026 18:34:35</t>
  </si>
  <si>
    <t>718</t>
  </si>
  <si>
    <t>LOCAL INSTAL CHAVE FUSÍVEL GIS</t>
  </si>
  <si>
    <t>PORTA FUSÍVEL</t>
  </si>
  <si>
    <t>ETO-RD-PA 00654/2025</t>
  </si>
  <si>
    <t>ENTENDER</t>
  </si>
  <si>
    <t>A DEFINIR (análise)</t>
  </si>
  <si>
    <t>REPETIDA</t>
  </si>
  <si>
    <t>rdu Palmas proximo Unimed e hospital Cristo rei 
id 57403822 sj 57404949 estrutura N4 istalar jogo de chave faca 13,8 NF para manobra 
id 42151836 sj 57404952 estruutra N4/N3 ch 0300839122  substituir jogo chave lamina po jogo de chave faca 13,8
****************************
PARECER DO COCM
COEP favor analisar solicitação da operação de melhoria na rede e se validada retornar demanda ao COCM informando aonde será lançado o custo.</t>
  </si>
  <si>
    <t>190-398539</t>
  </si>
  <si>
    <t>23/01/2026 18:34:57</t>
  </si>
  <si>
    <t>437</t>
  </si>
  <si>
    <t>ETO-RD-PA 00655/2025</t>
  </si>
  <si>
    <t>Favor enviar equipe para verificar banco de capacitor :5952243122 danificado fase B e C na quadra 606 Sul</t>
  </si>
  <si>
    <t>18/02/2024 05:44:18</t>
  </si>
  <si>
    <t>190-49522936</t>
  </si>
  <si>
    <t>NATANAEL MELQUIADES DOS SANTOS</t>
  </si>
  <si>
    <t>22/02/2024 16:05:01</t>
  </si>
  <si>
    <t>QUEIMADO</t>
  </si>
  <si>
    <t>SIM</t>
  </si>
  <si>
    <t>DOLP-RD-PA 00205/2024</t>
  </si>
  <si>
    <t>BANCO DE CAPACITOR</t>
  </si>
  <si>
    <t>Substituição de tanque e controle, os mesmos estão com defeitos.</t>
  </si>
  <si>
    <t>22/01/2026 11:05:26</t>
  </si>
  <si>
    <t>190-17512824</t>
  </si>
  <si>
    <t>LARA SOARES FARIAS</t>
  </si>
  <si>
    <t>26/02/2027 11:05:26</t>
  </si>
  <si>
    <t>219</t>
  </si>
  <si>
    <t>TANQUE E CONTROLE</t>
  </si>
  <si>
    <t>TANQUE</t>
  </si>
  <si>
    <t xml:space="preserve">Regulador 5803327001 fora de operação, by passado em campo com painel de comunicação com cabos desconectados tensão 13.8.
parecer DMSL: Feedback Equip. Especiais
RT 5803327001
RELÉ RUA
Sid: 4844
Data: 19/09/2025
Serviço realizado:
*Equipamento foi remanejado, 7 km da sua localização sentido Palmas necessário comissionamento completo
*Equipamento com um dos cabos umbilicais danificado.
* aterramento bucha FC não esta interligada corretamente 
* para-raios estão no mesmo aterramento da bucha FC.
* Tranques  muito alto e próximo da rede  não permitindo o comissionamento com segurança.
* Controle alto  demais tem que baixar 
Equipamento ficou em operação?: não
Pendência: sim, precisa comissionar completo
OBS; reprogramar equipamento.
Bateria(s) substituída(s) NÃO
Equipe: Ellisfran, Ana Maria    
PARECER DMSL: Data 03/12/2025-Equipe: Carliel e Benvindo
Serviço executado foi ensaiado as três células 
Equipamento ficou em operação: Não  
Pendência: sim, Instalar  controle completo, e fazer melhoria na malhar de aterramento
</t>
  </si>
  <si>
    <t>04/09/2025 21:36:22</t>
  </si>
  <si>
    <t>190-15851809</t>
  </si>
  <si>
    <t>HELDER SILVA CARVALHO</t>
  </si>
  <si>
    <t>25/01/2026 11:48:23</t>
  </si>
  <si>
    <t>39</t>
  </si>
  <si>
    <t>FORA DE SERVIÇO</t>
  </si>
  <si>
    <t>RELÉ REGULADOR DE TENSÃO</t>
  </si>
  <si>
    <t>ETO-DEOP 00014/2025</t>
  </si>
  <si>
    <t>INSTALAR CONTROLE E MELHORIA DE ATERRAMENTO</t>
  </si>
  <si>
    <t>ATERRAMENTO</t>
  </si>
  <si>
    <t>REALIZAR SUBSTITUIÇÃO DO TANQUE, O MESMO ESTÁ COM DEFEITO.</t>
  </si>
  <si>
    <t>27/01/2026 16:33:07</t>
  </si>
  <si>
    <t>190-59145750</t>
  </si>
  <si>
    <t>30/01/2026 16:33:07</t>
  </si>
  <si>
    <t>COEP: equipamentos fornecidos. Repasse ao COCM para correção.
PARACER DA PROTEÇÃO:
Recebemos a solicitação de elaboração de ajustes do RT 5854681071, nota repassada pelo COEP. 
Duvidas:
As pendencias apontadas pelo DMSL foram sanadas? Pois não registro descritivo na SS.
Se foram sanadas, a SS não seguiu o fluxo norma, pois não há repassa da nota para o COEP.
Podemos seguir com os estudos e comissionamento do ativo?
PARECER DMSL: Equipe esteve no RT 5854681071 dia 18/02/2025 porém, as fases A e B estão com a ligação carga/fase invertidas, não contém antena, não contém suporte de antena e não contém rádio GE. Favor, sanar pendências para possibilitar o comissonamento.
  REGULADOR DE TENSAO N° 5854681071 INSTALADO NA OBRA 0302100570 GENTILEZA, REALIZAR O COMISSIONAMENTO. 
LAUDO EM ANEXO. 
COORD EO: 766351, 8781674
PARECER DA PROTEÇÃO 
ESTUDO DO EQUIPAMENTO DISPONIVEL NO APP DA PROTEÇÃO, NOTA REPASSADA PARA O DMSL COMISSIONAR O EQUIPAMENTO.
TEC° EUZILAN MATEUS BARREIRA SANTOS</t>
  </si>
  <si>
    <t>21/11/2024 14:32:44</t>
  </si>
  <si>
    <t>190-26073406</t>
  </si>
  <si>
    <t>Thais Jordanna Jesus Silva</t>
  </si>
  <si>
    <t>30/03/2026 08:30:03</t>
  </si>
  <si>
    <t>2,391</t>
  </si>
  <si>
    <t>REGULADOR DE TENSÃO</t>
  </si>
  <si>
    <t>ETO-PROT 00437/2024</t>
  </si>
  <si>
    <t>PENDÊNCIA DMSL</t>
  </si>
  <si>
    <t>ETO-COEP 00028/2026</t>
  </si>
  <si>
    <t>FEITO O PRIMEIRO ATAQUE NO RL 7954668084 E O DISPLAY ESTÁ QUEIMADO, NÃO LIGA.
OS (99) 106230846</t>
  </si>
  <si>
    <t>03/02/2026 13:31:14</t>
  </si>
  <si>
    <t>6820041084</t>
  </si>
  <si>
    <t>7954668084</t>
  </si>
  <si>
    <t>190-37207659</t>
  </si>
  <si>
    <t>EVA RAIANE CASTELO BONFIM DA S</t>
  </si>
  <si>
    <t>06/02/2026 17:25:20</t>
  </si>
  <si>
    <t>142</t>
  </si>
  <si>
    <t>RELÉ</t>
  </si>
  <si>
    <t>ENC-RD-PS 00188/2026</t>
  </si>
  <si>
    <t>RELIGADOR BY PASSADO POR DEFEITO, NECESSÁRIO AVALIAÇÃO DO PROBLEMA.
parecer dmsl:O religador apresenta defeito no tanque, sendo necessário substituir o tanque o mesmo está tirando a linha, e troca os  isoladores. Quando retornar, trazer uma fonte para o equipamento, a mesma foi removida.
FICOU EM OPERAÇÃO? Não
PENDÊNCIA: Sim, aguardando peças para substituição.</t>
  </si>
  <si>
    <t>09/01/2026 09:09:54</t>
  </si>
  <si>
    <t>190-37070331</t>
  </si>
  <si>
    <t>07/02/2026 08:52:01</t>
  </si>
  <si>
    <t>2,201</t>
  </si>
  <si>
    <t>ETO-TELE 00143/2026</t>
  </si>
  <si>
    <t xml:space="preserve">TANQUE </t>
  </si>
  <si>
    <t>POR GENTILEZA PROGRAMAR PARA SUBSTITUIÇÃO DO BARRAMENTO DO TRAFO DEVIDO NÃO SER COMPATIVEL COM A POTÊNCIA DO MESMO, NECESSIDADE DE SUBSTITUIÇÃO SE 7 VÃOS</t>
  </si>
  <si>
    <t>10/02/2026 08:52:01</t>
  </si>
  <si>
    <t>190-13659315</t>
  </si>
  <si>
    <t>GERCILIO PEDROZA JUNIOR</t>
  </si>
  <si>
    <t>17/02/2026 10:15:28</t>
  </si>
  <si>
    <t>85</t>
  </si>
  <si>
    <t>ETO-RD-AR 00277/2026</t>
  </si>
  <si>
    <t>BARRAMENTO</t>
  </si>
  <si>
    <t>favor verificar RL 7947203070, sem comunicaçao, feito 1° ataque pela equipe 070OP01 e nao retornou a comunicaçao , linformaçao no Scada de bateria.
PARECER DMSL: Foi feito análise técnica, a placa do equipamento está queimada nessesario subistituir o equipamento completo -Carliel e Benvindo-05/02</t>
  </si>
  <si>
    <t>23/11/2025 21:48:23</t>
  </si>
  <si>
    <t>190-68154393</t>
  </si>
  <si>
    <t>LAISON OLIVEIRA CARVALHO</t>
  </si>
  <si>
    <t>16/02/2026 08:58:15</t>
  </si>
  <si>
    <t>1,764</t>
  </si>
  <si>
    <t>ETO-TELE 01381/2025</t>
  </si>
  <si>
    <t xml:space="preserve">NOTA PARA EQUIPE DE LINHA VIVA INSTALAR CHAVE FACA PARA MANOBRA ENTRE SANTAFE E DERIVAÇÃO PA COCALANDIA NO ID.: 63243178 EST N4 ACESSO BOM NECESSARIO URGENCIA
REFERENCIA AO LADO DA CH 8800521159- 
</t>
  </si>
  <si>
    <t>16/02/2026 05:35:05</t>
  </si>
  <si>
    <t>190-552234</t>
  </si>
  <si>
    <t>ARTHUR MAGALHAES DAS DORES</t>
  </si>
  <si>
    <t>21/02/2026 15:19:06</t>
  </si>
  <si>
    <t>3,115</t>
  </si>
  <si>
    <t>FALTANDO</t>
  </si>
  <si>
    <t>ETO-RD-AR 00317/2026</t>
  </si>
  <si>
    <t>SS ANTIGA: 1500/2025 PARECER DMSL: Serviço Executado: Foi verificado que o tanque do equipamento está danificado, sendo necessário substituir o tanque do equipamento.
Equipamento ficou em operação?: Não
Pendência: Sim, instalar fonte, disjuntor e DPS, e substituir o tanque.</t>
  </si>
  <si>
    <t>16/01/2026 09:24:40</t>
  </si>
  <si>
    <t>190-17421624</t>
  </si>
  <si>
    <t>27/02/2026 09:24:40</t>
  </si>
  <si>
    <t>420</t>
  </si>
  <si>
    <t>TANQUE 
DISJUNTOR
DPS</t>
  </si>
  <si>
    <t>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t>
  </si>
  <si>
    <t>22/01/2026 11:28:09</t>
  </si>
  <si>
    <t>190-17512853</t>
  </si>
  <si>
    <t>25/04/2026 11:28:09</t>
  </si>
  <si>
    <t>234</t>
  </si>
  <si>
    <t>ETO-COEP 00039/2026</t>
  </si>
  <si>
    <t>DMSL:Serviço Executado:
Foi feita análise técnica a qual foi identificado que o tanque do equipamento entrou em curto o mesmo necessário substituir o tanque</t>
  </si>
  <si>
    <t>24/02/2026 11:37:29</t>
  </si>
  <si>
    <t>190-17512949</t>
  </si>
  <si>
    <t>25/04/2026 11:37:29</t>
  </si>
  <si>
    <t>1,042</t>
  </si>
  <si>
    <t>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t>
  </si>
  <si>
    <t>28/01/2026 11:41:25</t>
  </si>
  <si>
    <t>190-17421389</t>
  </si>
  <si>
    <t>27/02/2026 11:41:25</t>
  </si>
  <si>
    <t>TANQUE E RÁDIO</t>
  </si>
  <si>
    <t>PARECER DMSL: FAVOR REALIZAR A SUBSTITUIÇÃO DO EQUIOAMENTO COMPLETO, FALHA DE ABERTURA PARA PROTEÇÃO</t>
  </si>
  <si>
    <t>26/02/2026 10:28:59</t>
  </si>
  <si>
    <t>190-17512769</t>
  </si>
  <si>
    <t>27/04/2026 10:28:59</t>
  </si>
  <si>
    <t>334</t>
  </si>
  <si>
    <t>Por gentileza instalar Chave Faca com referência ao ID# E.O: 44271354;</t>
  </si>
  <si>
    <t>27/02/2026 14:53:22</t>
  </si>
  <si>
    <t>190-44271354</t>
  </si>
  <si>
    <t>Camila Mell Prado</t>
  </si>
  <si>
    <t>01/05/2026 15:18:45</t>
  </si>
  <si>
    <t>257</t>
  </si>
  <si>
    <t>ETO-RD-GR 00294/2026</t>
  </si>
  <si>
    <t>N1</t>
  </si>
  <si>
    <t>SI1</t>
  </si>
  <si>
    <t>Tanque do RLG 7936038076 queimado, favor substituir o mesmo.
NS do tanque: 0320118112616</t>
  </si>
  <si>
    <t>02/03/2026 15:56:19</t>
  </si>
  <si>
    <t>190-17512614</t>
  </si>
  <si>
    <t>05/03/2026 15:56:19</t>
  </si>
  <si>
    <t>17</t>
  </si>
  <si>
    <t>religador foi bay passado devido mesmo esta saindo fumaca do painel e sem comunicação 7927396052.
PARECER DMSL: Após testes, equipe DMSL constatou que apenas o tanque do RLG 7927396052 encontra-se queimado. Favor, substituir parte ativa do equipamento.
NS Tanque: 0320123040198</t>
  </si>
  <si>
    <t>17/02/2026 19:02:33</t>
  </si>
  <si>
    <t>190-21148967</t>
  </si>
  <si>
    <t>ZELITO ALVES DELGADO</t>
  </si>
  <si>
    <t>05/03/2026 21:25:22</t>
  </si>
  <si>
    <t>ETO-TELE 00295/2026</t>
  </si>
  <si>
    <t>Acionar equipe de manutencao para subsituir 2 vao de rede do trafo 5739148227 na RDU de Recurssolandia 
equipe 0227op01
obs. troca cabo por multiplex e inspecioar os flytap que estao com ponto quente nos conector na Rua 02 de outubro</t>
  </si>
  <si>
    <t>03/03/2026 20:21:49</t>
  </si>
  <si>
    <t>190-13671793</t>
  </si>
  <si>
    <t>CLEIBER DA SILVA</t>
  </si>
  <si>
    <t>08/03/2026 07:47:09</t>
  </si>
  <si>
    <t>24</t>
  </si>
  <si>
    <t>AVARIADO</t>
  </si>
  <si>
    <t>NÃO IDENTIFICADO</t>
  </si>
  <si>
    <t>ETO-RD-GR 00311/2026</t>
  </si>
  <si>
    <t>PLANO DE MEDIDA - Transformador 5700078015
 com 153 de carregamento para analise de divisão de circuito.
Após análise, foi identificado que o transformador 5753469015 possivelmente está a vazio e nas informações fornecidas pela OS de inspeção não foram suficientes para definição.</t>
  </si>
  <si>
    <t>21/03/2025 14:31:03</t>
  </si>
  <si>
    <t>190-13697857</t>
  </si>
  <si>
    <t>Andresa da Silva Lima</t>
  </si>
  <si>
    <t>04/04/2025 14:28:22</t>
  </si>
  <si>
    <t>165</t>
  </si>
  <si>
    <t>ETO-COPC 00024/2025</t>
  </si>
  <si>
    <t>FALAR COM A ANDRESSA</t>
  </si>
  <si>
    <t>favor verificar banco de capacitor 5950106122, com defeito interno, o mesmo nao foi indentificado aparentemente, porem foi a causa da ocorrencia 20253842360922</t>
  </si>
  <si>
    <t>20/09/2025 21:03:12</t>
  </si>
  <si>
    <t>190-51584304</t>
  </si>
  <si>
    <t>14/03/2026 08:15:19</t>
  </si>
  <si>
    <t>DOLP-RD-PA 01250/2025</t>
  </si>
  <si>
    <t>PARECER DMSL: A PEDIDO DA PCM DO NORTE LARA SOARES REALIZEI A CRIAÇÃO DESSA SS, EM RAZAO DA ANTIGAETO-TELE 337/2026 QUE FOI BAIXADA POR ENGANO DE TAL FORMA SEGUE A MESMA PARA REALIZAR AS TRATATIVAS. 
PENDENCIA: Religador continua by passado
, equipamento está com defeito na parte ativa</t>
  </si>
  <si>
    <t>16/03/2026 13:55:26</t>
  </si>
  <si>
    <t>190-17512510</t>
  </si>
  <si>
    <t>20/04/2027 13:55:26</t>
  </si>
  <si>
    <t>2,846</t>
  </si>
  <si>
    <t>PARTE ATIVA</t>
  </si>
  <si>
    <t>PARECER DMSL: *DATA*16/03/2026
Serviço Executado: É NECESSARIO REALIZAR A SUBSTITUIÇAO COMPLETA DO CONTROLE, EQUIPAMENTO DANIFICADO - FABRICANTE NOJA Equipamento ficou em operação?: Não 
Pendência: Sim, FAVOR REALIZAR AS CORREÇOES
Bateria(s) Substituída(s): Não
Data Fabricação/Instalação da(s) bateria(s): 07/2025
Equipe: Benvindo e Kaique
PARECER DMSL : 
Solicitação já cumprida.
Chamado 3047281 aberto em caráter emergencial, com comissionamento programado a partir de 02/02/2026.
PARECER DA PROTEÇÃO:
NOTA REPASSADA PARA DMSL, ABRIR CHAMADOS DE SCADA E COMISSIONAMENTO DO EQUIPAMENTO.
ENG° IRLLEY CASTELO BRANCO.
RELIGADOR N° 7963661046 INSTALADO NA OBRA 0202500503 GENTILEZA, REALIZAR O COMISSIONAMENTO.
LAUDO EM ANEXO. 
COORD EO:  728315, 8830256</t>
  </si>
  <si>
    <t>30/01/2026 07:59:51</t>
  </si>
  <si>
    <t>190-53434837</t>
  </si>
  <si>
    <t>Leonardo Sousa de Lima</t>
  </si>
  <si>
    <t>17/05/2026 16:05:26</t>
  </si>
  <si>
    <t>1</t>
  </si>
  <si>
    <t>ETO-PROT 00033/2026</t>
  </si>
  <si>
    <t>PARECER DMSL: Data: 10/03/2026,Serviço Executado: Foi substituído o relé do equipamento, o mesmo estava danificado. Trocado o DPS, o mesmo estava queimado devido ao tanque estar furado. O equipamento ficou em bypass.
Equipamento ficou em operação? Não
Pendência? Sim, substituir a parte ativa com cordão umbilical.Equipe: Carliel e João Vitor
SEGUE SS PARA REGULARIZAR AUTOMAÇÃO DO RL 7953610256 NA INTERLIGAÇÃO COM A COELBA (CHAPADA DA MANGABEIRA) - EQUIPE INFOMOU CURTO INTERNO NO GABINETE DJ AC NÃO FECHA</t>
  </si>
  <si>
    <t>16/02/2026 05:43:10</t>
  </si>
  <si>
    <t>190-43820334</t>
  </si>
  <si>
    <t>DIONES COSTA SILVA</t>
  </si>
  <si>
    <t>21/03/2026 16:08:39</t>
  </si>
  <si>
    <t>5</t>
  </si>
  <si>
    <t>ETO-TELE 00292/2026</t>
  </si>
  <si>
    <t>PARECER DMSL: Data: 12/03/2026 Serviço Executado:
- Análise técnica constatou:
- Parte ativa do equipamento danificada: necessita substituição
- Trafo danificado: foi feitos testes nas buchas secundárias o mesmo não chega tensão
    - Vazamento de óleo
    - Necessita substituição
Equipamento ficou em operação? Não
Pendências:
- Solicitar limpeza de faixa para acesso ao equipamento
- Trocar parte ativa do equipamento
- Substituir o trafo
Equipe: Carliel e João Vitor
Segue nota para envia equipe verificar falha de comunicação e automação no RL-7926442035 feito primeiro ataque com equipe 035OP02, porém sem sucesso. </t>
  </si>
  <si>
    <t>18/02/2026 16:24:37</t>
  </si>
  <si>
    <t>190-17513078</t>
  </si>
  <si>
    <t>21/03/2026 16:15:05</t>
  </si>
  <si>
    <t>230</t>
  </si>
  <si>
    <t>ETO-TELE 00298/2026</t>
  </si>
  <si>
    <t>ETO-COEP 00054/2026</t>
  </si>
  <si>
    <t>PARECER DMSL:
PENDÊNCIA: Realizar melhoria no aterramento por ser tratar de um terreno muito arenoso, e há pendências por parte do time da proteção, os ajustes do RT não estão disponíveis para inserção no referido equipamento.
DATA DA MANUTENÇÃO: 12/03/202
EQUIPE: Brunno e Edeglan.
***********************
PARECER DA PROTEÇÃO:
FAVOR COMISSIONAR REGULADOR 5865120195 – LD Santa Maria Ramal Centenário e Recursolândia – 34,5kV. AJUSTE REALIZADO, DISPONÍVEL NO APP DA PROTEÇÃO.
***********************
 INSTALADO NA OBRA 0702400720 GENTILEZA, REALIZAR O COMISSIONAMENTO.
LAUDO EM ANEXO.
COORD EO: 889017, 9016857</t>
  </si>
  <si>
    <t>11/02/2026 15:21:44</t>
  </si>
  <si>
    <t>8800183195</t>
  </si>
  <si>
    <t>5865120195</t>
  </si>
  <si>
    <t>190-38281711</t>
  </si>
  <si>
    <t>23/05/2026 15:04:52</t>
  </si>
  <si>
    <t>2,628</t>
  </si>
  <si>
    <t>ETO-PROT 00041/2026</t>
  </si>
  <si>
    <t>CENTENARIO</t>
  </si>
  <si>
    <t>Melhoria da malha de aterramento
Repassado para ETO-RD-GR- Novo número é 00538/2026</t>
  </si>
  <si>
    <t>ETO-COEP 00055/2025</t>
  </si>
  <si>
    <t>substituir 7 vão de rede deteriorados de QP-35 mm multiplex no circuito do trafo 5703610004 - bairro Jardim dos Ipês II- rua 55 qd. 63 lt 34 - RDU Araguaina</t>
  </si>
  <si>
    <t>07/11/2024 13:22:39</t>
  </si>
  <si>
    <t>5703610004</t>
  </si>
  <si>
    <t>190-1657490</t>
  </si>
  <si>
    <t>VALERIA DE JESUS BORGES CARVAL</t>
  </si>
  <si>
    <t>10/04/2025 17:27:50</t>
  </si>
  <si>
    <t>ETO-RD-AR 01903/2024</t>
  </si>
  <si>
    <t>DCMD 26.03.2026. SS REPASSADA PARA COEP PROVIDENCIAR MATERIAL. NÃO TEMOS O MATERIAL EM ESTOQUE PARA SUBSTITUIÇÃO. 
COEP: Equipamento fornecido ao COCM-S para regularização.
PARECER DA PROTEÇÃO:
EQUIPAMENTOS FURTADOS. PARA AQUISIÇÃO DAS CELULAS DE REPOSIÇÃO, FAVOR CONSULTAR OS DADOS DE PLACA EM ANEXO.
PARECER DA PROTEÇÃO:
COMISISONAR RT 5856156091 LD DIANOPOLIS A NATIVIDADE. NECESSARIO REALIZAR MEDIÇÕES DA RESISTENCIA DA MALHA DE ATERRAMENTO.
AJUSTES DISPONIVEIS NO APP DA PROTEÇÃO.
RELIGADOR N° 5856156091 INSTALADO NA OBRA 0502400526 GENTILEZA, REALIZAR O COMISSIONAMENTO. 
LAUDO EM ANEXO. 
COORD EO: 899501, 8714782</t>
  </si>
  <si>
    <t>16/06/2025 15:50:51</t>
  </si>
  <si>
    <t>190-38238593</t>
  </si>
  <si>
    <t>30/04/2027 11:42:48</t>
  </si>
  <si>
    <t>1,586</t>
  </si>
  <si>
    <t>ETO-PROT 00198/2025</t>
  </si>
  <si>
    <t>ETO-COEP 00056/2025</t>
  </si>
  <si>
    <t>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
Senhores Favor verificar RL 7900230155  o mesmo sinalizou aberto  no SCADA porem a cidade de Palmeirante estava normal , feito um reset no rl e o mesmo subiu fechado.</t>
  </si>
  <si>
    <t>29/03/2025 18:25:59</t>
  </si>
  <si>
    <t>190-17408809</t>
  </si>
  <si>
    <t>07/04/2025 14:14:07</t>
  </si>
  <si>
    <t>992</t>
  </si>
  <si>
    <t>ETO-TELE 00307/2025</t>
  </si>
  <si>
    <t>COCMS 26.03.26. SS REPASSADA PARA COEP PROVIDENCIAR MATERIAL. NÃO TEMOS AS PÇ EM ESTOQUE PARA FAZER A SUBSTITUIÇÃO. 
Solicitação de serviço para reposição de equipamentos furtados .
COEP: Equipamento fornecido ao COCM-S para regularização.
COCMS: Equipamento substituido conforme solicitado. Gentileza comissionar.
PARECER DA PROTEÇÃO:
SEGUE NOTA REPASSADA PARA DMSL COMISSIONAR.
ENG° IRLLEY CASTELO BRANCO
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t>
  </si>
  <si>
    <t>18/07/2025 11:01:15</t>
  </si>
  <si>
    <t>190-55087821</t>
  </si>
  <si>
    <t>LEONARDO SIQUEIRA AMORIM</t>
  </si>
  <si>
    <t>22/09/2026 11:44:19</t>
  </si>
  <si>
    <t>ETO-COEP 00153/2025</t>
  </si>
  <si>
    <t>ETO-COEP 00057/2024</t>
  </si>
  <si>
    <t>por favor deslocar equipe da manutenção pesada nos bancos capacitor 5900326004 , 5900383004 com vazamento de óleo
e os 5924849004 inspecionado com defeito nas fases A,B,C, e o 5900600004 fases A,C com defeito foi informado pela equipe DEC de Araguaína
telefone 6399250-4970</t>
  </si>
  <si>
    <t>24/04/2024 17:26:41</t>
  </si>
  <si>
    <t>AL04103004</t>
  </si>
  <si>
    <t>5900383004</t>
  </si>
  <si>
    <t>190-16324053</t>
  </si>
  <si>
    <t>SIRDEIS ALVES MONTEIRO</t>
  </si>
  <si>
    <t>03/05/2024 11:40:43</t>
  </si>
  <si>
    <t>VAZAMENTO DE ÓLEO</t>
  </si>
  <si>
    <t>ETO-RD-AR 00796/2024</t>
  </si>
  <si>
    <t>REPETIDO</t>
  </si>
  <si>
    <t>REPETIDO (revisar)</t>
  </si>
  <si>
    <t>Falta atendimento -COCM Araguaína - No mapa Ts continua fora de operação</t>
  </si>
  <si>
    <t>RELIGADOR COM RELÉ DANIFICADO, REALIZAR SUBSTITUIÇÃO</t>
  </si>
  <si>
    <t>26/03/2026 15:48:39</t>
  </si>
  <si>
    <t>190-17421632</t>
  </si>
  <si>
    <t>30/04/2027 15:48:39</t>
  </si>
  <si>
    <t>190-27730714</t>
  </si>
  <si>
    <t>29/06/2024 11:41:13</t>
  </si>
  <si>
    <t>ETO-RD-AR 00797/2024</t>
  </si>
  <si>
    <t>PARECER DMSL: 
FEEDBACK EQUIP. ESPECIAIS
Nº DO EQUIPAMENTO: 7925733015
TIPO EQUIPAMENTO: Noja RC10
TIPO DE COMUNICAÇÃO: Rádio GE
DATA DA MANUTENÇÃO: 24/03/2026
SID: 1475/2026
DESCRIÇÃO: Tanque do equipamento em Curto
FICOU EM OPERAÇÃO?: Não 
PENDÊNCIA: Sim, repassar a nota para DCMD substituir tanque.
DADOS DIVERGENTES DA PROGRAMAÇÃO: Não
BATERIA SUBSTITUÍDA?: Não 
TIPO DE BATERIA: Lítio 
EQUIPE: Edicleber e Jhonata(DEOP)
------------------------------------------------------------------------------------------------------
religador 7925733015 com defeito, equipe fez abertura da chave de saida do mesmo e ele não aceita fehcamento devido provavel curto-circuito interno, enviar equipe para verificar o mesmo ficou by-pass fechado</t>
  </si>
  <si>
    <t>13/03/2026 20:07:30</t>
  </si>
  <si>
    <t>190-17404247</t>
  </si>
  <si>
    <t>02/04/2026 09:54:49</t>
  </si>
  <si>
    <t>136</t>
  </si>
  <si>
    <t>ETO-TELE 00367/2026</t>
  </si>
  <si>
    <t>ETO-COEP 00059/2024</t>
  </si>
  <si>
    <t>190-16324009</t>
  </si>
  <si>
    <t>03/05/2024 11:41:46</t>
  </si>
  <si>
    <t>ETO-RD-AR 00798/2024</t>
  </si>
  <si>
    <t>PARECER DMSL: FEEDBACK EQUIP. ESPECIAIS
Nº DO EQUIPAMENTO:  7925744087
TIPO EQUIPAMENTO: Noja RC 10
TIPO DE COMUNICAÇÃO: Radio GE IP
DATA DA MANUTENÇÃO: 19/02/2026
SID: 735/2026 
DESCRIÇÃO: foi identificado água dentro da parte interna do tanque e cabo umbilical encharcado de água foi passado essas informações para COS.
FICOU EM OPERAÇÃO?: Não 
PENDÊNCIA: Sim substituir tanque e cabo umbilical
DADOS DIVERGENTES DA PROGRAMAÇÃO: Não
BATERIA SUBSTITUÍDA?: Não 
DATA DA BATERIA: 07/05/2025
TIPO DE BATERIA: Lítio 
EQUIPE: Edeglan e Janio
-------------------------------------------------------------------------------------------------
RELIGADOR SEM COMUNICAÇÃO, APOS PRIMEIRO ATAQUE RETORNA E FICAR INDEFINIDO.</t>
  </si>
  <si>
    <t>09/02/2026 23:47:44</t>
  </si>
  <si>
    <t>190-17408622</t>
  </si>
  <si>
    <t>CLESIO CARVALHO MOURA</t>
  </si>
  <si>
    <t>02/04/2026 10:22:38</t>
  </si>
  <si>
    <t>ETO-TELE 00284/2026</t>
  </si>
  <si>
    <t>RELIGADOR - TANQUE E CABO UMBILICAL</t>
  </si>
  <si>
    <t>Nota para manutenção substituir banco capacitor 5913313004 na RDU de Araguina o mesmo não aceitou fechamento</t>
  </si>
  <si>
    <t>26/04/2024 05:51:18</t>
  </si>
  <si>
    <t>190-29121990</t>
  </si>
  <si>
    <t>CLEIDSON RODRIGUES VIEIRA</t>
  </si>
  <si>
    <t>03/05/2024 11:42:27</t>
  </si>
  <si>
    <t>ABERTURA INDEVIDA DA PROTEÇÃO</t>
  </si>
  <si>
    <t>ETO-RD-AR 00806/2024</t>
  </si>
  <si>
    <t>PARECER DMSL:
Realizar substituição do equipamento todo e parte ativa.
Equipe: Adeilton e Edicleber
Data: 12/03
-----------------------------------------------------------------------------
Religador sem comunicação, apos  primeiro ataque o mesmo não retornou as comunicação.</t>
  </si>
  <si>
    <t>11/03/2026 18:20:05</t>
  </si>
  <si>
    <t>190-17337604</t>
  </si>
  <si>
    <t>02/04/2026 11:02:53</t>
  </si>
  <si>
    <t>ETO-TELE 00360/2026</t>
  </si>
  <si>
    <t>PARECER DMSL: Serviço Executado: Foi feito análise técnica, testes funcionais e identificado que a parte ativa do equipamento está com defeito. Necessário substituir a parte ativa.
FICOU EM OPERAÇÃO? Não- EQUIPE: Carliel e Benvindo
Segue SS para verificaçao Rl esta danificado dando passagem de tensão mesmo aberto Sim, quando retornar trazer uma fonte pois a mesma foi removida.</t>
  </si>
  <si>
    <t>17/12/2025 05:52:25</t>
  </si>
  <si>
    <t>190-17407509</t>
  </si>
  <si>
    <t>JANES FERREIRA DA SILVA</t>
  </si>
  <si>
    <t>03/04/2026 09:38:27</t>
  </si>
  <si>
    <t>BUCHAS DE PASSAGEM</t>
  </si>
  <si>
    <t>CORROSÃO / OXIDAÇÃO</t>
  </si>
  <si>
    <t>ETO-TELE 01495/2025</t>
  </si>
  <si>
    <t>PARECER DMSL :
Equipamento com a placa de alimentação ca em curto, será necessário substituir a placa do equipamento.
Equipamento ficou em operação?: Não 
Pendência: Sim
OBS :Data Fabricação/Instalação da(s) bateria(s): 04/2024
Equipe: Benvindo e Kaique- SS ANTIGA 277/2026 BAIXADA POR ENGANO PELA EQUIPE</t>
  </si>
  <si>
    <t>31/03/2026 09:53:16</t>
  </si>
  <si>
    <t>190-28065672</t>
  </si>
  <si>
    <t>07/04/2026 10:56:57</t>
  </si>
  <si>
    <t>445</t>
  </si>
  <si>
    <t>ETO-RD-PS 00162/2026</t>
  </si>
  <si>
    <t>Equipe identificou em campo que o tanque se encontra queimado, solicitamos a substituição</t>
  </si>
  <si>
    <t>15/04/2025 16:20:57</t>
  </si>
  <si>
    <t>190-17404114</t>
  </si>
  <si>
    <t>14/06/2025 16:20:57</t>
  </si>
  <si>
    <t>120</t>
  </si>
  <si>
    <t>Equipamento ficou em operação?: Não
Pendência: Sim será necessário substituir a placa
Serviço Executado:  curto na placa foi tentando recuperar a mesma porém não teve sucesso!
Bateria(s)substituída(s)? NÃO
Equipe: Kaique e benvido</t>
  </si>
  <si>
    <t>17/03/2026 10:04:45</t>
  </si>
  <si>
    <t>190-35120642</t>
  </si>
  <si>
    <t>05/05/2027 10:57:50</t>
  </si>
  <si>
    <t>256</t>
  </si>
  <si>
    <t>ETO-RD-PS 00163/2026</t>
  </si>
  <si>
    <t>Corrigir anomalia no BC 5900293123 que atende a Bonasa em Aguiarnopolis. Ao fazer teste no mesmo a fase A não aceitou.</t>
  </si>
  <si>
    <t>12/04/2025 13:00:22</t>
  </si>
  <si>
    <t>190-26830949</t>
  </si>
  <si>
    <t>ANTONIO FAGNER ALVES RIBEIRO</t>
  </si>
  <si>
    <t>15/06/2025 07:34:07</t>
  </si>
  <si>
    <t>ETO-RD-AG 00455/2025</t>
  </si>
  <si>
    <t xml:space="preserve">PARECER DMSL: 
Necessário substituir a placa de alimentação ca, a mesma está em curto não conseguimos recuperar.
Equipamento ficou em operação?: _Nao 
Pendência: Sim
Bateria(s) Substituída(s)? Não 
Data Fabricação/Instalação da(s) bateria(s): 06/2024
Equipe: Benvindo e Kaique 
----------------------------------------------------------------------
RL 7955946007 SEM COMUNICAÇÃO FEITO PRIMEIRO ATAQUE-- </t>
  </si>
  <si>
    <t>02/03/2026 21:33:09</t>
  </si>
  <si>
    <t>190-21578328</t>
  </si>
  <si>
    <t>PAULO AUGUSTO DA SILVA MORAIS</t>
  </si>
  <si>
    <t>09/04/2026 09:40:39</t>
  </si>
  <si>
    <t>262</t>
  </si>
  <si>
    <t>ETO-TELE 00341/2026</t>
  </si>
  <si>
    <t>ETO-COEP 00065/2026</t>
  </si>
  <si>
    <t>Limpeza de Faixa Rede Media na repetidora Xambioa.</t>
  </si>
  <si>
    <t>07/04/2026 15:23:59</t>
  </si>
  <si>
    <t>REP.XAMBIOA</t>
  </si>
  <si>
    <t>REPETIDORA XAMBIOÁ</t>
  </si>
  <si>
    <t>12/05/2027 15:23:59</t>
  </si>
  <si>
    <t xml:space="preserve">LOC INSTAL REPETIDORA   </t>
  </si>
  <si>
    <t>LIMPEZA DE FAIXA</t>
  </si>
  <si>
    <t>REPASSAR SANDRO</t>
  </si>
  <si>
    <t>Cancelada - Limpeza de faixa somente pelo aplicativo</t>
  </si>
  <si>
    <t>ETO-COEP 00066/2026</t>
  </si>
  <si>
    <t>PARECER DMSL: *FEEDBACK EQUIP. ESPECIAIS*
*Nº DO EQUIPAMENTO:* 5800291077
*DATA DA MANUTENÇÃO:* 07/04/2026
*SID:* 1709/2026
*DESCRIÇÃO:* Realizado ensaios nas células do banco 5800291077, identificado fase B em curto
*FICOU EM OPERAÇÃO?:* Não
*PENDÊNCIA:* SIM
*EQUIPE:* Adeilton e Edicleber
Realizar substituição da célula da fase B
Em curto.
_____________________________________________________________
Segue SS para enviar equipe do DMSL para no regulador de tensão 5800291077.
O mesmo ficou bay passado devido esta com defeito e causar desarme na LD e penalizar a RDU de Goiatins.
Por gentileza enviar equipe urgente.</t>
  </si>
  <si>
    <t>03/04/2026 21:12:34</t>
  </si>
  <si>
    <t>8800288077</t>
  </si>
  <si>
    <t>5800291077</t>
  </si>
  <si>
    <t>190-49492686</t>
  </si>
  <si>
    <t>11/04/2026 14:03:04</t>
  </si>
  <si>
    <t>DEFEITO MECANICO</t>
  </si>
  <si>
    <t>ETO-TELE 00498/2026</t>
  </si>
  <si>
    <t>PARECER DMSL: *FEEDBACK EQUIP. ESPECIAIS*
*Nº DO EQUIPAMENTO:* 7929376022 
*DATA DA MANUTENÇÃO:* 02/04/2026
*SID:* 1677/2026
*DESCRIÇÃO:* Trocar controle completo
*PENDÊNCIA:* Sim.
*DADOS DIVERGENTES DA PROGRAMAÇÃO:* Não
*BATERIA SUBSTITUÍDA?:* Não
*EQUIPE:* Adeilton e Edicleber 
__________________________________________________________
POR GENTILEZA ATENDER SOLICITAÇÃO PRIMEIRO ATAQUE IDENTIFICOU QUE RELE ESTA EM CURTO NOTA ABERTA 224/2026 FOI BAIXADA POREM NÃO FOI CORRIGIDO PROBLEMA EM CAMPO.</t>
  </si>
  <si>
    <t>25/03/2026 14:38:13</t>
  </si>
  <si>
    <t>190-17408409</t>
  </si>
  <si>
    <t>16/04/2026 10:51:38</t>
  </si>
  <si>
    <t>ETO-TELE 00409/2026</t>
  </si>
  <si>
    <t>Vamos fazer</t>
  </si>
  <si>
    <t>Segue ss de 06 chaves faca da rede de 34.500kv no id, 59408745 e no id, 59411689 
estrutura HT 
 para ser instalada  pela equipe de manutencão linha viva devido tratar se da LD de aparecida a novo acordo, trecho longo de 8 KM sem chaves na linha acesso bom equipe que atendeu 083op01 63992188010 marcelo 63991155898 Dielano favor agilizar o atendimento para facilitar as nossas manobras na LD obs, não tem clientes penalizados porém estamos precisando muito da instalacão desta chave na linha para energisar a fazenda do governador em menos tempo favor agilizar o atendimento</t>
  </si>
  <si>
    <t>01/03/2026 08:49:12</t>
  </si>
  <si>
    <t>190-419413</t>
  </si>
  <si>
    <t>JOAO PAULO VASCONCELOS MARINHO</t>
  </si>
  <si>
    <t>16/04/2026 15:29:44</t>
  </si>
  <si>
    <t>402</t>
  </si>
  <si>
    <t>DOLP-RD-PA 00304/2026</t>
  </si>
  <si>
    <t>SR1</t>
  </si>
  <si>
    <t>190-418433</t>
  </si>
  <si>
    <t>16/04/2026 15:30:19</t>
  </si>
  <si>
    <t>DOLP-RD-PA 00305/2026</t>
  </si>
  <si>
    <t>PARECER DMSL: SS ETO TELE 404/2026 ENCERRADA POR ENGANO Feedback Equipamentos Especiais
Local: Rural Ponte Alta
Equipe: Benvindo e Kaique
Equipamento: 7908302256
Designação: ENEG-0299-TO-H14
SLave: 19
Porta: 20000
REDE 10.163.249.152/30
SKYEDGE 10.163.249.153
RELÉ 10.163.249.154 Aponta - Diver
BROADCAST 10.163.249.155
MASK 255.255.255.252
H14:(Eutelsat 8W)
ID VSAT:20885
Managed Group: 18
Frequência:11595000
SR:32727
Lnblo - 10.75 (NÃO FUNCIONA)
Lnb chaveado colocar em L - lnblo 9.75Ghz
093 A - Buc 13.05 (AN7000 grande 2W,3W,4W)
093 B - Buc 12.80 (AN7233 pequeno de 2W)
Se o buc for de 13.05 o "RF Cluster Code" é 093A, se o buc for¿12.80¿é¿093B
Enter location CODE: 000M
Serviço Executado: Equipamento com a parte ativa com defeito, será necessário fazer a substituição da mesma! 
Obs. Foi retirado a placa de alimentação ca.
Pendência: Sim
Equipamento ficou em operação: Não 
Bateria(s) Substituída(s): não
Data Fabricação/Instalação da(s) bateria(s):</t>
  </si>
  <si>
    <t>06/04/2026 11:03:44</t>
  </si>
  <si>
    <t>190-28327585</t>
  </si>
  <si>
    <t>13/06/2026 11:03:44</t>
  </si>
  <si>
    <t>2,103</t>
  </si>
  <si>
    <t>Nota para manutenção substituir religador 7900525015 que está com as buchas de entrada danificadas fase A estourada e bc danificadas 
Local LD Pedro Afonso A Chaparral</t>
  </si>
  <si>
    <t>13/04/2026 21:44:36</t>
  </si>
  <si>
    <t>190-17404244</t>
  </si>
  <si>
    <t>17/04/2026 11:08:30</t>
  </si>
  <si>
    <t>228</t>
  </si>
  <si>
    <t>BUCHA MT - CARGA (C)</t>
  </si>
  <si>
    <t>ETO-RD-GR 00431/2026</t>
  </si>
  <si>
    <t>Segue nota para envia equipe linha viva substituir às 3 células do BC-5900489122 de 600 kVAr, Tensão 13.8kv, Cabo AA / 4/0, Local AVE. NS-01, Obs. Foi identificado fase C com elo queimado após fechamento fase B queimou elo, não foi possível identificar qual celular está danificada devido mesmo ser muito antigos favor substituir às 3 do mesmo.</t>
  </si>
  <si>
    <t>23/04/2025 03:49:22</t>
  </si>
  <si>
    <t>190-28975995</t>
  </si>
  <si>
    <t>01/05/2025 16:25:10</t>
  </si>
  <si>
    <t>OPERAÇÃO INDEVIDA</t>
  </si>
  <si>
    <t>ETO-RD-PA 00296/2025</t>
  </si>
  <si>
    <t>PARECER DMSL:
Fase C. Sentindo carga 
Chave faca não fechou, realizar substituição.
DATA: 09/04/2026
SID 1756/2026
Equipe: Adeilton e Edicleber
___________________________________
PARECER DMSL: 
Chamado de desenvolvimento 30487776 criado. Favor, programar comissionamento a partir do dia 09/03/2026. (POLOTOC)
PARECER DA PROTEÇÃO:
ESTUDO REALIZADO. OS AJUSTES ESTÃO DISPONÍVEIS NO APP DA PROTEÇÃO.
Estagiário Rafael Pereira Marques
___________
RELIGADOR N° 7967181127 INSTALADO NA OBRA 0652400757 GENTILEZA, REALIZAR O COMISSIONAMENTO. 
LAUDO EM ANEXO. 
COORD EO: 874476, 9275510</t>
  </si>
  <si>
    <t>23/01/2026 09:24:55</t>
  </si>
  <si>
    <t>190-61399933</t>
  </si>
  <si>
    <t>15/06/2026 14:14:28</t>
  </si>
  <si>
    <t>31</t>
  </si>
  <si>
    <t>ETO-PROT 00027/2026</t>
  </si>
  <si>
    <t>Segue nota para envia equipe linha viva substituir fase A e B do BC-5952202122 de 300 kVAr, Tensão 13.8kv, Local AVE NS-02 Praça dos Girassóis.</t>
  </si>
  <si>
    <t>24/04/2025 04:38:59</t>
  </si>
  <si>
    <t>190-27954026</t>
  </si>
  <si>
    <t>01/05/2025 16:46:18</t>
  </si>
  <si>
    <t>463</t>
  </si>
  <si>
    <t>SEM IDENTIFICAÇÃO</t>
  </si>
  <si>
    <t>ETO-RD-PA 00300/2025</t>
  </si>
  <si>
    <t>PARECER DMSL: Substituir Equipamento completo problema na placa de alimentação e na parte ativa, falta colocar placa de identificação correta na topologia, baixar o controle.
Equipamento ficou em operação?: nao
Pendência: sim
Bateria(s) substituída(s)? NÃO
Equipe: Kaique/ Benvindo
----------------------------------------------
PARECER DA PROTEÇÃO: 
Prosseguir com o comissionamento. Ajustes de religador permanecem os mesmos, disponíveis no APP da Proteção.
********************************
RELIGADOR N°7919270014 REMANEJADO NA OBRA 0212501060 GENTILEZA, REALIZAR O COMISSIONAMENTO.
LAUDO EM ANEXO. 
COORD EO: 617422, 8830787</t>
  </si>
  <si>
    <t>25/02/2026 10:44:37</t>
  </si>
  <si>
    <t>190-17407946</t>
  </si>
  <si>
    <t>16/06/2026 09:11:41</t>
  </si>
  <si>
    <t>52</t>
  </si>
  <si>
    <t>ETO-PROT 00053/2026</t>
  </si>
  <si>
    <t>Segue nota para envia equipe linha viva substituir às 3 células do BC-5952327122, Obs. Identificada fase A e C aberta e em campo e curto na fase B, Equipamento ficou isolado para substituição, Tensão 13.8kv, Local próximo QD-409 Norte.</t>
  </si>
  <si>
    <t>24/04/2025 05:10:24</t>
  </si>
  <si>
    <t>190-49471228</t>
  </si>
  <si>
    <t>01/05/2025 16:49:05</t>
  </si>
  <si>
    <t>ETO-RD-PA 00301/2025</t>
  </si>
  <si>
    <t>Segue SS para substituição do banco capacitor com defeito fase B,C 5951650122</t>
  </si>
  <si>
    <t>25/04/2025 05:42:35</t>
  </si>
  <si>
    <t>190-33029844</t>
  </si>
  <si>
    <t>01/05/2025 16:50:51</t>
  </si>
  <si>
    <t>792</t>
  </si>
  <si>
    <t>CORPO QUEIMADO, DANIFICADO, ETC</t>
  </si>
  <si>
    <t>DOLP-RD-PA 00593/2025</t>
  </si>
  <si>
    <t>ETO-COEP 00076/2026</t>
  </si>
  <si>
    <t>PARECER DMSL:
Realizar a substituição do transformador. (Furtado)
Equipe: Adeilton e Edicleber
SID 1874/2026
17/04/2026
______________________________________
PARECER DMSL: 
Chamado de desenvolvimento 30484170 criado. Favor, programar comissionamento a partir do dia 20/02/26.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Estagiário Rafael Pereira Marques.
_____________________
RELIGADOR N° 7962635060 INSTALADO NA OBRA 0602401143 GENTILEZA, REALIZAR O COMISSIONAMENTO. 
LAUDO EM ANEXO. 
COORD EO: 789405, 9172143</t>
  </si>
  <si>
    <t>22/12/2025 14:36:41</t>
  </si>
  <si>
    <t>3319797060</t>
  </si>
  <si>
    <t>7962635060</t>
  </si>
  <si>
    <t>190-44718396</t>
  </si>
  <si>
    <t>16/06/2026 14:55:05</t>
  </si>
  <si>
    <t>14</t>
  </si>
  <si>
    <t>ETO-PROT 00391/2025</t>
  </si>
  <si>
    <t>BC-5907243122  isolado mesmo assim feito teste porém fase B não aceitou 03:13 / 24/04/2025.
Favor verificar disponibilidade de equipamento e encaminhar novamente para subistituição do mesmo.</t>
  </si>
  <si>
    <t>28/04/2025 16:57:05</t>
  </si>
  <si>
    <t>190-53370143</t>
  </si>
  <si>
    <t>01/05/2025 16:57:05</t>
  </si>
  <si>
    <t>PARECER DMSL: 
RT 5801866013
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
Obs.: Será necessário baixar todo o banco pelo menos um metro, as buchas estão muito próximas a parte energizada não oferecem segurança para equipe no momento do ensaio elétrico.
Equipamento ficou em operação?: Não 
Possui nobreak: Sim
Possui antena: Sim
Possui rádio:Sim
Pendência: Sim
Data da bateria:  
Equipe: Benvindo e Kaique.
_______________________________________________
RT 5801866013
BY PASSADO DEVIDO DEFEITO EM CELULA 
BEMVINDO ESTEVE NO LOCAL 
JUNTO AO COD .
NECESSARIO TRATATIVA PARA MESMA .
FASE DANIFICADO C</t>
  </si>
  <si>
    <t>02/03/2026 15:58:27</t>
  </si>
  <si>
    <t>190-35644534</t>
  </si>
  <si>
    <t>Felipe Batista Ferrreira</t>
  </si>
  <si>
    <t>23/04/2026 07:47:57</t>
  </si>
  <si>
    <t>663</t>
  </si>
  <si>
    <t>EQUIPAMENTO</t>
  </si>
  <si>
    <t>ETO-TELE 00339/2026</t>
  </si>
  <si>
    <t>PARECER DMSL: Feedback Equip. Especiais
RLG 7926089013,
RELÉ NOJA RC10
SID 1805/2026
DATA 15/04/2026
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
---------------------------------------------------------------------------------
ATUALIZAR AJUSTES DO RL 7926089013 LD PARAISO I  A  PIUM. IMPLEMENTAÇÃO DA FUNÇÃO 27, SUBTENSÃO.
AJUSTES DISPONIVEIS NO APP DA PROTEÇÃO.</t>
  </si>
  <si>
    <t>27/03/2026 15:42:46</t>
  </si>
  <si>
    <t>22/06/2026 07:58:05</t>
  </si>
  <si>
    <t>RELÉ DE PROTEÇÃO</t>
  </si>
  <si>
    <t>ETO-TELE 00418/2026</t>
  </si>
  <si>
    <t>Segue nota para envia manutenção substituir tanque do RL-7923927122 em curto, Anomalia identificada desarme das LD, s Palmas / Aparecida e Palmas Taquaruçu, Acesso livre, Tensão 34,5kv, Local RL de Interligação entre 424R / 414R.</t>
  </si>
  <si>
    <t>27/04/2025 11:04:53</t>
  </si>
  <si>
    <t>190-17403330</t>
  </si>
  <si>
    <t>02/05/2025 13:50:00</t>
  </si>
  <si>
    <t>DOLP-RD-PA 00602/2025</t>
  </si>
  <si>
    <t>Favor providenciar manutenção no RL 7900573047, o mesmo estar em curto conforme fotos anexadas. Equipamento ficou bay passado em campo.
PARECER DMSL: 
Equipe: FABIO AP./JOÃO MARCOS
Data Executada: 15/10/2025
Serviço Executado:
Foi constatado que o equipamento esta queimado na parte ativa placa, tanque e relé. Por favor fazer a substituição pelo Noja RC10.</t>
  </si>
  <si>
    <t>09/10/2025 10:05:50</t>
  </si>
  <si>
    <t>190-19172791</t>
  </si>
  <si>
    <t>27/04/2026 08:52:40</t>
  </si>
  <si>
    <t>ETO-TELE 01188/2025</t>
  </si>
  <si>
    <t>ETO-COEP 00081/2026</t>
  </si>
  <si>
    <t>PARECER DMSL: A antena do rádio do RLG 7957620015 fica próximo da BT, onde a mesma veio a encostar no cabo da fase o que ocasionou um curto-circuito no rádio, que passou para todos os componentes do controle. Sendo asim se faz necessário a substituição do controle por inteiro, pois o curto danificou o rádio, módulo sim, relé e fonte. Fornecer também além do controle completo, a antena e o cabo umbilical que apresenta sinais de danos.
rl 7957620015 com anomalia na antena de comunicação do mesmo, e painel não acende equipe fez primeira ataque e o mesmo não retornou comunicação, rl ficou by passado 
NECESSITA URGENCIA O MESMO PERTENCE CIRCUITO DO ALIMENTADOR 2 DE PEDRO AFONSO ATEDE RDU DE BOM JESUS</t>
  </si>
  <si>
    <t>08/05/2025 13:02:03</t>
  </si>
  <si>
    <t>8800009015</t>
  </si>
  <si>
    <t>AL02065015</t>
  </si>
  <si>
    <t>7957620015</t>
  </si>
  <si>
    <t>190-22432476</t>
  </si>
  <si>
    <t>27/04/2026 14:04:28</t>
  </si>
  <si>
    <t>1,485</t>
  </si>
  <si>
    <t>COMANDO MECÂNICO</t>
  </si>
  <si>
    <t>ETO-TELE 00523/2025</t>
  </si>
  <si>
    <t>Segundo informações do técnico supervisor Danilo, enviar equipe para dá manutenção nos bancos capacitores 5900358003,5900364003 e 5901886003, ambos ficam na RDU de Gurupi na 13.8kV.</t>
  </si>
  <si>
    <t>15/04/2024 12:12:03</t>
  </si>
  <si>
    <t>190-28087333</t>
  </si>
  <si>
    <t>WESLEY MARCAL MENDES DE OLIVEI</t>
  </si>
  <si>
    <t>11/05/2025 09:00:33</t>
  </si>
  <si>
    <t>ETO-RD-GU 00587/2024</t>
  </si>
  <si>
    <t>Segue SS para verficar religador de poste 7933766059.
Religador esta com defeito na parte ativa 
no tanque 
Porte gentilezaenviar equipe verificar.
Endereço: Taquari
PARECER DMSL: RLG 7933766059 
RELÉ NOJA RC 10
Mestre 2 Rep. taquaruçu GE
SID: 5457/2025
Data: 15/10/2025
Serviço Executado: Houve um curto na parte ativa do equipamento danificando a mesma, será necessário fazer a substituição somente do tanque, parte ativa.
*Equipamento ficou em operação?:*Nao 
Pendência: Sim, substituir parte ativa.
Equipe: Benvindo, Juliano e Sérgio.</t>
  </si>
  <si>
    <t>08/10/2025 17:28:34</t>
  </si>
  <si>
    <t>190-17409267</t>
  </si>
  <si>
    <t>27/04/2026 14:31:39</t>
  </si>
  <si>
    <t>5,329</t>
  </si>
  <si>
    <t>ETO-TELE 01183/2025</t>
  </si>
  <si>
    <t>RELIGADOR - PARTE ATIVA</t>
  </si>
  <si>
    <t>Segue SS do banco de capacitor 5900064029 com defeito  
5900064029 
RDU de Palmeiropolis 
Fase A com vazamento de oleo 
FAse B e C tambem com defeito.
Por gentileza favor verificar a troca do mesmo</t>
  </si>
  <si>
    <t>20/05/2024 11:55:14</t>
  </si>
  <si>
    <t>190-28087184</t>
  </si>
  <si>
    <t>25/08/2024 16:39:39</t>
  </si>
  <si>
    <t>ETO-RD-GU 00772/2024</t>
  </si>
  <si>
    <t>ETO-COEP 00083/2025</t>
  </si>
  <si>
    <t>5900364003</t>
  </si>
  <si>
    <t>190-16323908</t>
  </si>
  <si>
    <t>11/05/2025 09:00:53</t>
  </si>
  <si>
    <t>ETO-RD-GU 00584/2024</t>
  </si>
  <si>
    <t>Bom dia,
Segue SS para verificação RL sem comunicação com painel apagado equipe DEOP fez primeiro ataque sem sucesso RL 7931610122 RDU de Palmas.
Feedback Equipamentos Especiais DMSL: 
*RLG 7931610122 RDU Palmas
*Noja rc10 
Data: 14/10/2025
SID: 5412
Dados de comunicação divergentes da programação: Não. 
Serviço Executado: Houve um curto no equipamento danificando a parte ativa, e antena! 
Será necessário fazer a substituição somente da parte ativa (tanque) e da antena.
Equipamento ficou em operação?: Não 
Pendência: Sim, substituir a parte ativa.
Bateria(s) substituída(s)?: Não
Data Fabricação/Instalação da(s) bateria(s): 2024
Equipe: Benvindo, Juliano e Sérgio.</t>
  </si>
  <si>
    <t>10/10/2025 07:22:51</t>
  </si>
  <si>
    <t>190-17408268</t>
  </si>
  <si>
    <t>27/04/2026 14:32:01</t>
  </si>
  <si>
    <t>2,464</t>
  </si>
  <si>
    <t>ETO-TELE 01190/2025</t>
  </si>
  <si>
    <t>por favor deslocar equipe da manutenção nos bancos capacitor 5900470004 , 5903718004 , 5900668004 para 
faze manutenção eles esta com chave aberto em campo foi informado pela equipe do plantão 004op02</t>
  </si>
  <si>
    <t>17/05/2024 13:02:00</t>
  </si>
  <si>
    <t>190-16324007</t>
  </si>
  <si>
    <t>08/07/2025 14:53:19</t>
  </si>
  <si>
    <t>CAPACITOR MAL FIXADO</t>
  </si>
  <si>
    <t>ETO-RD-AR 00925/2024</t>
  </si>
  <si>
    <t>Segue nota para correção de anomalia e provável substituição de religador , religador 7900117013 -RDU - Paraiso .
OBS: equipe DMSL Elisfran estava atualizando firmware no equipamento  , porém relé parou de funcionar devido essa atualização , sendo necessário sua substituição .
em campo o modelo e   cooper Form6 , segundo tecnico deve ser substituído por um Noja .
Repassado para o COEP para aquisição do equipamento e posterior repasse para o COCM.</t>
  </si>
  <si>
    <t>02/07/2025 13:13:59</t>
  </si>
  <si>
    <t>190-17421714</t>
  </si>
  <si>
    <t>DIOMAR FERREIRA PEREIRA</t>
  </si>
  <si>
    <t>23/06/2026 16:16:24</t>
  </si>
  <si>
    <t>4,535</t>
  </si>
  <si>
    <t>ILEGÍVEL</t>
  </si>
  <si>
    <t>ETO-TELE 00791/2025</t>
  </si>
  <si>
    <t>190-16323930</t>
  </si>
  <si>
    <t>12/05/2025 14:53:41</t>
  </si>
  <si>
    <t>ETO-RD-AR 00927/2024</t>
  </si>
  <si>
    <t>ETO-COEP 00085/2026</t>
  </si>
  <si>
    <t xml:space="preserve">RL 7938137007 
NO RL INSTALAR BATERIA NOVA E RADIO A PEDIDO DE KAROLINY DMSL
ACESSO LIVRE
PARECER DMSL: 
* equipamento esta com a bucha da fase A com problemas(solta), necessário substituir
* Trafo do serviço auxiliar esta vazando óleo, necessário substituir
</t>
  </si>
  <si>
    <t>26/12/2025 18:06:25</t>
  </si>
  <si>
    <t>9002298007</t>
  </si>
  <si>
    <t>7938137007</t>
  </si>
  <si>
    <t>190-17408695</t>
  </si>
  <si>
    <t>ANDERSON FAZAN SOARES</t>
  </si>
  <si>
    <t>27/04/2026 16:18:10</t>
  </si>
  <si>
    <t>285</t>
  </si>
  <si>
    <t>ETO-TELE 01528/2025</t>
  </si>
  <si>
    <t>BUCHA - TRAFO COM VAZAMENTO DE ÓLEO</t>
  </si>
  <si>
    <t>TRANSFORMADOR</t>
  </si>
  <si>
    <t>NOTA DMSL: Favor substituir o tanque, ele não está efetuando os comandos enviados. Não substituir o controle pois o mesmo funciona como repetidor de outros equipamentos.
Segue nota para verificar falha de fechamento religador 7908686014- Pium .
OBS: equipamento não fechou local e remoto , fica sinalizando no painel para verificar alarmes !</t>
  </si>
  <si>
    <t>15/10/2024 16:43:55</t>
  </si>
  <si>
    <t>190-17512665</t>
  </si>
  <si>
    <t>27/04/2026 16:18:48</t>
  </si>
  <si>
    <t>ETO-TELE 00867/2024</t>
  </si>
  <si>
    <t>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
Equipamento ficou em operação?: _SIM_a pedido do COS ficou em operação, a operação está ciente da necessidade de substituir.
Pendência: Sim, será necessário substituir o equipamento.</t>
  </si>
  <si>
    <t>22/04/2025 09:55:49</t>
  </si>
  <si>
    <t>190-17412271</t>
  </si>
  <si>
    <t>30/04/2026 14:47:11</t>
  </si>
  <si>
    <t>ETO-TELE 00410/2025</t>
  </si>
  <si>
    <t>ETO-COEP 00088/2025</t>
  </si>
  <si>
    <t>190-1657495</t>
  </si>
  <si>
    <t>16/05/2025 17:10:30</t>
  </si>
  <si>
    <t>ETO-RD-AR 01898/2024</t>
  </si>
  <si>
    <t>SI-1</t>
  </si>
  <si>
    <t>PARECER DMSL: Serviço Executado: _ indentificado o problema na parte ativa será  necessário fazer a substituição da mesmo, feito a medição do aterramento. Preciso substituir para raio da fase c.
Equipamento ficou em operação?: _NAO
Pendência: _Sim
Bateria(s) substituída(s)? _Não
Data Fabricação/Instalação da(s) bateria(s):_
Equipe: _Benvindo e kaique
----------------------------------------------------------------------------------
RL com defeito no rele, fica só reiniciando ficou By passado OS atendimento primeiro ataque 106530226</t>
  </si>
  <si>
    <t>15/02/2026 20:35:18</t>
  </si>
  <si>
    <t>EQP-7921202014</t>
  </si>
  <si>
    <t>WANDERLEY TAVARES DA SILVA</t>
  </si>
  <si>
    <t>01/05/2026 14:49:25</t>
  </si>
  <si>
    <t>543</t>
  </si>
  <si>
    <t>ETO-RD-PA 00109/2026</t>
  </si>
  <si>
    <t>SUBSTITUIR REDE BT DETERIORADA TODO CIRCUITO DO TR-5719217060 230MT BARRAMENTO DO TRAFO CABO MUTIPLEX 70MM TRIFÁSICO. 1.350,00mt DE CABOS MUTIPLEX 35MM TRIFÁSICO
RDU NOVA OLINDA</t>
  </si>
  <si>
    <t>18/03/2025 18:43:46</t>
  </si>
  <si>
    <t>190-1861817</t>
  </si>
  <si>
    <t>JOELSON SILVA DE SOUSA</t>
  </si>
  <si>
    <t>12/05/2025 17:11:38</t>
  </si>
  <si>
    <t>61</t>
  </si>
  <si>
    <t>RACHADA / DETERIORADA</t>
  </si>
  <si>
    <t>ETO-RD-AR 00446/2025</t>
  </si>
  <si>
    <t>1.350,00mt</t>
  </si>
  <si>
    <t>Manutenção no RL 7908705049
PARECER DMSL(28/08/2025): Equipe foi fazer manutenção no RL e constatou que o tanque e o relé do mesmo se encontra queimado, providenciar substituição.
PARECER COCMS 30/04/2026
CRIADO OBRA 0512600135 PARA REQUISIÇÃO MATERIAL</t>
  </si>
  <si>
    <t>16/07/2025 08:00:04</t>
  </si>
  <si>
    <t>190-17414963</t>
  </si>
  <si>
    <t>04/06/2027 15:31:25</t>
  </si>
  <si>
    <t>1,354</t>
  </si>
  <si>
    <t>ETO-TELE 00824/2025</t>
  </si>
  <si>
    <t xml:space="preserve">RELIGADOR - OBRA GERADA </t>
  </si>
  <si>
    <t>SUBSTITUIR REDE BT DETERIORADA TODO CIRCUITO DO TR-5719218060 230MT BARRAMENTO DO TRAFO CABO MUTIPLEX 70MM TRIFÁSICO. 810MT DE CABOS MUTIPLEX 35MM TRIFÁSICO
RDU NOVA OLINDA</t>
  </si>
  <si>
    <t>18/03/2025 19:19:46</t>
  </si>
  <si>
    <t>190-1854126</t>
  </si>
  <si>
    <t>12/05/2025 17:12:00</t>
  </si>
  <si>
    <t>27</t>
  </si>
  <si>
    <t>ETO-RD-AR 00448/2025</t>
  </si>
  <si>
    <t>ETO-COEP 00091/2025</t>
  </si>
  <si>
    <t>PARECER DMSL: Não foi possível comissionar o equipamento 7956063152 pois o mesmo estava sem cordão umbilical, sem rádio e conexões, e sem alimentação do trafo no equipamento. Favor, sanar pendências.
GENTILEZA COMISSIONAR RELIGADOR, PARTE CONSTRUTIVA FISCALIZADA. 
EQUIPAMENTO: NOJA POWER
Nº SERIE: 0320124013012
CONTROLE: NOJA POWER
MODELO: RC-10ES
Nº SERIE: 0101523100769.
PARECER DA PROTEÇÃO:
AJUSTE DISPONIBILIZADO NO APP DA PROTEÇÃO, NTA REPASSADA PARA DMSL COMISSIONAR, RL ORIGINARIO DE DEMANDA DE CLIENTE GRUPO A.
ENG° IRLLEY CASTELO BRANCO</t>
  </si>
  <si>
    <t>09/09/2024 16:59:08</t>
  </si>
  <si>
    <t>9000376152</t>
  </si>
  <si>
    <t>7956063152</t>
  </si>
  <si>
    <t>190-46139181</t>
  </si>
  <si>
    <t>RICARDO GONCALVES ROCHA</t>
  </si>
  <si>
    <t>11/07/2025 08:06:21</t>
  </si>
  <si>
    <t>865</t>
  </si>
  <si>
    <t>ETO-PROT 00260/2024</t>
  </si>
  <si>
    <t>acionar equipe de manutencao para troca de vao de rede deteriorada em Nova Olinda
trafo 5701907060
localidade Nova Olinda IND RUA GONCALVES DIAS, 301 - QDRA 07A.   LT 01A
equipe 060op01
OBS.: substiuir 350m de cabo de BT deteriorado na RDU de nova olinda</t>
  </si>
  <si>
    <t>18/04/2025 16:46:33</t>
  </si>
  <si>
    <t>190-1690500</t>
  </si>
  <si>
    <t>16/06/2026 15:42:10</t>
  </si>
  <si>
    <t>81</t>
  </si>
  <si>
    <t>CABO CONDUTOR BAIXO</t>
  </si>
  <si>
    <t>ETO-RD-AR 00683/2025</t>
  </si>
  <si>
    <t>ETO-COEP 00094/2025</t>
  </si>
  <si>
    <t>Substituir  caixa de controle  do RL 7934698002-RDU TOCANTINÓPOLIS, onde a mesma se encontra destruída  em campo.. OBS: Segue em anexo fotos da carcaça do Controle do Religador-7934968002.RDU Tocantinópolis.</t>
  </si>
  <si>
    <t>06/05/2025 09:04:17</t>
  </si>
  <si>
    <t>9000629002</t>
  </si>
  <si>
    <t>AL02084002</t>
  </si>
  <si>
    <t>7934698002</t>
  </si>
  <si>
    <t>190-17338880</t>
  </si>
  <si>
    <t>DELIO NUNES OSCAR</t>
  </si>
  <si>
    <t>11/07/2025 16:39:16</t>
  </si>
  <si>
    <t>123</t>
  </si>
  <si>
    <t>ETO-RD-AG  000364/2026</t>
  </si>
  <si>
    <t>CRIADA</t>
  </si>
  <si>
    <t>ARMÁRIO DE CONTROLE</t>
  </si>
  <si>
    <t>ETO-RD-AG 00534/2025</t>
  </si>
  <si>
    <t>CAIXA DE CONTROLE</t>
  </si>
  <si>
    <t>Segue nota para envia equipe linha viva substituir célula no BC-5955192004 fase B danificada dando passa de tensão e corrente se possível refazer aterramento do equipamento, Tensão 13.8kv, Acesso livre, Local RDU de Araguaína Avenida Conego João Lima.</t>
  </si>
  <si>
    <t>13/05/2025 04:07:29</t>
  </si>
  <si>
    <t>190-48582604</t>
  </si>
  <si>
    <t>16/05/2025 07:31:24</t>
  </si>
  <si>
    <t>VAZAMENTO</t>
  </si>
  <si>
    <t>ETO-RD-AR 00827/2025</t>
  </si>
  <si>
    <t>ETO-COEP 00096/2025</t>
  </si>
  <si>
    <t>5900668004</t>
  </si>
  <si>
    <t>190-16324054</t>
  </si>
  <si>
    <t>12/07/2025 16:02:35</t>
  </si>
  <si>
    <t>ETO-RD-AR 00926/2024</t>
  </si>
  <si>
    <t>Equipamento TAVRIDA, no SCADA não estão refletindo as correntes reais do sistema, favor corrigir junto ao time SCADA.
Fase A - 28A
Fase B - 5A
Fase C - 5A
Neutro - 25A
PARECER DMSL: Verificado que o equipamento não esta medindo as correntes da fases B e C, entramos em contato com o suporte técnico da Tavrida, realizamos testes no cordão umbilical, mesmo assim ainda marca incorretamente. Repassar a nota para o DCMD substituir o equipamento, o operador Daniel pediu ara deixar o equipamento em operação, para poder realizar futuras manobras</t>
  </si>
  <si>
    <t>02/04/2025 09:20:02</t>
  </si>
  <si>
    <t>190-29963572</t>
  </si>
  <si>
    <t>IRLLEY J A C BRANCO</t>
  </si>
  <si>
    <t>21/07/2025 15:53:31</t>
  </si>
  <si>
    <t>3,272</t>
  </si>
  <si>
    <t>ETO-TELE 00317/2025</t>
  </si>
  <si>
    <t>COMPRA</t>
  </si>
  <si>
    <t>A DEFINIR (compra)</t>
  </si>
  <si>
    <t>Solicitação de serviço para analise de ocorrência.
Defeito a jusante do RL 7949688227 onde houve atuação da retaguarda penalizando cargas Urbanas - RL 7900001227.
PARECER DA PROTEÇÃO:
REVISAR AJUSTES DE PROTEÇÃO E REALIZAR O TESTE FUNCIONAL COM MALA DE CARGA PARA VERIFICAR ABERTURA DO EQUIPAMENTO.
ENG° IRLLEYC CASTELO BRANCO 
PARECER DMSL: Foi verificado que o equipamento nao esta medindo as correntes corretamente, entramos em contato com o suporte da COOPER, o mesmo informou que o sensor interno que mede a corrente esta com defeito
A medição esta variando de 5 a 5min, 
Ano de fabricação do equipamento 2009 COOPER Form6, equipamento obsoleto. Solicitar ao DCMD a substituição do equipamento, o mesmo nao esta medindo as correntes corretamente, equipamento obsoleto</t>
  </si>
  <si>
    <t>17/02/2025 12:13:43</t>
  </si>
  <si>
    <t>190-17404066</t>
  </si>
  <si>
    <t>25/05/2025 16:08:11</t>
  </si>
  <si>
    <t>985</t>
  </si>
  <si>
    <t>ETO-PROT 00069/2025</t>
  </si>
  <si>
    <t>Refazer aterramento pois o mesmo encontra-se exposto</t>
  </si>
  <si>
    <t>26/05/2025 11:10:45</t>
  </si>
  <si>
    <t>190-53748088</t>
  </si>
  <si>
    <t>02/06/2025 11:10:45</t>
  </si>
  <si>
    <t>773</t>
  </si>
  <si>
    <t>Favor, realizar substituição completa do RLG 7900532053 que encontra-se com defeito devido entrada de água no cordão umbilical e danos causados por abelhas. O rádio também precisa ser fornecido pois o existente está danificado.</t>
  </si>
  <si>
    <t>26/05/2025 14:53:43</t>
  </si>
  <si>
    <t>190-17512744</t>
  </si>
  <si>
    <t>25/07/2025 14:53:43</t>
  </si>
  <si>
    <t>Verificar RL 7910027196- sem comunicação
Equipe foi no local e realizou primeiro ataque sem suscesso   
PARECER DMSL 
EQUIPOAMENTO FICOU EM OPERACAO, RESTABELCIDO PELA KAROL  ação remota com a velp 
Porém ele também DEVE SER REALIZADO substituição por conta da fase B
 7910027196 ta com a leitura incorreta na tensão da fase B.( Subsituição do Equipamento Completo exceto o Radio)
Time do COEP, Assim que Tiver Compra do Equipamento, Favor Tranferir a SS Posto ETO RD PA, para que Possamos seguir com a Substituição!</t>
  </si>
  <si>
    <t>08/05/2025 09:57:17</t>
  </si>
  <si>
    <t>190-17403325</t>
  </si>
  <si>
    <t>MACKYS NASCIMENTO LIMA</t>
  </si>
  <si>
    <t>30/05/2025 17:59:41</t>
  </si>
  <si>
    <t>208</t>
  </si>
  <si>
    <t>ETO-TELE 00522/2025</t>
  </si>
  <si>
    <t>RELIGADOR-COMPRA</t>
  </si>
  <si>
    <t>PARECER DA PROTEÇÃO: COMISSIONAR DO RT 5855606027 LD SERRA GERAIS E TAGUATINGA. NECESSARIO CONFERRIR MEDIÇÕES DA MALHA DE ATERRAMENTO ANTES DE INSERIR O ATIVO EM OPERAÇÃO.
AJUSTES DISPONIVIEIS NO APP DA PROTEÇÃO.
REGULADOR DE TENSAO N° 5855606027 REMANEJADO NA OBRA 0502500015 GENTILEZA, REALIZAR O COMISSIONAMENTO. 
LAUDO EM ANEXO. 
COORD EO: 990668, 8661389
TOP ANTIGA: 5838182027
PARECER DMSL: Realizado o comissionamento do RT  nas fases A e C e na fase B foi constatado um curto elétrico na parte da caixa de comando. Foi feita toda parte de comunicação e configuração do rádio, inserindo ajustes de proteção. Número de série da placa fase B 017153.</t>
  </si>
  <si>
    <t>01/04/2025 11:05:49</t>
  </si>
  <si>
    <t>190-15827778</t>
  </si>
  <si>
    <t>28/07/2025 13:38:55</t>
  </si>
  <si>
    <t>1,310</t>
  </si>
  <si>
    <t>ETO-PROT 00137/2025</t>
  </si>
  <si>
    <t>Editado a SS informar que foi removido as duas celulas boas para utilizar em obra regulada</t>
  </si>
  <si>
    <t>Segue nota para envia equipe linha viva substituir célula no BC-5946472071 (300 kVAr) fase C danificada ou curto equipamento isolado para substituição e substituir também célula no BC-5946473071 fase B e C danificada ou curto ficou isolado, Tensão 13.8kv, Acesso local rural de Brejinho de Nazaré próximo CH-0300408071.</t>
  </si>
  <si>
    <t>05/06/2025 16:28:37</t>
  </si>
  <si>
    <t>190-70632015</t>
  </si>
  <si>
    <t>12/06/2025 13:42:35</t>
  </si>
  <si>
    <t>DG-RD-PO 00390/2025</t>
  </si>
  <si>
    <t>190-26224024</t>
  </si>
  <si>
    <t>12/06/2025 13:43:02</t>
  </si>
  <si>
    <t>DG-RD-PO 00391/2025</t>
  </si>
  <si>
    <t>PARECER DMSL: Equipe esteve no RT 5856825025 dia 10/06/2025 porém não foi possível colocar o equipamento em operação devido defeito no controle. Favor, substituir controle e fornecer o rádio e centelhador para que seja possível colocar comunicação no equipamento. 
PARECER DA PROTEÇÃO:
COMISSIONAR RT 5856825025 LD BERNARDO SAYÃO A ARAPOEMA. NECESSARIO CONFERIR MEDIÇÕES DA MALHA DE ATERRAMENTO. 
AJUSTES DISPONIVEIS NO APP DA PROTEÇÃO.
REGULADOR DE TENSAO N° 5856825025 INSTALADO NA OBRA 0602400710 GENTILEZA, REALIZAR O COMISSIONAMENTO.
LAUDO EM ANEXO. 
COORD EO: 719554, 9150284</t>
  </si>
  <si>
    <t>25/03/2025 08:35:38</t>
  </si>
  <si>
    <t>190-52112362</t>
  </si>
  <si>
    <t>16/08/2025 15:55:22</t>
  </si>
  <si>
    <t>2,794</t>
  </si>
  <si>
    <t>ETO-PROT 00121/2025</t>
  </si>
  <si>
    <t>Favor, realizar subsituição do RLG 7900275024 que se trata de modelo NOJA RC01 (obsoleto), por um modelo NOJA RC10. Solicitação necessária para manter a qualidade e confiabilidade do sistema.</t>
  </si>
  <si>
    <t>23/06/2025 10:42:42</t>
  </si>
  <si>
    <t>190-17421459</t>
  </si>
  <si>
    <t>28/07/2026 10:42:42</t>
  </si>
  <si>
    <t>876</t>
  </si>
  <si>
    <t>ESTRUTURA</t>
  </si>
  <si>
    <t>Favor, realizar subsituição do RLG 7901216032
 que se trata de modelo NOJA RC01 (obsoleto), por um modelo NOJA RC10. Solicitação necessária para manter a qualidade e confiabilidade do sistema.</t>
  </si>
  <si>
    <t>23/06/2025 11:54:34</t>
  </si>
  <si>
    <t>190-17419981</t>
  </si>
  <si>
    <t>28/07/2026 11:54:34</t>
  </si>
  <si>
    <t>133</t>
  </si>
  <si>
    <t>PARECER DMSL: Favor, solicitamos que o tanque do equipameneto 7925573007 seja retirado da base para que possamos realizar o ensaio do mesmo. Equipe do DMSL já esteve no equipamento anteriormetne porém as chaves estavam emperradas e não consequimos apoio da equipe de linha viva no momento que a equipe estava no RLG.
Equipamento com erro de medição de neutro, corrente alta com sistema equilibrado não refletindo a real situação. Precisamos de intervenção corretiva, as hipoteses podem ser aterramento, mal contato, sensor do tanque, cabo umbilical, calibração ou proprio relé.
Equipe de linha-viva já esteve no local para atender a SS,
Porém foram testadas todas as chaves e não havia nenhuma emperrada.
Equipe do DMSL já pode retornar para dar sequência na Atividade.
PARECER DMSL DIA 24/06/2025: 
Serviço executado:
Teste com mala de corrente virtual, e física,  para indentificar onde e o problema no neutro que está lendo corrente  muito alto.
Foi descoberto diante dos testes que a parte ativa está com problemas, quando  ligamos a mala física e não injetamos corrente, o neutro registra uma corrente alta, está detectado alguma indução.
Necessário substituir a parte ativa do equipamento. Quando substituir lembrar de colocar a base normal com os quatro grupos.
Equipamento ficou em operação?: Sim, em modo seccionalizador a pedido da proteção
Pendência: sim, substituir parte ativa</t>
  </si>
  <si>
    <t>30/10/2024 08:32:01</t>
  </si>
  <si>
    <t>190-17421463</t>
  </si>
  <si>
    <t>30/08/2025 09:24:27</t>
  </si>
  <si>
    <t>1,127</t>
  </si>
  <si>
    <t>ETO-TELE 00947/2024</t>
  </si>
  <si>
    <t>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
RL 7920024127 está desarmando em campo e no SCADA continua fechado, só sinaliza aberto no SCADA quando a equipe faz o resert no equipamento em campo.</t>
  </si>
  <si>
    <t>02/06/2025 08:09:17</t>
  </si>
  <si>
    <t>190-17413318</t>
  </si>
  <si>
    <t>04/07/2025 14:19:09</t>
  </si>
  <si>
    <t>275</t>
  </si>
  <si>
    <t>ETO-TELE 00569/2025</t>
  </si>
  <si>
    <t>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</si>
  <si>
    <t>24/03/2025 13:40:20</t>
  </si>
  <si>
    <t>190-57123183</t>
  </si>
  <si>
    <t>01/09/2025 14:16:04</t>
  </si>
  <si>
    <t>490</t>
  </si>
  <si>
    <t>ETO-PROT 00119/2025</t>
  </si>
  <si>
    <t>FURTO - BANCO DE CAPACITOR</t>
  </si>
  <si>
    <t>ETO-COEP 00124/2025</t>
  </si>
  <si>
    <t>SEGUE SS DE 07 VÃO DE REDE BT DETERIORADO NO CIRCUITO DO TRAFO 5700232011 EM TUPIRAMA. PARA AS DEVIDAS TRATATIVAS COM EQUIPE DE MANUTENÇÃO 
OBS: CABO BT DETERIORADO ESTA ENTRE OS ID'S 70764465 E ID 78898921</t>
  </si>
  <si>
    <t>07/06/2025 17:03:14</t>
  </si>
  <si>
    <t>190-1774919</t>
  </si>
  <si>
    <t>07/08/2026 14:32:42</t>
  </si>
  <si>
    <t>125</t>
  </si>
  <si>
    <t>ETO-RD-GR 00598/2025</t>
  </si>
  <si>
    <t>ETO-COEP 00125/2024</t>
  </si>
  <si>
    <t>PARECER DMSL: EQUIPAMENTO 7955175004 FOI INSTALADO SEM O CABO UMBILICAL. FAVOR, SANAR A PENDÊNCIA PARA PROSSEGUIRMOS COM O COMISSIONAMETNO.
RELIGADOR N° 7955175004 INSTALADO NA OBRA 0602300755 GENTILEZA, REALIZAR O COMISSIONAMENTO. 
LAUDO EM ANEXO. 
COORD EO: 808265, 9205592
PARECER DA PROTEÇÃO:
AJUSTE DISPONIBILIZADO NO APP DA PROTEÇÃO, NOTA REPASSADA PARA DMSL COMISSIONAR, RL PN 2024 ID ORIGEM: COODR.7
POLO ARAGUAÍNA.
ENG° IRLLEY CASTELO BRANCO.</t>
  </si>
  <si>
    <t>10/09/2024 13:37:17</t>
  </si>
  <si>
    <t>8855167004</t>
  </si>
  <si>
    <t>AL02040004</t>
  </si>
  <si>
    <t>7955175004</t>
  </si>
  <si>
    <t>190-46018906</t>
  </si>
  <si>
    <t>14/12/2024 09:31:55</t>
  </si>
  <si>
    <t>1,848</t>
  </si>
  <si>
    <t>ETO-PROT 00266/2024</t>
  </si>
  <si>
    <t>ETO-COEP 00125/2025</t>
  </si>
  <si>
    <t>190-1774924</t>
  </si>
  <si>
    <t>07/08/2026 14:34:01</t>
  </si>
  <si>
    <t>ETO-RD-GR 00602/2025</t>
  </si>
  <si>
    <t>ETO-COEP 00126/2024</t>
  </si>
  <si>
    <t>PARECER DMSL: Foram feitos os ensaios de isolação e TTR na fase B do RT. E por meio de inspeção visual foram identificados vazamentos de óleos nos RT da fase A e C. Favor, substituir os RT.
Enviar equipe para verificar RT 5833723026. Foi enviado equipe operacional para primeiro-ataque, equipamento ficou bloqueado no tap +3.</t>
  </si>
  <si>
    <t>12/09/2024 01:14:36</t>
  </si>
  <si>
    <t>9000695026</t>
  </si>
  <si>
    <t>5833723026</t>
  </si>
  <si>
    <t>190-38899473</t>
  </si>
  <si>
    <t>FELIPE RODRIGUES PUTENCIO NETO</t>
  </si>
  <si>
    <t>20/10/2024 15:26:45</t>
  </si>
  <si>
    <t>Sem evidência de falha</t>
  </si>
  <si>
    <t>ETO-TELE 00749/2024</t>
  </si>
  <si>
    <t>ETO-COEP 00126/2025</t>
  </si>
  <si>
    <t>190-1775496</t>
  </si>
  <si>
    <t>07/08/2026 14:34:45</t>
  </si>
  <si>
    <t>ETO-RD-GR 00603/2025</t>
  </si>
  <si>
    <t>ETO-COEP 00127/2025</t>
  </si>
  <si>
    <t>190-1775498</t>
  </si>
  <si>
    <t>07/08/2026 14:35:15</t>
  </si>
  <si>
    <t>ETO-RD-GR 00604/2025</t>
  </si>
  <si>
    <t>SI-4</t>
  </si>
  <si>
    <t>ETO-COEP 00128/2025</t>
  </si>
  <si>
    <t>190-1774923</t>
  </si>
  <si>
    <t>07/08/2026 14:36:42</t>
  </si>
  <si>
    <t>ETO-RD-GR 00601/2025</t>
  </si>
  <si>
    <t>ETO-COEP 00129/2025</t>
  </si>
  <si>
    <t>190-1774920</t>
  </si>
  <si>
    <t>07/08/2026 14:37:12</t>
  </si>
  <si>
    <t>ETO-RD-GR 00599/2025</t>
  </si>
  <si>
    <t>ETO-COEP 00130/2025</t>
  </si>
  <si>
    <t>190-1871207</t>
  </si>
  <si>
    <t>07/08/2026 14:37:40</t>
  </si>
  <si>
    <t>ETO-RD-GR 00605/2025</t>
  </si>
  <si>
    <t>190-1774921</t>
  </si>
  <si>
    <t>07/08/2026 14:38:06</t>
  </si>
  <si>
    <t>ETO-RD-GR 00600/2025</t>
  </si>
  <si>
    <t>ETO-COEP 00132/2025</t>
  </si>
  <si>
    <t>Enviar equipe da manutenção para substituir 03 vão de rede de BT   Multiplex, com rede com cabos derretendo a sua isolação com riscos de rompimento d cabo e  curto circuito 
Endereço: Rua BS14, QD QE 21 LOTE21
JARDIM  BOA TARDE</t>
  </si>
  <si>
    <t>05/01/2025 05:46:41</t>
  </si>
  <si>
    <t>5700695004</t>
  </si>
  <si>
    <t>190-15854313</t>
  </si>
  <si>
    <t>10/07/2025 14:38:11</t>
  </si>
  <si>
    <t>50</t>
  </si>
  <si>
    <t>POSTE</t>
  </si>
  <si>
    <t>ETO-RD-AR 00023/2025</t>
  </si>
  <si>
    <t>Já atendida Cancelada pelo Delio</t>
  </si>
  <si>
    <t>substituir 200 MTS de cabo convecional por cabo multiplex 35MM  do ID 63262275  ate o ID 63103854 para adequação de cabo deteriorado .</t>
  </si>
  <si>
    <t>13/03/2025 10:12:29</t>
  </si>
  <si>
    <t>190-1680160</t>
  </si>
  <si>
    <t>10/07/2025 14:39:09</t>
  </si>
  <si>
    <t>117</t>
  </si>
  <si>
    <t>ETO-RD-AG 00309/2025</t>
  </si>
  <si>
    <t>favo substituir 200 mts de  cabo multiplex 35MM  pois  o mesmo  esta deteriorado  sem condiçoes de uso</t>
  </si>
  <si>
    <t>17/04/2025 10:04:20</t>
  </si>
  <si>
    <t>190-1834458</t>
  </si>
  <si>
    <t>10/07/2025 14:39:32</t>
  </si>
  <si>
    <t>35</t>
  </si>
  <si>
    <t>ETO-RD-AG 00473/2025</t>
  </si>
  <si>
    <t>SUBSTITUIR CABOS DE BT DETERIORADO NO CIRCUITO DO TR-5703610004
7 VÃO DE REDES 290MT DE CABOS 35MM MUTIPLEX TRIFÁSICO. ENTRE OS ID-63216801 E ID-63216595</t>
  </si>
  <si>
    <t>02/06/2025 10:58:32</t>
  </si>
  <si>
    <t>190-554882</t>
  </si>
  <si>
    <t>06/07/2025 14:39:55</t>
  </si>
  <si>
    <t>516</t>
  </si>
  <si>
    <t>ETO-RD-AR 00921/2025</t>
  </si>
  <si>
    <t>favor substotuir  250 mts de cabo BT deteriorado  no circuito do trafo 5703964004  entre  os ID 72594019 e  o ID  75731651</t>
  </si>
  <si>
    <t>21/03/2025 10:44:01</t>
  </si>
  <si>
    <t>190-1854457</t>
  </si>
  <si>
    <t>10/07/2025 15:51:50</t>
  </si>
  <si>
    <t>186</t>
  </si>
  <si>
    <t>ETO-RD-AR 00479/2025</t>
  </si>
  <si>
    <t>ETO-COEP 00137/2025</t>
  </si>
  <si>
    <t>Segue SS para subsituição de toda baixa do trafo 5700002077, cabo se econtra em pessimas condições, cabo 4 ca recozido com varias emendas, esta quebrando sem causa aparente.</t>
  </si>
  <si>
    <t>16/02/2025 01:17:45</t>
  </si>
  <si>
    <t>9000460077</t>
  </si>
  <si>
    <t>190-93516</t>
  </si>
  <si>
    <t>10/07/2025 15:58:58</t>
  </si>
  <si>
    <t>1,784</t>
  </si>
  <si>
    <t>ETO-RD-AR 00267/2025</t>
  </si>
  <si>
    <t>4ca recozido</t>
  </si>
  <si>
    <t>acionar equipe de manutenção para substituir cabo deteriorado na RDU de Goiatins 
ID.: 69192525    ID.: 69193747
Endereço.: Rua Sousa porto 
Trafo.: 5700002077
equipe.: 077op01
OBS.: levar 300m de cabo multiplex</t>
  </si>
  <si>
    <t>16/02/2025 08:45:56</t>
  </si>
  <si>
    <t>190-1742953</t>
  </si>
  <si>
    <t>10/07/2025 16:04:05</t>
  </si>
  <si>
    <t>84</t>
  </si>
  <si>
    <t>ETO-RD-AR 00269/2025</t>
  </si>
  <si>
    <t>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t>
  </si>
  <si>
    <t>04/07/2025 10:54:05</t>
  </si>
  <si>
    <t>190-17410002</t>
  </si>
  <si>
    <t>02/09/2025 10:54:05</t>
  </si>
  <si>
    <t>278</t>
  </si>
  <si>
    <t>Banco de capacitor de numero 5900129052 celula fase A e B não  aceitou rdu de formoso do araguaia acesso livre tensão 13.8 kv .
verificar em campo possivel defeito ou troca do mesmo.</t>
  </si>
  <si>
    <t>07/07/2025 08:35:20</t>
  </si>
  <si>
    <t>190-39899904</t>
  </si>
  <si>
    <t>JURANDY GOMES DE OLIVEIRA</t>
  </si>
  <si>
    <t>10/07/2025 10:06:00</t>
  </si>
  <si>
    <t>ETO-RD-GU 00832/2025</t>
  </si>
  <si>
    <t>PARECER DMSL: Favor, realizar substituição completa do equipamento 7900930040, pois o mesmo trata-se de modelo obsoleto NOJA RC01 e esteve envolvido em ocorrência relevante. Realizar substituição por modelo NOJA RC10.
Segue nota para verificar falha de comunicação no RL 7900930040 - Aragominas .
equipamento desarmou e perdeu sua comunicação , registro intervenção N: 20253690827473 .</t>
  </si>
  <si>
    <t>20/06/2025 09:03:13</t>
  </si>
  <si>
    <t>2ARM</t>
  </si>
  <si>
    <t>190,01224223</t>
  </si>
  <si>
    <t>10/07/2025 14:47:46</t>
  </si>
  <si>
    <t>ETO-TELE 00691/2025</t>
  </si>
  <si>
    <t>Segue para verificação RL sem comunicação feito primeiro ataque sem sucesso.
PARECER DMSL:Data:* _08/07/2025
Serviço Executado: Placa de alimentação danificada, devido a curto, não temos material sobressalente para manutenção! Favor substituir o equipamento completo.
Obs.: O rádio ficou dentro do controle, favor orientar a equipe que for substituir colocar dentro do controle novo.
Equipamento ficou em operação?: Não 
Pendência: Sim, substituir equipamento completo.</t>
  </si>
  <si>
    <t>26/06/2025 02:10:15</t>
  </si>
  <si>
    <t>190-17412374</t>
  </si>
  <si>
    <t>11/07/2025 17:27:02</t>
  </si>
  <si>
    <t>28</t>
  </si>
  <si>
    <t>ETO-TELE 00747/2025</t>
  </si>
  <si>
    <t>Boa tarde
Segue SS
Senhores enviar equipe de manutenção para substituir  300 metros de cabo Multiplex 35mm
Entres os ID: 66956023 e 66955978
Trafo: 5703964004 
Equipe 004op01
Contato da equipe: 99125-5725
Endereço: Rua mamonas QDM18 LT25
Levar: 300 metros de cabo multiplex 35mm
OBS: equipe informou que é 6 vão de rede BT.</t>
  </si>
  <si>
    <t>22/04/2025 13:15:56</t>
  </si>
  <si>
    <t>190-652115</t>
  </si>
  <si>
    <t>08/09/2025 14:54:25</t>
  </si>
  <si>
    <t>560</t>
  </si>
  <si>
    <t>ETO-RD-AR 00693/2025</t>
  </si>
  <si>
    <t>N3</t>
  </si>
  <si>
    <t>bom dia,
segue Ss apara substituiçaõ da fase b do banco capacitor 5900003013 o mesmo não aceita.</t>
  </si>
  <si>
    <t>02/09/2024 08:05:35</t>
  </si>
  <si>
    <t>190-39796863</t>
  </si>
  <si>
    <t>18/01/2025 10:34:29</t>
  </si>
  <si>
    <t>ENC-RD-PS 00858/2024</t>
  </si>
  <si>
    <t>Boa noite!
Senhores, enviar equipe de manutenção para substituir 6 Vãos de rede Bt cabo muitiplexado deteriorado, no circuito do trafo 5704169004, do ID 74894893 ao ID 74894891, Bairro cidade nova RDu de Araguaina.</t>
  </si>
  <si>
    <t>08/04/2025 21:03:15</t>
  </si>
  <si>
    <t>190-1834652</t>
  </si>
  <si>
    <t>GUILHERME BORGES DE OLIVEIRA</t>
  </si>
  <si>
    <t>08/09/2025 14:54:46</t>
  </si>
  <si>
    <t>97</t>
  </si>
  <si>
    <t>ETO-RD-AR 00635/2025</t>
  </si>
  <si>
    <t>Boa tarde!
Senhores, enviar equipe de manutenção para substituir rede Bt circuito do trafo 5703750004 bairro costa esmeralda rdu de Araguaina, os cabos estão deteriorados, fotos em anexo,</t>
  </si>
  <si>
    <t>28/04/2025 14:24:55</t>
  </si>
  <si>
    <t>190-1765651</t>
  </si>
  <si>
    <t>08/09/2025 14:55:14</t>
  </si>
  <si>
    <t>102</t>
  </si>
  <si>
    <t>ETO-RD-AR 00706/2025</t>
  </si>
  <si>
    <t>por favor deslocar equipe da manutenção pesada urgente no Trafo 57703627004 para substituir 
800 metros cabo BT danificado em campo as uc está dando choque no padrão dos clientes no local e 
cabo multiplex de 35mm oferecendo risco a população</t>
  </si>
  <si>
    <t>06/01/2024 14:58:40</t>
  </si>
  <si>
    <t>190-22251657</t>
  </si>
  <si>
    <t>08/09/2025 14:55:42</t>
  </si>
  <si>
    <t>CABO DE ATERRAMENTO CORTADO</t>
  </si>
  <si>
    <t>ETO-RD-AR 00031/2024</t>
  </si>
  <si>
    <t>Solicitação de serviço para substituição de parte ativa de RL [7955520116] danificada conforme imagens anexadas.</t>
  </si>
  <si>
    <t>11/07/2025 10:40:07</t>
  </si>
  <si>
    <t>190-36481923</t>
  </si>
  <si>
    <t>14/07/2025 10:40:07</t>
  </si>
  <si>
    <t>Segue nota para substituir Taque do RL-7930428001 na LD Porto Nacional / São João, Identificado pela Int-20253617520441 equipamento dando passagem na fase A ficou bay-passado até substituição, Tensão 34,5kva, Acesso livre.</t>
  </si>
  <si>
    <t>01/07/2025 20:23:34</t>
  </si>
  <si>
    <t>190-17408525</t>
  </si>
  <si>
    <t>19/07/2025 09:51:29</t>
  </si>
  <si>
    <t>DG-RD-PO 00419/2025</t>
  </si>
  <si>
    <t>ETO-COEP 00152/2024</t>
  </si>
  <si>
    <t>PARECER DMSL: FAVOR, INSTALAR POSTE DE 12 METROS AO LADO DO RELIGADOR 7955825037 PARA POSSIBILITAR O ESTABELECIMENTO DA COMUNICAÇÃO DO MESMO.
RELIGADOR N° 7955825037 INSTALADO NA OBRA 0402300790 GENTILEZA, REALIZAR O COMISSIONAMENTO. 
LAUDO EM ANEXO. 
COORD EO: 719564, 8734324
PARECER DA PROTEÇÃO:
AJUSTE DISPONIBILIZADO NO APP DA PROTEÇÃO, NOTA REPASSADA PARA DMSL COMISSIONAR, ID ORIGEM: 3320033037, PN 2024.
ENG° IRLLEY CASTELO BRANCO</t>
  </si>
  <si>
    <t>08/11/2024 08:29:21</t>
  </si>
  <si>
    <t>3320033037</t>
  </si>
  <si>
    <t>7955825037</t>
  </si>
  <si>
    <t>190-31376304</t>
  </si>
  <si>
    <t>24/01/2025 13:58:30</t>
  </si>
  <si>
    <t>46</t>
  </si>
  <si>
    <t>ETO-PROT 00395/2024</t>
  </si>
  <si>
    <t>ALIANCA DO TOCANTINS</t>
  </si>
  <si>
    <t>Pelo SCADA tá comunicação normal</t>
  </si>
  <si>
    <t>ETO-COEP 00152/2025</t>
  </si>
  <si>
    <t>PARECER DA PROTEÇÃO:
COMISSIONAR RL 7902314013 AL 05 PARAISO I. AJUSTES DISPONIVEIS NO APP DA PROTEÇÃO.
RELIGADOR N° 7902314013 INSTALADO NA OBRA 0202400623 GENTILEZA, REALIZAR O COMISSIONAMENTO. 
LAUDO EM ANEXO. 
COORD EO: 729076, 8873646  
PARECER DMSL:*Serviço Executado:* _  Equipamento ainda não está comissionado devido problemas na parte ativa, não aceita comandos de fechamento e abertura, será necessário substituir somente a parte ativa (DISJUNTOR) falta também o radio GE 
*Equipamento ficou em operação?:* NÃO 01/06/2025</t>
  </si>
  <si>
    <t>20/02/2025 11:25:59</t>
  </si>
  <si>
    <t>0300810013</t>
  </si>
  <si>
    <t>AL05062013</t>
  </si>
  <si>
    <t>7902314013</t>
  </si>
  <si>
    <t>190-42713026</t>
  </si>
  <si>
    <t>16/09/2025 10:51:44</t>
  </si>
  <si>
    <t>993</t>
  </si>
  <si>
    <t>ETO-PROT 00076/2025</t>
  </si>
  <si>
    <t>RELIGADOR COM RELÉ QUEIMADO - EQUIPAMENTO BY PASSADO. 
PARECER DMSL:
N° do Equipamento: 7957126085
Data: 17/06/2025
Localidade: RDU Monte Santo
Serviço Executado:
"Os para raios da fase B e C estão fechando arco na cruzeta. Curto desceu para o controle danificando os componentes. Necessário substituir controle completo, substituir cabo de alimentação da BT e abaixar o tanque para afastar das cruzetas. Solicitar também ao DCMD para verificar se os para raios estão danificados."
Ana Maria e Rayr já tinha ido no local anteriormente, na data 14/05/25 e fizeram o diagnostico acima.
 Equipamento ficou em operação?: NÃO</t>
  </si>
  <si>
    <t>05/06/2025 13:38:19</t>
  </si>
  <si>
    <t>190-48432153</t>
  </si>
  <si>
    <t>25/07/2025 17:17:39</t>
  </si>
  <si>
    <t>1,523</t>
  </si>
  <si>
    <t>ETO-TELE 00597/2025</t>
  </si>
  <si>
    <t>TROCAR RELÉ E CONFERIR PARA - RAIO</t>
  </si>
  <si>
    <t>ETO-COEP 00157/2024</t>
  </si>
  <si>
    <t>FAVOR RELIZAR MANUTENÇAO NO EQUIPAMENTO O MESMO ESTA COM FALTA DE ITENS NECESSARIOS PARA SE REALIZAR O COMISSIONAMENTO.
RELIGADOR N° 7956117005 INSTALADO NA OBRA 0502300584 GENTILEZA, REALIZAR O COMISSIONAMENTO. 
LAUDO EM ANEXO. 
COORD EO: 939068, 8569277
PARECER DA PROTEÇÃO:
FAVOR COMISSIONAR O RL 7956117005  AL 01 ARRAIAS - PN 2024. AJUSTES DIPONIVEIS NO APP DA PROTEÇÃO.
PONTO ORIGEM PN 2024 - UTM: 939117;8569319</t>
  </si>
  <si>
    <t>11/11/2024 10:00:16</t>
  </si>
  <si>
    <t>0300056005</t>
  </si>
  <si>
    <t>AL01013005</t>
  </si>
  <si>
    <t>7956117005</t>
  </si>
  <si>
    <t>190-21127432</t>
  </si>
  <si>
    <t>28/01/2025 14:14:58</t>
  </si>
  <si>
    <t>177</t>
  </si>
  <si>
    <t>ETO-PROT 00406/2024</t>
  </si>
  <si>
    <t>ARRAIAS</t>
  </si>
  <si>
    <t>RELIGADOR COM DEFEITO 7942485096, ESTA DANDO PASSAGEM ESTANDO ABERTO. NÃO ACEITA COMANDOS. 
FICOU BY PASSADO EM CAMPO PARA MANUTENÇÃO.
PARECER DMSL: Ao testar o tanque, foi constatado que o mesmo está danificado e precisa ser substituído.Substituir somente o tanque. Deixar claro na nota para o dcmd substituir somente o tanque. Não tem necessidade de substituir o controle.</t>
  </si>
  <si>
    <t>14/03/2025 18:55:23</t>
  </si>
  <si>
    <t>190-32192324</t>
  </si>
  <si>
    <t>GERALDO JOSE DE FARIA</t>
  </si>
  <si>
    <t>26/07/2025 10:38:41</t>
  </si>
  <si>
    <t>41</t>
  </si>
  <si>
    <t>ETO-TELE 00260/2025</t>
  </si>
  <si>
    <t>boa noite,
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t>
  </si>
  <si>
    <t>23/07/2025 22:49:16</t>
  </si>
  <si>
    <t>190-15797426</t>
  </si>
  <si>
    <t>DANIEL DAS NEVES TEIXEIRA</t>
  </si>
  <si>
    <t>28/07/2025 14:13:05</t>
  </si>
  <si>
    <t>DG-RD-PO 00456/2025</t>
  </si>
  <si>
    <t>PARECER DMSL: FOI CONSTATADO CURTO INTERNO NO EQUIPAMENTO. Favor, substituir o equipamento completo pelo modelo NOJA RC10.
FAVOR VERIFICAR RELIGADOR 7936753097 BUXA ESTOURADA FASE C DEFEITO QUE OCASIONOU FALTA DE FASE NA LD TALISMA.
REINSTALAR ESTE RL NO POSTE #ID93731277 AL 02 SE ALVORADA.</t>
  </si>
  <si>
    <t>02/12/2024 13:29:07</t>
  </si>
  <si>
    <t>190-17414936</t>
  </si>
  <si>
    <t>12/12/2024 17:06:21</t>
  </si>
  <si>
    <t>1,060</t>
  </si>
  <si>
    <t>ETO-RD-GU 01563/2024</t>
  </si>
  <si>
    <t>RELIGADOR- BUXA ESTOURADA</t>
  </si>
  <si>
    <t>Troca do sistema de comunicação do equipamento
DMSL 28/07/2025: Equipamento com tanque, modulo e rele com defeito, solicitar troca do equipamento ao DCMD.
Fotos vão ser enviadas por e-mail</t>
  </si>
  <si>
    <t>29/05/2025 10:52:07</t>
  </si>
  <si>
    <t>190-17513063</t>
  </si>
  <si>
    <t>26/09/2025 15:49:11</t>
  </si>
  <si>
    <t>ETO-TELE 00557/2025</t>
  </si>
  <si>
    <t>RELIGADOR-TANQUE , MODULO E RELÉ</t>
  </si>
  <si>
    <t xml:space="preserve">PARECER DMSL (25/07/2025): Realizada atualização da base do relé. Feito comissionamento com SCADA (Kauana) e testes com COS (Daniel). Equipamento reinserido no SEP sem anomalias. 
PENDÊNCIA: Sim. Substituir Trafo auxiliar, pois o mesmo está com vazamento significativo de óleo isolante, o que irá causar a avaria podendo afetar todo controle do religador.
FAZER INSPEÇÃO E MANUTENÇÃO DO RL 7931219078. RELIGADOR CHAVE ESTA MUDANDO SOZINHA PARA LOCAL.
</t>
  </si>
  <si>
    <t>23/06/2025 08:52:12</t>
  </si>
  <si>
    <t>190-17404165</t>
  </si>
  <si>
    <t>01/08/2025 10:22:02</t>
  </si>
  <si>
    <t>346</t>
  </si>
  <si>
    <t>ETO-TELE 00694/2025</t>
  </si>
  <si>
    <t>PARECER DMSL: Célula da fase A encontra-se com vazamento de óleo no pé da torneira. Necessário substituição da célula.
Aberto nota para verificar vazamento de óleo fase A no RT 5844630060 - RDU Nova Olinda</t>
  </si>
  <si>
    <t>06/08/2025 22:54:07</t>
  </si>
  <si>
    <t>190-29126245</t>
  </si>
  <si>
    <t>CASSIO GOMES BONFIM</t>
  </si>
  <si>
    <t>11/08/2025 16:52:06</t>
  </si>
  <si>
    <t>722</t>
  </si>
  <si>
    <t>ETO-RD-AR 01189/2025</t>
  </si>
  <si>
    <t>ETO-COEP 00168/2025</t>
  </si>
  <si>
    <t>Foi realizado primeiro ataque no religador 7908196047, e o mesmo nao voltou a comunicação para o centro de operação. favor enviar equipe para devidas tratativas
PARECER DMSL: Trocar o equipamento completo,  equipamento antigo e sem supervisão</t>
  </si>
  <si>
    <t>30/07/2025 20:28:23</t>
  </si>
  <si>
    <t>8859726047</t>
  </si>
  <si>
    <t>7908196047</t>
  </si>
  <si>
    <t>190-19172792</t>
  </si>
  <si>
    <t>Leonardo Oliveira Bezerra Mato</t>
  </si>
  <si>
    <t>14/08/2025 08:16:17</t>
  </si>
  <si>
    <t>111</t>
  </si>
  <si>
    <t>ETO-TELE 00872/2025</t>
  </si>
  <si>
    <t>Desconsiderar do Orçamento</t>
  </si>
  <si>
    <t xml:space="preserve"> Equipamento no Mapa ta em operação , mas no Scada tá Bypassado, além de que tem 2 SS para ele 215/2025 e 168/2025</t>
  </si>
  <si>
    <t>ETO-COEP 00170/2024</t>
  </si>
  <si>
    <t>PARECER DMSL: NÃO FOI POSSÍVEL COMISSIONAR O EQUIPAMENTO DEVIDO A AUSÊNCIA DO RÁDIO GE. FAVOR, PROVIDENCIAR O RÁDIO.
RELIGADOR N° 7959990070 INSTALADO NA OBRA 0102400139 GENTILEZA, REALIZAR O COMISSIONAMENTO. 
LAUDO EM ANEXO.
COORD EO: 849610, 8957866
PARECER DA PROTEÇÃO:
AJUSTE DISPONIBILIZADO NO APP DA PROTEÇÃO, NOTA REPASSADA PARA DMSL COMISSIONAR, RL ORIGINARIO DO ID: 3300730070 PN 2024.
ENG° IRLLEY CASTELO BRANCO.</t>
  </si>
  <si>
    <t>30/09/2024 18:08:45</t>
  </si>
  <si>
    <t>7959990070</t>
  </si>
  <si>
    <t>190-45782728</t>
  </si>
  <si>
    <t>11/02/2025 10:00:55</t>
  </si>
  <si>
    <t>75</t>
  </si>
  <si>
    <t>ETO-PROT 00311/2024</t>
  </si>
  <si>
    <t>PARECER DMSL:  Malha de aterramento está dando 738, muito acima do aceitável para operação do RT. Necessário realizar melhoria na malha.
PARECER DA PROTEÇÃO:
COMISSIONAR RT 5863381155 LD COLINAS  A  B  SAYAO E  PALMEIRANTE. NECESSARIO CONFERIR MALHA DE ATERRAMENTO ANTES DE INSERIR O ATIVO NO SISTEMA.
AJUSTES DISPONIVEIS NO APP DA PROTEÇÃO.
REGULADOR N° 5863381155 INSTALADO NA OBRA 0702500302 GENTILEZA, REALIZAR O COMISSIONAMENTO. 
LAUDO EM ANEXO. 
COORD EO: 800396, 9107697</t>
  </si>
  <si>
    <t>03/07/2025 09:52:24</t>
  </si>
  <si>
    <t>190-43816330</t>
  </si>
  <si>
    <t>12/10/2025 16:16:42</t>
  </si>
  <si>
    <t>918</t>
  </si>
  <si>
    <t>ETO-PROT 00213/2025</t>
  </si>
  <si>
    <t>Segue nota para normalizar falha em regulador N:5800438116 - Chapada da natividade .
equipamento está com fase B e C travada .
OBS: a fase B esta sinalizando falha , equipamento não insere TAP negativo na fase B e C , o mesmo ficou no TAP zerado e bloqueado .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
Foi constatado que a placa F do controle está com defeito.</t>
  </si>
  <si>
    <t>18/07/2025 11:59:56</t>
  </si>
  <si>
    <t>190-32303850</t>
  </si>
  <si>
    <t>22/08/2025 15:07:13</t>
  </si>
  <si>
    <t>1,284</t>
  </si>
  <si>
    <t>ETO-TELE 00831/2025</t>
  </si>
  <si>
    <t>PARECER DMSL:  Equipamento 7900535058 encontra-se com o relé danificado, firmware corrompido, o mesmo não inicia. Devido ao fato de não possuirmos mais peças de reposição para religador cooper, se faz necessário a  substituição de todo conjunto por um Noja RC10.
envar equipe para verificar rlo 7900535058 foi feito primeiro ataque com equipe 040op36 o mesmo esta com RELE TRAVADO E FICOU FORA DE OPERAÇÃO, ATENDE RDR DE SANTA FÉ SAIDA DA CIDADE
EQUIPE INFORMOU ABELHAS NA CAIXA DO PAINEL DE COMANDO</t>
  </si>
  <si>
    <t>08/08/2025 17:22:52</t>
  </si>
  <si>
    <t>190-17513181</t>
  </si>
  <si>
    <t>28/08/2025 08:49:37</t>
  </si>
  <si>
    <t>500</t>
  </si>
  <si>
    <t>CIRCUITO DE COMANDO</t>
  </si>
  <si>
    <t>ETO-TELE 00891/2025</t>
  </si>
  <si>
    <t>Substituir  3 celula do Banco Capacitor-5900010002 - 100 KVAR, com defeito 03  fases em curto por gentileza substituir o mais breve possivél-RDU de Tocantinopolis</t>
  </si>
  <si>
    <t>12/07/2025 05:38:27</t>
  </si>
  <si>
    <t>190-39702639</t>
  </si>
  <si>
    <t>03/09/2025 08:06:33</t>
  </si>
  <si>
    <t>ETO-RD-AG 00781/2025</t>
  </si>
  <si>
    <t>PARECER DMSL: Não foi possivel realizar o comissionamento pois as portas RS232 e ETHERNET do relé estão com defeito, sendo necessário a substituição do Relé. Favor, fornecer relé novo.
PARECER DA PROTEÇÃO:
COMISSIONAR RT 5860500009 – LD GUARAI II A MIRANORTE. NECESSARIO CONFERIR MALHA DE ATERRAMENTO ANTES DE INSERIR O EQUIPAMENTO NO SISTEMA.
AJUSTES DISPONIVEIS NO APP DA PROTEÇÃO.
REGULADOR N° 5860500009 INSTALADO NA OBRA 0702300578 GENTILEZA, REALIZAR O COMISSIONAMENTO. 
LAUDO EM ANEXO. 
COORD EO: 777572, 9010985.</t>
  </si>
  <si>
    <t>17/07/2025 10:21:02</t>
  </si>
  <si>
    <t>190-37072184</t>
  </si>
  <si>
    <t>28/10/2025 08:52:26</t>
  </si>
  <si>
    <t>23</t>
  </si>
  <si>
    <t>ETO-PROT 00227/2025</t>
  </si>
  <si>
    <t>TROCA DE RELÉ</t>
  </si>
  <si>
    <t>SIMPLES</t>
  </si>
  <si>
    <t>ETO-COEP 00178/2025</t>
  </si>
  <si>
    <t>PARECER DMSL: RLG 7900018004 encontra-se com defeito no controle. Por se tratar de modelo obsoleto e não termos peça de reposição para religador cooper, se faz necessário a substituição completa por um modelo NOJA RC10.
Religador 7900018004 sem comunicação, feito o primeiro ataque não retornou as comunicação.</t>
  </si>
  <si>
    <t>21/08/2025 17:02:40</t>
  </si>
  <si>
    <t>9000317004</t>
  </si>
  <si>
    <t>7900018004</t>
  </si>
  <si>
    <t>190-17410241</t>
  </si>
  <si>
    <t>05/09/2025 10:39:22</t>
  </si>
  <si>
    <t>3,356</t>
  </si>
  <si>
    <t>ETO-TELE 00926/2025</t>
  </si>
  <si>
    <t>PARECER DMSL: Após testes, equipe DMSL constatou que o RLG 
7922995039 encontra-se com parte ativa e controle danificados. Favor, realizar substituição completa do equipamento.
Troca do sistema de comunicação do equipamento</t>
  </si>
  <si>
    <t>29/05/2025 10:42:33</t>
  </si>
  <si>
    <t>190-17421496</t>
  </si>
  <si>
    <t>07/10/2026 10:45:52</t>
  </si>
  <si>
    <t>710</t>
  </si>
  <si>
    <t>ETO-TELE 00555/2025</t>
  </si>
  <si>
    <t>RELIGADOR-CONTROLE</t>
  </si>
  <si>
    <t>PARECER DMSL: Após testes, foi constatado que o RT  5850308009 encontra-se com controle danificado, sendo necessária substituição do mesmo.
Regulador de tensão 5850308009 quando esta em Automatico esta deixa um fase muito baixa. foi deixado uma fase Manual e transferida parte do alimentaor.</t>
  </si>
  <si>
    <t>15/08/2025 00:50:04</t>
  </si>
  <si>
    <t>190-72598729</t>
  </si>
  <si>
    <t>05/09/2025 14:35:19</t>
  </si>
  <si>
    <t>3,375</t>
  </si>
  <si>
    <t>COMUTAÇÃO INDEVIDA</t>
  </si>
  <si>
    <t>ETO-TELE 00913/2025</t>
  </si>
  <si>
    <t>ETO-COEP 00181/2025</t>
  </si>
  <si>
    <t>PARECER DMSL: Após testes realizados, foi constado que o RLG 7943790134 encontra-se com a parte ativa danificada. Favor, realizar substituição do mesmo.
Troca do sistema de comunicação do equipamento</t>
  </si>
  <si>
    <t>29/05/2025 10:57:25</t>
  </si>
  <si>
    <t>7943790134</t>
  </si>
  <si>
    <t>190-17513884</t>
  </si>
  <si>
    <t>07/10/2026 15:33:47</t>
  </si>
  <si>
    <t>ETO-RD-AG  000365/2026</t>
  </si>
  <si>
    <t>ETO-TELE 00559/2025</t>
  </si>
  <si>
    <t>ESPERANTINA</t>
  </si>
  <si>
    <t>RELIGADOR-SISTEMA DE COMUNICAÇÃO</t>
  </si>
  <si>
    <t xml:space="preserve">VERIFICAR EQUIPAMENTO POIS, DIVERSAS RECLAMAÇÕES NO RAML DE DESIQUILIBRIO E TENSÃO ALTA
PARECER DMSL(23/08/2025): Foi feito uma análise geral no equipamento e constatado que a malha de aterramento está alta,o que pode está causando essas anomalia de desequilíbrio de tensão, realizar melhoria. </t>
  </si>
  <si>
    <t>19/08/2025 10:18:16</t>
  </si>
  <si>
    <t>190-42369378</t>
  </si>
  <si>
    <t>06/09/2025 11:42:17</t>
  </si>
  <si>
    <t>1,470</t>
  </si>
  <si>
    <t>ETO-TELE 00917/2025</t>
  </si>
  <si>
    <t>Após testes no RLG 7903112004 foi constatado defeito no mesmo e como se trata de um modelo COOPER FORM6 que está obsoleto e não possuímos peças sobressalentes, faz-se necessária substituição completa por modelo NOJA RC10.</t>
  </si>
  <si>
    <t>03/09/2025 16:19:58</t>
  </si>
  <si>
    <t>190-17512526</t>
  </si>
  <si>
    <t>08/10/2026 17:23:26</t>
  </si>
  <si>
    <t>3,384</t>
  </si>
  <si>
    <t>ETO-TELE 01083/2025</t>
  </si>
  <si>
    <t>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
Segue nota para veriifcar falha em regulador de tensão N: 5800371025 dentro S/E Arapoema , equipamento esta com 2 reles com falha  marca toshiba .</t>
  </si>
  <si>
    <t>23/08/2025 01:10:46</t>
  </si>
  <si>
    <t>190-15773574</t>
  </si>
  <si>
    <t>08/09/2025 14:43:51</t>
  </si>
  <si>
    <t>2,150</t>
  </si>
  <si>
    <t>ETO-TELE 00935/2025</t>
  </si>
  <si>
    <t>TROCA RELÉ</t>
  </si>
  <si>
    <t>ETO-COEP 00188/2025</t>
  </si>
  <si>
    <t>PARECER DMSL: Foi alinhado com Irlley da proteção que será necessário substituir o equipamento RLG 7905357122 pois o relé possui limitações no ajuste e por não ser possível acessá-lo para coletar eventos, se tratando de um modelo obsoleto. Foi alinhado que o equipamento permanecerá em operação até que seja substituído. Favor, realizar substiuição por um modelo NOJA RC10 e programar a poda de árvores próxima do equipamento.
Boa noite 
Segue SS para verificação de ajuste de proteção do RL 7905357122 poste a abalroado de ID 57407652 os cabos MT ficou encostanto na arvore pegando fogo e o RL não atuou a proteção.
Parecer da proteção:
Conferir os ajustes de proteção do RC01, reincidente em não abrir.
Realizar teste funcional com mala de carga.
Eng° Irlley Castelo Branco</t>
  </si>
  <si>
    <t>18/05/2024 20:00:16</t>
  </si>
  <si>
    <t>7905357122</t>
  </si>
  <si>
    <t>AL03097122</t>
  </si>
  <si>
    <t>190-17421490</t>
  </si>
  <si>
    <t>15/09/2025 09:53:42</t>
  </si>
  <si>
    <t>2,834</t>
  </si>
  <si>
    <t>AJUSTE DE PROTEÇÃO INCORRETO</t>
  </si>
  <si>
    <t>ETO-PROT 00125/2024</t>
  </si>
  <si>
    <t>PARECER DMSL: Após testes realizados pela equipe DMSL, foi constatado defeito no tanque do RLG 7925704079, assim, solicito a substituição do mesmo.
Atualizar ajuste de proteção conforme app da proteção, caso já tenha sido atualizado, coletar base e enviar para proteção.</t>
  </si>
  <si>
    <t>25/07/2025 09:22:30</t>
  </si>
  <si>
    <t>190-17512511</t>
  </si>
  <si>
    <t>20/10/2026 17:08:50</t>
  </si>
  <si>
    <t>ETO-TELE 00849/2025</t>
  </si>
  <si>
    <t>FAVOR  SUSBTITUIR 400 MTS DE REDE BR COMPLETAMENTE DETERIORADO E  CO  RISCOD E CURTO CIRCUITO  ENTRE OS ID:75897819 AO ID :75897907</t>
  </si>
  <si>
    <t>01/09/2025 16:53:19</t>
  </si>
  <si>
    <t>190-1819342</t>
  </si>
  <si>
    <t>27/09/2025 09:50:19</t>
  </si>
  <si>
    <t>76</t>
  </si>
  <si>
    <t>ETO-RD-AR 01303/2025</t>
  </si>
  <si>
    <t>acionar equipe de manutencao para substituir parte do cicuito do trafo 5719217060 com os cabo de bt deteriorado 
equipe 060po02
localidade Nova Olinda
acesso livre
tensao 13,8</t>
  </si>
  <si>
    <t>20/08/2025 16:29:01</t>
  </si>
  <si>
    <t>190-1854270</t>
  </si>
  <si>
    <t>29/10/2026 09:59:03</t>
  </si>
  <si>
    <t>ETO-RD-AR 01243/2025</t>
  </si>
  <si>
    <t>PARECER DA PROTEÇÃO:
COMISSIONAR RT 5835587001 AL 03 PORTO NACIONAL. NECESSARIO CONFERIR MEDIÇÕES DA MALHA DE ATERRAMENTO ANTES DE INSERIR O ATIVO NO SISTEMA. 
AJUSTES DISPONIVIEIS NO APP DA PROTEÇÃO.
**************************************************************
REGULADOR N° 5835587001 REMANEJADO NA OBRA 0302400526 GENTILEZA, REALIZAR O COMISSIONAMENTO. 
LAUDO EM ANEXO. 
COORD EO: 790054, 8821052 
parecer dmsl: 
Data: 23/09/2025
SID: 3949
Serviço realizado:
Será necessário substituir a célula da fase B do banco regulador de tensão!
* Substituir a placa E
* ¿Fazer melhoria na malha de terra do equipamento 
* ¿Não tem comunicação, necessário levar radio GE, antena com suporte e cabos.
* ¿Quando retornar levar rele, nobreack e baterias novas.
* ¿Tem que desenhar, desenvolver e testar com Scada.</t>
  </si>
  <si>
    <t>09/09/2025 16:52:57</t>
  </si>
  <si>
    <t>190-25394764</t>
  </si>
  <si>
    <t>29/11/2025 14:30:21</t>
  </si>
  <si>
    <t>540</t>
  </si>
  <si>
    <t>ETO-PROT 00269/2025</t>
  </si>
  <si>
    <t xml:space="preserve">SEM COMUNICAÇÃO, FALHA DE ALIMENTAÇÃO - REALIZADO PRIMEIRO ATAQUE SEM SUCESSO.
PARECER DMSL: 17/09/2025 Equipamento ficou em operação? 
Não 
Pendência: sim. Equipamento ficou Bay passado levar controle  COMPLETO para trocar. ellisfran </t>
  </si>
  <si>
    <t>03/09/2025 12:09:59</t>
  </si>
  <si>
    <t>190-31114527</t>
  </si>
  <si>
    <t>03/10/2025 14:45:41</t>
  </si>
  <si>
    <t>535</t>
  </si>
  <si>
    <t>ETO-TELE 01082/2025</t>
  </si>
  <si>
    <t>CONTROLE</t>
  </si>
  <si>
    <t>acionar equipe de manutenção para substituir 450m de cabo de  BT na RDU de Arapoema no circuito do Trafo 5700026025.
equipe .: 025po02
Localidade.: Arapoema
acesso.: Livre
OBS.: cabo esta todo recozido e com trecho que esta deteriorado o cabo </t>
  </si>
  <si>
    <t>30/07/2025 21:36:49</t>
  </si>
  <si>
    <t>190-13655890</t>
  </si>
  <si>
    <t>05/11/2026 08:44:32</t>
  </si>
  <si>
    <t>VANDALISMO</t>
  </si>
  <si>
    <t>ETO-RD-AR 01155/2025</t>
  </si>
  <si>
    <t>ETO-COEP 00201/2025</t>
  </si>
  <si>
    <t>RL 7944319149 feito o primeiro ataque e não voltou a comunicação. 
PARECER DMSL: "Feedback Equip. Especial
*RLG 7955430075 RDR Dois Irmãos
RELÉ NOJA RC10
Mestre 1 Rep. Miranorte GE IP mestre: 172.25.125.2
ID mestre: 1728
TX mestre: 426.400
RX mestre: 409.450
Slave: 17
Canal 1
IP Rádio: 172.25.112.13
IP relé: 172.25.112.14
Sid: 4589/2025
Data: 03/09/2025
Necessário substituir a parte ativa pois, após testes, foi constatado defeito no sensor do tanque. O mesmo não esta lendo tensão na fase B.
Equipamento ficou em operação? NÃO. 
Pendência: Substituir parte ativa.
Bateria(s) substituída(s)? Não 
Data Fabricação/Instalação da(s) bateria(s): 03/2024
Equipe: Ana e Ellisfran"</t>
  </si>
  <si>
    <t>01/08/2025 09:11:30</t>
  </si>
  <si>
    <t>7944319149</t>
  </si>
  <si>
    <t>LD03414149</t>
  </si>
  <si>
    <t>190-17513880</t>
  </si>
  <si>
    <t>JOSE MARIA ALVES MONTEL</t>
  </si>
  <si>
    <t>04/10/2025 16:50:33</t>
  </si>
  <si>
    <t>79</t>
  </si>
  <si>
    <t>ETO-TELE 00876/2025</t>
  </si>
  <si>
    <t>PARECER DMSL: Favor, realizar substituição do medidor do equipamento, pois equipe DMSL não realiza este tipo de correção.
Medidor da parte superior do célula 3 não está condizente com a informação do relé. Necessário uma avaliação do time para entender o que pode estar havendo.</t>
  </si>
  <si>
    <t>03/10/2025 10:54:15</t>
  </si>
  <si>
    <t>190-15789929</t>
  </si>
  <si>
    <t>06/10/2025 15:34:10</t>
  </si>
  <si>
    <t>ETO-TELE 01168/2025</t>
  </si>
  <si>
    <t>Enviar equipe para verificar o RL 7955430075 sem comunicação, já foi feito o primeiro ataque com a equipe do DEOP porém sem sucesso.
OS: 100508881.
PARECER DMSL: Data: 03/09/2025
Serviço Executado: 
Necessário substituir a parte ativa pois, após testes, foi constatado defeito no sensor do tanque. O mesmo não esta lendo tensão na fase B.
Equipamento ficou em operação? NÃO. 
Pendência: Substituir parte ativa.</t>
  </si>
  <si>
    <t>20/08/2025 09:39:57</t>
  </si>
  <si>
    <t>190-41162353</t>
  </si>
  <si>
    <t>20/10/2025 16:03:15</t>
  </si>
  <si>
    <t>ETO-TELE 00920/2025</t>
  </si>
  <si>
    <t>ETO-COEP 00210/2025</t>
  </si>
  <si>
    <t>favor verificar falha de comunicaçao no RL 7900594026, foi feito primeiro ataque e nao retornou a comunicaçao
PARECER DMSL: 
Segue nota para substituir relé do religador 7900594026 S/E Ponte Alta . Motivo : constantes falha de comunicação , 
segundo técnico DMSL Elias o equipamento está com falha na porta de comunicação serial RS 232 , 
marca religador Cooper relé Form 6 .
OBS: favor agilizar atendimento .</t>
  </si>
  <si>
    <t>15/10/2025 08:53:33</t>
  </si>
  <si>
    <t>9000654026</t>
  </si>
  <si>
    <t>190-17412745</t>
  </si>
  <si>
    <t>23/10/2025 10:46:28</t>
  </si>
  <si>
    <t>2,720</t>
  </si>
  <si>
    <t>ETO-TELE 01213/2025</t>
  </si>
  <si>
    <t xml:space="preserve">TROCAR RELÉ </t>
  </si>
  <si>
    <t>ETO-COEP 00213/2025</t>
  </si>
  <si>
    <t>Favor realocar rede de média tensão, devido vegetação com projeção de queda. tratativa de reclamação de cliente de forma coletiva.
ativos de referência: 0303929001 e 0310506001 
Croqui em anexo.</t>
  </si>
  <si>
    <t>22/10/2025 16:15:46</t>
  </si>
  <si>
    <t>0304668001</t>
  </si>
  <si>
    <t>AL03101271</t>
  </si>
  <si>
    <t>0303929001</t>
  </si>
  <si>
    <t>190-17364207</t>
  </si>
  <si>
    <t>21/12/2025 17:18:22</t>
  </si>
  <si>
    <t>ARVORE</t>
  </si>
  <si>
    <t>ETO-RD-PA 00711/2025</t>
  </si>
  <si>
    <t>SANDRO</t>
  </si>
  <si>
    <t>ETO-COEP 00215/2025</t>
  </si>
  <si>
    <t>RELIGADOR N° 7908196047 REMANEJADO NA OBRA 0402401150 GENTILEZA, REALIZAR O COMISSIONAMENTO. 
LAUDO EM ANEXO. 
COORD EO: 698485, 8657287
PARECER DA PROTEÇÃO:
AJUSTE DISPONIBILIZADO NO APP DA PROTEÇÃO, NOTA REPASSADA PARA DMSL COMISSIONAR, POLO GURUPI, RL APENAS REMANEJADO DA REDE VELHA PARA REDE NOVA, EQUIPAMENTO COOPER, SE MANTEVE O MESMO NÚMERO DE ATIVO.
ENG° IRLLEY CASTELO BRANCO.
PARECER DMSL: Constatado curto-circuito no tanque do religador, impedindo as operações de abertura e fechamento do equipamento. Solicita-se a substituição completa do religador, incluindo tanque e unidade de controle.</t>
  </si>
  <si>
    <t>29/09/2025 15:15:26</t>
  </si>
  <si>
    <t>28/12/2025 09:22:44</t>
  </si>
  <si>
    <t>ETO-PROT 00286/2025</t>
  </si>
  <si>
    <t>ENTENDER COM DMSL</t>
  </si>
  <si>
    <t>SS Também fala sobre o mesmo equipamento na 168/2025</t>
  </si>
  <si>
    <t>parecer DMSL: :
Nobreack com defeito, rele queimado, cabo de comunicação entre o rádio e o rele danificado, malha de aterramento está com a resistência alta!
Feito reparo no cabo, substituído nobreack, e rele. Se possível retornar com controle completo pq o q está em campo teve infiltração de água, abrir chamado no scada para atualizar base do equipamento pois o mesmo está com a base antiga, fazer correção da malha de aterramento.
Equipamento ficou em operação?: Não 
Pendência: sim, levar controle novo, fazer correção da malha de terra, levar suporte para fixar antena. 
OBS; reprogramar equipamento.
Bateria(s) substituída(s) sim
Equipe: Benvindo e Carliel         
SOLICITAMOS CONTROLE COMPLETO</t>
  </si>
  <si>
    <t>27/08/2025 16:25:00</t>
  </si>
  <si>
    <t>190-15843147</t>
  </si>
  <si>
    <t>28/12/2025 15:12:41</t>
  </si>
  <si>
    <t>959</t>
  </si>
  <si>
    <t>CONCLUÍDO</t>
  </si>
  <si>
    <t>CONTROLE
ATERRAMENTO
SUPORTE</t>
  </si>
  <si>
    <t>PARECER DMSL: Durante testes foi constatado que o controle apresenta defeito, impossibilitando a finalização do comissionamento. Favor, substituir controle RUA.
"PARECER DA PROTEÇÃO:
COMISSIONAR RT 5862546023 AL 01 COLINAS. NECESSARIO CONFERIR MEDIÇÕES DA MALHA DE ATERRAMENTO ANTES DE INSERIR O ATIVO NO SISTEMA. 
AJUSTES DISPONIVIEIS NO APP DA PROTEÇÃO.
**************************************************************
REGULADOR N° 5862546023 INSTALADO NA OBRA 0702500104 GENTILEZA, REALIZAR O COMISSIONAMENTO. 
LAUDO EM ANEXO. 
COORD EO: 775889, 9112829"</t>
  </si>
  <si>
    <t>04/11/2025 10:00:01</t>
  </si>
  <si>
    <t>190-52803506</t>
  </si>
  <si>
    <t>09/12/2026 10:05:18</t>
  </si>
  <si>
    <t>851</t>
  </si>
  <si>
    <t>ETO-TELE 01275/2025</t>
  </si>
  <si>
    <t>Favor substituir chave fusível [0300839122] por chave faca.
PARECER COCM: Aguardando autorização da coordenação COEP.</t>
  </si>
  <si>
    <t>14/11/2025 10:39:32</t>
  </si>
  <si>
    <t>190-17430108</t>
  </si>
  <si>
    <t>RENATO ODORICO DE SOUSA</t>
  </si>
  <si>
    <t>17/01/2026 10:27:31</t>
  </si>
  <si>
    <t>LÂMINA</t>
  </si>
  <si>
    <t>DOLP-RD-PA 01535/2025</t>
  </si>
  <si>
    <t>REALIZAR SUBSTITUIÇÃO DO TANQUE.</t>
  </si>
  <si>
    <t>01/12/2025 16:12:46</t>
  </si>
  <si>
    <t>190-17512902</t>
  </si>
  <si>
    <t>05/01/2027 16:12:46</t>
  </si>
  <si>
    <t>Substituir as 3 células
- Melhoria na malha de aterramento 
- Melhoria no circuito de aterramento qua aterra as células
.
- Substituir conectores paralelos</t>
  </si>
  <si>
    <t>05/12/2025 15:55:23</t>
  </si>
  <si>
    <t>190-15814905</t>
  </si>
  <si>
    <t>09/01/2027 15:55:23</t>
  </si>
  <si>
    <t>36</t>
  </si>
  <si>
    <t>ATERRAMENTO, CONECTORES PARALELOS</t>
  </si>
  <si>
    <t>Realizar a substituição do tanque do equipamento.</t>
  </si>
  <si>
    <t>08/12/2025 10:15:14</t>
  </si>
  <si>
    <t>190-17514129</t>
  </si>
  <si>
    <t>12/01/2027 10:15:14</t>
  </si>
  <si>
    <t>211</t>
  </si>
  <si>
    <t>Realizar substituição da FASE B.
Célula da fase B estava com a tampa do contador de tape aberta, pegou chuva e molhou os contatos danificando a peça toda.</t>
  </si>
  <si>
    <t>08/12/2025 10:56:23</t>
  </si>
  <si>
    <t>190-52618825</t>
  </si>
  <si>
    <t>12/01/2027 11:13:41</t>
  </si>
  <si>
    <t>ETO-SE-PCM 00065/2025</t>
  </si>
  <si>
    <t>TROCA DE TAPE</t>
  </si>
  <si>
    <t>TAPE</t>
  </si>
  <si>
    <t>Boa tarde!
Senhores, enviar equipe de manutenção para substituir 6 vãos de cabo mutiplex 35mm rede esta deteriorada, circuito do trafo 57003754004, avenida adolfo borge Bairro costa esmeralda rdu de Araguaina
clientes reclamado constantemente de oscilação e falta de energia.</t>
  </si>
  <si>
    <t>07/12/2025 17:16:58</t>
  </si>
  <si>
    <t>190-896403</t>
  </si>
  <si>
    <t>11/12/2025 14:02:39</t>
  </si>
  <si>
    <t>1,272</t>
  </si>
  <si>
    <t>ETO-RD-AR 01868/2025</t>
  </si>
  <si>
    <t>Tanque com defeito, realizar substituição do tanque.</t>
  </si>
  <si>
    <t>18/12/2025 13:34:34</t>
  </si>
  <si>
    <t>190-20409576</t>
  </si>
  <si>
    <t>22/01/2027 13:34:34</t>
  </si>
  <si>
    <t>RELATÓRIO DE SOLICITAÇÕES DE SERVIÇO PENDENTES</t>
  </si>
  <si>
    <t>DCMD • Energisa Tocantins</t>
  </si>
  <si>
    <t>TOTAL SS</t>
  </si>
  <si>
    <t>PEND. DCMD</t>
  </si>
  <si>
    <t>PEND. DMSL</t>
  </si>
  <si>
    <t>REPETIDAS</t>
  </si>
  <si>
    <t>CONCLUÍDAS</t>
  </si>
  <si>
    <t>POR EQUIPAMENTO / CATEGORIA</t>
  </si>
  <si>
    <t>POR STATUS</t>
  </si>
  <si>
    <t>Categoria</t>
  </si>
  <si>
    <t>Qtd</t>
  </si>
  <si>
    <t>%</t>
  </si>
  <si>
    <t>Status</t>
  </si>
  <si>
    <t>POR GRUPO DE ANÁLISE</t>
  </si>
  <si>
    <t>GRUPO × STATUS</t>
  </si>
  <si>
    <t>Grupo</t>
  </si>
  <si>
    <t>Total</t>
  </si>
  <si>
    <t>ANÁLISE DETALHADA — LACUNAS DE INFORMAÇÃO E SUBGRUPOS</t>
  </si>
  <si>
    <t>Detalhamento do que falta em cada categoria e subgrupos por tipo de equipamento</t>
  </si>
  <si>
    <t>1. STATUS DO CADASTRO — O QUE FALTA</t>
  </si>
  <si>
    <t>2. RELIGADOR — DETALHAMENTO POR SUBGRUPO</t>
  </si>
  <si>
    <t>Equipamento identificado</t>
  </si>
  <si>
    <t>80  (44.2%)</t>
  </si>
  <si>
    <t>Religador (genérico)</t>
  </si>
  <si>
    <t>19  (70.4%)</t>
  </si>
  <si>
    <t>CABOS sem bitola/vão/tensão</t>
  </si>
  <si>
    <t>30  (16.6%)</t>
  </si>
  <si>
    <t>Bucha</t>
  </si>
  <si>
    <t>1  (3.7%)</t>
  </si>
  <si>
    <t>A definir (repasse)</t>
  </si>
  <si>
    <t>54  (29.8%)</t>
  </si>
  <si>
    <t>Compra</t>
  </si>
  <si>
    <t>A definir (análise)</t>
  </si>
  <si>
    <t>7  (3.9%)</t>
  </si>
  <si>
    <t>Controle/Caixa</t>
  </si>
  <si>
    <t>Possíveis repetidas</t>
  </si>
  <si>
    <t>10  (5.5%)</t>
  </si>
  <si>
    <t>Tanque + Módulo</t>
  </si>
  <si>
    <t>Sistema Comunicação</t>
  </si>
  <si>
    <t>TOTAL</t>
  </si>
  <si>
    <t>Tanque + Cabo umbilical</t>
  </si>
  <si>
    <t>Obra gerada</t>
  </si>
  <si>
    <t>Parte Ativa</t>
  </si>
  <si>
    <t>3. CABOS — LACUNAS DE INFORMAÇÃO TÉCNICA</t>
  </si>
  <si>
    <t>4. REPASSES — DESTINOS</t>
  </si>
  <si>
    <t>Únicas - sem detalhe técnico</t>
  </si>
  <si>
    <t>18  (60.0%)</t>
  </si>
  <si>
    <t>Repassar DMSL</t>
  </si>
  <si>
    <t>39  (72.2%)</t>
  </si>
  <si>
    <t>12  (40.0%)</t>
  </si>
  <si>
    <t>Repassar COCM</t>
  </si>
  <si>
    <t>12  (22.2%)</t>
  </si>
  <si>
    <t>OG existente</t>
  </si>
  <si>
    <t>2  (3.7%)</t>
  </si>
  <si>
    <t>Outros</t>
  </si>
  <si>
    <t>1  (1.9%)</t>
  </si>
  <si>
    <t>INSIGHTS PRINCIPAIS</t>
  </si>
  <si>
    <t>• 30 SS de CABOS (16%) estão sem nenhuma informação técnica (bitola, vãos, tensão) — bloqueio para orçamento preciso</t>
  </si>
  <si>
    <t>• 54 SS estão em REPASSE (30%) — depende de outras coordenações para evoluir</t>
  </si>
  <si>
    <t>• 10 SS marcadas como possivelmente repetidas — requerem revisão antes de tratar</t>
  </si>
  <si>
    <t>• 19 das 27 SS de RELIGADOR estão sem detalhamento do componente a substituir</t>
  </si>
  <si>
    <t>• Equipamento identificado com clareza: 80 de 183 SS (44%)</t>
  </si>
  <si>
    <t>PENDÊNCIAS DO DMSL</t>
  </si>
  <si>
    <t>Tipo de equipamento extraído da Descrição (Parecer DMSL) | Nº Equipamento e Nº Obra identificados</t>
  </si>
  <si>
    <t>TOTAIS POR TIPO DE EQUIPAMENTO (extraído da Descrição)</t>
  </si>
  <si>
    <t>TOTAL DMSL</t>
  </si>
  <si>
    <t>REGULADOR TENSÃO</t>
  </si>
  <si>
    <t>DISTRIBUIÇÃO POR TIPO DE EQUIPAMENTO</t>
  </si>
  <si>
    <t>TOP LOCALIDADES</t>
  </si>
  <si>
    <t>Tipo</t>
  </si>
  <si>
    <t>Localidade</t>
  </si>
  <si>
    <t>17  (50.0%)</t>
  </si>
  <si>
    <t>8  (23.5%)</t>
  </si>
  <si>
    <t>4  (11.8%)</t>
  </si>
  <si>
    <t>1  (2.9%)</t>
  </si>
  <si>
    <t>BANCO CAPACITOR</t>
  </si>
  <si>
    <t>⚡ RELIGADOR (17 SS)</t>
  </si>
  <si>
    <t>Código SS</t>
  </si>
  <si>
    <t>Nº Equipamento</t>
  </si>
  <si>
    <t>Nº Obra</t>
  </si>
  <si>
    <t>Abrangência</t>
  </si>
  <si>
    <t>Análise Técnica</t>
  </si>
  <si>
    <t>Data Ocorrência</t>
  </si>
  <si>
    <t>Repetida?</t>
  </si>
  <si>
    <t>Observações</t>
  </si>
  <si>
    <t>0402300790</t>
  </si>
  <si>
    <t>08/11/2024</t>
  </si>
  <si>
    <t xml:space="preserve">Ta Em Operação comunicando pelo Scada normal, pedir pro COCM Gurupi confirmar se foi feita o poste, se foi instalado qual foi a SS  - </t>
  </si>
  <si>
    <t>Cancelada</t>
  </si>
  <si>
    <t>11/03/2026</t>
  </si>
  <si>
    <t>30484170</t>
  </si>
  <si>
    <t>0602401143</t>
  </si>
  <si>
    <t>22/12/2025</t>
  </si>
  <si>
    <t>Repassada</t>
  </si>
  <si>
    <t>0602300755</t>
  </si>
  <si>
    <t>10/09/2024</t>
  </si>
  <si>
    <t>Ta com cabo umbilical, pode cancelar , só confirmar
Parecer João:SS Cancelada , equipamento em operação pelo Scada, como não tem como ele estar em operação sem o cordão umbilical, cancelamos a SS</t>
  </si>
  <si>
    <t>0502300584</t>
  </si>
  <si>
    <t>11/11/2024</t>
  </si>
  <si>
    <t>Já instalado e está em operação  - Confirmar se pode excluir</t>
  </si>
  <si>
    <t>0402401150</t>
  </si>
  <si>
    <t>29/09/2025</t>
  </si>
  <si>
    <t>Ver com o Miguel no Scada novamente</t>
  </si>
  <si>
    <t>0212501060</t>
  </si>
  <si>
    <t>25/02/2026</t>
  </si>
  <si>
    <t>30/10/2024</t>
  </si>
  <si>
    <t>Equipamento em comunicação normal, confirmar com os COCM Paraíso (Vinicius Camargo) - Precisa fazer substituição da parte ativa</t>
  </si>
  <si>
    <t>0202500503</t>
  </si>
  <si>
    <t>30/01/2026</t>
  </si>
  <si>
    <t>Controle Danificado- Outro controle , ver se está na garantia
Já foi colocado em Operação , foi comissionado , aí depois deram o feedback do controle danificado</t>
  </si>
  <si>
    <t>18/05/2024</t>
  </si>
  <si>
    <t>Aguardando troca de Relé, tá em operação</t>
  </si>
  <si>
    <t>30487776</t>
  </si>
  <si>
    <t>0652400757</t>
  </si>
  <si>
    <t>23/01/2026</t>
  </si>
  <si>
    <t>02/06/2025</t>
  </si>
  <si>
    <t>27/03/2026</t>
  </si>
  <si>
    <t>Problema na parte a parte ativa equipamento inteiro</t>
  </si>
  <si>
    <t>15/10/2024</t>
  </si>
  <si>
    <t>Tem que trocar o Tanque</t>
  </si>
  <si>
    <t>0102400139</t>
  </si>
  <si>
    <t>30/09/2024</t>
  </si>
  <si>
    <t>Está em funcionamento , pode rirar</t>
  </si>
  <si>
    <t>09/09/2024</t>
  </si>
  <si>
    <t>Já comissionado em operação</t>
  </si>
  <si>
    <t>7900930040</t>
  </si>
  <si>
    <t>20/06/2025</t>
  </si>
  <si>
    <t>Já trocado o Relé , já foi trocado , já pode baixar como concluída</t>
  </si>
  <si>
    <t>🔧 REGULADOR TENSÃO (8 SS)</t>
  </si>
  <si>
    <t>0502400526</t>
  </si>
  <si>
    <t>16/06/2025</t>
  </si>
  <si>
    <t>Ver se já chegou</t>
  </si>
  <si>
    <t>0602400710</t>
  </si>
  <si>
    <t>25/03/2025</t>
  </si>
  <si>
    <t>0302100570</t>
  </si>
  <si>
    <t>21/11/2024</t>
  </si>
  <si>
    <t>0702500104</t>
  </si>
  <si>
    <t>04/11/2025</t>
  </si>
  <si>
    <t>03/04/2026</t>
  </si>
  <si>
    <t>0702500302</t>
  </si>
  <si>
    <t>03/07/2025</t>
  </si>
  <si>
    <t>02/03/2026</t>
  </si>
  <si>
    <t>0302400526</t>
  </si>
  <si>
    <t>09/09/2025</t>
  </si>
  <si>
    <t>🛢️ TANQUE (1 SS)</t>
  </si>
  <si>
    <t>16/02/2026</t>
  </si>
  <si>
    <t>⚙️ TRANSFORMADOR (1 SS)</t>
  </si>
  <si>
    <t>18/02/2026</t>
  </si>
  <si>
    <t>📟 CONTROLE (1 SS)</t>
  </si>
  <si>
    <t>25/03/2026</t>
  </si>
  <si>
    <t>⏚ ATERRAMENTO (1 SS)</t>
  </si>
  <si>
    <t>0702400720</t>
  </si>
  <si>
    <t>11/02/2026</t>
  </si>
  <si>
    <t>🔁 REPASSAR DMSL (4 SS)</t>
  </si>
  <si>
    <t>17/03/2026</t>
  </si>
  <si>
    <t>03/02/2026</t>
  </si>
  <si>
    <t>Precisa trocar mesmo , comprar outro</t>
  </si>
  <si>
    <t>31/03/2026</t>
  </si>
  <si>
    <t>BASE COMPLETA — TODAS AS 34 SS COM DESCRIÇÃO</t>
  </si>
  <si>
    <t>Código da Solicitação</t>
  </si>
  <si>
    <t>TIPO_EQUIP</t>
  </si>
  <si>
    <t>NUM_EQUIPAMENTO</t>
  </si>
  <si>
    <t>NUM_OBRA</t>
  </si>
  <si>
    <t>PARECER DMSL:
PENDÊNCIA: Realizar melhoria no aterramento por ser tratar de um terreno muito arenoso, e há pendências por parte do time da proteção, os ajustes do RT não estão disponíveis para inserção no referido equipamento.
DATA DA MANUTENÇÃO: 12/03/2026
EQUIPE: Brunno e Edeglan.
***********************
PARECER DA PROTEÇÃO:
FAVOR COMISSIONAR REGULADOR 5865120195 – LD Santa Maria Ramal Centenário e Recursolândia – 34,5kV. AJUSTE REALIZADO, DISPONÍVEL NO APP DA PROTEÇÃO.
***********************
 INSTALADO NA OBRA 0702400720 GENTILEZA, REALIZAR O COMISSIONAMENTO.
LAUDO EM ANEXO.
COORD EO: 889017, 9016857</t>
  </si>
  <si>
    <t>Melhoria da malha de aterramento</t>
  </si>
  <si>
    <t>Repassado para ETO-RD-GR- Novo número é 00538/2026</t>
  </si>
  <si>
    <t>81133777</t>
  </si>
  <si>
    <t>Depois</t>
  </si>
  <si>
    <t>3047281</t>
  </si>
  <si>
    <t>ORÇAMENTO DE TROCA DE CABOS — RD MT</t>
  </si>
  <si>
    <t>Material apenas | Rural/Urbano definido pela localidade | Repetidas e SS sem info = R$ 0</t>
  </si>
  <si>
    <t>💰 VALOR TOTAL DO ORÇAMENTO</t>
  </si>
  <si>
    <t>METROS TOTAIS</t>
  </si>
  <si>
    <t>CENÁRIO 35mm²</t>
  </si>
  <si>
    <t>CENÁRIO 70mm²</t>
  </si>
  <si>
    <t>Δ ENTRE CENÁRIOS</t>
  </si>
  <si>
    <t>5.185 m</t>
  </si>
  <si>
    <t>R$ 389.837,69</t>
  </si>
  <si>
    <t>R$ 570.790,30</t>
  </si>
  <si>
    <t>R$ 180.952,61</t>
  </si>
  <si>
    <t>Baseado em 17 SS orçáveis | 13 SS descartadas | Cenário 35mm² = bitola conservadora nos mistos | Cenário 70mm² = bitola robusta nos mistos</t>
  </si>
  <si>
    <t>MÓDULOS DE REFERÊNCIA (R$/km MATERIAL)</t>
  </si>
  <si>
    <t>Módulo 7797</t>
  </si>
  <si>
    <t>35mm² (2 AWG) — 13,8 kV RURAL</t>
  </si>
  <si>
    <t>R$ 37.642,90/km</t>
  </si>
  <si>
    <t>Módulo 7804</t>
  </si>
  <si>
    <t>35mm² (2 AWG) — 13,8 kV URBANO</t>
  </si>
  <si>
    <t>R$ 76.971,77/km</t>
  </si>
  <si>
    <t>Módulo 7813</t>
  </si>
  <si>
    <t>70mm² protegido — 34,5 kV</t>
  </si>
  <si>
    <t>R$ 138.855,30/km</t>
  </si>
  <si>
    <t>Critério URB/RUR</t>
  </si>
  <si>
    <t>Araguaína = URBANO | Demais cidades = RURAL</t>
  </si>
  <si>
    <t>TABELA 1 — SS COM CABO 35mm² (7 SS)</t>
  </si>
  <si>
    <t>Ambiente</t>
  </si>
  <si>
    <t>Metros</t>
  </si>
  <si>
    <t>Valor (R$)</t>
  </si>
  <si>
    <t>Módulo</t>
  </si>
  <si>
    <t>Observação</t>
  </si>
  <si>
    <t>7804 (URB)</t>
  </si>
  <si>
    <t>7797 (RUR)</t>
  </si>
  <si>
    <t>TABELA 2 — SS COM CABO 70mm² (1 SS)</t>
  </si>
  <si>
    <t>7813 (34,5kV)</t>
  </si>
  <si>
    <t>TABELA 3 — SS COM CABO 35/70 — 2 cenários (9 SS)</t>
  </si>
  <si>
    <t>Cenário 35mm² (R$)</t>
  </si>
  <si>
    <t>Cenário 70mm² (R$)</t>
  </si>
  <si>
    <t>Δ (70-35)</t>
  </si>
  <si>
    <t>Cancelada SS já atendida</t>
  </si>
  <si>
    <t>⚠ Apenas 10m - serviço pontual</t>
  </si>
  <si>
    <t>TABELA 4 — EXCEÇÕES (1 SS — sem orçamento aplicado)</t>
  </si>
  <si>
    <t>Bitola informada</t>
  </si>
  <si>
    <t>Motivo</t>
  </si>
  <si>
    <t>Cabo 4 AWG cobre recozido — bitola fora do padrão dos módulos atuais. Verificar disponibilidade no estoque.</t>
  </si>
  <si>
    <t>VISÃO POR EQUIPAMENTO</t>
  </si>
  <si>
    <t>Extraído da coluna Análise Técnica — agrupa variações do mesmo equipamento</t>
  </si>
  <si>
    <t>RANKING DE EQUIPAMENTOS (com material identificado)</t>
  </si>
  <si>
    <t>SEM EQUIPAMENTO IDENTIFICADO</t>
  </si>
  <si>
    <t>#</t>
  </si>
  <si>
    <t>Equipamento</t>
  </si>
  <si>
    <t>Situação</t>
  </si>
  <si>
    <t>TOTAL COM MATERIAL</t>
  </si>
  <si>
    <t>EQUIPAMENTO × STATUS</t>
  </si>
  <si>
    <t>EQUIPAMENTO/CATEGORIA × STATUS</t>
  </si>
  <si>
    <t>GRUPO ANÁLISE × STATUS</t>
  </si>
  <si>
    <t>EQUIPAMENTO/CATEGORIA × GRUPO ANÁLISE</t>
  </si>
  <si>
    <t>TOP 15 ABRANGÊNCIA × STATUS</t>
  </si>
  <si>
    <t>SOLICITAÇÕES POSSIVELMENTE REPETIDAS</t>
  </si>
  <si>
    <t>Critério: mesma Instalação + mesma Localização</t>
  </si>
  <si>
    <t>PRÓXIMAS AÇÕES SUGERIDAS</t>
  </si>
  <si>
    <t>Ação</t>
  </si>
  <si>
    <t>Prioridade</t>
  </si>
  <si>
    <t>54 SS a repassar — separar lista DMSL × COCM e enviar para análise externa</t>
  </si>
  <si>
    <t>2</t>
  </si>
  <si>
    <t>20 SS marcadas como possíveis repetições — revisar antes de tratar para evitar retrabalho</t>
  </si>
  <si>
    <t>3</t>
  </si>
  <si>
    <t>107 SS de manutenção — priorizar por material (Religador, Cabo, Tanque, Banco Capacitor)</t>
  </si>
  <si>
    <t>MÉDIA</t>
  </si>
  <si>
    <t>4</t>
  </si>
  <si>
    <t>20 SS pendentes de definição técnica — agendar reunião de análise</t>
  </si>
  <si>
    <t>2 SS aguardando aquisição de material — confirmar status SIGVC</t>
  </si>
  <si>
    <t>Ativo</t>
  </si>
  <si>
    <t>Tensão</t>
  </si>
  <si>
    <t>SS aberta</t>
  </si>
  <si>
    <t>OS Associada</t>
  </si>
  <si>
    <t>Defeito identificado</t>
  </si>
  <si>
    <t>Responsável</t>
  </si>
  <si>
    <t>Previsão de Substituição</t>
  </si>
  <si>
    <t>OBRA</t>
  </si>
  <si>
    <t>Deposito</t>
  </si>
  <si>
    <t>EMD</t>
  </si>
  <si>
    <t>Status Entrega</t>
  </si>
  <si>
    <t>Data Entrega</t>
  </si>
  <si>
    <t>Posto COEP</t>
  </si>
  <si>
    <t>Religador</t>
  </si>
  <si>
    <t>ETO-COEP 00206/2025</t>
  </si>
  <si>
    <t>ETO-RD-PA 00282/2026</t>
  </si>
  <si>
    <t>Tanque e antena</t>
  </si>
  <si>
    <t>Marcelo Primo</t>
  </si>
  <si>
    <t>0112600383</t>
  </si>
  <si>
    <t>Pendente</t>
  </si>
  <si>
    <t>ETO-COEP 00122/2025</t>
  </si>
  <si>
    <t>ETO-RD-PS 00192/2026</t>
  </si>
  <si>
    <t>Completo - Relé Cooper</t>
  </si>
  <si>
    <t>Vinicius Camargo Costa</t>
  </si>
  <si>
    <t>0212600422</t>
  </si>
  <si>
    <t>Calendário logistco vai sair hoje 29/05/2026, assim que tiver rota de entrga avisamos</t>
  </si>
  <si>
    <t>ETO-COEP 00177/2025</t>
  </si>
  <si>
    <t>ETO-RD-DP 00271/2026</t>
  </si>
  <si>
    <t>Completo</t>
  </si>
  <si>
    <t>Dener Soares</t>
  </si>
  <si>
    <t>0512600135</t>
  </si>
  <si>
    <t>ETO-RD-DP 788/2026</t>
  </si>
  <si>
    <t>TAQUARALTO</t>
  </si>
  <si>
    <t>ETO-COEP 00211/2025</t>
  </si>
  <si>
    <t>ETO-RD-PA 00283/2026</t>
  </si>
  <si>
    <t>Tanque</t>
  </si>
  <si>
    <t>0112600424</t>
  </si>
  <si>
    <t>ETO-COEP 00104/2025</t>
  </si>
  <si>
    <t>ETO-RD-GR 00472/2026</t>
  </si>
  <si>
    <t>Rádio, antena, controle</t>
  </si>
  <si>
    <t>Wander da Silva Leite</t>
  </si>
  <si>
    <t>0712600316</t>
  </si>
  <si>
    <t>7902</t>
  </si>
  <si>
    <t>Concluída</t>
  </si>
  <si>
    <t>OS Programada para 29/05/2026</t>
  </si>
  <si>
    <t>ETO-COEP 00209/2025</t>
  </si>
  <si>
    <t>ETO-RD-GU 00493/2026</t>
  </si>
  <si>
    <t>Dione Sousa</t>
  </si>
  <si>
    <t>0412600391</t>
  </si>
  <si>
    <t>ETO-RD-AG 364/2026</t>
  </si>
  <si>
    <t>Luanderson</t>
  </si>
  <si>
    <t>0662600265</t>
  </si>
  <si>
    <t>6905</t>
  </si>
  <si>
    <t>Se voce levar ele pra Tocantinopólis amanhã 29/05 , ainda troca Até semana que vem, até dia 03</t>
  </si>
  <si>
    <t>Verificar</t>
  </si>
  <si>
    <t>0112600425</t>
  </si>
  <si>
    <t>ETO-COEP 00034/2026</t>
  </si>
  <si>
    <t>ETO-RD-PS 00193/2026</t>
  </si>
  <si>
    <t>bateria, rádio, trafo (entender sobre bucha da fase A)</t>
  </si>
  <si>
    <t>0212600423</t>
  </si>
  <si>
    <t>ETO-COEP 00174/2024</t>
  </si>
  <si>
    <t>ETO-RD-PS 00194/2026</t>
  </si>
  <si>
    <t>0212600425</t>
  </si>
  <si>
    <t>ETO-COEP 00169/2025</t>
  </si>
  <si>
    <t>ETO-RD-PO 00121/2026</t>
  </si>
  <si>
    <t>Edson Curcino</t>
  </si>
  <si>
    <t>0312600264</t>
  </si>
  <si>
    <t>Tanque e PR do trafo e chave</t>
  </si>
  <si>
    <t>Pendente o Tecnico Inserir</t>
  </si>
  <si>
    <t>0712600318</t>
  </si>
  <si>
    <t>ETO-RD-AG 365/2026</t>
  </si>
  <si>
    <t>0662600266</t>
  </si>
  <si>
    <t>Ainda no nosso posto , mas de acordo com o Luanderson vai disponibilizar a equipe na terça-feira 03/06</t>
  </si>
  <si>
    <t>0412600392</t>
  </si>
  <si>
    <t>ETO-RD-GU 1391/2026</t>
  </si>
  <si>
    <t>Completo (Controle - cooper)</t>
  </si>
  <si>
    <t>Leonardo Santos da Silva</t>
  </si>
  <si>
    <t>0612600439</t>
  </si>
  <si>
    <t>6903</t>
  </si>
  <si>
    <t>Tanque - cooper - Aproveitar do 7900018004</t>
  </si>
  <si>
    <t>Controle e ajuste</t>
  </si>
  <si>
    <t>0212600428</t>
  </si>
  <si>
    <t>BABAÇULÃNDIA</t>
  </si>
  <si>
    <t>ETO-COEP 00068/2025</t>
  </si>
  <si>
    <t>Controle Completo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</si>
</sst>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quot; m&quot;"/>
    <numFmt numFmtId="166" formatCode="&quot;R$ &quot;#,##0"/>
  </numFmts>
  <fonts count="70" x14ac:knownFonts="1">
    <font>
      <sz val="11"/>
      <color theme="1"/>
      <name val="Calibri"/>
      <family val="2"/>
      <charset val="1"/>
    </font>
    <font>
      <sz val="11"/>
      <color theme="1"/>
      <name val="Calibri"/>
      <family val="2"/>
      <scheme val="minor"/>
    </font>
    <font>
      <b/>
      <sz val="20"/>
      <color rgb="FFFFFFFF"/>
      <name val="Calibri"/>
      <charset val="1"/>
    </font>
    <font>
      <i/>
      <sz val="11"/>
      <color rgb="FF1F3864"/>
      <name val="Calibri"/>
      <charset val="1"/>
    </font>
    <font>
      <b/>
      <sz val="10"/>
      <color rgb="FFFFFFFF"/>
      <name val="Calibri"/>
      <charset val="1"/>
    </font>
    <font>
      <b/>
      <sz val="24"/>
      <color rgb="FF1F3864"/>
      <name val="Calibri"/>
      <charset val="1"/>
    </font>
    <font>
      <b/>
      <sz val="24"/>
      <color rgb="FFF26522"/>
      <name val="Calibri"/>
      <charset val="1"/>
    </font>
    <font>
      <b/>
      <sz val="24"/>
      <color rgb="FF7F7F7F"/>
      <name val="Calibri"/>
      <charset val="1"/>
    </font>
    <font>
      <b/>
      <sz val="24"/>
      <color rgb="FFC00000"/>
      <name val="Calibri"/>
      <charset val="1"/>
    </font>
    <font>
      <b/>
      <sz val="24"/>
      <color rgb="FF70AD47"/>
      <name val="Calibri"/>
      <charset val="1"/>
    </font>
    <font>
      <b/>
      <sz val="12"/>
      <color rgb="FFFFFFFF"/>
      <name val="Calibri"/>
      <charset val="1"/>
    </font>
    <font>
      <b/>
      <sz val="11"/>
      <color rgb="FFFFFFFF"/>
      <name val="Cambria"/>
      <charset val="1"/>
    </font>
    <font>
      <b/>
      <sz val="11"/>
      <name val="Cambria"/>
      <charset val="1"/>
    </font>
    <font>
      <b/>
      <sz val="18"/>
      <color rgb="FFFFFFFF"/>
      <name val="Cambria"/>
      <charset val="1"/>
    </font>
    <font>
      <i/>
      <sz val="10"/>
      <color rgb="FF1F3864"/>
      <name val="Cambria"/>
      <charset val="1"/>
    </font>
    <font>
      <b/>
      <sz val="12"/>
      <color rgb="FFFFFFFF"/>
      <name val="Cambria"/>
      <charset val="1"/>
    </font>
    <font>
      <b/>
      <sz val="8"/>
      <color rgb="FFBFBFBF"/>
      <name val="Cambria"/>
      <charset val="1"/>
    </font>
    <font>
      <sz val="8"/>
      <color rgb="FFBFBFBF"/>
      <name val="Cambria"/>
      <charset val="1"/>
    </font>
    <font>
      <sz val="10"/>
      <color rgb="FF404040"/>
      <name val="Cambria"/>
      <charset val="1"/>
    </font>
    <font>
      <b/>
      <sz val="10"/>
      <color rgb="FF1F3864"/>
      <name val="Cambria"/>
      <charset val="1"/>
    </font>
    <font>
      <b/>
      <sz val="10"/>
      <name val="Cambria"/>
      <charset val="1"/>
    </font>
    <font>
      <b/>
      <sz val="20"/>
      <color rgb="FFFFFFFF"/>
      <name val="Cambria"/>
      <charset val="1"/>
    </font>
    <font>
      <b/>
      <sz val="9"/>
      <color rgb="FFFFFFFF"/>
      <name val="Cambria"/>
      <charset val="1"/>
    </font>
    <font>
      <b/>
      <sz val="20"/>
      <color rgb="FF1F3864"/>
      <name val="Cambria"/>
      <charset val="1"/>
    </font>
    <font>
      <b/>
      <sz val="20"/>
      <color rgb="FFF26522"/>
      <name val="Cambria"/>
      <charset val="1"/>
    </font>
    <font>
      <b/>
      <sz val="20"/>
      <color rgb="FF70AD47"/>
      <name val="Cambria"/>
      <charset val="1"/>
    </font>
    <font>
      <b/>
      <sz val="20"/>
      <color rgb="FFB8860B"/>
      <name val="Cambria"/>
      <charset val="1"/>
    </font>
    <font>
      <b/>
      <sz val="20"/>
      <color rgb="FF7030A0"/>
      <name val="Cambria"/>
      <charset val="1"/>
    </font>
    <font>
      <sz val="10"/>
      <name val="Cambria"/>
      <charset val="1"/>
    </font>
    <font>
      <sz val="9"/>
      <name val="Cambria"/>
      <charset val="1"/>
    </font>
    <font>
      <b/>
      <sz val="9"/>
      <name val="Cambria"/>
      <charset val="1"/>
    </font>
    <font>
      <b/>
      <sz val="9"/>
      <color rgb="FF1F3864"/>
      <name val="Cambria"/>
      <charset val="1"/>
    </font>
    <font>
      <sz val="9"/>
      <color rgb="FF1F3864"/>
      <name val="Cambria"/>
      <charset val="1"/>
    </font>
    <font>
      <sz val="9"/>
      <color rgb="FF000000"/>
      <name val="Cambria"/>
      <charset val="1"/>
    </font>
    <font>
      <b/>
      <sz val="9"/>
      <color rgb="FFC00000"/>
      <name val="Cambria"/>
      <charset val="1"/>
    </font>
    <font>
      <b/>
      <sz val="10"/>
      <color rgb="FFFFFFFF"/>
      <name val="Cambria"/>
      <charset val="1"/>
    </font>
    <font>
      <b/>
      <sz val="16"/>
      <color rgb="FF1F3864"/>
      <name val="Cambria"/>
      <charset val="1"/>
    </font>
    <font>
      <b/>
      <sz val="16"/>
      <color rgb="FF70AD47"/>
      <name val="Cambria"/>
      <charset val="1"/>
    </font>
    <font>
      <b/>
      <sz val="16"/>
      <color rgb="FFF26522"/>
      <name val="Cambria"/>
      <charset val="1"/>
    </font>
    <font>
      <b/>
      <sz val="16"/>
      <color rgb="FF7F7F7F"/>
      <name val="Cambria"/>
      <charset val="1"/>
    </font>
    <font>
      <i/>
      <sz val="9"/>
      <color rgb="FF595959"/>
      <name val="Cambria"/>
      <charset val="1"/>
    </font>
    <font>
      <b/>
      <sz val="11"/>
      <color rgb="FF1F3864"/>
      <name val="Cambria"/>
      <charset val="1"/>
    </font>
    <font>
      <sz val="9"/>
      <color rgb="FF404040"/>
      <name val="Cambria"/>
      <charset val="1"/>
    </font>
    <font>
      <i/>
      <sz val="9"/>
      <color rgb="FF000000"/>
      <name val="Cambria"/>
      <charset val="1"/>
    </font>
    <font>
      <i/>
      <sz val="9"/>
      <color rgb="FF7F7F7F"/>
      <name val="Cambria"/>
      <charset val="1"/>
    </font>
    <font>
      <i/>
      <sz val="9"/>
      <color rgb="FFC00000"/>
      <name val="Cambria"/>
      <charset val="1"/>
    </font>
    <font>
      <i/>
      <sz val="9"/>
      <color rgb="FF404040"/>
      <name val="Cambria"/>
      <charset val="1"/>
    </font>
    <font>
      <sz val="11"/>
      <name val="Cambria"/>
      <charset val="1"/>
    </font>
    <font>
      <sz val="9"/>
      <name val="Calibri"/>
      <charset val="1"/>
    </font>
    <font>
      <b/>
      <sz val="14"/>
      <color rgb="FFFFFFFF"/>
      <name val="Cambria"/>
      <charset val="1"/>
    </font>
    <font>
      <i/>
      <sz val="11"/>
      <color rgb="FF1F3864"/>
      <name val="Cambria"/>
      <charset val="1"/>
    </font>
    <font>
      <b/>
      <sz val="16"/>
      <color rgb="FFFFFFFF"/>
      <name val="Cambria"/>
      <charset val="1"/>
    </font>
    <font>
      <sz val="11"/>
      <color theme="1"/>
      <name val="Calibri"/>
      <family val="2"/>
      <charset val="1"/>
    </font>
    <font>
      <sz val="9"/>
      <color rgb="FFFF0000"/>
      <name val="Cambria"/>
      <family val="1"/>
    </font>
    <font>
      <i/>
      <sz val="9"/>
      <color rgb="FFFF0000"/>
      <name val="Cambria"/>
      <family val="1"/>
    </font>
    <font>
      <b/>
      <sz val="10"/>
      <color rgb="FFFFFFFF"/>
      <name val="Calibri"/>
      <family val="2"/>
    </font>
    <font>
      <sz val="9"/>
      <name val="Cambria"/>
      <family val="1"/>
    </font>
    <font>
      <b/>
      <sz val="20"/>
      <color theme="1" tint="0.34998626667073579"/>
      <name val="Cambria"/>
      <family val="1"/>
    </font>
    <font>
      <sz val="9"/>
      <color rgb="FFFF0000"/>
      <name val="Calibri"/>
      <family val="2"/>
    </font>
    <font>
      <sz val="11"/>
      <color rgb="FFFF0000"/>
      <name val="Calibri"/>
      <family val="2"/>
    </font>
    <font>
      <sz val="9"/>
      <name val="Calibri"/>
      <family val="2"/>
    </font>
    <font>
      <sz val="11"/>
      <color rgb="FFFF0000"/>
      <name val="Calibri"/>
      <family val="2"/>
      <charset val="1"/>
    </font>
    <font>
      <b/>
      <sz val="9"/>
      <color rgb="FFFF0000"/>
      <name val="Cambria"/>
      <family val="1"/>
    </font>
    <font>
      <sz val="9"/>
      <color theme="6"/>
      <name val="Cambria"/>
      <family val="1"/>
    </font>
    <font>
      <sz val="11"/>
      <color theme="6"/>
      <name val="Calibri"/>
      <family val="2"/>
      <charset val="1"/>
    </font>
    <font>
      <sz val="11"/>
      <color rgb="FF000000"/>
      <name val="Calibri"/>
      <family val="2"/>
      <charset val="1"/>
    </font>
    <font>
      <b/>
      <sz val="11"/>
      <color theme="0"/>
      <name val="Calibri"/>
      <family val="2"/>
      <scheme val="minor"/>
    </font>
    <font>
      <sz val="11"/>
      <color rgb="FFFF0000"/>
      <name val="Calibri"/>
      <family val="2"/>
      <scheme val="minor"/>
    </font>
    <font>
      <sz val="11"/>
      <color theme="1"/>
      <name val="Calibri"/>
    </font>
    <font>
      <b/>
      <sz val="11"/>
      <color theme="9"/>
      <name val="Calibri"/>
      <family val="2"/>
      <scheme val="minor"/>
    </font>
  </fonts>
  <fills count="24">
    <fill>
      <patternFill patternType="none"/>
    </fill>
    <fill>
      <patternFill patternType="gray125"/>
    </fill>
    <fill>
      <patternFill patternType="solid">
        <fgColor rgb="FF1F3864"/>
        <bgColor rgb="FF333399"/>
      </patternFill>
    </fill>
    <fill>
      <patternFill patternType="solid">
        <fgColor rgb="FFF26522"/>
        <bgColor rgb="FFED7D31"/>
      </patternFill>
    </fill>
    <fill>
      <patternFill patternType="solid">
        <fgColor rgb="FF7F7F7F"/>
        <bgColor rgb="FF878787"/>
      </patternFill>
    </fill>
    <fill>
      <patternFill patternType="solid">
        <fgColor rgb="FFC00000"/>
        <bgColor rgb="FF9C0006"/>
      </patternFill>
    </fill>
    <fill>
      <patternFill patternType="solid">
        <fgColor rgb="FF70AD47"/>
        <bgColor rgb="FF9BBB59"/>
      </patternFill>
    </fill>
    <fill>
      <patternFill patternType="solid">
        <fgColor rgb="FFF2F2F2"/>
        <bgColor rgb="FFF8F8F8"/>
      </patternFill>
    </fill>
    <fill>
      <patternFill patternType="solid">
        <fgColor rgb="FFFCE4D6"/>
        <bgColor rgb="FFF2F2F2"/>
      </patternFill>
    </fill>
    <fill>
      <patternFill patternType="solid">
        <fgColor rgb="FFFFC000"/>
        <bgColor rgb="FFFF9900"/>
      </patternFill>
    </fill>
    <fill>
      <patternFill patternType="solid">
        <fgColor rgb="FF7030A0"/>
        <bgColor rgb="FF333399"/>
      </patternFill>
    </fill>
    <fill>
      <patternFill patternType="solid">
        <fgColor rgb="FF00B0F0"/>
        <bgColor rgb="FF008080"/>
      </patternFill>
    </fill>
    <fill>
      <patternFill patternType="solid">
        <fgColor rgb="FFED7D31"/>
        <bgColor rgb="FFF26522"/>
      </patternFill>
    </fill>
    <fill>
      <patternFill patternType="solid">
        <fgColor rgb="FF4472C4"/>
        <bgColor rgb="FF4F81BD"/>
      </patternFill>
    </fill>
    <fill>
      <patternFill patternType="solid">
        <fgColor rgb="FFB8860B"/>
        <bgColor rgb="FFED7D31"/>
      </patternFill>
    </fill>
    <fill>
      <patternFill patternType="solid">
        <fgColor rgb="FFD9E1F2"/>
        <bgColor rgb="FFD9D9D9"/>
      </patternFill>
    </fill>
    <fill>
      <patternFill patternType="solid">
        <fgColor rgb="FF8B4513"/>
        <bgColor rgb="FFC0504D"/>
      </patternFill>
    </fill>
    <fill>
      <patternFill patternType="solid">
        <fgColor rgb="FFF8F8F8"/>
        <bgColor rgb="FFF9F9F9"/>
      </patternFill>
    </fill>
    <fill>
      <patternFill patternType="solid">
        <fgColor rgb="FFFFFFFF"/>
        <bgColor rgb="FFF9F9F9"/>
      </patternFill>
    </fill>
    <fill>
      <patternFill patternType="solid">
        <fgColor rgb="FFFFFF00"/>
        <bgColor indexed="64"/>
      </patternFill>
    </fill>
    <fill>
      <patternFill patternType="solid">
        <fgColor theme="5"/>
        <bgColor indexed="64"/>
      </patternFill>
    </fill>
    <fill>
      <patternFill patternType="solid">
        <fgColor theme="5" tint="0.79998168889431442"/>
        <bgColor indexed="64"/>
      </patternFill>
    </fill>
    <fill>
      <patternFill patternType="solid">
        <fgColor rgb="FF00B0F0"/>
        <bgColor indexed="64"/>
      </patternFill>
    </fill>
    <fill>
      <patternFill patternType="solid">
        <fgColor theme="9" tint="0.79998168889431442"/>
        <bgColor indexed="64"/>
      </patternFill>
    </fill>
  </fills>
  <borders count="16">
    <border>
      <left/>
      <right/>
      <top/>
      <bottom/>
      <diagonal/>
    </border>
    <border>
      <left style="thin">
        <color rgb="FFBFBFBF"/>
      </left>
      <right style="thin">
        <color rgb="FFBFBFBF"/>
      </right>
      <top style="thin">
        <color rgb="FFBFBFBF"/>
      </top>
      <bottom style="thin">
        <color rgb="FFBFBFBF"/>
      </bottom>
      <diagonal/>
    </border>
    <border>
      <left style="thin">
        <color rgb="FFFFFFFF"/>
      </left>
      <right style="thin">
        <color rgb="FFFFFFFF"/>
      </right>
      <top style="thin">
        <color rgb="FFFFFFFF"/>
      </top>
      <bottom style="thin">
        <color rgb="FFFFFFFF"/>
      </bottom>
      <diagonal/>
    </border>
    <border>
      <left style="thin">
        <color rgb="FFBFBFBF"/>
      </left>
      <right style="thin">
        <color rgb="FFBFBFBF"/>
      </right>
      <top/>
      <bottom/>
      <diagonal/>
    </border>
    <border>
      <left style="thin">
        <color rgb="FFBFBFBF"/>
      </left>
      <right/>
      <top/>
      <bottom/>
      <diagonal/>
    </border>
    <border>
      <left style="thin">
        <color indexed="64"/>
      </left>
      <right style="thin">
        <color indexed="64"/>
      </right>
      <top style="thin">
        <color indexed="64"/>
      </top>
      <bottom style="thin">
        <color indexed="64"/>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4">
    <xf numFmtId="0" fontId="0" fillId="0" borderId="0"/>
    <xf numFmtId="0" fontId="52" fillId="0" borderId="0"/>
    <xf numFmtId="0" fontId="68" fillId="0" borderId="0"/>
    <xf numFmtId="0" fontId="1" fillId="0" borderId="0"/>
  </cellStyleXfs>
  <cellXfs count="226">
    <xf numFmtId="0" fontId="0" fillId="0" borderId="0" xfId="0"/>
    <xf numFmtId="0" fontId="4" fillId="3" borderId="1" xfId="0" applyFont="1" applyFill="1" applyBorder="1" applyAlignment="1">
      <alignment horizontal="center"/>
    </xf>
    <xf numFmtId="0" fontId="0" fillId="0" borderId="1" xfId="0" applyBorder="1"/>
    <xf numFmtId="0" fontId="0" fillId="0" borderId="1" xfId="0" applyBorder="1" applyAlignment="1">
      <alignment horizontal="center"/>
    </xf>
    <xf numFmtId="164" fontId="0" fillId="0" borderId="1" xfId="0" applyNumberFormat="1" applyBorder="1" applyAlignment="1">
      <alignment horizontal="center"/>
    </xf>
    <xf numFmtId="0" fontId="11" fillId="3" borderId="1" xfId="0" applyFont="1" applyFill="1" applyBorder="1" applyAlignment="1">
      <alignment horizontal="center"/>
    </xf>
    <xf numFmtId="0" fontId="12" fillId="8" borderId="1" xfId="0" applyFont="1" applyFill="1" applyBorder="1" applyAlignment="1">
      <alignment horizontal="center"/>
    </xf>
    <xf numFmtId="0" fontId="12" fillId="8" borderId="1" xfId="0" applyFont="1" applyFill="1" applyBorder="1"/>
    <xf numFmtId="0" fontId="16" fillId="0" borderId="0" xfId="0" applyFont="1"/>
    <xf numFmtId="0" fontId="17" fillId="0" borderId="0" xfId="0" applyFont="1"/>
    <xf numFmtId="0" fontId="0" fillId="3" borderId="2" xfId="0" applyFill="1" applyBorder="1"/>
    <xf numFmtId="0" fontId="19" fillId="0" borderId="0" xfId="0" applyFont="1" applyAlignment="1">
      <alignment horizontal="right" vertical="center"/>
    </xf>
    <xf numFmtId="0" fontId="0" fillId="6" borderId="2" xfId="0" applyFill="1" applyBorder="1"/>
    <xf numFmtId="0" fontId="0" fillId="2" borderId="2" xfId="0" applyFill="1" applyBorder="1"/>
    <xf numFmtId="0" fontId="0" fillId="9" borderId="2" xfId="0" applyFill="1" applyBorder="1"/>
    <xf numFmtId="0" fontId="0" fillId="5" borderId="2" xfId="0" applyFill="1" applyBorder="1"/>
    <xf numFmtId="0" fontId="0" fillId="10" borderId="2" xfId="0" applyFill="1" applyBorder="1"/>
    <xf numFmtId="0" fontId="0" fillId="11" borderId="2" xfId="0" applyFill="1" applyBorder="1"/>
    <xf numFmtId="0" fontId="0" fillId="4" borderId="2" xfId="0" applyFill="1" applyBorder="1"/>
    <xf numFmtId="0" fontId="19" fillId="0" borderId="0" xfId="0" applyFont="1" applyAlignment="1">
      <alignment horizontal="right"/>
    </xf>
    <xf numFmtId="0" fontId="0" fillId="12" borderId="2" xfId="0" applyFill="1" applyBorder="1"/>
    <xf numFmtId="0" fontId="0" fillId="13" borderId="2" xfId="0" applyFill="1" applyBorder="1"/>
    <xf numFmtId="0" fontId="22" fillId="14" borderId="0" xfId="0" applyFont="1" applyFill="1" applyAlignment="1">
      <alignment horizontal="center" vertical="center"/>
    </xf>
    <xf numFmtId="0" fontId="22" fillId="10" borderId="0" xfId="0" applyFont="1" applyFill="1" applyAlignment="1">
      <alignment horizontal="center" vertical="center"/>
    </xf>
    <xf numFmtId="0" fontId="0" fillId="3" borderId="0" xfId="0" applyFill="1"/>
    <xf numFmtId="0" fontId="19" fillId="8" borderId="1" xfId="0" applyFont="1" applyFill="1" applyBorder="1" applyAlignment="1">
      <alignment horizontal="center"/>
    </xf>
    <xf numFmtId="0" fontId="0" fillId="2" borderId="0" xfId="0" applyFill="1"/>
    <xf numFmtId="0" fontId="0" fillId="6" borderId="0" xfId="0" applyFill="1"/>
    <xf numFmtId="0" fontId="0" fillId="9" borderId="0" xfId="0" applyFill="1"/>
    <xf numFmtId="0" fontId="0" fillId="5" borderId="0" xfId="0" applyFill="1"/>
    <xf numFmtId="0" fontId="0" fillId="10" borderId="0" xfId="0" applyFill="1"/>
    <xf numFmtId="0" fontId="0" fillId="11" borderId="0" xfId="0" applyFill="1"/>
    <xf numFmtId="0" fontId="19" fillId="0" borderId="1" xfId="0" applyFont="1" applyBorder="1" applyAlignment="1">
      <alignment horizontal="center"/>
    </xf>
    <xf numFmtId="0" fontId="0" fillId="14" borderId="0" xfId="0" applyFill="1"/>
    <xf numFmtId="0" fontId="22" fillId="3" borderId="1" xfId="0" applyFont="1" applyFill="1" applyBorder="1" applyAlignment="1">
      <alignment horizontal="center" vertical="center" wrapText="1"/>
    </xf>
    <xf numFmtId="0" fontId="29" fillId="0" borderId="1" xfId="0" applyFont="1" applyBorder="1"/>
    <xf numFmtId="0" fontId="29" fillId="0" borderId="1" xfId="0" applyFont="1" applyBorder="1" applyAlignment="1">
      <alignment horizontal="center"/>
    </xf>
    <xf numFmtId="0" fontId="30" fillId="0" borderId="1" xfId="0" applyFont="1" applyBorder="1" applyAlignment="1">
      <alignment horizontal="center"/>
    </xf>
    <xf numFmtId="0" fontId="31" fillId="15" borderId="1" xfId="0" applyFont="1" applyFill="1" applyBorder="1" applyAlignment="1">
      <alignment horizontal="center"/>
    </xf>
    <xf numFmtId="0" fontId="32" fillId="0" borderId="1" xfId="0" applyFont="1" applyBorder="1" applyAlignment="1">
      <alignment horizontal="center"/>
    </xf>
    <xf numFmtId="0" fontId="29" fillId="0" borderId="1" xfId="0" applyFont="1" applyBorder="1" applyAlignment="1">
      <alignment horizontal="left" vertical="center" wrapText="1"/>
    </xf>
    <xf numFmtId="0" fontId="33" fillId="0" borderId="1" xfId="0" applyFont="1" applyBorder="1" applyAlignment="1">
      <alignment horizontal="center"/>
    </xf>
    <xf numFmtId="0" fontId="22" fillId="2" borderId="1" xfId="0" applyFont="1" applyFill="1" applyBorder="1" applyAlignment="1">
      <alignment horizontal="center" vertical="center" wrapText="1"/>
    </xf>
    <xf numFmtId="0" fontId="29" fillId="17" borderId="1" xfId="0" applyFont="1" applyFill="1" applyBorder="1" applyAlignment="1">
      <alignment vertical="center"/>
    </xf>
    <xf numFmtId="0" fontId="29" fillId="17" borderId="1" xfId="0" applyFont="1" applyFill="1" applyBorder="1" applyAlignment="1">
      <alignment vertical="center" wrapText="1"/>
    </xf>
    <xf numFmtId="0" fontId="29" fillId="0" borderId="1" xfId="0" applyFont="1" applyBorder="1" applyAlignment="1">
      <alignment vertical="center"/>
    </xf>
    <xf numFmtId="0" fontId="30" fillId="8" borderId="1" xfId="0" applyFont="1" applyFill="1" applyBorder="1" applyAlignment="1">
      <alignment horizontal="center"/>
    </xf>
    <xf numFmtId="165" fontId="29" fillId="0" borderId="1" xfId="0" applyNumberFormat="1" applyFont="1" applyBorder="1" applyAlignment="1">
      <alignment horizontal="right"/>
    </xf>
    <xf numFmtId="166" fontId="30" fillId="0" borderId="1" xfId="0" applyNumberFormat="1" applyFont="1" applyBorder="1" applyAlignment="1">
      <alignment horizontal="right"/>
    </xf>
    <xf numFmtId="0" fontId="42" fillId="0" borderId="1" xfId="0" applyFont="1" applyBorder="1" applyAlignment="1">
      <alignment horizontal="center"/>
    </xf>
    <xf numFmtId="0" fontId="43" fillId="0" borderId="1" xfId="0" applyFont="1" applyBorder="1" applyAlignment="1">
      <alignment vertical="center" wrapText="1"/>
    </xf>
    <xf numFmtId="0" fontId="30" fillId="15" borderId="1" xfId="0" applyFont="1" applyFill="1" applyBorder="1" applyAlignment="1">
      <alignment horizontal="center"/>
    </xf>
    <xf numFmtId="0" fontId="11" fillId="2" borderId="1" xfId="0" applyFont="1" applyFill="1" applyBorder="1" applyAlignment="1">
      <alignment horizontal="center"/>
    </xf>
    <xf numFmtId="0" fontId="0" fillId="2" borderId="1" xfId="0" applyFill="1" applyBorder="1"/>
    <xf numFmtId="165" fontId="11" fillId="2" borderId="1" xfId="0" applyNumberFormat="1" applyFont="1" applyFill="1" applyBorder="1" applyAlignment="1">
      <alignment horizontal="right"/>
    </xf>
    <xf numFmtId="166" fontId="11" fillId="2" borderId="1" xfId="0" applyNumberFormat="1" applyFont="1" applyFill="1" applyBorder="1" applyAlignment="1">
      <alignment horizontal="right"/>
    </xf>
    <xf numFmtId="166" fontId="29" fillId="0" borderId="1" xfId="0" applyNumberFormat="1" applyFont="1" applyBorder="1" applyAlignment="1">
      <alignment horizontal="right"/>
    </xf>
    <xf numFmtId="166" fontId="44" fillId="0" borderId="1" xfId="0" applyNumberFormat="1" applyFont="1" applyBorder="1" applyAlignment="1">
      <alignment horizontal="right"/>
    </xf>
    <xf numFmtId="0" fontId="45" fillId="0" borderId="1" xfId="0" applyFont="1" applyBorder="1" applyAlignment="1">
      <alignment vertical="center" wrapText="1"/>
    </xf>
    <xf numFmtId="0" fontId="22" fillId="4" borderId="1" xfId="0" applyFont="1" applyFill="1" applyBorder="1" applyAlignment="1">
      <alignment horizontal="center"/>
    </xf>
    <xf numFmtId="0" fontId="0" fillId="8" borderId="1" xfId="0" applyFill="1" applyBorder="1" applyAlignment="1">
      <alignment horizontal="center"/>
    </xf>
    <xf numFmtId="164" fontId="0" fillId="8" borderId="1" xfId="0" applyNumberFormat="1" applyFill="1" applyBorder="1" applyAlignment="1">
      <alignment horizontal="center"/>
    </xf>
    <xf numFmtId="0" fontId="47" fillId="0" borderId="1" xfId="0" applyFont="1" applyBorder="1"/>
    <xf numFmtId="0" fontId="0" fillId="15" borderId="1" xfId="0" applyFill="1" applyBorder="1"/>
    <xf numFmtId="0" fontId="12" fillId="15" borderId="1" xfId="0" applyFont="1" applyFill="1" applyBorder="1"/>
    <xf numFmtId="0" fontId="12" fillId="15" borderId="1" xfId="0" applyFont="1" applyFill="1" applyBorder="1" applyAlignment="1">
      <alignment horizontal="center"/>
    </xf>
    <xf numFmtId="164" fontId="12" fillId="15" borderId="1" xfId="0" applyNumberFormat="1" applyFont="1" applyFill="1" applyBorder="1" applyAlignment="1">
      <alignment horizont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0" xfId="0" applyFont="1" applyFill="1" applyAlignment="1">
      <alignment horizontal="center" vertical="center" wrapText="1"/>
    </xf>
    <xf numFmtId="0" fontId="48" fillId="0" borderId="1" xfId="0" applyFont="1" applyBorder="1" applyAlignment="1">
      <alignment vertical="center"/>
    </xf>
    <xf numFmtId="0" fontId="48" fillId="0" borderId="1" xfId="0" applyFont="1" applyBorder="1" applyAlignment="1">
      <alignment vertical="center" wrapText="1"/>
    </xf>
    <xf numFmtId="0" fontId="29" fillId="7" borderId="1" xfId="0" applyFont="1" applyFill="1" applyBorder="1" applyAlignment="1">
      <alignment vertical="center"/>
    </xf>
    <xf numFmtId="0" fontId="29" fillId="18" borderId="1" xfId="0" applyFont="1" applyFill="1" applyBorder="1" applyAlignment="1">
      <alignment vertical="center"/>
    </xf>
    <xf numFmtId="0" fontId="0" fillId="0" borderId="1" xfId="0" applyBorder="1" applyAlignment="1">
      <alignment horizontal="center" vertical="center"/>
    </xf>
    <xf numFmtId="0" fontId="12" fillId="0" borderId="1" xfId="0" applyFont="1" applyBorder="1" applyAlignment="1">
      <alignment vertical="center"/>
    </xf>
    <xf numFmtId="0" fontId="0" fillId="0" borderId="1" xfId="0" applyBorder="1" applyAlignment="1">
      <alignment vertical="center" wrapText="1"/>
    </xf>
    <xf numFmtId="0" fontId="11" fillId="5" borderId="1" xfId="0" applyFont="1" applyFill="1" applyBorder="1" applyAlignment="1">
      <alignment horizontal="center" vertical="center"/>
    </xf>
    <xf numFmtId="0" fontId="11" fillId="9" borderId="1" xfId="0" applyFont="1" applyFill="1" applyBorder="1" applyAlignment="1">
      <alignment horizontal="center" vertical="center"/>
    </xf>
    <xf numFmtId="0" fontId="11" fillId="6" borderId="1" xfId="0" applyFont="1" applyFill="1" applyBorder="1" applyAlignment="1">
      <alignment horizontal="center" vertical="center"/>
    </xf>
    <xf numFmtId="0" fontId="29" fillId="17" borderId="3" xfId="1" applyFont="1" applyFill="1" applyBorder="1" applyAlignment="1">
      <alignment vertical="center"/>
    </xf>
    <xf numFmtId="166" fontId="53" fillId="0" borderId="1" xfId="0" applyNumberFormat="1" applyFont="1" applyBorder="1" applyAlignment="1">
      <alignment horizontal="right"/>
    </xf>
    <xf numFmtId="166" fontId="54" fillId="0" borderId="1" xfId="0" applyNumberFormat="1" applyFont="1" applyBorder="1" applyAlignment="1">
      <alignment horizontal="right"/>
    </xf>
    <xf numFmtId="0" fontId="54" fillId="0" borderId="1" xfId="0" applyFont="1" applyBorder="1" applyAlignment="1">
      <alignment vertical="center" wrapText="1"/>
    </xf>
    <xf numFmtId="0" fontId="55" fillId="2" borderId="0" xfId="0" applyFont="1" applyFill="1" applyAlignment="1">
      <alignment horizontal="center" vertical="center" wrapText="1"/>
    </xf>
    <xf numFmtId="0" fontId="0" fillId="0" borderId="0" xfId="0" applyAlignment="1">
      <alignment vertical="center" wrapText="1"/>
    </xf>
    <xf numFmtId="0" fontId="0" fillId="0" borderId="0" xfId="0" applyAlignment="1">
      <alignment wrapText="1"/>
    </xf>
    <xf numFmtId="0" fontId="29" fillId="17" borderId="3" xfId="0" applyFont="1" applyFill="1" applyBorder="1" applyAlignment="1">
      <alignment vertical="center"/>
    </xf>
    <xf numFmtId="0" fontId="29" fillId="0" borderId="1" xfId="0" applyFont="1" applyBorder="1" applyAlignment="1">
      <alignment wrapText="1"/>
    </xf>
    <xf numFmtId="0" fontId="33" fillId="0" borderId="6" xfId="0" applyFont="1" applyBorder="1" applyAlignment="1">
      <alignment horizontal="center"/>
    </xf>
    <xf numFmtId="0" fontId="22" fillId="3" borderId="7" xfId="0" applyFont="1" applyFill="1" applyBorder="1" applyAlignment="1">
      <alignment horizontal="center" vertical="center" wrapText="1"/>
    </xf>
    <xf numFmtId="0" fontId="29" fillId="0" borderId="5" xfId="0" applyFont="1" applyBorder="1" applyAlignment="1">
      <alignment horizontal="center" wrapText="1"/>
    </xf>
    <xf numFmtId="0" fontId="34" fillId="0" borderId="6" xfId="0" applyFont="1" applyBorder="1" applyAlignment="1">
      <alignment horizontal="center"/>
    </xf>
    <xf numFmtId="0" fontId="29" fillId="19" borderId="1" xfId="0" applyFont="1" applyFill="1" applyBorder="1"/>
    <xf numFmtId="0" fontId="48" fillId="20" borderId="1" xfId="0" applyFont="1" applyFill="1" applyBorder="1" applyAlignment="1">
      <alignment vertical="center"/>
    </xf>
    <xf numFmtId="0" fontId="14" fillId="0" borderId="0" xfId="0" applyFont="1"/>
    <xf numFmtId="0" fontId="58" fillId="0" borderId="1" xfId="0" applyFont="1" applyBorder="1" applyAlignment="1">
      <alignment vertical="center"/>
    </xf>
    <xf numFmtId="0" fontId="58" fillId="0" borderId="1" xfId="0" applyFont="1" applyBorder="1" applyAlignment="1">
      <alignment vertical="center" wrapText="1"/>
    </xf>
    <xf numFmtId="0" fontId="59" fillId="0" borderId="0" xfId="0" applyFont="1"/>
    <xf numFmtId="0" fontId="60" fillId="0" borderId="1" xfId="0" applyFont="1" applyBorder="1" applyAlignment="1">
      <alignment vertical="center" wrapText="1"/>
    </xf>
    <xf numFmtId="0" fontId="61" fillId="0" borderId="0" xfId="0" applyFont="1"/>
    <xf numFmtId="0" fontId="53" fillId="0" borderId="1" xfId="0" applyFont="1" applyBorder="1"/>
    <xf numFmtId="0" fontId="53" fillId="0" borderId="1" xfId="0" applyFont="1" applyBorder="1" applyAlignment="1">
      <alignment wrapText="1"/>
    </xf>
    <xf numFmtId="0" fontId="53" fillId="0" borderId="1" xfId="0" applyFont="1" applyBorder="1" applyAlignment="1">
      <alignment horizontal="center"/>
    </xf>
    <xf numFmtId="0" fontId="62" fillId="0" borderId="1" xfId="0" applyFont="1" applyBorder="1" applyAlignment="1">
      <alignment horizontal="center"/>
    </xf>
    <xf numFmtId="0" fontId="62" fillId="15" borderId="1" xfId="0" applyFont="1" applyFill="1" applyBorder="1" applyAlignment="1">
      <alignment horizontal="center"/>
    </xf>
    <xf numFmtId="0" fontId="53" fillId="0" borderId="1" xfId="0" applyFont="1" applyBorder="1" applyAlignment="1">
      <alignment horizontal="left" vertical="center" wrapText="1"/>
    </xf>
    <xf numFmtId="0" fontId="53" fillId="0" borderId="6" xfId="0" applyFont="1" applyBorder="1" applyAlignment="1">
      <alignment horizontal="center"/>
    </xf>
    <xf numFmtId="0" fontId="53" fillId="0" borderId="5" xfId="0" applyFont="1" applyBorder="1" applyAlignment="1">
      <alignment horizontal="center" wrapText="1"/>
    </xf>
    <xf numFmtId="0" fontId="61" fillId="0" borderId="0" xfId="0" applyFont="1" applyAlignment="1">
      <alignment wrapText="1"/>
    </xf>
    <xf numFmtId="0" fontId="56" fillId="0" borderId="1" xfId="0" applyFont="1" applyBorder="1" applyAlignment="1">
      <alignment wrapText="1"/>
    </xf>
    <xf numFmtId="0" fontId="53" fillId="0" borderId="0" xfId="0" applyFont="1" applyAlignment="1">
      <alignment horizontal="center"/>
    </xf>
    <xf numFmtId="0" fontId="17" fillId="0" borderId="0" xfId="0" applyFont="1" applyAlignment="1">
      <alignment wrapText="1"/>
    </xf>
    <xf numFmtId="0" fontId="63" fillId="17" borderId="1" xfId="0" applyFont="1" applyFill="1" applyBorder="1" applyAlignment="1">
      <alignment vertical="center"/>
    </xf>
    <xf numFmtId="0" fontId="63" fillId="0" borderId="1" xfId="0" applyFont="1" applyBorder="1" applyAlignment="1">
      <alignment wrapText="1"/>
    </xf>
    <xf numFmtId="0" fontId="63" fillId="17" borderId="1" xfId="0" applyFont="1" applyFill="1" applyBorder="1" applyAlignment="1">
      <alignment vertical="center" wrapText="1"/>
    </xf>
    <xf numFmtId="0" fontId="64" fillId="0" borderId="0" xfId="0" applyFont="1"/>
    <xf numFmtId="0" fontId="63" fillId="0" borderId="1" xfId="0" applyFont="1" applyBorder="1" applyAlignment="1">
      <alignment vertical="center"/>
    </xf>
    <xf numFmtId="0" fontId="65" fillId="0" borderId="0" xfId="0" applyFont="1"/>
    <xf numFmtId="0" fontId="15" fillId="3" borderId="0" xfId="0" applyFont="1" applyFill="1" applyAlignment="1">
      <alignment vertical="center"/>
    </xf>
    <xf numFmtId="0" fontId="15" fillId="2" borderId="0" xfId="0" applyFont="1" applyFill="1"/>
    <xf numFmtId="0" fontId="21" fillId="2" borderId="0" xfId="0" applyFont="1" applyFill="1" applyAlignment="1">
      <alignment vertical="center"/>
    </xf>
    <xf numFmtId="0" fontId="11" fillId="3" borderId="0" xfId="0" applyFont="1" applyFill="1"/>
    <xf numFmtId="0" fontId="22" fillId="2" borderId="0" xfId="0" applyFont="1" applyFill="1" applyAlignment="1">
      <alignment vertical="center"/>
    </xf>
    <xf numFmtId="0" fontId="22" fillId="3" borderId="0" xfId="0" applyFont="1" applyFill="1" applyAlignment="1">
      <alignment vertical="center"/>
    </xf>
    <xf numFmtId="0" fontId="22" fillId="6" borderId="0" xfId="0" applyFont="1" applyFill="1" applyAlignment="1">
      <alignment vertical="center"/>
    </xf>
    <xf numFmtId="0" fontId="23" fillId="7" borderId="0" xfId="0" applyFont="1" applyFill="1" applyAlignment="1">
      <alignment vertical="center"/>
    </xf>
    <xf numFmtId="0" fontId="24" fillId="7" borderId="0" xfId="0" applyFont="1" applyFill="1" applyAlignment="1">
      <alignment vertical="center"/>
    </xf>
    <xf numFmtId="0" fontId="25" fillId="7" borderId="0" xfId="0" applyFont="1" applyFill="1" applyAlignment="1">
      <alignment vertical="center"/>
    </xf>
    <xf numFmtId="0" fontId="26" fillId="7" borderId="0" xfId="0" applyFont="1" applyFill="1" applyAlignment="1">
      <alignment vertical="center"/>
    </xf>
    <xf numFmtId="0" fontId="27" fillId="7" borderId="0" xfId="0" applyFont="1" applyFill="1" applyAlignment="1">
      <alignment vertical="center"/>
    </xf>
    <xf numFmtId="0" fontId="22" fillId="4" borderId="0" xfId="0" applyFont="1" applyFill="1" applyAlignment="1">
      <alignment vertical="center"/>
    </xf>
    <xf numFmtId="0" fontId="57" fillId="7" borderId="0" xfId="0" applyFont="1" applyFill="1" applyAlignment="1">
      <alignment vertical="center"/>
    </xf>
    <xf numFmtId="0" fontId="11" fillId="2" borderId="0" xfId="0" applyFont="1" applyFill="1"/>
    <xf numFmtId="0" fontId="11" fillId="3" borderId="1" xfId="0" applyFont="1" applyFill="1" applyBorder="1"/>
    <xf numFmtId="0" fontId="18" fillId="0" borderId="0" xfId="0" applyFont="1" applyAlignment="1">
      <alignment vertical="center"/>
    </xf>
    <xf numFmtId="0" fontId="19" fillId="0" borderId="0" xfId="0" applyFont="1" applyAlignment="1">
      <alignment vertical="center"/>
    </xf>
    <xf numFmtId="0" fontId="28" fillId="8" borderId="1" xfId="0" applyFont="1" applyFill="1" applyBorder="1"/>
    <xf numFmtId="0" fontId="28" fillId="0" borderId="1" xfId="0" applyFont="1" applyBorder="1"/>
    <xf numFmtId="0" fontId="15" fillId="13" borderId="0" xfId="0" applyFont="1" applyFill="1" applyAlignment="1">
      <alignment vertical="center"/>
    </xf>
    <xf numFmtId="0" fontId="15" fillId="16" borderId="0" xfId="0" applyFont="1" applyFill="1" applyAlignment="1">
      <alignment vertical="center"/>
    </xf>
    <xf numFmtId="0" fontId="15" fillId="4" borderId="0" xfId="0" applyFont="1" applyFill="1" applyAlignment="1">
      <alignment vertical="center"/>
    </xf>
    <xf numFmtId="0" fontId="15" fillId="6" borderId="0" xfId="0" applyFont="1" applyFill="1" applyAlignment="1">
      <alignment vertical="center"/>
    </xf>
    <xf numFmtId="0" fontId="15" fillId="14" borderId="0" xfId="0" applyFont="1" applyFill="1" applyAlignment="1">
      <alignment vertical="center"/>
    </xf>
    <xf numFmtId="0" fontId="15" fillId="10" borderId="0" xfId="0" applyFont="1" applyFill="1" applyAlignment="1">
      <alignment vertical="center"/>
    </xf>
    <xf numFmtId="0" fontId="66" fillId="22" borderId="5" xfId="0" applyFont="1" applyFill="1" applyBorder="1" applyAlignment="1">
      <alignment horizontal="center" vertical="center" wrapText="1"/>
    </xf>
    <xf numFmtId="0" fontId="66" fillId="20" borderId="5" xfId="0" applyFont="1" applyFill="1" applyBorder="1" applyAlignment="1">
      <alignment horizontal="center" vertical="center" wrapText="1"/>
    </xf>
    <xf numFmtId="0" fontId="66" fillId="22" borderId="5" xfId="0" applyFont="1" applyFill="1"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center"/>
    </xf>
    <xf numFmtId="49" fontId="0" fillId="0" borderId="5" xfId="0" applyNumberFormat="1" applyBorder="1" applyAlignment="1">
      <alignment horizontal="center" vertical="center"/>
    </xf>
    <xf numFmtId="0" fontId="0" fillId="0" borderId="5" xfId="0" applyBorder="1" applyAlignment="1">
      <alignment horizontal="center" vertical="center"/>
    </xf>
    <xf numFmtId="0" fontId="0" fillId="21" borderId="5" xfId="0" applyFill="1" applyBorder="1" applyAlignment="1">
      <alignment horizontal="center" vertical="center"/>
    </xf>
    <xf numFmtId="14" fontId="0" fillId="21" borderId="5" xfId="0" applyNumberFormat="1" applyFill="1" applyBorder="1" applyAlignment="1">
      <alignment horizontal="center"/>
    </xf>
    <xf numFmtId="0" fontId="0" fillId="23" borderId="5" xfId="0" applyFill="1" applyBorder="1" applyAlignment="1">
      <alignment horizontal="center" vertical="center"/>
    </xf>
    <xf numFmtId="14" fontId="0" fillId="0" borderId="5" xfId="0" applyNumberFormat="1" applyBorder="1" applyAlignment="1">
      <alignment horizontal="center" vertical="center"/>
    </xf>
    <xf numFmtId="0" fontId="67" fillId="0" borderId="5" xfId="0" applyFont="1" applyBorder="1" applyAlignment="1">
      <alignment horizontal="center" vertical="center"/>
    </xf>
    <xf numFmtId="49" fontId="0" fillId="0" borderId="5" xfId="0" quotePrefix="1" applyNumberFormat="1" applyBorder="1" applyAlignment="1">
      <alignment horizontal="center" vertical="center"/>
    </xf>
    <xf numFmtId="0" fontId="0" fillId="0" borderId="5" xfId="0" quotePrefix="1" applyBorder="1" applyAlignment="1">
      <alignment horizontal="center" vertical="center"/>
    </xf>
    <xf numFmtId="0" fontId="0" fillId="0" borderId="0" xfId="0" applyAlignment="1">
      <alignment horizontal="center"/>
    </xf>
    <xf numFmtId="49" fontId="0" fillId="0" borderId="8" xfId="0" applyNumberFormat="1" applyBorder="1" applyAlignment="1">
      <alignment horizontal="center"/>
    </xf>
    <xf numFmtId="0" fontId="0" fillId="0" borderId="9" xfId="0" applyBorder="1" applyAlignment="1">
      <alignment horizontal="center" vertical="center"/>
    </xf>
    <xf numFmtId="0" fontId="0" fillId="21" borderId="5" xfId="0" applyFill="1" applyBorder="1" applyAlignment="1">
      <alignment horizontal="center"/>
    </xf>
    <xf numFmtId="0" fontId="0" fillId="0" borderId="10" xfId="0" applyBorder="1" applyAlignment="1">
      <alignment horizontal="center"/>
    </xf>
    <xf numFmtId="49" fontId="0" fillId="0" borderId="10" xfId="0" quotePrefix="1" applyNumberFormat="1" applyBorder="1" applyAlignment="1">
      <alignment horizontal="center" vertical="center"/>
    </xf>
    <xf numFmtId="0" fontId="0" fillId="0" borderId="11" xfId="0" quotePrefix="1" applyBorder="1" applyAlignment="1">
      <alignment horizontal="center" vertical="center"/>
    </xf>
    <xf numFmtId="0" fontId="69" fillId="0" borderId="5" xfId="0" applyFont="1" applyBorder="1" applyAlignment="1">
      <alignment horizontal="center" vertical="center" wrapText="1"/>
    </xf>
    <xf numFmtId="0" fontId="0" fillId="0" borderId="9" xfId="0" applyBorder="1" applyAlignment="1">
      <alignment horizontal="center"/>
    </xf>
    <xf numFmtId="49" fontId="0" fillId="0" borderId="8" xfId="0" applyNumberFormat="1" applyBorder="1" applyAlignment="1">
      <alignment horizontal="center" vertical="center"/>
    </xf>
    <xf numFmtId="49" fontId="0" fillId="0" borderId="12" xfId="0" applyNumberFormat="1" applyBorder="1" applyAlignment="1">
      <alignment horizontal="center" vertical="center"/>
    </xf>
    <xf numFmtId="0" fontId="0" fillId="23" borderId="9" xfId="0"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xf>
    <xf numFmtId="49" fontId="0" fillId="0" borderId="14" xfId="0" applyNumberFormat="1" applyBorder="1" applyAlignment="1">
      <alignment horizontal="center" vertical="center"/>
    </xf>
    <xf numFmtId="0" fontId="0" fillId="0" borderId="15" xfId="0" applyBorder="1" applyAlignment="1">
      <alignment horizontal="center" vertical="center"/>
    </xf>
    <xf numFmtId="49" fontId="0" fillId="0" borderId="5" xfId="0" applyNumberFormat="1" applyBorder="1" applyAlignment="1">
      <alignment horizontal="center"/>
    </xf>
    <xf numFmtId="22" fontId="0" fillId="0" borderId="0" xfId="0" applyNumberFormat="1"/>
    <xf numFmtId="0" fontId="48" fillId="0" borderId="0" xfId="0" applyFont="1" applyAlignment="1">
      <alignment vertical="center"/>
    </xf>
    <xf numFmtId="0" fontId="0" fillId="0" borderId="3" xfId="0" applyBorder="1"/>
    <xf numFmtId="0" fontId="0" fillId="0" borderId="4" xfId="0" applyBorder="1"/>
    <xf numFmtId="0" fontId="56" fillId="17" borderId="0" xfId="1" applyFont="1" applyFill="1" applyAlignment="1">
      <alignment vertical="center" wrapText="1"/>
    </xf>
    <xf numFmtId="0" fontId="0" fillId="0" borderId="0" xfId="0" applyAlignment="1">
      <alignment vertical="center" wrapText="1"/>
    </xf>
    <xf numFmtId="22" fontId="0" fillId="0" borderId="0" xfId="0" applyNumberFormat="1" applyAlignment="1">
      <alignment vertical="center" wrapText="1"/>
    </xf>
    <xf numFmtId="0" fontId="10" fillId="2" borderId="0" xfId="0" applyFont="1" applyFill="1" applyAlignment="1">
      <alignment horizontal="center"/>
    </xf>
    <xf numFmtId="0" fontId="5" fillId="7" borderId="0" xfId="0" applyFont="1" applyFill="1" applyAlignment="1">
      <alignment horizontal="center" vertical="center"/>
    </xf>
    <xf numFmtId="0" fontId="6" fillId="7" borderId="0" xfId="0" applyFont="1" applyFill="1" applyAlignment="1">
      <alignment horizontal="center" vertical="center"/>
    </xf>
    <xf numFmtId="0" fontId="7" fillId="7" borderId="0" xfId="0" applyFont="1" applyFill="1" applyAlignment="1">
      <alignment horizontal="center" vertical="center"/>
    </xf>
    <xf numFmtId="0" fontId="8" fillId="7" borderId="0" xfId="0" applyFont="1" applyFill="1" applyAlignment="1">
      <alignment horizontal="center" vertical="center"/>
    </xf>
    <xf numFmtId="0" fontId="9" fillId="7" borderId="0" xfId="0" applyFont="1" applyFill="1" applyAlignment="1">
      <alignment horizontal="center" vertical="center"/>
    </xf>
    <xf numFmtId="0" fontId="2" fillId="2" borderId="0" xfId="0" applyFont="1" applyFill="1" applyAlignment="1">
      <alignment horizontal="center" vertical="center"/>
    </xf>
    <xf numFmtId="0" fontId="3" fillId="0" borderId="0" xfId="0" applyFont="1" applyAlignment="1">
      <alignment horizontal="center"/>
    </xf>
    <xf numFmtId="0" fontId="4" fillId="2" borderId="0" xfId="0" applyFont="1" applyFill="1" applyAlignment="1">
      <alignment horizontal="center" vertical="center"/>
    </xf>
    <xf numFmtId="0" fontId="4" fillId="3" borderId="0" xfId="0" applyFont="1" applyFill="1" applyAlignment="1">
      <alignment horizontal="center" vertical="center"/>
    </xf>
    <xf numFmtId="0" fontId="4" fillId="4" borderId="0" xfId="0" applyFont="1" applyFill="1" applyAlignment="1">
      <alignment horizontal="center" vertical="center"/>
    </xf>
    <xf numFmtId="0" fontId="4" fillId="5" borderId="0" xfId="0" applyFont="1" applyFill="1" applyAlignment="1">
      <alignment horizontal="center" vertical="center"/>
    </xf>
    <xf numFmtId="0" fontId="4" fillId="6" borderId="0" xfId="0" applyFont="1" applyFill="1" applyAlignment="1">
      <alignment horizontal="center" vertical="center"/>
    </xf>
    <xf numFmtId="0" fontId="18" fillId="0" borderId="0" xfId="0" applyFont="1" applyAlignment="1">
      <alignment vertical="center" wrapText="1"/>
    </xf>
    <xf numFmtId="0" fontId="20" fillId="0" borderId="0" xfId="0" applyFont="1"/>
    <xf numFmtId="0" fontId="18" fillId="0" borderId="0" xfId="0" applyFont="1" applyAlignment="1">
      <alignment horizontal="left" vertical="center"/>
    </xf>
    <xf numFmtId="0" fontId="15" fillId="3" borderId="0" xfId="0" applyFont="1" applyFill="1" applyAlignment="1">
      <alignment horizontal="center"/>
    </xf>
    <xf numFmtId="0" fontId="15" fillId="2" borderId="0" xfId="0" applyFont="1" applyFill="1" applyAlignment="1">
      <alignment horizontal="center" vertical="center"/>
    </xf>
    <xf numFmtId="0" fontId="13" fillId="2" borderId="0" xfId="0" applyFont="1" applyFill="1" applyAlignment="1">
      <alignment horizontal="center" vertical="center"/>
    </xf>
    <xf numFmtId="0" fontId="14" fillId="0" borderId="0" xfId="0" applyFont="1"/>
    <xf numFmtId="0" fontId="46" fillId="0" borderId="1" xfId="0" applyFont="1" applyBorder="1" applyAlignment="1">
      <alignment vertical="center" wrapText="1"/>
    </xf>
    <xf numFmtId="0" fontId="15" fillId="4" borderId="0" xfId="0" applyFont="1" applyFill="1" applyAlignment="1">
      <alignment horizontal="center"/>
    </xf>
    <xf numFmtId="0" fontId="22" fillId="4" borderId="1" xfId="0" applyFont="1" applyFill="1" applyBorder="1" applyAlignment="1">
      <alignment horizontal="center"/>
    </xf>
    <xf numFmtId="0" fontId="12" fillId="7" borderId="1" xfId="0" applyFont="1" applyFill="1" applyBorder="1"/>
    <xf numFmtId="0" fontId="0" fillId="0" borderId="1" xfId="0" applyBorder="1"/>
    <xf numFmtId="0" fontId="41" fillId="0" borderId="1" xfId="0" applyFont="1" applyBorder="1" applyAlignment="1">
      <alignment horizontal="right"/>
    </xf>
    <xf numFmtId="0" fontId="11" fillId="3" borderId="0" xfId="0" applyFont="1" applyFill="1" applyAlignment="1">
      <alignment horizontal="center"/>
    </xf>
    <xf numFmtId="0" fontId="36" fillId="7" borderId="0" xfId="0" applyFont="1" applyFill="1" applyAlignment="1">
      <alignment horizontal="center" vertical="center"/>
    </xf>
    <xf numFmtId="0" fontId="37" fillId="7" borderId="0" xfId="0" applyFont="1" applyFill="1" applyAlignment="1">
      <alignment horizontal="center" vertical="center"/>
    </xf>
    <xf numFmtId="0" fontId="38" fillId="7" borderId="0" xfId="0" applyFont="1" applyFill="1" applyAlignment="1">
      <alignment horizontal="center" vertical="center"/>
    </xf>
    <xf numFmtId="0" fontId="39" fillId="7" borderId="0" xfId="0" applyFont="1" applyFill="1" applyAlignment="1">
      <alignment horizontal="center" vertical="center"/>
    </xf>
    <xf numFmtId="0" fontId="40" fillId="0" borderId="0" xfId="0" applyFont="1" applyAlignment="1">
      <alignment horizontal="center" vertical="center" wrapText="1"/>
    </xf>
    <xf numFmtId="0" fontId="14" fillId="0" borderId="0" xfId="0" applyFont="1" applyAlignment="1">
      <alignment horizontal="center"/>
    </xf>
    <xf numFmtId="0" fontId="15" fillId="3" borderId="0" xfId="0" applyFont="1" applyFill="1" applyAlignment="1">
      <alignment horizontal="center" vertical="center"/>
    </xf>
    <xf numFmtId="0" fontId="35" fillId="2" borderId="0" xfId="0" applyFont="1" applyFill="1" applyAlignment="1">
      <alignment horizontal="center" vertical="center"/>
    </xf>
    <xf numFmtId="0" fontId="35" fillId="6" borderId="0" xfId="0" applyFont="1" applyFill="1" applyAlignment="1">
      <alignment horizontal="center" vertical="center"/>
    </xf>
    <xf numFmtId="0" fontId="35" fillId="3" borderId="0" xfId="0" applyFont="1" applyFill="1" applyAlignment="1">
      <alignment horizontal="center" vertical="center"/>
    </xf>
    <xf numFmtId="0" fontId="35" fillId="4" borderId="0" xfId="0" applyFont="1" applyFill="1" applyAlignment="1">
      <alignment horizontal="center" vertical="center"/>
    </xf>
    <xf numFmtId="0" fontId="15" fillId="2" borderId="0" xfId="0" applyFont="1" applyFill="1" applyAlignment="1">
      <alignment horizontal="center"/>
    </xf>
    <xf numFmtId="0" fontId="49" fillId="2" borderId="0" xfId="0" applyFont="1" applyFill="1" applyAlignment="1">
      <alignment horizontal="center"/>
    </xf>
    <xf numFmtId="0" fontId="50" fillId="0" borderId="0" xfId="0" applyFont="1"/>
    <xf numFmtId="0" fontId="51" fillId="2" borderId="0" xfId="0" applyFont="1" applyFill="1" applyAlignment="1">
      <alignment horizontal="center" vertical="center"/>
    </xf>
  </cellXfs>
  <cellStyles count="4">
    <cellStyle name="Normal" xfId="0" builtinId="0"/>
    <cellStyle name="Normal 2" xfId="2" xr:uid="{480E3E10-C943-4998-8638-F757EE466DFC}"/>
    <cellStyle name="Normal 3" xfId="1" xr:uid="{92ECAF47-CAFA-40D1-9487-E8CE983AA330}"/>
    <cellStyle name="Normal 4" xfId="3" xr:uid="{34CBD04F-B384-4B5D-AC2F-D9BF524A06AA}"/>
  </cellStyles>
  <dxfs count="26">
    <dxf>
      <font>
        <b/>
        <color rgb="FF9C0006"/>
      </font>
      <fill>
        <patternFill>
          <bgColor rgb="FFFFC7CE"/>
        </patternFill>
      </fill>
    </dxf>
    <dxf>
      <fill>
        <patternFill>
          <bgColor rgb="FFE2EFDA"/>
        </patternFill>
      </fill>
    </dxf>
    <dxf>
      <fill>
        <patternFill>
          <bgColor rgb="FFD9E1F2"/>
        </patternFill>
      </fill>
    </dxf>
    <dxf>
      <fill>
        <patternFill>
          <bgColor rgb="FFFCE4D6"/>
        </patternFill>
      </fill>
    </dxf>
    <dxf>
      <fill>
        <patternFill>
          <bgColor rgb="FFFFEB9C"/>
        </patternFill>
      </fill>
    </dxf>
    <dxf>
      <font>
        <color rgb="FF006100"/>
      </font>
      <fill>
        <patternFill>
          <bgColor rgb="FFC6EFCE"/>
        </patternFill>
      </fill>
    </dxf>
    <dxf>
      <fill>
        <patternFill>
          <bgColor rgb="FFD9E1F2"/>
        </patternFill>
      </fill>
    </dxf>
    <dxf>
      <fill>
        <patternFill>
          <bgColor rgb="FFFCE4D6"/>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000080"/>
      <rgbColor rgb="FFB8860B"/>
      <rgbColor rgb="FF800080"/>
      <rgbColor rgb="FF008080"/>
      <rgbColor rgb="FFBFBFBF"/>
      <rgbColor rgb="FF7F7F7F"/>
      <rgbColor rgb="FF9999FF"/>
      <rgbColor rgb="FF7030A0"/>
      <rgbColor rgb="FFF9F9F9"/>
      <rgbColor rgb="FFE2EFDA"/>
      <rgbColor rgb="FF660066"/>
      <rgbColor rgb="FFED7D31"/>
      <rgbColor rgb="FF0066CC"/>
      <rgbColor rgb="FFD9D9D9"/>
      <rgbColor rgb="FF000080"/>
      <rgbColor rgb="FFFF00FF"/>
      <rgbColor rgb="FFFFFF00"/>
      <rgbColor rgb="FF00FFFF"/>
      <rgbColor rgb="FF800080"/>
      <rgbColor rgb="FF800000"/>
      <rgbColor rgb="FF008080"/>
      <rgbColor rgb="FF0000FF"/>
      <rgbColor rgb="FF00B0F0"/>
      <rgbColor rgb="FFF2F2F2"/>
      <rgbColor rgb="FFC6EFCE"/>
      <rgbColor rgb="FFFFEB9C"/>
      <rgbColor rgb="FFD9E1F2"/>
      <rgbColor rgb="FFFCE4D6"/>
      <rgbColor rgb="FFF8F8F8"/>
      <rgbColor rgb="FFFFC7CE"/>
      <rgbColor rgb="FF4472C4"/>
      <rgbColor rgb="FF70AD47"/>
      <rgbColor rgb="FF9BBB59"/>
      <rgbColor rgb="FFFFC000"/>
      <rgbColor rgb="FFFF9900"/>
      <rgbColor rgb="FFF26522"/>
      <rgbColor rgb="FF595959"/>
      <rgbColor rgb="FF878787"/>
      <rgbColor rgb="FF1F3864"/>
      <rgbColor rgb="FF4F81BD"/>
      <rgbColor rgb="FF003300"/>
      <rgbColor rgb="FF333300"/>
      <rgbColor rgb="FF8B4513"/>
      <rgbColor rgb="FFC0504D"/>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800" b="1" strike="noStrike" spc="-1">
                <a:solidFill>
                  <a:srgbClr val="000000"/>
                </a:solidFill>
                <a:latin typeface="Calibri"/>
              </a:defRPr>
            </a:pPr>
            <a:r>
              <a:rPr lang="pt-BR" sz="1800" b="1" strike="noStrike" spc="-1">
                <a:solidFill>
                  <a:srgbClr val="000000"/>
                </a:solidFill>
                <a:latin typeface="Calibri"/>
              </a:rPr>
              <a:t>SS por Equipamento/Categoria</a:t>
            </a:r>
          </a:p>
        </c:rich>
      </c:tx>
      <c:overlay val="0"/>
      <c:spPr>
        <a:noFill/>
        <a:ln w="0">
          <a:noFill/>
        </a:ln>
      </c:spPr>
    </c:title>
    <c:autoTitleDeleted val="0"/>
    <c:plotArea>
      <c:layout/>
      <c:barChart>
        <c:barDir val="bar"/>
        <c:grouping val="clustered"/>
        <c:varyColors val="0"/>
        <c:ser>
          <c:idx val="0"/>
          <c:order val="0"/>
          <c:tx>
            <c:strRef>
              <c:f>Dashboard!$C$12</c:f>
              <c:strCache>
                <c:ptCount val="1"/>
                <c:pt idx="0">
                  <c:v>Qtd</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pt-BR"/>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Dashboard!$B$13:$B$17</c:f>
              <c:strCache>
                <c:ptCount val="5"/>
                <c:pt idx="0">
                  <c:v>EQUIPAMENTO ESPECIAL</c:v>
                </c:pt>
                <c:pt idx="1">
                  <c:v>CABOS FORA COEP</c:v>
                </c:pt>
                <c:pt idx="2">
                  <c:v>PLANO DE MEDIDAS</c:v>
                </c:pt>
                <c:pt idx="3">
                  <c:v>MELHORIA DE REDE</c:v>
                </c:pt>
                <c:pt idx="4">
                  <c:v>LIMPEZA DE FAIXA</c:v>
                </c:pt>
              </c:strCache>
            </c:strRef>
          </c:cat>
          <c:val>
            <c:numRef>
              <c:f>Dashboard!$C$13:$C$17</c:f>
              <c:numCache>
                <c:formatCode>General</c:formatCode>
                <c:ptCount val="5"/>
                <c:pt idx="0">
                  <c:v>136</c:v>
                </c:pt>
                <c:pt idx="1">
                  <c:v>30</c:v>
                </c:pt>
                <c:pt idx="2">
                  <c:v>12</c:v>
                </c:pt>
                <c:pt idx="3">
                  <c:v>3</c:v>
                </c:pt>
                <c:pt idx="4">
                  <c:v>2</c:v>
                </c:pt>
              </c:numCache>
            </c:numRef>
          </c:val>
          <c:extLst>
            <c:ext xmlns:c16="http://schemas.microsoft.com/office/drawing/2014/chart" uri="{C3380CC4-5D6E-409C-BE32-E72D297353CC}">
              <c16:uniqueId val="{00000000-D19E-41EC-AFEC-2C9C4B3DBF52}"/>
            </c:ext>
          </c:extLst>
        </c:ser>
        <c:dLbls>
          <c:showLegendKey val="0"/>
          <c:showVal val="0"/>
          <c:showCatName val="0"/>
          <c:showSerName val="0"/>
          <c:showPercent val="0"/>
          <c:showBubbleSize val="0"/>
        </c:dLbls>
        <c:gapWidth val="150"/>
        <c:axId val="4856656"/>
        <c:axId val="38556012"/>
      </c:barChart>
      <c:catAx>
        <c:axId val="4856656"/>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pt-BR"/>
          </a:p>
        </c:txPr>
        <c:crossAx val="38556012"/>
        <c:crosses val="autoZero"/>
        <c:auto val="1"/>
        <c:lblAlgn val="ctr"/>
        <c:lblOffset val="100"/>
        <c:noMultiLvlLbl val="0"/>
      </c:catAx>
      <c:valAx>
        <c:axId val="38556012"/>
        <c:scaling>
          <c:orientation val="minMax"/>
        </c:scaling>
        <c:delete val="0"/>
        <c:axPos val="b"/>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pt-BR"/>
          </a:p>
        </c:txPr>
        <c:crossAx val="485665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800" b="1" strike="noStrike" spc="-1">
                <a:solidFill>
                  <a:srgbClr val="000000"/>
                </a:solidFill>
                <a:latin typeface="Calibri"/>
              </a:defRPr>
            </a:pPr>
            <a:r>
              <a:rPr lang="pt-BR" sz="1800" b="1" strike="noStrike" spc="-1">
                <a:solidFill>
                  <a:srgbClr val="000000"/>
                </a:solidFill>
                <a:latin typeface="Calibri"/>
              </a:rPr>
              <a:t>Distribuição por Status</a:t>
            </a:r>
          </a:p>
        </c:rich>
      </c:tx>
      <c:overlay val="0"/>
      <c:spPr>
        <a:noFill/>
        <a:ln w="0">
          <a:noFill/>
        </a:ln>
      </c:spPr>
    </c:title>
    <c:autoTitleDeleted val="0"/>
    <c:plotArea>
      <c:layout/>
      <c:doughnutChart>
        <c:varyColors val="1"/>
        <c:ser>
          <c:idx val="0"/>
          <c:order val="0"/>
          <c:tx>
            <c:strRef>
              <c:f>Dashboard!$H$12</c:f>
              <c:strCache>
                <c:ptCount val="1"/>
                <c:pt idx="0">
                  <c:v>Qtd</c:v>
                </c:pt>
              </c:strCache>
            </c:strRef>
          </c:tx>
          <c:spPr>
            <a:solidFill>
              <a:srgbClr val="4F81BD"/>
            </a:solidFill>
            <a:ln w="0">
              <a:noFill/>
            </a:ln>
          </c:spPr>
          <c:dPt>
            <c:idx val="0"/>
            <c:bubble3D val="0"/>
            <c:extLst>
              <c:ext xmlns:c16="http://schemas.microsoft.com/office/drawing/2014/chart" uri="{C3380CC4-5D6E-409C-BE32-E72D297353CC}">
                <c16:uniqueId val="{00000001-5FCA-40CF-BEFF-81FC58DD43C6}"/>
              </c:ext>
            </c:extLst>
          </c:dPt>
          <c:dPt>
            <c:idx val="1"/>
            <c:bubble3D val="0"/>
            <c:spPr>
              <a:solidFill>
                <a:srgbClr val="C0504D"/>
              </a:solidFill>
              <a:ln w="0">
                <a:noFill/>
              </a:ln>
            </c:spPr>
            <c:extLst>
              <c:ext xmlns:c16="http://schemas.microsoft.com/office/drawing/2014/chart" uri="{C3380CC4-5D6E-409C-BE32-E72D297353CC}">
                <c16:uniqueId val="{00000003-5FCA-40CF-BEFF-81FC58DD43C6}"/>
              </c:ext>
            </c:extLst>
          </c:dPt>
          <c:dPt>
            <c:idx val="2"/>
            <c:bubble3D val="0"/>
            <c:spPr>
              <a:solidFill>
                <a:srgbClr val="9BBB59"/>
              </a:solidFill>
              <a:ln w="0">
                <a:noFill/>
              </a:ln>
            </c:spPr>
            <c:extLst>
              <c:ext xmlns:c16="http://schemas.microsoft.com/office/drawing/2014/chart" uri="{C3380CC4-5D6E-409C-BE32-E72D297353CC}">
                <c16:uniqueId val="{00000005-5FCA-40CF-BEFF-81FC58DD43C6}"/>
              </c:ext>
            </c:extLst>
          </c:dPt>
          <c:dLbls>
            <c:dLbl>
              <c:idx val="0"/>
              <c:spPr/>
              <c:txPr>
                <a:bodyPr wrap="square"/>
                <a:lstStyle/>
                <a:p>
                  <a:pPr>
                    <a:defRPr sz="1000" b="0" strike="noStrike" spc="-1">
                      <a:solidFill>
                        <a:srgbClr val="000000"/>
                      </a:solidFill>
                      <a:latin typeface="Calibri"/>
                    </a:defRPr>
                  </a:pPr>
                  <a:endParaRPr lang="pt-BR"/>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5FCA-40CF-BEFF-81FC58DD43C6}"/>
                </c:ext>
              </c:extLst>
            </c:dLbl>
            <c:dLbl>
              <c:idx val="1"/>
              <c:spPr/>
              <c:txPr>
                <a:bodyPr wrap="square"/>
                <a:lstStyle/>
                <a:p>
                  <a:pPr>
                    <a:defRPr sz="1000" b="0" strike="noStrike" spc="-1">
                      <a:solidFill>
                        <a:srgbClr val="000000"/>
                      </a:solidFill>
                      <a:latin typeface="Calibri"/>
                    </a:defRPr>
                  </a:pPr>
                  <a:endParaRPr lang="pt-BR"/>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5FCA-40CF-BEFF-81FC58DD43C6}"/>
                </c:ext>
              </c:extLst>
            </c:dLbl>
            <c:dLbl>
              <c:idx val="2"/>
              <c:spPr/>
              <c:txPr>
                <a:bodyPr wrap="square"/>
                <a:lstStyle/>
                <a:p>
                  <a:pPr>
                    <a:defRPr sz="1000" b="0" strike="noStrike" spc="-1">
                      <a:solidFill>
                        <a:srgbClr val="000000"/>
                      </a:solidFill>
                      <a:latin typeface="Calibri"/>
                    </a:defRPr>
                  </a:pPr>
                  <a:endParaRPr lang="pt-BR"/>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5FCA-40CF-BEFF-81FC58DD43C6}"/>
                </c:ext>
              </c:extLst>
            </c:dLbl>
            <c:spPr>
              <a:noFill/>
              <a:ln>
                <a:noFill/>
              </a:ln>
              <a:effectLst/>
            </c:spPr>
            <c:txPr>
              <a:bodyPr wrap="square"/>
              <a:lstStyle/>
              <a:p>
                <a:pPr>
                  <a:defRPr sz="1000" b="0" strike="noStrike" spc="-1">
                    <a:solidFill>
                      <a:srgbClr val="000000"/>
                    </a:solidFill>
                    <a:latin typeface="Calibri"/>
                  </a:defRPr>
                </a:pPr>
                <a:endParaRPr lang="pt-BR"/>
              </a:p>
            </c:txPr>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Dashboard!$G$13:$G$15</c:f>
              <c:strCache>
                <c:ptCount val="3"/>
                <c:pt idx="0">
                  <c:v>PENDÊNCIA DCMD</c:v>
                </c:pt>
                <c:pt idx="1">
                  <c:v>PENDÊNCIA DMSL</c:v>
                </c:pt>
                <c:pt idx="2">
                  <c:v>CONCLUÍDO</c:v>
                </c:pt>
              </c:strCache>
            </c:strRef>
          </c:cat>
          <c:val>
            <c:numRef>
              <c:f>Dashboard!$H$13:$H$15</c:f>
              <c:numCache>
                <c:formatCode>General</c:formatCode>
                <c:ptCount val="3"/>
                <c:pt idx="0">
                  <c:v>148</c:v>
                </c:pt>
                <c:pt idx="1">
                  <c:v>34</c:v>
                </c:pt>
                <c:pt idx="2">
                  <c:v>1</c:v>
                </c:pt>
              </c:numCache>
            </c:numRef>
          </c:val>
          <c:extLst>
            <c:ext xmlns:c16="http://schemas.microsoft.com/office/drawing/2014/chart" uri="{C3380CC4-5D6E-409C-BE32-E72D297353CC}">
              <c16:uniqueId val="{00000006-5FCA-40CF-BEFF-81FC58DD43C6}"/>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r"/>
      <c:layout>
        <c:manualLayout>
          <c:xMode val="edge"/>
          <c:yMode val="edge"/>
          <c:x val="0.68558867493185605"/>
          <c:y val="0.44866868118509301"/>
          <c:w val="0.31441132506814401"/>
          <c:h val="0.23929665520475199"/>
        </c:manualLayout>
      </c:layout>
      <c:overlay val="0"/>
      <c:spPr>
        <a:noFill/>
        <a:ln w="0">
          <a:noFill/>
        </a:ln>
      </c:spPr>
      <c:txPr>
        <a:bodyPr/>
        <a:lstStyle/>
        <a:p>
          <a:pPr>
            <a:defRPr sz="1000" b="0" strike="noStrike" spc="-1">
              <a:solidFill>
                <a:srgbClr val="000000"/>
              </a:solidFill>
              <a:latin typeface="Calibri"/>
            </a:defRPr>
          </a:pPr>
          <a:endParaRPr lang="pt-BR"/>
        </a:p>
      </c:txPr>
    </c:legend>
    <c:plotVisOnly val="1"/>
    <c:dispBlanksAs val="gap"/>
    <c:showDLblsOverMax val="1"/>
  </c:chart>
  <c:spPr>
    <a:solidFill>
      <a:srgbClr val="FFFFFF"/>
    </a:solidFill>
    <a:ln w="936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800" b="1" strike="noStrike" spc="-1">
                <a:solidFill>
                  <a:srgbClr val="000000"/>
                </a:solidFill>
                <a:latin typeface="Calibri"/>
              </a:defRPr>
            </a:pPr>
            <a:r>
              <a:rPr lang="pt-BR" sz="1800" b="1" strike="noStrike" spc="-1">
                <a:solidFill>
                  <a:srgbClr val="000000"/>
                </a:solidFill>
                <a:latin typeface="Calibri"/>
              </a:rPr>
              <a:t>SS por Grupo de Análise</a:t>
            </a:r>
          </a:p>
        </c:rich>
      </c:tx>
      <c:overlay val="0"/>
      <c:spPr>
        <a:noFill/>
        <a:ln w="0">
          <a:noFill/>
        </a:ln>
      </c:spPr>
    </c:title>
    <c:autoTitleDeleted val="0"/>
    <c:plotArea>
      <c:layout/>
      <c:barChart>
        <c:barDir val="col"/>
        <c:grouping val="clustered"/>
        <c:varyColors val="0"/>
        <c:ser>
          <c:idx val="0"/>
          <c:order val="0"/>
          <c:tx>
            <c:strRef>
              <c:f>Dashboard!$C$21</c:f>
              <c:strCache>
                <c:ptCount val="1"/>
                <c:pt idx="0">
                  <c:v>Qtd</c:v>
                </c:pt>
              </c:strCache>
            </c:strRef>
          </c:tx>
          <c:spPr>
            <a:solidFill>
              <a:srgbClr val="C0504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pt-BR"/>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Dashboard!$B$22:$B$25</c:f>
              <c:strCache>
                <c:ptCount val="4"/>
                <c:pt idx="0">
                  <c:v>MANUTENÇÃO</c:v>
                </c:pt>
                <c:pt idx="1">
                  <c:v>REPASSE</c:v>
                </c:pt>
                <c:pt idx="2">
                  <c:v>ANÁLISE</c:v>
                </c:pt>
                <c:pt idx="3">
                  <c:v>COMPRA</c:v>
                </c:pt>
              </c:strCache>
            </c:strRef>
          </c:cat>
          <c:val>
            <c:numRef>
              <c:f>Dashboard!$C$22:$C$25</c:f>
              <c:numCache>
                <c:formatCode>General</c:formatCode>
                <c:ptCount val="4"/>
                <c:pt idx="0">
                  <c:v>107</c:v>
                </c:pt>
                <c:pt idx="1">
                  <c:v>54</c:v>
                </c:pt>
                <c:pt idx="2">
                  <c:v>20</c:v>
                </c:pt>
                <c:pt idx="3">
                  <c:v>2</c:v>
                </c:pt>
              </c:numCache>
            </c:numRef>
          </c:val>
          <c:extLst>
            <c:ext xmlns:c16="http://schemas.microsoft.com/office/drawing/2014/chart" uri="{C3380CC4-5D6E-409C-BE32-E72D297353CC}">
              <c16:uniqueId val="{00000000-4440-4D71-94F8-98F6D5ADC053}"/>
            </c:ext>
          </c:extLst>
        </c:ser>
        <c:dLbls>
          <c:showLegendKey val="0"/>
          <c:showVal val="0"/>
          <c:showCatName val="0"/>
          <c:showSerName val="0"/>
          <c:showPercent val="0"/>
          <c:showBubbleSize val="0"/>
        </c:dLbls>
        <c:gapWidth val="150"/>
        <c:axId val="26510930"/>
        <c:axId val="86787365"/>
      </c:barChart>
      <c:catAx>
        <c:axId val="2651093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pt-BR"/>
          </a:p>
        </c:txPr>
        <c:crossAx val="86787365"/>
        <c:crosses val="autoZero"/>
        <c:auto val="1"/>
        <c:lblAlgn val="ctr"/>
        <c:lblOffset val="100"/>
        <c:noMultiLvlLbl val="0"/>
      </c:catAx>
      <c:valAx>
        <c:axId val="86787365"/>
        <c:scaling>
          <c:orientation val="minMax"/>
        </c:scaling>
        <c:delete val="0"/>
        <c:axPos val="l"/>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pt-BR"/>
          </a:p>
        </c:txPr>
        <c:crossAx val="2651093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doughnutChart>
        <c:varyColors val="1"/>
        <c:ser>
          <c:idx val="0"/>
          <c:order val="0"/>
          <c:tx>
            <c:strRef>
              <c:f>'Análise Detalhada'!$C$6</c:f>
              <c:strCache>
                <c:ptCount val="1"/>
                <c:pt idx="0">
                  <c:v>Qtd</c:v>
                </c:pt>
              </c:strCache>
            </c:strRef>
          </c:tx>
          <c:spPr>
            <a:solidFill>
              <a:srgbClr val="4F81BD"/>
            </a:solidFill>
            <a:ln w="0">
              <a:noFill/>
            </a:ln>
          </c:spPr>
          <c:dPt>
            <c:idx val="0"/>
            <c:bubble3D val="0"/>
            <c:spPr>
              <a:solidFill>
                <a:srgbClr val="F26522"/>
              </a:solidFill>
              <a:ln w="0">
                <a:noFill/>
              </a:ln>
            </c:spPr>
            <c:extLst>
              <c:ext xmlns:c16="http://schemas.microsoft.com/office/drawing/2014/chart" uri="{C3380CC4-5D6E-409C-BE32-E72D297353CC}">
                <c16:uniqueId val="{00000001-9DF6-4927-BC4F-2E7906C97F75}"/>
              </c:ext>
            </c:extLst>
          </c:dPt>
          <c:dPt>
            <c:idx val="1"/>
            <c:bubble3D val="0"/>
            <c:spPr>
              <a:solidFill>
                <a:srgbClr val="1F3864"/>
              </a:solidFill>
              <a:ln w="0">
                <a:noFill/>
              </a:ln>
            </c:spPr>
            <c:extLst>
              <c:ext xmlns:c16="http://schemas.microsoft.com/office/drawing/2014/chart" uri="{C3380CC4-5D6E-409C-BE32-E72D297353CC}">
                <c16:uniqueId val="{00000003-9DF6-4927-BC4F-2E7906C97F75}"/>
              </c:ext>
            </c:extLst>
          </c:dPt>
          <c:dPt>
            <c:idx val="2"/>
            <c:bubble3D val="0"/>
            <c:spPr>
              <a:solidFill>
                <a:srgbClr val="70AD47"/>
              </a:solidFill>
              <a:ln w="0">
                <a:noFill/>
              </a:ln>
            </c:spPr>
            <c:extLst>
              <c:ext xmlns:c16="http://schemas.microsoft.com/office/drawing/2014/chart" uri="{C3380CC4-5D6E-409C-BE32-E72D297353CC}">
                <c16:uniqueId val="{00000005-9DF6-4927-BC4F-2E7906C97F75}"/>
              </c:ext>
            </c:extLst>
          </c:dPt>
          <c:dPt>
            <c:idx val="3"/>
            <c:bubble3D val="0"/>
            <c:spPr>
              <a:solidFill>
                <a:srgbClr val="FFC000"/>
              </a:solidFill>
              <a:ln w="0">
                <a:noFill/>
              </a:ln>
            </c:spPr>
            <c:extLst>
              <c:ext xmlns:c16="http://schemas.microsoft.com/office/drawing/2014/chart" uri="{C3380CC4-5D6E-409C-BE32-E72D297353CC}">
                <c16:uniqueId val="{00000007-9DF6-4927-BC4F-2E7906C97F75}"/>
              </c:ext>
            </c:extLst>
          </c:dPt>
          <c:dPt>
            <c:idx val="4"/>
            <c:bubble3D val="0"/>
            <c:spPr>
              <a:solidFill>
                <a:srgbClr val="C00000"/>
              </a:solidFill>
              <a:ln w="0">
                <a:noFill/>
              </a:ln>
            </c:spPr>
            <c:extLst>
              <c:ext xmlns:c16="http://schemas.microsoft.com/office/drawing/2014/chart" uri="{C3380CC4-5D6E-409C-BE32-E72D297353CC}">
                <c16:uniqueId val="{00000009-9DF6-4927-BC4F-2E7906C97F75}"/>
              </c:ext>
            </c:extLst>
          </c:dPt>
          <c:dLbls>
            <c:dLbl>
              <c:idx val="0"/>
              <c:spPr/>
              <c:txPr>
                <a:bodyPr wrap="square"/>
                <a:lstStyle/>
                <a:p>
                  <a:pPr>
                    <a:defRPr sz="1000" b="0" strike="noStrike" spc="-1">
                      <a:solidFill>
                        <a:srgbClr val="000000"/>
                      </a:solidFill>
                      <a:latin typeface="Calibri"/>
                    </a:defRPr>
                  </a:pPr>
                  <a:endParaRPr lang="pt-BR"/>
                </a:p>
              </c:txPr>
              <c:showLegendKey val="1"/>
              <c:showVal val="0"/>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1-9DF6-4927-BC4F-2E7906C97F75}"/>
                </c:ext>
              </c:extLst>
            </c:dLbl>
            <c:dLbl>
              <c:idx val="1"/>
              <c:spPr/>
              <c:txPr>
                <a:bodyPr wrap="square"/>
                <a:lstStyle/>
                <a:p>
                  <a:pPr>
                    <a:defRPr sz="1000" b="0" strike="noStrike" spc="-1">
                      <a:solidFill>
                        <a:srgbClr val="000000"/>
                      </a:solidFill>
                      <a:latin typeface="Calibri"/>
                    </a:defRPr>
                  </a:pPr>
                  <a:endParaRPr lang="pt-BR"/>
                </a:p>
              </c:txPr>
              <c:showLegendKey val="1"/>
              <c:showVal val="0"/>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3-9DF6-4927-BC4F-2E7906C97F75}"/>
                </c:ext>
              </c:extLst>
            </c:dLbl>
            <c:dLbl>
              <c:idx val="2"/>
              <c:spPr/>
              <c:txPr>
                <a:bodyPr wrap="square"/>
                <a:lstStyle/>
                <a:p>
                  <a:pPr>
                    <a:defRPr sz="1000" b="0" strike="noStrike" spc="-1">
                      <a:solidFill>
                        <a:srgbClr val="000000"/>
                      </a:solidFill>
                      <a:latin typeface="Calibri"/>
                    </a:defRPr>
                  </a:pPr>
                  <a:endParaRPr lang="pt-BR"/>
                </a:p>
              </c:txPr>
              <c:showLegendKey val="1"/>
              <c:showVal val="0"/>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5-9DF6-4927-BC4F-2E7906C97F75}"/>
                </c:ext>
              </c:extLst>
            </c:dLbl>
            <c:dLbl>
              <c:idx val="3"/>
              <c:spPr/>
              <c:txPr>
                <a:bodyPr wrap="square"/>
                <a:lstStyle/>
                <a:p>
                  <a:pPr>
                    <a:defRPr sz="1000" b="0" strike="noStrike" spc="-1">
                      <a:solidFill>
                        <a:srgbClr val="000000"/>
                      </a:solidFill>
                      <a:latin typeface="Calibri"/>
                    </a:defRPr>
                  </a:pPr>
                  <a:endParaRPr lang="pt-BR"/>
                </a:p>
              </c:txPr>
              <c:showLegendKey val="1"/>
              <c:showVal val="0"/>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7-9DF6-4927-BC4F-2E7906C97F75}"/>
                </c:ext>
              </c:extLst>
            </c:dLbl>
            <c:dLbl>
              <c:idx val="4"/>
              <c:spPr/>
              <c:txPr>
                <a:bodyPr wrap="square"/>
                <a:lstStyle/>
                <a:p>
                  <a:pPr>
                    <a:defRPr sz="1000" b="0" strike="noStrike" spc="-1">
                      <a:solidFill>
                        <a:srgbClr val="000000"/>
                      </a:solidFill>
                      <a:latin typeface="Calibri"/>
                    </a:defRPr>
                  </a:pPr>
                  <a:endParaRPr lang="pt-BR"/>
                </a:p>
              </c:txPr>
              <c:showLegendKey val="1"/>
              <c:showVal val="0"/>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9-9DF6-4927-BC4F-2E7906C97F75}"/>
                </c:ext>
              </c:extLst>
            </c:dLbl>
            <c:spPr>
              <a:noFill/>
              <a:ln>
                <a:noFill/>
              </a:ln>
              <a:effectLst/>
            </c:spPr>
            <c:txPr>
              <a:bodyPr wrap="square"/>
              <a:lstStyle/>
              <a:p>
                <a:pPr>
                  <a:defRPr sz="1000" b="0" strike="noStrike" spc="-1">
                    <a:solidFill>
                      <a:srgbClr val="000000"/>
                    </a:solidFill>
                    <a:latin typeface="Calibri"/>
                  </a:defRPr>
                </a:pPr>
                <a:endParaRPr lang="pt-BR"/>
              </a:p>
            </c:txPr>
            <c:showLegendKey val="1"/>
            <c:showVal val="0"/>
            <c:showCatName val="0"/>
            <c:showSerName val="1"/>
            <c:showPercent val="1"/>
            <c:showBubbleSize val="1"/>
            <c:separator>
</c:separator>
            <c:showLeaderLines val="1"/>
            <c:extLst>
              <c:ext xmlns:c15="http://schemas.microsoft.com/office/drawing/2012/chart" uri="{CE6537A1-D6FC-4f65-9D91-7224C49458BB}"/>
            </c:extLst>
          </c:dLbls>
          <c:cat>
            <c:strRef>
              <c:f>'Análise Detalhada'!$B$7:$B$11</c:f>
              <c:strCache>
                <c:ptCount val="5"/>
                <c:pt idx="0">
                  <c:v>Equipamento identificado</c:v>
                </c:pt>
                <c:pt idx="1">
                  <c:v>CABOS sem bitola/vão/tensão</c:v>
                </c:pt>
                <c:pt idx="2">
                  <c:v>A definir (repasse)</c:v>
                </c:pt>
                <c:pt idx="3">
                  <c:v>A definir (análise)</c:v>
                </c:pt>
                <c:pt idx="4">
                  <c:v>Possíveis repetidas</c:v>
                </c:pt>
              </c:strCache>
            </c:strRef>
          </c:cat>
          <c:val>
            <c:numRef>
              <c:f>'Análise Detalhada'!$C$7:$C$11</c:f>
              <c:numCache>
                <c:formatCode>General</c:formatCode>
                <c:ptCount val="5"/>
                <c:pt idx="0">
                  <c:v>80</c:v>
                </c:pt>
                <c:pt idx="1">
                  <c:v>30</c:v>
                </c:pt>
                <c:pt idx="2">
                  <c:v>54</c:v>
                </c:pt>
                <c:pt idx="3">
                  <c:v>7</c:v>
                </c:pt>
                <c:pt idx="4">
                  <c:v>10</c:v>
                </c:pt>
              </c:numCache>
            </c:numRef>
          </c:val>
          <c:extLst>
            <c:ext xmlns:c16="http://schemas.microsoft.com/office/drawing/2014/chart" uri="{C3380CC4-5D6E-409C-BE32-E72D297353CC}">
              <c16:uniqueId val="{0000000A-9DF6-4927-BC4F-2E7906C97F75}"/>
            </c:ext>
          </c:extLst>
        </c:ser>
        <c:dLbls>
          <c:showLegendKey val="0"/>
          <c:showVal val="0"/>
          <c:showCatName val="0"/>
          <c:showSerName val="0"/>
          <c:showPercent val="0"/>
          <c:showBubbleSize val="0"/>
          <c:showLeaderLines val="1"/>
        </c:dLbls>
        <c:firstSliceAng val="0"/>
        <c:holeSize val="50"/>
      </c:doughnutChart>
      <c:spPr>
        <a:noFill/>
        <a:ln w="0">
          <a:noFill/>
        </a:ln>
      </c:spPr>
    </c:plotArea>
    <c:plotVisOnly val="1"/>
    <c:dispBlanksAs val="gap"/>
    <c:showDLblsOverMax val="1"/>
  </c:chart>
  <c:spPr>
    <a:solidFill>
      <a:srgbClr val="FFFFFF"/>
    </a:solidFill>
    <a:ln w="936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doughnutChart>
        <c:varyColors val="1"/>
        <c:ser>
          <c:idx val="0"/>
          <c:order val="0"/>
          <c:tx>
            <c:strRef>
              <c:f>'Análise Detalhada'!$M$6</c:f>
              <c:strCache>
                <c:ptCount val="1"/>
                <c:pt idx="0">
                  <c:v>Qtd</c:v>
                </c:pt>
              </c:strCache>
            </c:strRef>
          </c:tx>
          <c:spPr>
            <a:solidFill>
              <a:srgbClr val="4F81BD"/>
            </a:solidFill>
            <a:ln w="0">
              <a:noFill/>
            </a:ln>
          </c:spPr>
          <c:dPt>
            <c:idx val="0"/>
            <c:bubble3D val="0"/>
            <c:spPr>
              <a:solidFill>
                <a:srgbClr val="70AD47"/>
              </a:solidFill>
              <a:ln w="0">
                <a:noFill/>
              </a:ln>
            </c:spPr>
            <c:extLst>
              <c:ext xmlns:c16="http://schemas.microsoft.com/office/drawing/2014/chart" uri="{C3380CC4-5D6E-409C-BE32-E72D297353CC}">
                <c16:uniqueId val="{00000001-8C6D-410A-BB1B-E885909815F8}"/>
              </c:ext>
            </c:extLst>
          </c:dPt>
          <c:dPt>
            <c:idx val="1"/>
            <c:bubble3D val="0"/>
            <c:spPr>
              <a:solidFill>
                <a:srgbClr val="FFC000"/>
              </a:solidFill>
              <a:ln w="0">
                <a:noFill/>
              </a:ln>
            </c:spPr>
            <c:extLst>
              <c:ext xmlns:c16="http://schemas.microsoft.com/office/drawing/2014/chart" uri="{C3380CC4-5D6E-409C-BE32-E72D297353CC}">
                <c16:uniqueId val="{00000003-8C6D-410A-BB1B-E885909815F8}"/>
              </c:ext>
            </c:extLst>
          </c:dPt>
          <c:dPt>
            <c:idx val="2"/>
            <c:bubble3D val="0"/>
            <c:spPr>
              <a:solidFill>
                <a:srgbClr val="C00000"/>
              </a:solidFill>
              <a:ln w="0">
                <a:noFill/>
              </a:ln>
            </c:spPr>
            <c:extLst>
              <c:ext xmlns:c16="http://schemas.microsoft.com/office/drawing/2014/chart" uri="{C3380CC4-5D6E-409C-BE32-E72D297353CC}">
                <c16:uniqueId val="{00000005-8C6D-410A-BB1B-E885909815F8}"/>
              </c:ext>
            </c:extLst>
          </c:dPt>
          <c:dPt>
            <c:idx val="3"/>
            <c:bubble3D val="0"/>
            <c:spPr>
              <a:solidFill>
                <a:srgbClr val="7030A0"/>
              </a:solidFill>
              <a:ln w="0">
                <a:noFill/>
              </a:ln>
            </c:spPr>
            <c:extLst>
              <c:ext xmlns:c16="http://schemas.microsoft.com/office/drawing/2014/chart" uri="{C3380CC4-5D6E-409C-BE32-E72D297353CC}">
                <c16:uniqueId val="{00000007-8C6D-410A-BB1B-E885909815F8}"/>
              </c:ext>
            </c:extLst>
          </c:dPt>
          <c:dPt>
            <c:idx val="4"/>
            <c:bubble3D val="0"/>
            <c:spPr>
              <a:solidFill>
                <a:srgbClr val="00B0F0"/>
              </a:solidFill>
              <a:ln w="0">
                <a:noFill/>
              </a:ln>
            </c:spPr>
            <c:extLst>
              <c:ext xmlns:c16="http://schemas.microsoft.com/office/drawing/2014/chart" uri="{C3380CC4-5D6E-409C-BE32-E72D297353CC}">
                <c16:uniqueId val="{00000009-8C6D-410A-BB1B-E885909815F8}"/>
              </c:ext>
            </c:extLst>
          </c:dPt>
          <c:dPt>
            <c:idx val="5"/>
            <c:bubble3D val="0"/>
            <c:spPr>
              <a:solidFill>
                <a:srgbClr val="7F7F7F"/>
              </a:solidFill>
              <a:ln w="0">
                <a:noFill/>
              </a:ln>
            </c:spPr>
            <c:extLst>
              <c:ext xmlns:c16="http://schemas.microsoft.com/office/drawing/2014/chart" uri="{C3380CC4-5D6E-409C-BE32-E72D297353CC}">
                <c16:uniqueId val="{0000000B-8C6D-410A-BB1B-E885909815F8}"/>
              </c:ext>
            </c:extLst>
          </c:dPt>
          <c:dPt>
            <c:idx val="6"/>
            <c:bubble3D val="0"/>
            <c:spPr>
              <a:solidFill>
                <a:srgbClr val="ED7D31"/>
              </a:solidFill>
              <a:ln w="0">
                <a:noFill/>
              </a:ln>
            </c:spPr>
            <c:extLst>
              <c:ext xmlns:c16="http://schemas.microsoft.com/office/drawing/2014/chart" uri="{C3380CC4-5D6E-409C-BE32-E72D297353CC}">
                <c16:uniqueId val="{0000000D-8C6D-410A-BB1B-E885909815F8}"/>
              </c:ext>
            </c:extLst>
          </c:dPt>
          <c:dPt>
            <c:idx val="7"/>
            <c:bubble3D val="0"/>
            <c:spPr>
              <a:solidFill>
                <a:srgbClr val="4472C4"/>
              </a:solidFill>
              <a:ln w="0">
                <a:noFill/>
              </a:ln>
            </c:spPr>
            <c:extLst>
              <c:ext xmlns:c16="http://schemas.microsoft.com/office/drawing/2014/chart" uri="{C3380CC4-5D6E-409C-BE32-E72D297353CC}">
                <c16:uniqueId val="{0000000F-8C6D-410A-BB1B-E885909815F8}"/>
              </c:ext>
            </c:extLst>
          </c:dPt>
          <c:dPt>
            <c:idx val="8"/>
            <c:bubble3D val="0"/>
            <c:spPr>
              <a:solidFill>
                <a:srgbClr val="F26522"/>
              </a:solidFill>
              <a:ln w="0">
                <a:noFill/>
              </a:ln>
            </c:spPr>
            <c:extLst>
              <c:ext xmlns:c16="http://schemas.microsoft.com/office/drawing/2014/chart" uri="{C3380CC4-5D6E-409C-BE32-E72D297353CC}">
                <c16:uniqueId val="{00000011-8C6D-410A-BB1B-E885909815F8}"/>
              </c:ext>
            </c:extLst>
          </c:dPt>
          <c:dLbls>
            <c:dLbl>
              <c:idx val="0"/>
              <c:spPr/>
              <c:txPr>
                <a:bodyPr wrap="square"/>
                <a:lstStyle/>
                <a:p>
                  <a:pPr>
                    <a:defRPr sz="1000" b="0" strike="noStrike" spc="-1">
                      <a:solidFill>
                        <a:srgbClr val="000000"/>
                      </a:solidFill>
                      <a:latin typeface="Calibri"/>
                    </a:defRPr>
                  </a:pPr>
                  <a:endParaRPr lang="pt-BR"/>
                </a:p>
              </c:txPr>
              <c:showLegendKey val="1"/>
              <c:showVal val="0"/>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1-8C6D-410A-BB1B-E885909815F8}"/>
                </c:ext>
              </c:extLst>
            </c:dLbl>
            <c:dLbl>
              <c:idx val="1"/>
              <c:spPr/>
              <c:txPr>
                <a:bodyPr wrap="square"/>
                <a:lstStyle/>
                <a:p>
                  <a:pPr>
                    <a:defRPr sz="1000" b="0" strike="noStrike" spc="-1">
                      <a:solidFill>
                        <a:srgbClr val="000000"/>
                      </a:solidFill>
                      <a:latin typeface="Calibri"/>
                    </a:defRPr>
                  </a:pPr>
                  <a:endParaRPr lang="pt-BR"/>
                </a:p>
              </c:txPr>
              <c:showLegendKey val="1"/>
              <c:showVal val="0"/>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3-8C6D-410A-BB1B-E885909815F8}"/>
                </c:ext>
              </c:extLst>
            </c:dLbl>
            <c:dLbl>
              <c:idx val="2"/>
              <c:spPr/>
              <c:txPr>
                <a:bodyPr wrap="square"/>
                <a:lstStyle/>
                <a:p>
                  <a:pPr>
                    <a:defRPr sz="1000" b="0" strike="noStrike" spc="-1">
                      <a:solidFill>
                        <a:srgbClr val="000000"/>
                      </a:solidFill>
                      <a:latin typeface="Calibri"/>
                    </a:defRPr>
                  </a:pPr>
                  <a:endParaRPr lang="pt-BR"/>
                </a:p>
              </c:txPr>
              <c:showLegendKey val="1"/>
              <c:showVal val="0"/>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5-8C6D-410A-BB1B-E885909815F8}"/>
                </c:ext>
              </c:extLst>
            </c:dLbl>
            <c:dLbl>
              <c:idx val="3"/>
              <c:spPr/>
              <c:txPr>
                <a:bodyPr wrap="square"/>
                <a:lstStyle/>
                <a:p>
                  <a:pPr>
                    <a:defRPr sz="1000" b="0" strike="noStrike" spc="-1">
                      <a:solidFill>
                        <a:srgbClr val="000000"/>
                      </a:solidFill>
                      <a:latin typeface="Calibri"/>
                    </a:defRPr>
                  </a:pPr>
                  <a:endParaRPr lang="pt-BR"/>
                </a:p>
              </c:txPr>
              <c:showLegendKey val="1"/>
              <c:showVal val="0"/>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7-8C6D-410A-BB1B-E885909815F8}"/>
                </c:ext>
              </c:extLst>
            </c:dLbl>
            <c:dLbl>
              <c:idx val="4"/>
              <c:spPr/>
              <c:txPr>
                <a:bodyPr wrap="square"/>
                <a:lstStyle/>
                <a:p>
                  <a:pPr>
                    <a:defRPr sz="1000" b="0" strike="noStrike" spc="-1">
                      <a:solidFill>
                        <a:srgbClr val="000000"/>
                      </a:solidFill>
                      <a:latin typeface="Calibri"/>
                    </a:defRPr>
                  </a:pPr>
                  <a:endParaRPr lang="pt-BR"/>
                </a:p>
              </c:txPr>
              <c:showLegendKey val="1"/>
              <c:showVal val="0"/>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9-8C6D-410A-BB1B-E885909815F8}"/>
                </c:ext>
              </c:extLst>
            </c:dLbl>
            <c:dLbl>
              <c:idx val="5"/>
              <c:spPr/>
              <c:txPr>
                <a:bodyPr wrap="square"/>
                <a:lstStyle/>
                <a:p>
                  <a:pPr>
                    <a:defRPr sz="1000" b="0" strike="noStrike" spc="-1">
                      <a:solidFill>
                        <a:srgbClr val="000000"/>
                      </a:solidFill>
                      <a:latin typeface="Calibri"/>
                    </a:defRPr>
                  </a:pPr>
                  <a:endParaRPr lang="pt-BR"/>
                </a:p>
              </c:txPr>
              <c:showLegendKey val="1"/>
              <c:showVal val="0"/>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B-8C6D-410A-BB1B-E885909815F8}"/>
                </c:ext>
              </c:extLst>
            </c:dLbl>
            <c:dLbl>
              <c:idx val="6"/>
              <c:spPr/>
              <c:txPr>
                <a:bodyPr wrap="square"/>
                <a:lstStyle/>
                <a:p>
                  <a:pPr>
                    <a:defRPr sz="1000" b="0" strike="noStrike" spc="-1">
                      <a:solidFill>
                        <a:srgbClr val="000000"/>
                      </a:solidFill>
                      <a:latin typeface="Calibri"/>
                    </a:defRPr>
                  </a:pPr>
                  <a:endParaRPr lang="pt-BR"/>
                </a:p>
              </c:txPr>
              <c:showLegendKey val="1"/>
              <c:showVal val="0"/>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D-8C6D-410A-BB1B-E885909815F8}"/>
                </c:ext>
              </c:extLst>
            </c:dLbl>
            <c:dLbl>
              <c:idx val="7"/>
              <c:spPr/>
              <c:txPr>
                <a:bodyPr wrap="square"/>
                <a:lstStyle/>
                <a:p>
                  <a:pPr>
                    <a:defRPr sz="1000" b="0" strike="noStrike" spc="-1">
                      <a:solidFill>
                        <a:srgbClr val="000000"/>
                      </a:solidFill>
                      <a:latin typeface="Calibri"/>
                    </a:defRPr>
                  </a:pPr>
                  <a:endParaRPr lang="pt-BR"/>
                </a:p>
              </c:txPr>
              <c:showLegendKey val="1"/>
              <c:showVal val="0"/>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F-8C6D-410A-BB1B-E885909815F8}"/>
                </c:ext>
              </c:extLst>
            </c:dLbl>
            <c:dLbl>
              <c:idx val="8"/>
              <c:spPr/>
              <c:txPr>
                <a:bodyPr wrap="square"/>
                <a:lstStyle/>
                <a:p>
                  <a:pPr>
                    <a:defRPr sz="1000" b="0" strike="noStrike" spc="-1">
                      <a:solidFill>
                        <a:srgbClr val="000000"/>
                      </a:solidFill>
                      <a:latin typeface="Calibri"/>
                    </a:defRPr>
                  </a:pPr>
                  <a:endParaRPr lang="pt-BR"/>
                </a:p>
              </c:txPr>
              <c:showLegendKey val="1"/>
              <c:showVal val="0"/>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11-8C6D-410A-BB1B-E885909815F8}"/>
                </c:ext>
              </c:extLst>
            </c:dLbl>
            <c:spPr>
              <a:noFill/>
              <a:ln>
                <a:noFill/>
              </a:ln>
              <a:effectLst/>
            </c:spPr>
            <c:txPr>
              <a:bodyPr wrap="square"/>
              <a:lstStyle/>
              <a:p>
                <a:pPr>
                  <a:defRPr sz="1000" b="0" strike="noStrike" spc="-1">
                    <a:solidFill>
                      <a:srgbClr val="000000"/>
                    </a:solidFill>
                    <a:latin typeface="Calibri"/>
                  </a:defRPr>
                </a:pPr>
                <a:endParaRPr lang="pt-BR"/>
              </a:p>
            </c:txPr>
            <c:showLegendKey val="1"/>
            <c:showVal val="0"/>
            <c:showCatName val="0"/>
            <c:showSerName val="1"/>
            <c:showPercent val="1"/>
            <c:showBubbleSize val="1"/>
            <c:separator>
</c:separator>
            <c:showLeaderLines val="1"/>
            <c:extLst>
              <c:ext xmlns:c15="http://schemas.microsoft.com/office/drawing/2012/chart" uri="{CE6537A1-D6FC-4f65-9D91-7224C49458BB}"/>
            </c:extLst>
          </c:dLbls>
          <c:cat>
            <c:strRef>
              <c:f>'Análise Detalhada'!$L$7:$L$15</c:f>
              <c:strCache>
                <c:ptCount val="9"/>
                <c:pt idx="0">
                  <c:v>Religador (genérico)</c:v>
                </c:pt>
                <c:pt idx="1">
                  <c:v>Bucha</c:v>
                </c:pt>
                <c:pt idx="2">
                  <c:v>Compra</c:v>
                </c:pt>
                <c:pt idx="3">
                  <c:v>Controle/Caixa</c:v>
                </c:pt>
                <c:pt idx="4">
                  <c:v>Tanque + Módulo</c:v>
                </c:pt>
                <c:pt idx="5">
                  <c:v>Sistema Comunicação</c:v>
                </c:pt>
                <c:pt idx="6">
                  <c:v>Tanque + Cabo umbilical</c:v>
                </c:pt>
                <c:pt idx="7">
                  <c:v>Obra gerada</c:v>
                </c:pt>
                <c:pt idx="8">
                  <c:v>Parte Ativa</c:v>
                </c:pt>
              </c:strCache>
            </c:strRef>
          </c:cat>
          <c:val>
            <c:numRef>
              <c:f>'Análise Detalhada'!$M$7:$M$15</c:f>
              <c:numCache>
                <c:formatCode>General</c:formatCode>
                <c:ptCount val="9"/>
                <c:pt idx="0">
                  <c:v>19</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12-8C6D-410A-BB1B-E885909815F8}"/>
            </c:ext>
          </c:extLst>
        </c:ser>
        <c:dLbls>
          <c:showLegendKey val="0"/>
          <c:showVal val="0"/>
          <c:showCatName val="0"/>
          <c:showSerName val="0"/>
          <c:showPercent val="0"/>
          <c:showBubbleSize val="0"/>
          <c:showLeaderLines val="1"/>
        </c:dLbls>
        <c:firstSliceAng val="0"/>
        <c:holeSize val="50"/>
      </c:doughnutChart>
      <c:spPr>
        <a:noFill/>
        <a:ln w="0">
          <a:noFill/>
        </a:ln>
      </c:spPr>
    </c:plotArea>
    <c:plotVisOnly val="1"/>
    <c:dispBlanksAs val="gap"/>
    <c:showDLblsOverMax val="1"/>
  </c:chart>
  <c:spPr>
    <a:solidFill>
      <a:srgbClr val="FFFFFF"/>
    </a:solidFill>
    <a:ln w="936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doughnutChart>
        <c:varyColors val="1"/>
        <c:ser>
          <c:idx val="0"/>
          <c:order val="0"/>
          <c:tx>
            <c:strRef>
              <c:f>'Análise Detalhada'!$C$23</c:f>
              <c:strCache>
                <c:ptCount val="1"/>
                <c:pt idx="0">
                  <c:v>Qtd</c:v>
                </c:pt>
              </c:strCache>
            </c:strRef>
          </c:tx>
          <c:spPr>
            <a:solidFill>
              <a:srgbClr val="4F81BD"/>
            </a:solidFill>
            <a:ln w="0">
              <a:noFill/>
            </a:ln>
          </c:spPr>
          <c:dPt>
            <c:idx val="0"/>
            <c:bubble3D val="0"/>
            <c:spPr>
              <a:solidFill>
                <a:srgbClr val="C00000"/>
              </a:solidFill>
              <a:ln w="0">
                <a:noFill/>
              </a:ln>
            </c:spPr>
            <c:extLst>
              <c:ext xmlns:c16="http://schemas.microsoft.com/office/drawing/2014/chart" uri="{C3380CC4-5D6E-409C-BE32-E72D297353CC}">
                <c16:uniqueId val="{00000001-29CC-4C6B-B658-8404AA60D7E6}"/>
              </c:ext>
            </c:extLst>
          </c:dPt>
          <c:dPt>
            <c:idx val="1"/>
            <c:bubble3D val="0"/>
            <c:spPr>
              <a:solidFill>
                <a:srgbClr val="7030A0"/>
              </a:solidFill>
              <a:ln w="0">
                <a:noFill/>
              </a:ln>
            </c:spPr>
            <c:extLst>
              <c:ext xmlns:c16="http://schemas.microsoft.com/office/drawing/2014/chart" uri="{C3380CC4-5D6E-409C-BE32-E72D297353CC}">
                <c16:uniqueId val="{00000003-29CC-4C6B-B658-8404AA60D7E6}"/>
              </c:ext>
            </c:extLst>
          </c:dPt>
          <c:dLbls>
            <c:dLbl>
              <c:idx val="0"/>
              <c:spPr/>
              <c:txPr>
                <a:bodyPr wrap="square"/>
                <a:lstStyle/>
                <a:p>
                  <a:pPr>
                    <a:defRPr sz="1000" b="0" strike="noStrike" spc="-1">
                      <a:solidFill>
                        <a:srgbClr val="000000"/>
                      </a:solidFill>
                      <a:latin typeface="Calibri"/>
                    </a:defRPr>
                  </a:pPr>
                  <a:endParaRPr lang="pt-BR"/>
                </a:p>
              </c:txPr>
              <c:showLegendKey val="1"/>
              <c:showVal val="0"/>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1-29CC-4C6B-B658-8404AA60D7E6}"/>
                </c:ext>
              </c:extLst>
            </c:dLbl>
            <c:dLbl>
              <c:idx val="1"/>
              <c:spPr/>
              <c:txPr>
                <a:bodyPr wrap="square"/>
                <a:lstStyle/>
                <a:p>
                  <a:pPr>
                    <a:defRPr sz="1000" b="0" strike="noStrike" spc="-1">
                      <a:solidFill>
                        <a:srgbClr val="000000"/>
                      </a:solidFill>
                      <a:latin typeface="Calibri"/>
                    </a:defRPr>
                  </a:pPr>
                  <a:endParaRPr lang="pt-BR"/>
                </a:p>
              </c:txPr>
              <c:showLegendKey val="1"/>
              <c:showVal val="0"/>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3-29CC-4C6B-B658-8404AA60D7E6}"/>
                </c:ext>
              </c:extLst>
            </c:dLbl>
            <c:spPr>
              <a:noFill/>
              <a:ln>
                <a:noFill/>
              </a:ln>
              <a:effectLst/>
            </c:spPr>
            <c:txPr>
              <a:bodyPr wrap="square"/>
              <a:lstStyle/>
              <a:p>
                <a:pPr>
                  <a:defRPr sz="1000" b="0" strike="noStrike" spc="-1">
                    <a:solidFill>
                      <a:srgbClr val="000000"/>
                    </a:solidFill>
                    <a:latin typeface="Calibri"/>
                  </a:defRPr>
                </a:pPr>
                <a:endParaRPr lang="pt-BR"/>
              </a:p>
            </c:txPr>
            <c:showLegendKey val="1"/>
            <c:showVal val="0"/>
            <c:showCatName val="0"/>
            <c:showSerName val="1"/>
            <c:showPercent val="1"/>
            <c:showBubbleSize val="1"/>
            <c:separator>
</c:separator>
            <c:showLeaderLines val="1"/>
            <c:extLst>
              <c:ext xmlns:c15="http://schemas.microsoft.com/office/drawing/2012/chart" uri="{CE6537A1-D6FC-4f65-9D91-7224C49458BB}"/>
            </c:extLst>
          </c:dLbls>
          <c:cat>
            <c:strRef>
              <c:f>'Análise Detalhada'!$B$24:$B$25</c:f>
              <c:strCache>
                <c:ptCount val="2"/>
                <c:pt idx="0">
                  <c:v>Únicas - sem detalhe técnico</c:v>
                </c:pt>
                <c:pt idx="1">
                  <c:v>Possíveis repetidas</c:v>
                </c:pt>
              </c:strCache>
            </c:strRef>
          </c:cat>
          <c:val>
            <c:numRef>
              <c:f>'Análise Detalhada'!$C$24:$C$25</c:f>
              <c:numCache>
                <c:formatCode>General</c:formatCode>
                <c:ptCount val="2"/>
                <c:pt idx="0">
                  <c:v>18</c:v>
                </c:pt>
                <c:pt idx="1">
                  <c:v>12</c:v>
                </c:pt>
              </c:numCache>
            </c:numRef>
          </c:val>
          <c:extLst>
            <c:ext xmlns:c16="http://schemas.microsoft.com/office/drawing/2014/chart" uri="{C3380CC4-5D6E-409C-BE32-E72D297353CC}">
              <c16:uniqueId val="{00000004-29CC-4C6B-B658-8404AA60D7E6}"/>
            </c:ext>
          </c:extLst>
        </c:ser>
        <c:dLbls>
          <c:showLegendKey val="0"/>
          <c:showVal val="0"/>
          <c:showCatName val="0"/>
          <c:showSerName val="0"/>
          <c:showPercent val="0"/>
          <c:showBubbleSize val="0"/>
          <c:showLeaderLines val="1"/>
        </c:dLbls>
        <c:firstSliceAng val="0"/>
        <c:holeSize val="50"/>
      </c:doughnutChart>
      <c:spPr>
        <a:noFill/>
        <a:ln w="0">
          <a:noFill/>
        </a:ln>
      </c:spPr>
    </c:plotArea>
    <c:plotVisOnly val="1"/>
    <c:dispBlanksAs val="gap"/>
    <c:showDLblsOverMax val="1"/>
  </c:chart>
  <c:spPr>
    <a:solidFill>
      <a:srgbClr val="FFFFFF"/>
    </a:solidFill>
    <a:ln w="936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doughnutChart>
        <c:varyColors val="1"/>
        <c:ser>
          <c:idx val="0"/>
          <c:order val="0"/>
          <c:tx>
            <c:strRef>
              <c:f>'Análise Detalhada'!$M$23</c:f>
              <c:strCache>
                <c:ptCount val="1"/>
                <c:pt idx="0">
                  <c:v>Qtd</c:v>
                </c:pt>
              </c:strCache>
            </c:strRef>
          </c:tx>
          <c:spPr>
            <a:solidFill>
              <a:srgbClr val="4F81BD"/>
            </a:solidFill>
            <a:ln w="0">
              <a:noFill/>
            </a:ln>
          </c:spPr>
          <c:dPt>
            <c:idx val="0"/>
            <c:bubble3D val="0"/>
            <c:spPr>
              <a:solidFill>
                <a:srgbClr val="00B0F0"/>
              </a:solidFill>
              <a:ln w="0">
                <a:noFill/>
              </a:ln>
            </c:spPr>
            <c:extLst>
              <c:ext xmlns:c16="http://schemas.microsoft.com/office/drawing/2014/chart" uri="{C3380CC4-5D6E-409C-BE32-E72D297353CC}">
                <c16:uniqueId val="{00000001-7127-42B7-BA93-6862106378CA}"/>
              </c:ext>
            </c:extLst>
          </c:dPt>
          <c:dPt>
            <c:idx val="1"/>
            <c:bubble3D val="0"/>
            <c:spPr>
              <a:solidFill>
                <a:srgbClr val="7F7F7F"/>
              </a:solidFill>
              <a:ln w="0">
                <a:noFill/>
              </a:ln>
            </c:spPr>
            <c:extLst>
              <c:ext xmlns:c16="http://schemas.microsoft.com/office/drawing/2014/chart" uri="{C3380CC4-5D6E-409C-BE32-E72D297353CC}">
                <c16:uniqueId val="{00000003-7127-42B7-BA93-6862106378CA}"/>
              </c:ext>
            </c:extLst>
          </c:dPt>
          <c:dPt>
            <c:idx val="2"/>
            <c:bubble3D val="0"/>
            <c:spPr>
              <a:solidFill>
                <a:srgbClr val="ED7D31"/>
              </a:solidFill>
              <a:ln w="0">
                <a:noFill/>
              </a:ln>
            </c:spPr>
            <c:extLst>
              <c:ext xmlns:c16="http://schemas.microsoft.com/office/drawing/2014/chart" uri="{C3380CC4-5D6E-409C-BE32-E72D297353CC}">
                <c16:uniqueId val="{00000005-7127-42B7-BA93-6862106378CA}"/>
              </c:ext>
            </c:extLst>
          </c:dPt>
          <c:dPt>
            <c:idx val="3"/>
            <c:bubble3D val="0"/>
            <c:spPr>
              <a:solidFill>
                <a:srgbClr val="4472C4"/>
              </a:solidFill>
              <a:ln w="0">
                <a:noFill/>
              </a:ln>
            </c:spPr>
            <c:extLst>
              <c:ext xmlns:c16="http://schemas.microsoft.com/office/drawing/2014/chart" uri="{C3380CC4-5D6E-409C-BE32-E72D297353CC}">
                <c16:uniqueId val="{00000007-7127-42B7-BA93-6862106378CA}"/>
              </c:ext>
            </c:extLst>
          </c:dPt>
          <c:dLbls>
            <c:dLbl>
              <c:idx val="0"/>
              <c:spPr/>
              <c:txPr>
                <a:bodyPr wrap="square"/>
                <a:lstStyle/>
                <a:p>
                  <a:pPr>
                    <a:defRPr sz="1000" b="0" strike="noStrike" spc="-1">
                      <a:solidFill>
                        <a:srgbClr val="000000"/>
                      </a:solidFill>
                      <a:latin typeface="Calibri"/>
                    </a:defRPr>
                  </a:pPr>
                  <a:endParaRPr lang="pt-BR"/>
                </a:p>
              </c:txPr>
              <c:showLegendKey val="1"/>
              <c:showVal val="0"/>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1-7127-42B7-BA93-6862106378CA}"/>
                </c:ext>
              </c:extLst>
            </c:dLbl>
            <c:dLbl>
              <c:idx val="1"/>
              <c:spPr/>
              <c:txPr>
                <a:bodyPr wrap="square"/>
                <a:lstStyle/>
                <a:p>
                  <a:pPr>
                    <a:defRPr sz="1000" b="0" strike="noStrike" spc="-1">
                      <a:solidFill>
                        <a:srgbClr val="000000"/>
                      </a:solidFill>
                      <a:latin typeface="Calibri"/>
                    </a:defRPr>
                  </a:pPr>
                  <a:endParaRPr lang="pt-BR"/>
                </a:p>
              </c:txPr>
              <c:showLegendKey val="1"/>
              <c:showVal val="0"/>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3-7127-42B7-BA93-6862106378CA}"/>
                </c:ext>
              </c:extLst>
            </c:dLbl>
            <c:dLbl>
              <c:idx val="2"/>
              <c:spPr/>
              <c:txPr>
                <a:bodyPr wrap="square"/>
                <a:lstStyle/>
                <a:p>
                  <a:pPr>
                    <a:defRPr sz="1000" b="0" strike="noStrike" spc="-1">
                      <a:solidFill>
                        <a:srgbClr val="000000"/>
                      </a:solidFill>
                      <a:latin typeface="Calibri"/>
                    </a:defRPr>
                  </a:pPr>
                  <a:endParaRPr lang="pt-BR"/>
                </a:p>
              </c:txPr>
              <c:showLegendKey val="1"/>
              <c:showVal val="0"/>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5-7127-42B7-BA93-6862106378CA}"/>
                </c:ext>
              </c:extLst>
            </c:dLbl>
            <c:dLbl>
              <c:idx val="3"/>
              <c:spPr/>
              <c:txPr>
                <a:bodyPr wrap="square"/>
                <a:lstStyle/>
                <a:p>
                  <a:pPr>
                    <a:defRPr sz="1000" b="0" strike="noStrike" spc="-1">
                      <a:solidFill>
                        <a:srgbClr val="000000"/>
                      </a:solidFill>
                      <a:latin typeface="Calibri"/>
                    </a:defRPr>
                  </a:pPr>
                  <a:endParaRPr lang="pt-BR"/>
                </a:p>
              </c:txPr>
              <c:showLegendKey val="1"/>
              <c:showVal val="0"/>
              <c:showCatName val="0"/>
              <c:showSerName val="1"/>
              <c:showPercent val="1"/>
              <c:showBubbleSize val="1"/>
              <c:extLst>
                <c:ext xmlns:c15="http://schemas.microsoft.com/office/drawing/2012/chart" uri="{CE6537A1-D6FC-4f65-9D91-7224C49458BB}"/>
                <c:ext xmlns:c16="http://schemas.microsoft.com/office/drawing/2014/chart" uri="{C3380CC4-5D6E-409C-BE32-E72D297353CC}">
                  <c16:uniqueId val="{00000007-7127-42B7-BA93-6862106378CA}"/>
                </c:ext>
              </c:extLst>
            </c:dLbl>
            <c:spPr>
              <a:noFill/>
              <a:ln>
                <a:noFill/>
              </a:ln>
              <a:effectLst/>
            </c:spPr>
            <c:txPr>
              <a:bodyPr wrap="square"/>
              <a:lstStyle/>
              <a:p>
                <a:pPr>
                  <a:defRPr sz="1000" b="0" strike="noStrike" spc="-1">
                    <a:solidFill>
                      <a:srgbClr val="000000"/>
                    </a:solidFill>
                    <a:latin typeface="Calibri"/>
                  </a:defRPr>
                </a:pPr>
                <a:endParaRPr lang="pt-BR"/>
              </a:p>
            </c:txPr>
            <c:showLegendKey val="1"/>
            <c:showVal val="0"/>
            <c:showCatName val="0"/>
            <c:showSerName val="1"/>
            <c:showPercent val="1"/>
            <c:showBubbleSize val="1"/>
            <c:separator>
</c:separator>
            <c:showLeaderLines val="1"/>
            <c:extLst>
              <c:ext xmlns:c15="http://schemas.microsoft.com/office/drawing/2012/chart" uri="{CE6537A1-D6FC-4f65-9D91-7224C49458BB}"/>
            </c:extLst>
          </c:dLbls>
          <c:cat>
            <c:strRef>
              <c:f>'Análise Detalhada'!$L$24:$L$27</c:f>
              <c:strCache>
                <c:ptCount val="4"/>
                <c:pt idx="0">
                  <c:v>Repassar DMSL</c:v>
                </c:pt>
                <c:pt idx="1">
                  <c:v>Repassar COCM</c:v>
                </c:pt>
                <c:pt idx="2">
                  <c:v>OG existente</c:v>
                </c:pt>
                <c:pt idx="3">
                  <c:v>Outros</c:v>
                </c:pt>
              </c:strCache>
            </c:strRef>
          </c:cat>
          <c:val>
            <c:numRef>
              <c:f>'Análise Detalhada'!$M$24:$M$27</c:f>
              <c:numCache>
                <c:formatCode>General</c:formatCode>
                <c:ptCount val="4"/>
                <c:pt idx="0">
                  <c:v>39</c:v>
                </c:pt>
                <c:pt idx="1">
                  <c:v>12</c:v>
                </c:pt>
                <c:pt idx="2">
                  <c:v>2</c:v>
                </c:pt>
                <c:pt idx="3">
                  <c:v>1</c:v>
                </c:pt>
              </c:numCache>
            </c:numRef>
          </c:val>
          <c:extLst>
            <c:ext xmlns:c16="http://schemas.microsoft.com/office/drawing/2014/chart" uri="{C3380CC4-5D6E-409C-BE32-E72D297353CC}">
              <c16:uniqueId val="{00000008-7127-42B7-BA93-6862106378CA}"/>
            </c:ext>
          </c:extLst>
        </c:ser>
        <c:dLbls>
          <c:showLegendKey val="0"/>
          <c:showVal val="0"/>
          <c:showCatName val="0"/>
          <c:showSerName val="0"/>
          <c:showPercent val="0"/>
          <c:showBubbleSize val="0"/>
          <c:showLeaderLines val="1"/>
        </c:dLbls>
        <c:firstSliceAng val="0"/>
        <c:holeSize val="50"/>
      </c:doughnutChart>
      <c:spPr>
        <a:noFill/>
        <a:ln w="0">
          <a:noFill/>
        </a:ln>
      </c:spPr>
    </c:plotArea>
    <c:plotVisOnly val="1"/>
    <c:dispBlanksAs val="gap"/>
    <c:showDLblsOverMax val="1"/>
  </c:chart>
  <c:spPr>
    <a:solidFill>
      <a:srgbClr val="FFFFFF"/>
    </a:solidFill>
    <a:ln w="936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doughnutChart>
        <c:varyColors val="1"/>
        <c:ser>
          <c:idx val="0"/>
          <c:order val="0"/>
          <c:tx>
            <c:strRef>
              <c:f>'Pendências DMSL'!$E$12</c:f>
              <c:strCache>
                <c:ptCount val="1"/>
                <c:pt idx="0">
                  <c:v>Qtd</c:v>
                </c:pt>
              </c:strCache>
            </c:strRef>
          </c:tx>
          <c:spPr>
            <a:solidFill>
              <a:srgbClr val="4F81BD"/>
            </a:solidFill>
            <a:ln w="0">
              <a:noFill/>
            </a:ln>
          </c:spPr>
          <c:dPt>
            <c:idx val="0"/>
            <c:bubble3D val="0"/>
            <c:spPr>
              <a:solidFill>
                <a:srgbClr val="F26522"/>
              </a:solidFill>
              <a:ln w="0">
                <a:noFill/>
              </a:ln>
            </c:spPr>
            <c:extLst>
              <c:ext xmlns:c16="http://schemas.microsoft.com/office/drawing/2014/chart" uri="{C3380CC4-5D6E-409C-BE32-E72D297353CC}">
                <c16:uniqueId val="{00000001-58E2-4960-9130-8BC3F2B3ABBE}"/>
              </c:ext>
            </c:extLst>
          </c:dPt>
          <c:dPt>
            <c:idx val="1"/>
            <c:bubble3D val="0"/>
            <c:spPr>
              <a:solidFill>
                <a:srgbClr val="1F3864"/>
              </a:solidFill>
              <a:ln w="0">
                <a:noFill/>
              </a:ln>
            </c:spPr>
            <c:extLst>
              <c:ext xmlns:c16="http://schemas.microsoft.com/office/drawing/2014/chart" uri="{C3380CC4-5D6E-409C-BE32-E72D297353CC}">
                <c16:uniqueId val="{00000003-58E2-4960-9130-8BC3F2B3ABBE}"/>
              </c:ext>
            </c:extLst>
          </c:dPt>
          <c:dPt>
            <c:idx val="2"/>
            <c:bubble3D val="0"/>
            <c:spPr>
              <a:solidFill>
                <a:srgbClr val="70AD47"/>
              </a:solidFill>
              <a:ln w="0">
                <a:noFill/>
              </a:ln>
            </c:spPr>
            <c:extLst>
              <c:ext xmlns:c16="http://schemas.microsoft.com/office/drawing/2014/chart" uri="{C3380CC4-5D6E-409C-BE32-E72D297353CC}">
                <c16:uniqueId val="{00000005-58E2-4960-9130-8BC3F2B3ABBE}"/>
              </c:ext>
            </c:extLst>
          </c:dPt>
          <c:dPt>
            <c:idx val="3"/>
            <c:bubble3D val="0"/>
            <c:spPr>
              <a:solidFill>
                <a:srgbClr val="FFC000"/>
              </a:solidFill>
              <a:ln w="0">
                <a:noFill/>
              </a:ln>
            </c:spPr>
            <c:extLst>
              <c:ext xmlns:c16="http://schemas.microsoft.com/office/drawing/2014/chart" uri="{C3380CC4-5D6E-409C-BE32-E72D297353CC}">
                <c16:uniqueId val="{00000007-58E2-4960-9130-8BC3F2B3ABBE}"/>
              </c:ext>
            </c:extLst>
          </c:dPt>
          <c:dPt>
            <c:idx val="4"/>
            <c:bubble3D val="0"/>
            <c:spPr>
              <a:solidFill>
                <a:srgbClr val="C00000"/>
              </a:solidFill>
              <a:ln w="0">
                <a:noFill/>
              </a:ln>
            </c:spPr>
            <c:extLst>
              <c:ext xmlns:c16="http://schemas.microsoft.com/office/drawing/2014/chart" uri="{C3380CC4-5D6E-409C-BE32-E72D297353CC}">
                <c16:uniqueId val="{00000009-58E2-4960-9130-8BC3F2B3ABBE}"/>
              </c:ext>
            </c:extLst>
          </c:dPt>
          <c:dPt>
            <c:idx val="5"/>
            <c:bubble3D val="0"/>
            <c:spPr>
              <a:solidFill>
                <a:srgbClr val="7030A0"/>
              </a:solidFill>
              <a:ln w="0">
                <a:noFill/>
              </a:ln>
            </c:spPr>
            <c:extLst>
              <c:ext xmlns:c16="http://schemas.microsoft.com/office/drawing/2014/chart" uri="{C3380CC4-5D6E-409C-BE32-E72D297353CC}">
                <c16:uniqueId val="{0000000B-58E2-4960-9130-8BC3F2B3ABBE}"/>
              </c:ext>
            </c:extLst>
          </c:dPt>
          <c:dPt>
            <c:idx val="6"/>
            <c:bubble3D val="0"/>
            <c:spPr>
              <a:solidFill>
                <a:srgbClr val="00B0F0"/>
              </a:solidFill>
              <a:ln w="0">
                <a:noFill/>
              </a:ln>
            </c:spPr>
            <c:extLst>
              <c:ext xmlns:c16="http://schemas.microsoft.com/office/drawing/2014/chart" uri="{C3380CC4-5D6E-409C-BE32-E72D297353CC}">
                <c16:uniqueId val="{0000000D-58E2-4960-9130-8BC3F2B3ABBE}"/>
              </c:ext>
            </c:extLst>
          </c:dPt>
          <c:dPt>
            <c:idx val="7"/>
            <c:bubble3D val="0"/>
            <c:spPr>
              <a:solidFill>
                <a:srgbClr val="B8860B"/>
              </a:solidFill>
              <a:ln w="0">
                <a:noFill/>
              </a:ln>
            </c:spPr>
            <c:extLst>
              <c:ext xmlns:c16="http://schemas.microsoft.com/office/drawing/2014/chart" uri="{C3380CC4-5D6E-409C-BE32-E72D297353CC}">
                <c16:uniqueId val="{0000000F-58E2-4960-9130-8BC3F2B3ABBE}"/>
              </c:ext>
            </c:extLst>
          </c:dPt>
          <c:dLbls>
            <c:dLbl>
              <c:idx val="0"/>
              <c:spPr/>
              <c:txPr>
                <a:bodyPr wrap="square"/>
                <a:lstStyle/>
                <a:p>
                  <a:pPr>
                    <a:defRPr sz="1000" b="0" strike="noStrike" spc="-1">
                      <a:solidFill>
                        <a:srgbClr val="000000"/>
                      </a:solidFill>
                      <a:latin typeface="Calibri"/>
                    </a:defRPr>
                  </a:pPr>
                  <a:endParaRPr lang="pt-BR"/>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58E2-4960-9130-8BC3F2B3ABBE}"/>
                </c:ext>
              </c:extLst>
            </c:dLbl>
            <c:dLbl>
              <c:idx val="1"/>
              <c:spPr/>
              <c:txPr>
                <a:bodyPr wrap="square"/>
                <a:lstStyle/>
                <a:p>
                  <a:pPr>
                    <a:defRPr sz="1000" b="0" strike="noStrike" spc="-1">
                      <a:solidFill>
                        <a:srgbClr val="000000"/>
                      </a:solidFill>
                      <a:latin typeface="Calibri"/>
                    </a:defRPr>
                  </a:pPr>
                  <a:endParaRPr lang="pt-BR"/>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58E2-4960-9130-8BC3F2B3ABBE}"/>
                </c:ext>
              </c:extLst>
            </c:dLbl>
            <c:dLbl>
              <c:idx val="2"/>
              <c:spPr/>
              <c:txPr>
                <a:bodyPr wrap="square"/>
                <a:lstStyle/>
                <a:p>
                  <a:pPr>
                    <a:defRPr sz="1000" b="0" strike="noStrike" spc="-1">
                      <a:solidFill>
                        <a:srgbClr val="000000"/>
                      </a:solidFill>
                      <a:latin typeface="Calibri"/>
                    </a:defRPr>
                  </a:pPr>
                  <a:endParaRPr lang="pt-BR"/>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58E2-4960-9130-8BC3F2B3ABBE}"/>
                </c:ext>
              </c:extLst>
            </c:dLbl>
            <c:dLbl>
              <c:idx val="3"/>
              <c:spPr/>
              <c:txPr>
                <a:bodyPr wrap="square"/>
                <a:lstStyle/>
                <a:p>
                  <a:pPr>
                    <a:defRPr sz="1000" b="0" strike="noStrike" spc="-1">
                      <a:solidFill>
                        <a:srgbClr val="000000"/>
                      </a:solidFill>
                      <a:latin typeface="Calibri"/>
                    </a:defRPr>
                  </a:pPr>
                  <a:endParaRPr lang="pt-BR"/>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7-58E2-4960-9130-8BC3F2B3ABBE}"/>
                </c:ext>
              </c:extLst>
            </c:dLbl>
            <c:dLbl>
              <c:idx val="4"/>
              <c:spPr/>
              <c:txPr>
                <a:bodyPr wrap="square"/>
                <a:lstStyle/>
                <a:p>
                  <a:pPr>
                    <a:defRPr sz="1000" b="0" strike="noStrike" spc="-1">
                      <a:solidFill>
                        <a:srgbClr val="000000"/>
                      </a:solidFill>
                      <a:latin typeface="Calibri"/>
                    </a:defRPr>
                  </a:pPr>
                  <a:endParaRPr lang="pt-BR"/>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9-58E2-4960-9130-8BC3F2B3ABBE}"/>
                </c:ext>
              </c:extLst>
            </c:dLbl>
            <c:dLbl>
              <c:idx val="5"/>
              <c:spPr/>
              <c:txPr>
                <a:bodyPr wrap="square"/>
                <a:lstStyle/>
                <a:p>
                  <a:pPr>
                    <a:defRPr sz="1000" b="0" strike="noStrike" spc="-1">
                      <a:solidFill>
                        <a:srgbClr val="000000"/>
                      </a:solidFill>
                      <a:latin typeface="Calibri"/>
                    </a:defRPr>
                  </a:pPr>
                  <a:endParaRPr lang="pt-BR"/>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B-58E2-4960-9130-8BC3F2B3ABBE}"/>
                </c:ext>
              </c:extLst>
            </c:dLbl>
            <c:dLbl>
              <c:idx val="6"/>
              <c:spPr/>
              <c:txPr>
                <a:bodyPr wrap="square"/>
                <a:lstStyle/>
                <a:p>
                  <a:pPr>
                    <a:defRPr sz="1000" b="0" strike="noStrike" spc="-1">
                      <a:solidFill>
                        <a:srgbClr val="000000"/>
                      </a:solidFill>
                      <a:latin typeface="Calibri"/>
                    </a:defRPr>
                  </a:pPr>
                  <a:endParaRPr lang="pt-BR"/>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D-58E2-4960-9130-8BC3F2B3ABBE}"/>
                </c:ext>
              </c:extLst>
            </c:dLbl>
            <c:dLbl>
              <c:idx val="7"/>
              <c:spPr/>
              <c:txPr>
                <a:bodyPr wrap="square"/>
                <a:lstStyle/>
                <a:p>
                  <a:pPr>
                    <a:defRPr sz="1000" b="0" strike="noStrike" spc="-1">
                      <a:solidFill>
                        <a:srgbClr val="000000"/>
                      </a:solidFill>
                      <a:latin typeface="Calibri"/>
                    </a:defRPr>
                  </a:pPr>
                  <a:endParaRPr lang="pt-BR"/>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F-58E2-4960-9130-8BC3F2B3ABBE}"/>
                </c:ext>
              </c:extLst>
            </c:dLbl>
            <c:spPr>
              <a:noFill/>
              <a:ln>
                <a:noFill/>
              </a:ln>
              <a:effectLst/>
            </c:spPr>
            <c:txPr>
              <a:bodyPr wrap="square"/>
              <a:lstStyle/>
              <a:p>
                <a:pPr>
                  <a:defRPr sz="1000" b="0" strike="noStrike" spc="-1">
                    <a:solidFill>
                      <a:srgbClr val="000000"/>
                    </a:solidFill>
                    <a:latin typeface="Calibri"/>
                  </a:defRPr>
                </a:pPr>
                <a:endParaRPr lang="pt-BR"/>
              </a:p>
            </c:txPr>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'Pendências DMSL'!$C$13:$C$20</c:f>
              <c:strCache>
                <c:ptCount val="8"/>
                <c:pt idx="0">
                  <c:v>RELIGADOR</c:v>
                </c:pt>
                <c:pt idx="1">
                  <c:v>REGULADOR TENSÃO</c:v>
                </c:pt>
                <c:pt idx="2">
                  <c:v>REPASSAR DMSL</c:v>
                </c:pt>
                <c:pt idx="3">
                  <c:v>TANQUE</c:v>
                </c:pt>
                <c:pt idx="4">
                  <c:v>TRANSFORMADOR</c:v>
                </c:pt>
                <c:pt idx="5">
                  <c:v>ATERRAMENTO</c:v>
                </c:pt>
                <c:pt idx="6">
                  <c:v>CONTROLE</c:v>
                </c:pt>
                <c:pt idx="7">
                  <c:v>BANCO CAPACITOR</c:v>
                </c:pt>
              </c:strCache>
            </c:strRef>
          </c:cat>
          <c:val>
            <c:numRef>
              <c:f>'Pendências DMSL'!$E$13:$E$20</c:f>
              <c:numCache>
                <c:formatCode>General</c:formatCode>
                <c:ptCount val="8"/>
                <c:pt idx="0">
                  <c:v>17</c:v>
                </c:pt>
                <c:pt idx="1">
                  <c:v>8</c:v>
                </c:pt>
                <c:pt idx="2">
                  <c:v>4</c:v>
                </c:pt>
                <c:pt idx="3">
                  <c:v>1</c:v>
                </c:pt>
                <c:pt idx="4">
                  <c:v>1</c:v>
                </c:pt>
                <c:pt idx="5">
                  <c:v>1</c:v>
                </c:pt>
                <c:pt idx="6">
                  <c:v>1</c:v>
                </c:pt>
                <c:pt idx="7">
                  <c:v>1</c:v>
                </c:pt>
              </c:numCache>
            </c:numRef>
          </c:val>
          <c:extLst>
            <c:ext xmlns:c16="http://schemas.microsoft.com/office/drawing/2014/chart" uri="{C3380CC4-5D6E-409C-BE32-E72D297353CC}">
              <c16:uniqueId val="{00000010-58E2-4960-9130-8BC3F2B3ABBE}"/>
            </c:ext>
          </c:extLst>
        </c:ser>
        <c:dLbls>
          <c:showLegendKey val="0"/>
          <c:showVal val="0"/>
          <c:showCatName val="0"/>
          <c:showSerName val="0"/>
          <c:showPercent val="0"/>
          <c:showBubbleSize val="0"/>
          <c:showLeaderLines val="1"/>
        </c:dLbls>
        <c:firstSliceAng val="0"/>
        <c:holeSize val="50"/>
      </c:doughnutChart>
      <c:spPr>
        <a:noFill/>
        <a:ln w="0">
          <a:noFill/>
        </a:ln>
      </c:spPr>
    </c:plotArea>
    <c:plotVisOnly val="1"/>
    <c:dispBlanksAs val="gap"/>
    <c:showDLblsOverMax val="1"/>
  </c:chart>
  <c:spPr>
    <a:solidFill>
      <a:srgbClr val="FFFFFF"/>
    </a:solidFill>
    <a:ln w="936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800" b="1" strike="noStrike" spc="-1">
                <a:solidFill>
                  <a:srgbClr val="000000"/>
                </a:solidFill>
                <a:latin typeface="Calibri"/>
              </a:defRPr>
            </a:pPr>
            <a:r>
              <a:rPr lang="pt-BR" sz="1800" b="1" strike="noStrike" spc="-1">
                <a:solidFill>
                  <a:srgbClr val="000000"/>
                </a:solidFill>
                <a:latin typeface="Calibri"/>
              </a:rPr>
              <a:t>Ranking de Equipamentos com SS Pendentes</a:t>
            </a:r>
          </a:p>
        </c:rich>
      </c:tx>
      <c:overlay val="0"/>
      <c:spPr>
        <a:noFill/>
        <a:ln w="0">
          <a:noFill/>
        </a:ln>
      </c:spPr>
    </c:title>
    <c:autoTitleDeleted val="0"/>
    <c:plotArea>
      <c:layout/>
      <c:barChart>
        <c:barDir val="bar"/>
        <c:grouping val="clustered"/>
        <c:varyColors val="0"/>
        <c:ser>
          <c:idx val="0"/>
          <c:order val="0"/>
          <c:tx>
            <c:strRef>
              <c:f>'Por Equipamento'!$D$6</c:f>
              <c:strCache>
                <c:ptCount val="1"/>
                <c:pt idx="0">
                  <c:v>Qtd</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pt-BR"/>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'Por Equipamento'!$C$7:$C$19</c:f>
              <c:strCache>
                <c:ptCount val="13"/>
                <c:pt idx="0">
                  <c:v>CABOS</c:v>
                </c:pt>
                <c:pt idx="1">
                  <c:v>RELIGADOR</c:v>
                </c:pt>
                <c:pt idx="2">
                  <c:v>TANQUE</c:v>
                </c:pt>
                <c:pt idx="3">
                  <c:v>BANCO DE CAPACITOR</c:v>
                </c:pt>
                <c:pt idx="4">
                  <c:v>RELÉ</c:v>
                </c:pt>
                <c:pt idx="5">
                  <c:v>PARTE ATIVA</c:v>
                </c:pt>
                <c:pt idx="6">
                  <c:v>REGULADOR DE TENSÃO</c:v>
                </c:pt>
                <c:pt idx="7">
                  <c:v>ATERRAMENTO</c:v>
                </c:pt>
                <c:pt idx="8">
                  <c:v>CAIXA DE CONTROLE</c:v>
                </c:pt>
                <c:pt idx="9">
                  <c:v>TRANSFORMADOR</c:v>
                </c:pt>
                <c:pt idx="10">
                  <c:v>BARRAMENTO</c:v>
                </c:pt>
                <c:pt idx="11">
                  <c:v>TAPE</c:v>
                </c:pt>
                <c:pt idx="12">
                  <c:v>CHAVE</c:v>
                </c:pt>
              </c:strCache>
            </c:strRef>
          </c:cat>
          <c:val>
            <c:numRef>
              <c:f>'Por Equipamento'!$D$7:$D$19</c:f>
              <c:numCache>
                <c:formatCode>General</c:formatCode>
                <c:ptCount val="13"/>
                <c:pt idx="0">
                  <c:v>30</c:v>
                </c:pt>
                <c:pt idx="1">
                  <c:v>27</c:v>
                </c:pt>
                <c:pt idx="2">
                  <c:v>15</c:v>
                </c:pt>
                <c:pt idx="3">
                  <c:v>12</c:v>
                </c:pt>
                <c:pt idx="4">
                  <c:v>6</c:v>
                </c:pt>
                <c:pt idx="5">
                  <c:v>6</c:v>
                </c:pt>
                <c:pt idx="6">
                  <c:v>4</c:v>
                </c:pt>
                <c:pt idx="7">
                  <c:v>3</c:v>
                </c:pt>
                <c:pt idx="8">
                  <c:v>2</c:v>
                </c:pt>
                <c:pt idx="9">
                  <c:v>2</c:v>
                </c:pt>
                <c:pt idx="10">
                  <c:v>1</c:v>
                </c:pt>
                <c:pt idx="11">
                  <c:v>1</c:v>
                </c:pt>
                <c:pt idx="12">
                  <c:v>1</c:v>
                </c:pt>
              </c:numCache>
            </c:numRef>
          </c:val>
          <c:extLst>
            <c:ext xmlns:c16="http://schemas.microsoft.com/office/drawing/2014/chart" uri="{C3380CC4-5D6E-409C-BE32-E72D297353CC}">
              <c16:uniqueId val="{00000000-7502-448D-BDDD-7C430E974C66}"/>
            </c:ext>
          </c:extLst>
        </c:ser>
        <c:dLbls>
          <c:showLegendKey val="0"/>
          <c:showVal val="0"/>
          <c:showCatName val="0"/>
          <c:showSerName val="0"/>
          <c:showPercent val="0"/>
          <c:showBubbleSize val="0"/>
        </c:dLbls>
        <c:gapWidth val="150"/>
        <c:axId val="72467326"/>
        <c:axId val="61747762"/>
      </c:barChart>
      <c:catAx>
        <c:axId val="72467326"/>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pt-BR"/>
          </a:p>
        </c:txPr>
        <c:crossAx val="61747762"/>
        <c:crosses val="autoZero"/>
        <c:auto val="1"/>
        <c:lblAlgn val="ctr"/>
        <c:lblOffset val="100"/>
        <c:noMultiLvlLbl val="0"/>
      </c:catAx>
      <c:valAx>
        <c:axId val="61747762"/>
        <c:scaling>
          <c:orientation val="minMax"/>
        </c:scaling>
        <c:delete val="0"/>
        <c:axPos val="b"/>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pt-BR"/>
          </a:p>
        </c:txPr>
        <c:crossAx val="7246732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7</xdr:col>
      <xdr:colOff>244080</xdr:colOff>
      <xdr:row>44</xdr:row>
      <xdr:rowOff>19440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504720</xdr:colOff>
      <xdr:row>29</xdr:row>
      <xdr:rowOff>38160</xdr:rowOff>
    </xdr:from>
    <xdr:to>
      <xdr:col>16</xdr:col>
      <xdr:colOff>16920</xdr:colOff>
      <xdr:row>44</xdr:row>
      <xdr:rowOff>57600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45</xdr:row>
      <xdr:rowOff>0</xdr:rowOff>
    </xdr:from>
    <xdr:to>
      <xdr:col>7</xdr:col>
      <xdr:colOff>244080</xdr:colOff>
      <xdr:row>60</xdr:row>
      <xdr:rowOff>19080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7</xdr:col>
      <xdr:colOff>50760</xdr:colOff>
      <xdr:row>16</xdr:row>
      <xdr:rowOff>79200</xdr:rowOff>
    </xdr:to>
    <xdr:graphicFrame macro="">
      <xdr:nvGraphicFramePr>
        <xdr:cNvPr id="3" name="Chart 1">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5</xdr:row>
      <xdr:rowOff>0</xdr:rowOff>
    </xdr:from>
    <xdr:to>
      <xdr:col>17</xdr:col>
      <xdr:colOff>50400</xdr:colOff>
      <xdr:row>16</xdr:row>
      <xdr:rowOff>79200</xdr:rowOff>
    </xdr:to>
    <xdr:graphicFrame macro="">
      <xdr:nvGraphicFramePr>
        <xdr:cNvPr id="4" name="Chart 2">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22</xdr:row>
      <xdr:rowOff>0</xdr:rowOff>
    </xdr:from>
    <xdr:to>
      <xdr:col>7</xdr:col>
      <xdr:colOff>50760</xdr:colOff>
      <xdr:row>34</xdr:row>
      <xdr:rowOff>78840</xdr:rowOff>
    </xdr:to>
    <xdr:graphicFrame macro="">
      <xdr:nvGraphicFramePr>
        <xdr:cNvPr id="5" name="Chart 3">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0</xdr:colOff>
      <xdr:row>22</xdr:row>
      <xdr:rowOff>0</xdr:rowOff>
    </xdr:from>
    <xdr:to>
      <xdr:col>17</xdr:col>
      <xdr:colOff>50400</xdr:colOff>
      <xdr:row>34</xdr:row>
      <xdr:rowOff>78840</xdr:rowOff>
    </xdr:to>
    <xdr:graphicFrame macro="">
      <xdr:nvGraphicFramePr>
        <xdr:cNvPr id="6" name="Chart 4">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11</xdr:row>
      <xdr:rowOff>0</xdr:rowOff>
    </xdr:from>
    <xdr:to>
      <xdr:col>3</xdr:col>
      <xdr:colOff>725327</xdr:colOff>
      <xdr:row>19</xdr:row>
      <xdr:rowOff>168089</xdr:rowOff>
    </xdr:to>
    <xdr:graphicFrame macro="">
      <xdr:nvGraphicFramePr>
        <xdr:cNvPr id="7" name="Chart 1">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45</xdr:row>
      <xdr:rowOff>0</xdr:rowOff>
    </xdr:from>
    <xdr:to>
      <xdr:col>7</xdr:col>
      <xdr:colOff>3795</xdr:colOff>
      <xdr:row>67</xdr:row>
      <xdr:rowOff>125640</xdr:rowOff>
    </xdr:to>
    <xdr:graphicFrame macro="">
      <xdr:nvGraphicFramePr>
        <xdr:cNvPr id="8" name="Chart 1">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nergisa-my.sharepoint.com/personal/zenilson_santos_energisa_com_br/Documents/Arquivos%20de%20Chat%20do%20Microsoft%20Teams/Rela&#231;&#227;o%20dos%20Equipamentos%20Indispon&#237;veis%20-%20ETO%20(ATUALIZADA).xlsx" TargetMode="External"/><Relationship Id="rId1" Type="http://schemas.openxmlformats.org/officeDocument/2006/relationships/externalLinkPath" Target="https://energisa-my.sharepoint.com/personal/zenilson_santos_energisa_com_br/Documents/Arquivos%20de%20Chat%20do%20Microsoft%20Teams/Rela&#231;&#227;o%20dos%20Equipamentos%20Indispon&#237;veis%20-%20ETO%20(ATUALIZAD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endentes"/>
      <sheetName val="Criticidade por Equipamento"/>
      <sheetName val="Concluídas"/>
      <sheetName val="Premissas por Equipamento"/>
      <sheetName val="Localidades"/>
      <sheetName val="Premissas"/>
      <sheetName val="Matriz de Criticidade"/>
    </sheetNames>
    <sheetDataSet>
      <sheetData sheetId="0">
        <row r="1">
          <cell r="D1" t="str">
            <v>COD_RELIGADOR</v>
          </cell>
          <cell r="U1" t="str">
            <v>Criticidade</v>
          </cell>
        </row>
        <row r="2">
          <cell r="D2">
            <v>5836764032</v>
          </cell>
          <cell r="U2" t="str">
            <v>Muito Alta</v>
          </cell>
        </row>
        <row r="3">
          <cell r="D3">
            <v>7921202014</v>
          </cell>
          <cell r="U3" t="str">
            <v>Falta definir</v>
          </cell>
        </row>
        <row r="4">
          <cell r="D4">
            <v>7900453110</v>
          </cell>
          <cell r="U4" t="str">
            <v>Muito Alta</v>
          </cell>
        </row>
        <row r="5">
          <cell r="D5">
            <v>7900117013</v>
          </cell>
          <cell r="U5" t="str">
            <v>Muito Alta</v>
          </cell>
        </row>
        <row r="6">
          <cell r="D6">
            <v>7908705049</v>
          </cell>
          <cell r="U6" t="str">
            <v>Muito Alta</v>
          </cell>
        </row>
        <row r="7">
          <cell r="D7">
            <v>7900573047</v>
          </cell>
          <cell r="U7" t="str">
            <v>Alta</v>
          </cell>
        </row>
        <row r="8">
          <cell r="D8">
            <v>7908686014</v>
          </cell>
          <cell r="U8" t="str">
            <v>Muito Alta</v>
          </cell>
        </row>
        <row r="9">
          <cell r="D9">
            <v>7931610122</v>
          </cell>
          <cell r="U9" t="str">
            <v>Muito Alta</v>
          </cell>
        </row>
        <row r="10">
          <cell r="D10">
            <v>7933766059</v>
          </cell>
          <cell r="U10" t="str">
            <v>Muito Alta</v>
          </cell>
        </row>
        <row r="11">
          <cell r="D11">
            <v>7938137007</v>
          </cell>
          <cell r="U11" t="str">
            <v>Baixa</v>
          </cell>
        </row>
        <row r="12">
          <cell r="D12">
            <v>7957620015</v>
          </cell>
          <cell r="U12" t="str">
            <v>Muito Alta</v>
          </cell>
        </row>
        <row r="13">
          <cell r="D13">
            <v>5801866013</v>
          </cell>
          <cell r="U13" t="str">
            <v>Falta definir</v>
          </cell>
        </row>
        <row r="14">
          <cell r="D14">
            <v>7919270014</v>
          </cell>
          <cell r="U14" t="str">
            <v>Falta definir</v>
          </cell>
        </row>
        <row r="15">
          <cell r="D15">
            <v>5853360007</v>
          </cell>
          <cell r="U15" t="str">
            <v>Alta</v>
          </cell>
        </row>
        <row r="16">
          <cell r="D16">
            <v>7962635060</v>
          </cell>
          <cell r="U16" t="str">
            <v>Falta definir</v>
          </cell>
        </row>
        <row r="17">
          <cell r="D17">
            <v>7967181127</v>
          </cell>
          <cell r="U17" t="str">
            <v>Falta definir</v>
          </cell>
        </row>
        <row r="18">
          <cell r="D18">
            <v>5800366016</v>
          </cell>
          <cell r="U18" t="str">
            <v>Alta</v>
          </cell>
        </row>
        <row r="19">
          <cell r="D19">
            <v>5800366016</v>
          </cell>
          <cell r="U19" t="str">
            <v>Alta</v>
          </cell>
        </row>
        <row r="20">
          <cell r="D20">
            <v>7900525015</v>
          </cell>
          <cell r="U20" t="str">
            <v>Falta definir</v>
          </cell>
        </row>
        <row r="21">
          <cell r="D21">
            <v>7908302256</v>
          </cell>
          <cell r="U21" t="str">
            <v>Falta definir</v>
          </cell>
        </row>
        <row r="22">
          <cell r="D22">
            <v>7925737080</v>
          </cell>
          <cell r="U22" t="str">
            <v>Falta definir</v>
          </cell>
        </row>
        <row r="23">
          <cell r="D23">
            <v>7929376022</v>
          </cell>
          <cell r="U23" t="str">
            <v>Falta definir</v>
          </cell>
        </row>
        <row r="24">
          <cell r="D24">
            <v>5800291077</v>
          </cell>
          <cell r="U24" t="str">
            <v>Falta definir</v>
          </cell>
        </row>
        <row r="25">
          <cell r="D25">
            <v>7955946007</v>
          </cell>
          <cell r="U25" t="str">
            <v>Falta definir</v>
          </cell>
        </row>
        <row r="26">
          <cell r="D26">
            <v>7901110084</v>
          </cell>
          <cell r="U26" t="str">
            <v>Falta definir</v>
          </cell>
        </row>
        <row r="27">
          <cell r="D27">
            <v>7944559149</v>
          </cell>
          <cell r="U27" t="str">
            <v>Falta definir</v>
          </cell>
        </row>
        <row r="28">
          <cell r="D28">
            <v>7955986084</v>
          </cell>
          <cell r="U28" t="str">
            <v>Falta definir</v>
          </cell>
        </row>
        <row r="29">
          <cell r="D29">
            <v>5800291035</v>
          </cell>
          <cell r="U29" t="str">
            <v>Média</v>
          </cell>
        </row>
        <row r="30">
          <cell r="D30">
            <v>7903569004</v>
          </cell>
          <cell r="U30" t="str">
            <v>Falta definir</v>
          </cell>
        </row>
        <row r="31">
          <cell r="D31">
            <v>7925733015</v>
          </cell>
          <cell r="U31" t="str">
            <v>Falta definir</v>
          </cell>
        </row>
        <row r="32">
          <cell r="D32">
            <v>7925744087</v>
          </cell>
          <cell r="U32" t="str">
            <v>Falta definir</v>
          </cell>
        </row>
        <row r="33">
          <cell r="D33">
            <v>5856070091</v>
          </cell>
          <cell r="U33" t="str">
            <v>Muito Alta</v>
          </cell>
        </row>
        <row r="34">
          <cell r="D34">
            <v>5856156091</v>
          </cell>
          <cell r="U34" t="str">
            <v>Falta definir</v>
          </cell>
        </row>
        <row r="35">
          <cell r="D35">
            <v>7923673004</v>
          </cell>
          <cell r="U35" t="str">
            <v>Falta definir</v>
          </cell>
        </row>
        <row r="36">
          <cell r="D36">
            <v>7926442035</v>
          </cell>
          <cell r="U36" t="str">
            <v>Falta definir</v>
          </cell>
        </row>
        <row r="37">
          <cell r="D37">
            <v>7953610256</v>
          </cell>
          <cell r="U37" t="str">
            <v>Falta definir</v>
          </cell>
        </row>
        <row r="38">
          <cell r="D38">
            <v>7925871077</v>
          </cell>
          <cell r="U38" t="str">
            <v>Falta definir</v>
          </cell>
        </row>
        <row r="39">
          <cell r="D39">
            <v>7927396052</v>
          </cell>
          <cell r="U39" t="str">
            <v>Falta definir</v>
          </cell>
        </row>
        <row r="40">
          <cell r="D40">
            <v>7936038076</v>
          </cell>
          <cell r="U40" t="str">
            <v>Falta definir</v>
          </cell>
        </row>
        <row r="41">
          <cell r="D41">
            <v>7900505026</v>
          </cell>
          <cell r="U41" t="str">
            <v>Baixa</v>
          </cell>
        </row>
        <row r="42">
          <cell r="D42">
            <v>7908249152</v>
          </cell>
          <cell r="U42" t="str">
            <v>Média</v>
          </cell>
        </row>
        <row r="43">
          <cell r="D43">
            <v>7926089013</v>
          </cell>
          <cell r="U43" t="str">
            <v>Falta definir</v>
          </cell>
        </row>
        <row r="44">
          <cell r="D44">
            <v>7927169001</v>
          </cell>
          <cell r="U44" t="str">
            <v>Alta</v>
          </cell>
        </row>
        <row r="45">
          <cell r="D45">
            <v>7931608059</v>
          </cell>
          <cell r="U45" t="str">
            <v>Falta definir</v>
          </cell>
        </row>
        <row r="46">
          <cell r="D46">
            <v>7947203070</v>
          </cell>
          <cell r="U46" t="str">
            <v>Falta definir</v>
          </cell>
        </row>
        <row r="47">
          <cell r="D47">
            <v>7927646026</v>
          </cell>
          <cell r="U47" t="str">
            <v>Alta</v>
          </cell>
        </row>
        <row r="48">
          <cell r="D48">
            <v>7954668084</v>
          </cell>
          <cell r="U48" t="str">
            <v>Falta definir</v>
          </cell>
        </row>
        <row r="49">
          <cell r="D49">
            <v>7933585074</v>
          </cell>
          <cell r="U49" t="str">
            <v>Falta definir</v>
          </cell>
        </row>
        <row r="50">
          <cell r="D50">
            <v>5803327001</v>
          </cell>
          <cell r="U50" t="str">
            <v>Alta</v>
          </cell>
        </row>
        <row r="51">
          <cell r="D51">
            <v>7908708116</v>
          </cell>
          <cell r="U51" t="str">
            <v>Falta definir</v>
          </cell>
        </row>
        <row r="52">
          <cell r="D52">
            <v>7937102148</v>
          </cell>
          <cell r="U52" t="str">
            <v>Média</v>
          </cell>
        </row>
        <row r="53">
          <cell r="D53">
            <v>5862236091</v>
          </cell>
          <cell r="U53" t="str">
            <v>Baixa</v>
          </cell>
        </row>
        <row r="54">
          <cell r="D54">
            <v>7925087021</v>
          </cell>
          <cell r="U54" t="str">
            <v>Alta</v>
          </cell>
        </row>
        <row r="55">
          <cell r="D55">
            <v>5800961074</v>
          </cell>
          <cell r="U55" t="str">
            <v>Falta definir</v>
          </cell>
        </row>
        <row r="56">
          <cell r="D56">
            <v>7927713200</v>
          </cell>
          <cell r="U56" t="str">
            <v>Média</v>
          </cell>
        </row>
        <row r="57">
          <cell r="D57">
            <v>5827102054</v>
          </cell>
          <cell r="U57" t="str">
            <v>Média</v>
          </cell>
        </row>
        <row r="58">
          <cell r="D58">
            <v>7955430075</v>
          </cell>
          <cell r="U58" t="str">
            <v>Baixa</v>
          </cell>
        </row>
        <row r="59">
          <cell r="D59">
            <v>7944319149</v>
          </cell>
          <cell r="U59" t="str">
            <v>Falta definir</v>
          </cell>
        </row>
        <row r="60">
          <cell r="D60">
            <v>5855411017</v>
          </cell>
          <cell r="U60" t="str">
            <v>Baixa</v>
          </cell>
        </row>
        <row r="61">
          <cell r="D61">
            <v>5800371025</v>
          </cell>
          <cell r="U61" t="str">
            <v>Alta</v>
          </cell>
        </row>
        <row r="62">
          <cell r="D62">
            <v>7903112004</v>
          </cell>
          <cell r="U62" t="str">
            <v>Alta</v>
          </cell>
        </row>
        <row r="63">
          <cell r="D63">
            <v>5850308009</v>
          </cell>
          <cell r="U63" t="str">
            <v>Falta definir</v>
          </cell>
        </row>
        <row r="64">
          <cell r="D64">
            <v>7900018004</v>
          </cell>
          <cell r="U64" t="str">
            <v>Alta</v>
          </cell>
        </row>
        <row r="65">
          <cell r="D65">
            <v>7922995039</v>
          </cell>
          <cell r="U65" t="str">
            <v>Falta definir</v>
          </cell>
        </row>
        <row r="66">
          <cell r="D66">
            <v>7943790134</v>
          </cell>
          <cell r="U66" t="str">
            <v>Alta</v>
          </cell>
        </row>
        <row r="67">
          <cell r="D67">
            <v>7931863074</v>
          </cell>
          <cell r="U67" t="str">
            <v>Falta definir</v>
          </cell>
        </row>
        <row r="68">
          <cell r="D68">
            <v>7937112036</v>
          </cell>
          <cell r="U68" t="str">
            <v>Falta definir</v>
          </cell>
        </row>
        <row r="69">
          <cell r="D69">
            <v>7900654055</v>
          </cell>
          <cell r="U69" t="str">
            <v>Falta definir</v>
          </cell>
        </row>
        <row r="70">
          <cell r="D70">
            <v>7936799032</v>
          </cell>
          <cell r="U70" t="str">
            <v>Falta definir</v>
          </cell>
        </row>
        <row r="71">
          <cell r="D71">
            <v>7900535058</v>
          </cell>
          <cell r="U71" t="str">
            <v>Média</v>
          </cell>
        </row>
        <row r="72">
          <cell r="D72">
            <v>5800438116</v>
          </cell>
          <cell r="U72" t="str">
            <v>Média</v>
          </cell>
        </row>
        <row r="73">
          <cell r="D73">
            <v>7934678004</v>
          </cell>
          <cell r="U73" t="str">
            <v>Falta definir</v>
          </cell>
        </row>
        <row r="74">
          <cell r="D74">
            <v>7955211004</v>
          </cell>
          <cell r="U74" t="str">
            <v>Falta definir</v>
          </cell>
        </row>
        <row r="75">
          <cell r="D75">
            <v>7908196047</v>
          </cell>
          <cell r="U75" t="str">
            <v>Baixa</v>
          </cell>
        </row>
        <row r="76">
          <cell r="D76">
            <v>7961515047</v>
          </cell>
          <cell r="U76" t="str">
            <v>Falta definir</v>
          </cell>
        </row>
        <row r="77">
          <cell r="D77">
            <v>5844630060</v>
          </cell>
          <cell r="U77" t="str">
            <v>Baixa</v>
          </cell>
        </row>
        <row r="78">
          <cell r="D78">
            <v>7928564039</v>
          </cell>
          <cell r="U78" t="str">
            <v>Média</v>
          </cell>
        </row>
        <row r="79">
          <cell r="D79">
            <v>5854566043</v>
          </cell>
          <cell r="U79" t="str">
            <v>Muito Alta</v>
          </cell>
        </row>
        <row r="80">
          <cell r="D80">
            <v>7942485096</v>
          </cell>
          <cell r="U80" t="str">
            <v>Baixa</v>
          </cell>
        </row>
        <row r="81">
          <cell r="D81">
            <v>7964802072</v>
          </cell>
          <cell r="U81" t="str">
            <v>Falta definir</v>
          </cell>
        </row>
        <row r="82">
          <cell r="D82">
            <v>7964803072</v>
          </cell>
          <cell r="U82" t="str">
            <v>Falta definir</v>
          </cell>
        </row>
        <row r="83">
          <cell r="D83">
            <v>7957126085</v>
          </cell>
          <cell r="U83" t="str">
            <v>Média</v>
          </cell>
        </row>
        <row r="84">
          <cell r="D84">
            <v>7930428001</v>
          </cell>
          <cell r="U84" t="str">
            <v>Alta</v>
          </cell>
        </row>
        <row r="85">
          <cell r="D85">
            <v>7927312010</v>
          </cell>
          <cell r="U85" t="str">
            <v>Falta definir</v>
          </cell>
        </row>
        <row r="86">
          <cell r="D86">
            <v>7926080073</v>
          </cell>
          <cell r="U86" t="str">
            <v>Falta definir</v>
          </cell>
        </row>
        <row r="87">
          <cell r="D87">
            <v>7902099003</v>
          </cell>
          <cell r="U87" t="str">
            <v>Falta definir</v>
          </cell>
        </row>
        <row r="88">
          <cell r="D88">
            <v>7930877081</v>
          </cell>
          <cell r="U88" t="str">
            <v>Falta definir</v>
          </cell>
        </row>
        <row r="89">
          <cell r="D89">
            <v>5837543086</v>
          </cell>
          <cell r="U89" t="str">
            <v>Falta definir</v>
          </cell>
        </row>
        <row r="90">
          <cell r="D90">
            <v>7955520116</v>
          </cell>
          <cell r="U90" t="str">
            <v>Alta</v>
          </cell>
        </row>
        <row r="91">
          <cell r="D91">
            <v>7933726256</v>
          </cell>
          <cell r="U91" t="str">
            <v>Falta definir</v>
          </cell>
        </row>
        <row r="92">
          <cell r="D92">
            <v>7927446001</v>
          </cell>
          <cell r="U92" t="str">
            <v>Baixa</v>
          </cell>
        </row>
        <row r="93">
          <cell r="D93">
            <v>7928241200</v>
          </cell>
          <cell r="U93" t="str">
            <v>Baixa</v>
          </cell>
        </row>
        <row r="94">
          <cell r="D94">
            <v>7956702007</v>
          </cell>
          <cell r="U94" t="str">
            <v>Falta definir</v>
          </cell>
        </row>
        <row r="95">
          <cell r="D95">
            <v>5858783119</v>
          </cell>
          <cell r="U95" t="str">
            <v>Baixa</v>
          </cell>
        </row>
        <row r="96">
          <cell r="D96">
            <v>7944353028</v>
          </cell>
          <cell r="U96" t="str">
            <v>Falta definir</v>
          </cell>
        </row>
        <row r="97">
          <cell r="D97">
            <v>7920024127</v>
          </cell>
          <cell r="U97" t="str">
            <v>Alta</v>
          </cell>
        </row>
        <row r="98">
          <cell r="D98">
            <v>7925126060</v>
          </cell>
          <cell r="U98" t="str">
            <v>Falta definir</v>
          </cell>
        </row>
        <row r="99">
          <cell r="D99">
            <v>7926078046</v>
          </cell>
          <cell r="U99" t="str">
            <v>Falta definir</v>
          </cell>
        </row>
        <row r="100">
          <cell r="D100">
            <v>7907536092</v>
          </cell>
          <cell r="U100" t="str">
            <v>Falta definir</v>
          </cell>
        </row>
        <row r="101">
          <cell r="D101">
            <v>7951356092</v>
          </cell>
          <cell r="U101" t="str">
            <v>Falta definir</v>
          </cell>
        </row>
        <row r="102">
          <cell r="D102">
            <v>7927000155</v>
          </cell>
          <cell r="U102" t="str">
            <v>Falta definir</v>
          </cell>
        </row>
        <row r="103">
          <cell r="D103">
            <v>7910027196</v>
          </cell>
          <cell r="U103" t="str">
            <v>Falta definir</v>
          </cell>
        </row>
        <row r="104">
          <cell r="D104">
            <v>7900532053</v>
          </cell>
          <cell r="U104" t="str">
            <v>Falta definir</v>
          </cell>
        </row>
        <row r="105">
          <cell r="D105">
            <v>7910410013</v>
          </cell>
          <cell r="U105" t="str">
            <v>Falta definir</v>
          </cell>
        </row>
        <row r="106">
          <cell r="D106">
            <v>7934698002</v>
          </cell>
          <cell r="U106" t="str">
            <v>Alta</v>
          </cell>
        </row>
        <row r="107">
          <cell r="D107">
            <v>7923927122</v>
          </cell>
          <cell r="U107" t="str">
            <v>Baixa</v>
          </cell>
        </row>
        <row r="108">
          <cell r="D108">
            <v>7915039094</v>
          </cell>
          <cell r="U108" t="str">
            <v>Falta definir</v>
          </cell>
        </row>
        <row r="109">
          <cell r="D109">
            <v>5836786094</v>
          </cell>
          <cell r="U109" t="str">
            <v>Falta definir</v>
          </cell>
        </row>
        <row r="110">
          <cell r="D110">
            <v>7908206074</v>
          </cell>
          <cell r="U110" t="str">
            <v>Falta definir</v>
          </cell>
        </row>
        <row r="111">
          <cell r="D111">
            <v>7900230155</v>
          </cell>
          <cell r="U111" t="str">
            <v>Muito Alta</v>
          </cell>
        </row>
        <row r="112">
          <cell r="D112">
            <v>7926848026</v>
          </cell>
          <cell r="U112" t="str">
            <v>Falta definir</v>
          </cell>
        </row>
        <row r="113">
          <cell r="D113">
            <v>7927413001</v>
          </cell>
          <cell r="U113" t="str">
            <v>Falta definir</v>
          </cell>
        </row>
        <row r="114">
          <cell r="D114">
            <v>7954632001</v>
          </cell>
          <cell r="U114" t="str">
            <v>Falta definir</v>
          </cell>
        </row>
        <row r="115">
          <cell r="D115">
            <v>7924823034</v>
          </cell>
          <cell r="U115" t="str">
            <v>Falta definir</v>
          </cell>
        </row>
        <row r="116">
          <cell r="D116">
            <v>7930293034</v>
          </cell>
          <cell r="U116" t="str">
            <v>Falta definir</v>
          </cell>
        </row>
        <row r="117">
          <cell r="D117">
            <v>7932924070</v>
          </cell>
          <cell r="U117" t="str">
            <v>Falta definir</v>
          </cell>
        </row>
        <row r="118">
          <cell r="D118">
            <v>7927711107</v>
          </cell>
          <cell r="U118" t="str">
            <v>Falta definir</v>
          </cell>
        </row>
        <row r="119">
          <cell r="D119">
            <v>5800090147</v>
          </cell>
          <cell r="U119" t="str">
            <v>Falta definir</v>
          </cell>
        </row>
        <row r="120">
          <cell r="D120">
            <v>7957553097</v>
          </cell>
          <cell r="U120" t="str">
            <v>Falta definir</v>
          </cell>
        </row>
      </sheetData>
      <sheetData sheetId="1"/>
      <sheetData sheetId="2"/>
      <sheetData sheetId="3"/>
      <sheetData sheetId="4"/>
      <sheetData sheetId="5"/>
      <sheetData sheetId="6"/>
    </sheetDataSet>
  </externalBook>
</externalLink>
</file>

<file path=xl/persons/person.xml><?xml version="1.0" encoding="utf-8"?>
<personList xmlns="http://schemas.microsoft.com/office/spreadsheetml/2018/threadedcomments" xmlns:x="http://schemas.openxmlformats.org/spreadsheetml/2006/main">
  <person displayName="Joao Antonio Lagares Milhomem de Souza" id="{99E77189-EA57-4F9A-8CC8-CF967588A346}" userId="S::joao.lagares@energisa.com.br::398807df-e4d5-412e-a012-70e82e4b539b"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6C171B6F-34B3-4307-B15E-BBBFE9A466B6}" autoFormatId="16" applyNumberFormats="0" applyBorderFormats="0" applyFontFormats="0" applyPatternFormats="0" applyAlignmentFormats="0" applyWidthHeightFormats="0">
  <queryTableRefresh nextId="20">
    <queryTableFields count="19">
      <queryTableField id="1" name="NUMERO_SS" tableColumnId="1"/>
      <queryTableField id="2" name="ANO" tableColumnId="2"/>
      <queryTableField id="3" name="SIGLAORGAO" tableColumnId="3"/>
      <queryTableField id="4" name="DEPARTCODE" tableColumnId="4"/>
      <queryTableField id="5" name="LOCATIONID" tableColumnId="5"/>
      <queryTableField id="6" name="PLACEMENTDESC" tableColumnId="6"/>
      <queryTableField id="7" name="CRITICIDADE_SS" tableColumnId="7"/>
      <queryTableField id="8" name="SITUACAO_SS" tableColumnId="8"/>
      <queryTableField id="9" name="DATA_OCORRENCIA_SS" tableColumnId="9"/>
      <queryTableField id="10" name="DATA_ABERTURA_SS" tableColumnId="10"/>
      <queryTableField id="11" name="DATA_TERMINO_SS" tableColumnId="11"/>
      <queryTableField id="12" name="DATA_LIMITE_SS" tableColumnId="12"/>
      <queryTableField id="13" name="DESCRICAO_DO_ATIVO" tableColumnId="13"/>
      <queryTableField id="14" name="OBJSPECDESC" tableColumnId="14"/>
      <queryTableField id="15" name="LOCALIDADE" tableColumnId="15"/>
      <queryTableField id="16" name="RURA_URBANO" tableColumnId="16"/>
      <queryTableField id="17" name="HRNAME" tableColumnId="17"/>
      <queryTableField id="18" name="TIPOSS" tableColumnId="18"/>
      <queryTableField id="19" name="ABRANGENCIA"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1AEDCA-524D-4B23-9B13-31AD76298405}" name="Dados" displayName="Dados" ref="A1:S171" tableType="queryTable" totalsRowShown="0">
  <autoFilter ref="A1:S171" xr:uid="{B61AEDCA-524D-4B23-9B13-31AD76298405}"/>
  <tableColumns count="19">
    <tableColumn id="1" xr3:uid="{771075D9-633C-478A-B97E-0B01702F8B4A}" uniqueName="1" name="NUMERO_SS" queryTableFieldId="1" dataDxfId="25"/>
    <tableColumn id="2" xr3:uid="{EF871793-0387-47EC-8853-5B30567D2215}" uniqueName="2" name="ANO" queryTableFieldId="2"/>
    <tableColumn id="3" xr3:uid="{7AF14FC0-97B2-4A7D-B42D-5521B398C254}" uniqueName="3" name="SIGLAORGAO" queryTableFieldId="3" dataDxfId="24"/>
    <tableColumn id="4" xr3:uid="{785EFA26-56BD-47CA-A050-B57379B68322}" uniqueName="4" name="DEPARTCODE" queryTableFieldId="4" dataDxfId="23"/>
    <tableColumn id="5" xr3:uid="{92525FCF-E22B-4385-B8C6-18234E879BE7}" uniqueName="5" name="LOCATIONID" queryTableFieldId="5" dataDxfId="22"/>
    <tableColumn id="6" xr3:uid="{2818ECE5-36E3-422E-BAD3-C08C2DC49B4E}" uniqueName="6" name="PLACEMENTDESC" queryTableFieldId="6" dataDxfId="21"/>
    <tableColumn id="7" xr3:uid="{E7CF2F6B-DCD9-402A-A072-EED0BFF35436}" uniqueName="7" name="CRITICIDADE_SS" queryTableFieldId="7" dataDxfId="20"/>
    <tableColumn id="8" xr3:uid="{03700363-56DC-4423-8904-E26DF3161CF5}" uniqueName="8" name="SITUACAO_SS" queryTableFieldId="8" dataDxfId="19"/>
    <tableColumn id="9" xr3:uid="{5BBBD538-6247-40B2-9CDC-7BC17997E122}" uniqueName="9" name="DATA_OCORRENCIA_SS" queryTableFieldId="9" dataDxfId="18"/>
    <tableColumn id="10" xr3:uid="{97DBD30E-9315-42BD-A150-B104AF3302A9}" uniqueName="10" name="DATA_ABERTURA_SS" queryTableFieldId="10" dataDxfId="17"/>
    <tableColumn id="11" xr3:uid="{A6B839ED-ACA5-461A-BFA6-92DF64BCBCCE}" uniqueName="11" name="DATA_TERMINO_SS" queryTableFieldId="11" dataDxfId="16"/>
    <tableColumn id="12" xr3:uid="{081DE374-39A2-4A6B-AE5B-1B41A17A81F1}" uniqueName="12" name="DATA_LIMITE_SS" queryTableFieldId="12" dataDxfId="15"/>
    <tableColumn id="13" xr3:uid="{6C6AE62C-73B1-4746-ACF3-339A7316D533}" uniqueName="13" name="DESCRICAO_DO_ATIVO" queryTableFieldId="13" dataDxfId="14"/>
    <tableColumn id="14" xr3:uid="{FB2F1E9C-6358-4E71-8EB5-BDDD387EED57}" uniqueName="14" name="OBJSPECDESC" queryTableFieldId="14" dataDxfId="13"/>
    <tableColumn id="15" xr3:uid="{801EFFC4-394E-482A-AFBF-A9F67F586D3B}" uniqueName="15" name="LOCALIDADE" queryTableFieldId="15" dataDxfId="12"/>
    <tableColumn id="16" xr3:uid="{1D21AD6E-5B60-49D7-8D3B-8D0F5A303F77}" uniqueName="16" name="RURA_URBANO" queryTableFieldId="16" dataDxfId="11"/>
    <tableColumn id="17" xr3:uid="{3C119EFA-BDAF-4300-839C-7984C0BA27E8}" uniqueName="17" name="HRNAME" queryTableFieldId="17" dataDxfId="10"/>
    <tableColumn id="18" xr3:uid="{E702FF61-5093-4983-B48F-D3B9B31CBC9D}" uniqueName="18" name="TIPOSS" queryTableFieldId="18" dataDxfId="9"/>
    <tableColumn id="19" xr3:uid="{185E79EC-9929-4CDF-B525-0C15A9A7B403}" uniqueName="19" name="ABRANGENCIA" queryTableFieldId="19"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29" dT="2026-05-19T11:56:29.48" personId="{99E77189-EA57-4F9A-8CC8-CF967588A346}" id="{8D03F37D-C931-4F80-97BF-9900BDFE4E89}">
    <text>Verificar se tem obra</text>
  </threadedComment>
  <threadedComment ref="A38" dT="2026-05-22T18:27:31.92" personId="{99E77189-EA57-4F9A-8CC8-CF967588A346}" id="{C4A3B259-50D9-4846-9AED-2E057D4A96BF}">
    <text>cancelar</text>
  </threadedComment>
  <threadedComment ref="A49" dT="2026-05-22T18:17:45.11" personId="{99E77189-EA57-4F9A-8CC8-CF967588A346}" id="{22A58142-61EA-4FF5-A2D0-DEE18287FF3F}">
    <text>cOMPRA</text>
  </threadedComment>
  <threadedComment ref="A87" dT="2026-05-22T18:27:09.39" personId="{99E77189-EA57-4F9A-8CC8-CF967588A346}" id="{240485C0-75F4-42D0-911C-2D7275A82D1E}">
    <text>Cancelar</text>
  </threadedComment>
  <threadedComment ref="A99" dT="2026-05-19T12:10:24.96" personId="{99E77189-EA57-4F9A-8CC8-CF967588A346}" id="{F023EDF7-4748-4730-B622-AB45614517BC}">
    <text>Verificar se está em operação ou não</text>
  </threadedComment>
  <threadedComment ref="A126" dT="2026-05-22T18:26:55.48" personId="{99E77189-EA57-4F9A-8CC8-CF967588A346}" id="{845DBEDD-A43A-4099-917A-0E1CA86F6A6D}">
    <text>Cancelar</text>
  </threadedComment>
  <threadedComment ref="A145" dT="2026-05-19T11:54:00.91" personId="{99E77189-EA57-4F9A-8CC8-CF967588A346}" id="{ACCDA810-4A93-479C-A04B-AA522906C741}">
    <text>Olhar no Scada, senão tiver informação lá , Falar com o Dione</text>
  </threadedComment>
  <threadedComment ref="A145" dT="2026-05-22T18:54:38.02" personId="{99E77189-EA57-4F9A-8CC8-CF967588A346}" id="{37564953-B3A5-4D26-A644-EE0DFE31F623}" parentId="{ACCDA810-4A93-479C-A04B-AA522906C741}">
    <text>Realmente precisamos comprar ou tomar providências</text>
  </threadedComment>
  <threadedComment ref="A149" dT="2026-05-19T12:07:08.69" personId="{99E77189-EA57-4F9A-8CC8-CF967588A346}" id="{ABDE0B45-7C10-481A-BC9F-AC8918C614A0}">
    <text>Verificar com o Miguel no Scada novamente</text>
  </threadedComment>
  <threadedComment ref="A160" dT="2026-05-19T12:08:39.96" personId="{99E77189-EA57-4F9A-8CC8-CF967588A346}" id="{0FE3D114-F18D-4BA1-893D-AF6268E35F06}">
    <text>Verificar no Scada se já ta em operação</text>
  </threadedComment>
  <threadedComment ref="A160" dT="2026-05-19T12:09:35.38" personId="{99E77189-EA57-4F9A-8CC8-CF967588A346}" id="{71B8C2B8-8BEF-4FF8-AC0E-E9E6806FA1CE}" parentId="{0FE3D114-F18D-4BA1-893D-AF6268E35F06}">
    <text>Senão tiver ETO-RD-GU</text>
  </threadedComment>
  <threadedComment ref="A175" dT="2026-05-19T12:08:18.83" personId="{99E77189-EA57-4F9A-8CC8-CF967588A346}" id="{F6D71FD1-78C6-4EFE-A21C-6EA6A38A3C6C}">
    <text>Verificar no Scada Com o Miguel</text>
  </threadedComment>
  <threadedComment ref="A179" dT="2026-05-19T12:10:50.43" personId="{99E77189-EA57-4F9A-8CC8-CF967588A346}" id="{9DEA08EB-53DA-4AC1-A637-92E368DCF0FC}">
    <text>Verificar se está em operação ou não</text>
  </threadedComment>
</ThreadedComments>
</file>

<file path=xl/threadedComments/threadedComment2.xml><?xml version="1.0" encoding="utf-8"?>
<ThreadedComments xmlns="http://schemas.microsoft.com/office/spreadsheetml/2018/threadedcomments" xmlns:x="http://schemas.openxmlformats.org/spreadsheetml/2006/main">
  <threadedComment ref="A19" dT="2026-06-01T11:02:34.77" personId="{99E77189-EA57-4F9A-8CC8-CF967588A346}" id="{90347809-C64D-41C2-8088-301371D07BF6}">
    <text>Novo</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D95C4-5656-4FF2-A582-1CA7F4767668}">
  <dimension ref="A1:S171"/>
  <sheetViews>
    <sheetView zoomScale="85" zoomScaleNormal="85" workbookViewId="0">
      <selection sqref="A1:S1"/>
    </sheetView>
  </sheetViews>
  <sheetFormatPr baseColWidth="10" defaultColWidth="8.83203125" defaultRowHeight="15" x14ac:dyDescent="0.2"/>
  <cols>
    <col min="1" max="1" width="20.5" bestFit="1" customWidth="1"/>
    <col min="2" max="2" width="7.6640625" bestFit="1" customWidth="1"/>
    <col min="3" max="3" width="15.1640625" bestFit="1" customWidth="1"/>
    <col min="4" max="4" width="15.33203125" bestFit="1" customWidth="1"/>
    <col min="5" max="5" width="14.33203125" bestFit="1" customWidth="1"/>
    <col min="6" max="6" width="21" bestFit="1" customWidth="1"/>
    <col min="7" max="7" width="17.5" bestFit="1" customWidth="1"/>
    <col min="8" max="8" width="15.5" bestFit="1" customWidth="1"/>
    <col min="9" max="9" width="24.33203125" bestFit="1" customWidth="1"/>
    <col min="10" max="10" width="22.1640625" bestFit="1" customWidth="1"/>
    <col min="11" max="11" width="21" bestFit="1" customWidth="1"/>
    <col min="12" max="12" width="18.33203125" bestFit="1" customWidth="1"/>
    <col min="13" max="13" width="50.5" bestFit="1" customWidth="1"/>
    <col min="14" max="14" width="49.6640625" bestFit="1" customWidth="1"/>
    <col min="15" max="15" width="29.1640625" bestFit="1" customWidth="1"/>
    <col min="16" max="16" width="17.5" bestFit="1" customWidth="1"/>
    <col min="17" max="17" width="41" bestFit="1" customWidth="1"/>
    <col min="18" max="18" width="37" bestFit="1" customWidth="1"/>
    <col min="19" max="19" width="16.5" bestFit="1" customWidth="1"/>
  </cols>
  <sheetData>
    <row r="1" spans="1:1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
      <c r="A2" t="s">
        <v>19</v>
      </c>
      <c r="B2">
        <v>2023</v>
      </c>
      <c r="C2" t="s">
        <v>20</v>
      </c>
      <c r="D2" t="s">
        <v>21</v>
      </c>
      <c r="E2" t="s">
        <v>22</v>
      </c>
      <c r="F2" t="s">
        <v>23</v>
      </c>
      <c r="G2" t="s">
        <v>24</v>
      </c>
      <c r="H2" t="s">
        <v>25</v>
      </c>
      <c r="I2" s="177">
        <v>44822.053067129629</v>
      </c>
      <c r="J2" s="177">
        <v>45230.788541666669</v>
      </c>
      <c r="K2" s="177"/>
      <c r="L2" s="177">
        <v>45630.788541666669</v>
      </c>
      <c r="M2" t="s">
        <v>26</v>
      </c>
      <c r="N2" t="s">
        <v>27</v>
      </c>
      <c r="O2" t="s">
        <v>28</v>
      </c>
      <c r="P2" t="s">
        <v>29</v>
      </c>
      <c r="Q2" t="s">
        <v>30</v>
      </c>
      <c r="R2" t="s">
        <v>31</v>
      </c>
    </row>
    <row r="3" spans="1:19" x14ac:dyDescent="0.2">
      <c r="A3" t="s">
        <v>32</v>
      </c>
      <c r="B3">
        <v>2023</v>
      </c>
      <c r="C3" t="s">
        <v>20</v>
      </c>
      <c r="D3" t="s">
        <v>21</v>
      </c>
      <c r="E3" t="s">
        <v>33</v>
      </c>
      <c r="F3" t="s">
        <v>34</v>
      </c>
      <c r="G3" t="s">
        <v>35</v>
      </c>
      <c r="H3" t="s">
        <v>25</v>
      </c>
      <c r="I3" s="177">
        <v>44933.080254629633</v>
      </c>
      <c r="J3" s="177">
        <v>44953.652557870373</v>
      </c>
      <c r="K3" s="177"/>
      <c r="L3" s="177">
        <v>44956.652557870373</v>
      </c>
      <c r="M3" t="s">
        <v>36</v>
      </c>
      <c r="N3" t="s">
        <v>37</v>
      </c>
      <c r="O3" t="s">
        <v>38</v>
      </c>
      <c r="P3" t="s">
        <v>29</v>
      </c>
      <c r="Q3" t="s">
        <v>39</v>
      </c>
      <c r="R3" t="s">
        <v>40</v>
      </c>
      <c r="S3" t="s">
        <v>34</v>
      </c>
    </row>
    <row r="4" spans="1:19" x14ac:dyDescent="0.2">
      <c r="A4" t="s">
        <v>41</v>
      </c>
      <c r="B4">
        <v>2023</v>
      </c>
      <c r="D4" t="s">
        <v>21</v>
      </c>
      <c r="E4" t="s">
        <v>42</v>
      </c>
      <c r="F4" t="s">
        <v>43</v>
      </c>
      <c r="G4" t="s">
        <v>44</v>
      </c>
      <c r="H4" t="s">
        <v>25</v>
      </c>
      <c r="I4" s="177">
        <v>44936.382141203707</v>
      </c>
      <c r="J4" s="177">
        <v>44951.737222222226</v>
      </c>
      <c r="K4" s="177"/>
      <c r="L4" s="177">
        <v>45011.737222222226</v>
      </c>
      <c r="M4" t="s">
        <v>45</v>
      </c>
      <c r="N4" t="s">
        <v>46</v>
      </c>
      <c r="O4" t="s">
        <v>28</v>
      </c>
      <c r="P4" t="s">
        <v>47</v>
      </c>
      <c r="Q4" t="s">
        <v>39</v>
      </c>
      <c r="R4" t="s">
        <v>48</v>
      </c>
      <c r="S4" t="s">
        <v>49</v>
      </c>
    </row>
    <row r="5" spans="1:19" x14ac:dyDescent="0.2">
      <c r="A5" t="s">
        <v>50</v>
      </c>
      <c r="B5">
        <v>2023</v>
      </c>
      <c r="C5" t="s">
        <v>20</v>
      </c>
      <c r="D5" t="s">
        <v>21</v>
      </c>
      <c r="E5" t="s">
        <v>51</v>
      </c>
      <c r="F5" t="s">
        <v>52</v>
      </c>
      <c r="G5" t="s">
        <v>35</v>
      </c>
      <c r="H5" t="s">
        <v>25</v>
      </c>
      <c r="I5" s="177">
        <v>44948.820972222224</v>
      </c>
      <c r="J5" s="177">
        <v>45003.56349537037</v>
      </c>
      <c r="K5" s="177"/>
      <c r="L5" s="177">
        <v>45006.56349537037</v>
      </c>
      <c r="M5" t="s">
        <v>26</v>
      </c>
      <c r="N5" t="s">
        <v>27</v>
      </c>
      <c r="O5" t="s">
        <v>53</v>
      </c>
      <c r="P5" t="s">
        <v>47</v>
      </c>
      <c r="Q5" t="s">
        <v>30</v>
      </c>
      <c r="R5" t="s">
        <v>31</v>
      </c>
    </row>
    <row r="6" spans="1:19" x14ac:dyDescent="0.2">
      <c r="A6" t="s">
        <v>54</v>
      </c>
      <c r="B6">
        <v>2023</v>
      </c>
      <c r="C6" t="s">
        <v>20</v>
      </c>
      <c r="D6" t="s">
        <v>21</v>
      </c>
      <c r="E6" t="s">
        <v>33</v>
      </c>
      <c r="F6" t="s">
        <v>34</v>
      </c>
      <c r="G6" t="s">
        <v>35</v>
      </c>
      <c r="H6" t="s">
        <v>25</v>
      </c>
      <c r="I6" s="177">
        <v>45092.171782407408</v>
      </c>
      <c r="J6" s="177">
        <v>45104.502326388887</v>
      </c>
      <c r="K6" s="177"/>
      <c r="L6" s="177">
        <v>45107.502326388887</v>
      </c>
      <c r="M6" t="s">
        <v>36</v>
      </c>
      <c r="N6" t="s">
        <v>37</v>
      </c>
      <c r="O6" t="s">
        <v>38</v>
      </c>
      <c r="P6" t="s">
        <v>29</v>
      </c>
      <c r="Q6" t="s">
        <v>39</v>
      </c>
      <c r="R6" t="s">
        <v>40</v>
      </c>
      <c r="S6" t="s">
        <v>34</v>
      </c>
    </row>
    <row r="7" spans="1:19" x14ac:dyDescent="0.2">
      <c r="A7" t="s">
        <v>55</v>
      </c>
      <c r="B7">
        <v>2025</v>
      </c>
      <c r="C7" t="s">
        <v>20</v>
      </c>
      <c r="D7" t="s">
        <v>21</v>
      </c>
      <c r="E7" t="s">
        <v>56</v>
      </c>
      <c r="F7" t="s">
        <v>57</v>
      </c>
      <c r="G7" t="s">
        <v>44</v>
      </c>
      <c r="H7" t="s">
        <v>25</v>
      </c>
      <c r="I7" s="177">
        <v>45297.624074074076</v>
      </c>
      <c r="J7" s="177">
        <v>45848.622013888889</v>
      </c>
      <c r="K7" s="177"/>
      <c r="L7" s="177">
        <v>45908.622013888889</v>
      </c>
      <c r="M7" t="s">
        <v>58</v>
      </c>
      <c r="N7" t="s">
        <v>59</v>
      </c>
      <c r="O7" t="s">
        <v>28</v>
      </c>
      <c r="P7" t="s">
        <v>29</v>
      </c>
      <c r="Q7" t="s">
        <v>60</v>
      </c>
      <c r="R7" t="s">
        <v>61</v>
      </c>
      <c r="S7" t="s">
        <v>57</v>
      </c>
    </row>
    <row r="8" spans="1:19" x14ac:dyDescent="0.2">
      <c r="A8" t="s">
        <v>62</v>
      </c>
      <c r="B8">
        <v>2024</v>
      </c>
      <c r="C8" t="s">
        <v>20</v>
      </c>
      <c r="D8" t="s">
        <v>21</v>
      </c>
      <c r="E8" t="s">
        <v>63</v>
      </c>
      <c r="F8" t="s">
        <v>64</v>
      </c>
      <c r="G8" t="s">
        <v>35</v>
      </c>
      <c r="H8" t="s">
        <v>25</v>
      </c>
      <c r="I8" s="177">
        <v>45340.23909722222</v>
      </c>
      <c r="J8" s="177">
        <v>45341.67015046296</v>
      </c>
      <c r="K8" s="177"/>
      <c r="L8" s="177">
        <v>45344.67015046296</v>
      </c>
      <c r="M8" t="s">
        <v>26</v>
      </c>
      <c r="N8" t="s">
        <v>27</v>
      </c>
      <c r="O8" t="s">
        <v>65</v>
      </c>
      <c r="P8" t="s">
        <v>29</v>
      </c>
      <c r="Q8" t="s">
        <v>30</v>
      </c>
      <c r="R8" t="s">
        <v>31</v>
      </c>
      <c r="S8" t="s">
        <v>66</v>
      </c>
    </row>
    <row r="9" spans="1:19" x14ac:dyDescent="0.2">
      <c r="A9" t="s">
        <v>67</v>
      </c>
      <c r="B9">
        <v>2025</v>
      </c>
      <c r="C9" t="s">
        <v>20</v>
      </c>
      <c r="D9" t="s">
        <v>21</v>
      </c>
      <c r="E9" t="s">
        <v>68</v>
      </c>
      <c r="F9" t="s">
        <v>69</v>
      </c>
      <c r="G9" t="s">
        <v>35</v>
      </c>
      <c r="H9" t="s">
        <v>25</v>
      </c>
      <c r="I9" s="177">
        <v>45397.508368055554</v>
      </c>
      <c r="J9" s="177">
        <v>45785.375381944446</v>
      </c>
      <c r="K9" s="177"/>
      <c r="L9" s="177">
        <v>45788.375381944446</v>
      </c>
      <c r="M9" t="s">
        <v>26</v>
      </c>
      <c r="N9" t="s">
        <v>27</v>
      </c>
      <c r="O9" t="s">
        <v>38</v>
      </c>
      <c r="P9" t="s">
        <v>29</v>
      </c>
      <c r="Q9" t="s">
        <v>70</v>
      </c>
      <c r="R9" t="s">
        <v>31</v>
      </c>
      <c r="S9" t="s">
        <v>71</v>
      </c>
    </row>
    <row r="10" spans="1:19" x14ac:dyDescent="0.2">
      <c r="A10" t="s">
        <v>72</v>
      </c>
      <c r="B10">
        <v>2024</v>
      </c>
      <c r="C10" t="s">
        <v>20</v>
      </c>
      <c r="D10" t="s">
        <v>21</v>
      </c>
      <c r="E10" t="s">
        <v>73</v>
      </c>
      <c r="F10" t="s">
        <v>74</v>
      </c>
      <c r="G10" t="s">
        <v>44</v>
      </c>
      <c r="H10" t="s">
        <v>25</v>
      </c>
      <c r="I10" s="177">
        <v>45406.726863425924</v>
      </c>
      <c r="J10" s="177">
        <v>45412.486956018518</v>
      </c>
      <c r="K10" s="177"/>
      <c r="L10" s="177">
        <v>45472.486956018518</v>
      </c>
      <c r="M10" t="s">
        <v>26</v>
      </c>
      <c r="N10" t="s">
        <v>27</v>
      </c>
      <c r="O10" t="s">
        <v>28</v>
      </c>
      <c r="P10" t="s">
        <v>29</v>
      </c>
      <c r="Q10" t="s">
        <v>30</v>
      </c>
      <c r="R10" t="s">
        <v>31</v>
      </c>
      <c r="S10" t="s">
        <v>75</v>
      </c>
    </row>
    <row r="11" spans="1:19" x14ac:dyDescent="0.2">
      <c r="A11" t="s">
        <v>76</v>
      </c>
      <c r="B11">
        <v>2024</v>
      </c>
      <c r="C11" t="s">
        <v>20</v>
      </c>
      <c r="D11" t="s">
        <v>21</v>
      </c>
      <c r="E11" t="s">
        <v>22</v>
      </c>
      <c r="F11" t="s">
        <v>77</v>
      </c>
      <c r="G11" t="s">
        <v>35</v>
      </c>
      <c r="H11" t="s">
        <v>25</v>
      </c>
      <c r="I11" s="177">
        <v>45408.243958333333</v>
      </c>
      <c r="J11" s="177">
        <v>45412.487812500003</v>
      </c>
      <c r="K11" s="177"/>
      <c r="L11" s="177">
        <v>45415.487812500003</v>
      </c>
      <c r="M11" t="s">
        <v>26</v>
      </c>
      <c r="N11" t="s">
        <v>27</v>
      </c>
      <c r="O11" t="s">
        <v>28</v>
      </c>
      <c r="P11" t="s">
        <v>29</v>
      </c>
      <c r="Q11" t="s">
        <v>39</v>
      </c>
      <c r="R11" t="s">
        <v>31</v>
      </c>
      <c r="S11" t="s">
        <v>78</v>
      </c>
    </row>
    <row r="12" spans="1:19" x14ac:dyDescent="0.2">
      <c r="A12" t="s">
        <v>79</v>
      </c>
      <c r="B12">
        <v>2025</v>
      </c>
      <c r="C12" t="s">
        <v>20</v>
      </c>
      <c r="D12" t="s">
        <v>21</v>
      </c>
      <c r="E12" t="s">
        <v>80</v>
      </c>
      <c r="F12" t="s">
        <v>81</v>
      </c>
      <c r="G12" t="s">
        <v>35</v>
      </c>
      <c r="H12" t="s">
        <v>25</v>
      </c>
      <c r="I12" s="177">
        <v>45429.543055555558</v>
      </c>
      <c r="J12" s="177">
        <v>45786.620613425926</v>
      </c>
      <c r="K12" s="177"/>
      <c r="L12" s="177">
        <v>45789.620613425926</v>
      </c>
      <c r="M12" t="s">
        <v>26</v>
      </c>
      <c r="N12" t="s">
        <v>27</v>
      </c>
      <c r="O12" t="s">
        <v>28</v>
      </c>
      <c r="P12" t="s">
        <v>29</v>
      </c>
      <c r="Q12" t="s">
        <v>60</v>
      </c>
      <c r="R12" t="s">
        <v>31</v>
      </c>
    </row>
    <row r="13" spans="1:19" x14ac:dyDescent="0.2">
      <c r="A13" t="s">
        <v>82</v>
      </c>
      <c r="B13">
        <v>2025</v>
      </c>
      <c r="C13" t="s">
        <v>20</v>
      </c>
      <c r="D13" t="s">
        <v>21</v>
      </c>
      <c r="E13" t="s">
        <v>83</v>
      </c>
      <c r="F13" t="s">
        <v>84</v>
      </c>
      <c r="G13" t="s">
        <v>44</v>
      </c>
      <c r="H13" t="s">
        <v>25</v>
      </c>
      <c r="I13" s="177">
        <v>45429.543055555558</v>
      </c>
      <c r="J13" s="177">
        <v>45786.620358796295</v>
      </c>
      <c r="K13" s="177"/>
      <c r="L13" s="177">
        <v>45846.620358796295</v>
      </c>
      <c r="M13" t="s">
        <v>26</v>
      </c>
      <c r="N13" t="s">
        <v>27</v>
      </c>
      <c r="O13" t="s">
        <v>28</v>
      </c>
      <c r="P13" t="s">
        <v>29</v>
      </c>
      <c r="Q13" t="s">
        <v>60</v>
      </c>
      <c r="R13" t="s">
        <v>31</v>
      </c>
    </row>
    <row r="14" spans="1:19" x14ac:dyDescent="0.2">
      <c r="A14" t="s">
        <v>85</v>
      </c>
      <c r="B14">
        <v>2024</v>
      </c>
      <c r="C14" t="s">
        <v>20</v>
      </c>
      <c r="D14" t="s">
        <v>21</v>
      </c>
      <c r="E14" t="s">
        <v>86</v>
      </c>
      <c r="F14" t="s">
        <v>87</v>
      </c>
      <c r="G14" t="s">
        <v>44</v>
      </c>
      <c r="H14" t="s">
        <v>25</v>
      </c>
      <c r="I14" s="177">
        <v>45432.496689814812</v>
      </c>
      <c r="J14" s="177">
        <v>45469.694201388891</v>
      </c>
      <c r="K14" s="177"/>
      <c r="L14" s="177">
        <v>45529.694201388891</v>
      </c>
      <c r="M14" t="s">
        <v>26</v>
      </c>
      <c r="N14" t="s">
        <v>27</v>
      </c>
      <c r="O14" t="s">
        <v>88</v>
      </c>
      <c r="P14" t="s">
        <v>29</v>
      </c>
      <c r="Q14" t="s">
        <v>30</v>
      </c>
      <c r="R14" t="s">
        <v>31</v>
      </c>
      <c r="S14" t="s">
        <v>89</v>
      </c>
    </row>
    <row r="15" spans="1:19" x14ac:dyDescent="0.2">
      <c r="A15" t="s">
        <v>90</v>
      </c>
      <c r="B15">
        <v>2026</v>
      </c>
      <c r="C15" t="s">
        <v>91</v>
      </c>
      <c r="D15" t="s">
        <v>21</v>
      </c>
      <c r="E15" t="s">
        <v>92</v>
      </c>
      <c r="F15" t="s">
        <v>93</v>
      </c>
      <c r="G15" t="s">
        <v>44</v>
      </c>
      <c r="H15" t="s">
        <v>25</v>
      </c>
      <c r="I15" s="177">
        <v>45447.639849537038</v>
      </c>
      <c r="J15" s="177">
        <v>46182.426412037035</v>
      </c>
      <c r="K15" s="177"/>
      <c r="L15" s="177">
        <v>46242.426412037035</v>
      </c>
      <c r="M15" t="s">
        <v>94</v>
      </c>
      <c r="N15" t="s">
        <v>95</v>
      </c>
      <c r="O15" t="s">
        <v>96</v>
      </c>
      <c r="P15" t="s">
        <v>47</v>
      </c>
      <c r="Q15" t="s">
        <v>97</v>
      </c>
      <c r="R15" t="s">
        <v>40</v>
      </c>
      <c r="S15" t="s">
        <v>98</v>
      </c>
    </row>
    <row r="16" spans="1:19" x14ac:dyDescent="0.2">
      <c r="A16" t="s">
        <v>99</v>
      </c>
      <c r="B16">
        <v>2024</v>
      </c>
      <c r="C16" t="s">
        <v>20</v>
      </c>
      <c r="D16" t="s">
        <v>21</v>
      </c>
      <c r="E16" t="s">
        <v>100</v>
      </c>
      <c r="F16" t="s">
        <v>101</v>
      </c>
      <c r="G16" t="s">
        <v>44</v>
      </c>
      <c r="H16" t="s">
        <v>25</v>
      </c>
      <c r="I16" s="177">
        <v>45537.337210648147</v>
      </c>
      <c r="J16" s="177">
        <v>45615.440613425926</v>
      </c>
      <c r="K16" s="177"/>
      <c r="L16" s="177">
        <v>45675.440613425926</v>
      </c>
      <c r="M16" t="s">
        <v>26</v>
      </c>
      <c r="N16" t="s">
        <v>27</v>
      </c>
      <c r="O16" t="s">
        <v>102</v>
      </c>
      <c r="P16" t="s">
        <v>47</v>
      </c>
      <c r="Q16" t="s">
        <v>103</v>
      </c>
      <c r="R16" t="s">
        <v>31</v>
      </c>
      <c r="S16" t="s">
        <v>104</v>
      </c>
    </row>
    <row r="17" spans="1:19" x14ac:dyDescent="0.2">
      <c r="A17" t="s">
        <v>105</v>
      </c>
      <c r="B17">
        <v>2026</v>
      </c>
      <c r="C17" t="s">
        <v>20</v>
      </c>
      <c r="D17" t="s">
        <v>21</v>
      </c>
      <c r="E17" t="s">
        <v>106</v>
      </c>
      <c r="F17" t="s">
        <v>107</v>
      </c>
      <c r="G17" t="s">
        <v>35</v>
      </c>
      <c r="H17" t="s">
        <v>25</v>
      </c>
      <c r="I17" s="177">
        <v>45580.697164351855</v>
      </c>
      <c r="J17" s="177">
        <v>46136.679722222223</v>
      </c>
      <c r="K17" s="177"/>
      <c r="L17" s="177">
        <v>46139.679722222223</v>
      </c>
      <c r="M17" t="s">
        <v>36</v>
      </c>
      <c r="N17" t="s">
        <v>108</v>
      </c>
      <c r="O17" t="s">
        <v>109</v>
      </c>
      <c r="P17" t="s">
        <v>29</v>
      </c>
      <c r="Q17" t="s">
        <v>110</v>
      </c>
      <c r="R17" t="s">
        <v>31</v>
      </c>
      <c r="S17" t="s">
        <v>107</v>
      </c>
    </row>
    <row r="18" spans="1:19" x14ac:dyDescent="0.2">
      <c r="A18" t="s">
        <v>111</v>
      </c>
      <c r="B18">
        <v>2025</v>
      </c>
      <c r="C18" t="s">
        <v>112</v>
      </c>
      <c r="D18" t="s">
        <v>21</v>
      </c>
      <c r="E18" t="s">
        <v>113</v>
      </c>
      <c r="F18" t="s">
        <v>114</v>
      </c>
      <c r="G18" t="s">
        <v>44</v>
      </c>
      <c r="H18" t="s">
        <v>25</v>
      </c>
      <c r="I18" s="177">
        <v>45595.355567129627</v>
      </c>
      <c r="J18" s="177">
        <v>45839.391979166663</v>
      </c>
      <c r="K18" s="177"/>
      <c r="L18" s="177">
        <v>45899.391979166663</v>
      </c>
      <c r="M18" t="s">
        <v>36</v>
      </c>
      <c r="N18" t="s">
        <v>115</v>
      </c>
      <c r="O18" t="s">
        <v>116</v>
      </c>
      <c r="P18" t="s">
        <v>29</v>
      </c>
      <c r="Q18" t="s">
        <v>117</v>
      </c>
      <c r="R18" t="s">
        <v>48</v>
      </c>
      <c r="S18" t="s">
        <v>114</v>
      </c>
    </row>
    <row r="19" spans="1:19" x14ac:dyDescent="0.2">
      <c r="A19" t="s">
        <v>118</v>
      </c>
      <c r="B19">
        <v>2026</v>
      </c>
      <c r="C19" t="s">
        <v>91</v>
      </c>
      <c r="D19" t="s">
        <v>21</v>
      </c>
      <c r="E19" t="s">
        <v>119</v>
      </c>
      <c r="F19" t="s">
        <v>120</v>
      </c>
      <c r="G19" t="s">
        <v>44</v>
      </c>
      <c r="H19" t="s">
        <v>25</v>
      </c>
      <c r="I19" s="177">
        <v>45617.606064814812</v>
      </c>
      <c r="J19" s="177">
        <v>46051.354201388887</v>
      </c>
      <c r="K19" s="177"/>
      <c r="L19" s="177">
        <v>46111.354201388887</v>
      </c>
      <c r="M19" t="s">
        <v>94</v>
      </c>
      <c r="N19" t="s">
        <v>121</v>
      </c>
      <c r="O19" t="s">
        <v>122</v>
      </c>
      <c r="P19" t="s">
        <v>29</v>
      </c>
      <c r="Q19" t="s">
        <v>123</v>
      </c>
      <c r="R19" t="s">
        <v>40</v>
      </c>
      <c r="S19" t="s">
        <v>124</v>
      </c>
    </row>
    <row r="20" spans="1:19" x14ac:dyDescent="0.2">
      <c r="A20" t="s">
        <v>125</v>
      </c>
      <c r="B20">
        <v>2024</v>
      </c>
      <c r="C20" t="s">
        <v>20</v>
      </c>
      <c r="D20" t="s">
        <v>21</v>
      </c>
      <c r="E20" t="s">
        <v>51</v>
      </c>
      <c r="F20" t="s">
        <v>126</v>
      </c>
      <c r="G20" t="s">
        <v>35</v>
      </c>
      <c r="H20" t="s">
        <v>25</v>
      </c>
      <c r="I20" s="177">
        <v>45628.561886574076</v>
      </c>
      <c r="J20" s="177">
        <v>45635.712743055556</v>
      </c>
      <c r="K20" s="177"/>
      <c r="L20" s="177">
        <v>45638.712743055556</v>
      </c>
      <c r="M20" t="s">
        <v>45</v>
      </c>
      <c r="N20" t="s">
        <v>46</v>
      </c>
      <c r="O20" t="s">
        <v>53</v>
      </c>
      <c r="P20" t="s">
        <v>47</v>
      </c>
      <c r="Q20" t="s">
        <v>30</v>
      </c>
      <c r="R20" t="s">
        <v>40</v>
      </c>
      <c r="S20" t="s">
        <v>127</v>
      </c>
    </row>
    <row r="21" spans="1:19" x14ac:dyDescent="0.2">
      <c r="A21" t="s">
        <v>128</v>
      </c>
      <c r="B21">
        <v>2025</v>
      </c>
      <c r="C21" t="s">
        <v>20</v>
      </c>
      <c r="D21" t="s">
        <v>21</v>
      </c>
      <c r="E21" t="s">
        <v>129</v>
      </c>
      <c r="F21" t="s">
        <v>130</v>
      </c>
      <c r="G21" t="s">
        <v>131</v>
      </c>
      <c r="H21" t="s">
        <v>25</v>
      </c>
      <c r="I21" s="177">
        <v>45704.365231481483</v>
      </c>
      <c r="J21" s="177">
        <v>45841.669502314813</v>
      </c>
      <c r="K21" s="177"/>
      <c r="L21" s="177">
        <v>45848.669502314813</v>
      </c>
      <c r="M21" t="s">
        <v>132</v>
      </c>
      <c r="N21" t="s">
        <v>133</v>
      </c>
      <c r="O21" t="s">
        <v>134</v>
      </c>
      <c r="P21" t="s">
        <v>29</v>
      </c>
      <c r="Q21" t="s">
        <v>60</v>
      </c>
      <c r="R21" t="s">
        <v>135</v>
      </c>
      <c r="S21" t="s">
        <v>136</v>
      </c>
    </row>
    <row r="22" spans="1:19" x14ac:dyDescent="0.2">
      <c r="A22" t="s">
        <v>137</v>
      </c>
      <c r="B22">
        <v>2025</v>
      </c>
      <c r="C22" t="s">
        <v>20</v>
      </c>
      <c r="D22" t="s">
        <v>21</v>
      </c>
      <c r="E22" t="s">
        <v>138</v>
      </c>
      <c r="F22" t="s">
        <v>139</v>
      </c>
      <c r="G22" t="s">
        <v>35</v>
      </c>
      <c r="H22" t="s">
        <v>25</v>
      </c>
      <c r="I22" s="177">
        <v>45705.509525462963</v>
      </c>
      <c r="J22" s="177">
        <v>45799.672349537039</v>
      </c>
      <c r="K22" s="177"/>
      <c r="L22" s="177">
        <v>45802.672349537039</v>
      </c>
      <c r="M22" t="s">
        <v>45</v>
      </c>
      <c r="N22" t="s">
        <v>46</v>
      </c>
      <c r="O22" t="s">
        <v>140</v>
      </c>
      <c r="P22" t="s">
        <v>29</v>
      </c>
      <c r="Q22" t="s">
        <v>97</v>
      </c>
      <c r="R22" t="s">
        <v>141</v>
      </c>
      <c r="S22" t="s">
        <v>142</v>
      </c>
    </row>
    <row r="23" spans="1:19" x14ac:dyDescent="0.2">
      <c r="A23" t="s">
        <v>143</v>
      </c>
      <c r="B23">
        <v>2025</v>
      </c>
      <c r="C23" t="s">
        <v>144</v>
      </c>
      <c r="D23" t="s">
        <v>21</v>
      </c>
      <c r="E23" t="s">
        <v>145</v>
      </c>
      <c r="F23" t="s">
        <v>146</v>
      </c>
      <c r="G23" t="s">
        <v>131</v>
      </c>
      <c r="H23" t="s">
        <v>25</v>
      </c>
      <c r="I23" s="177">
        <v>45729.425335648149</v>
      </c>
      <c r="J23" s="177">
        <v>45841.610520833332</v>
      </c>
      <c r="K23" s="177"/>
      <c r="L23" s="177">
        <v>45848.610520833332</v>
      </c>
      <c r="M23" t="s">
        <v>132</v>
      </c>
      <c r="N23" t="s">
        <v>133</v>
      </c>
      <c r="O23" t="s">
        <v>147</v>
      </c>
      <c r="P23" t="s">
        <v>29</v>
      </c>
      <c r="Q23" t="s">
        <v>60</v>
      </c>
      <c r="R23" t="s">
        <v>148</v>
      </c>
      <c r="S23" t="s">
        <v>146</v>
      </c>
    </row>
    <row r="24" spans="1:19" x14ac:dyDescent="0.2">
      <c r="A24" t="s">
        <v>149</v>
      </c>
      <c r="B24">
        <v>2025</v>
      </c>
      <c r="C24" t="s">
        <v>20</v>
      </c>
      <c r="D24" t="s">
        <v>21</v>
      </c>
      <c r="E24" t="s">
        <v>150</v>
      </c>
      <c r="F24" t="s">
        <v>151</v>
      </c>
      <c r="G24" t="s">
        <v>35</v>
      </c>
      <c r="H24" t="s">
        <v>25</v>
      </c>
      <c r="I24" s="177">
        <v>45730.788460648146</v>
      </c>
      <c r="J24" s="177">
        <v>45861.443530092591</v>
      </c>
      <c r="K24" s="177"/>
      <c r="L24" s="177">
        <v>45864.443530092591</v>
      </c>
      <c r="M24" t="s">
        <v>45</v>
      </c>
      <c r="N24" t="s">
        <v>46</v>
      </c>
      <c r="O24" t="s">
        <v>152</v>
      </c>
      <c r="P24" t="s">
        <v>47</v>
      </c>
      <c r="Q24" t="s">
        <v>123</v>
      </c>
      <c r="R24" t="s">
        <v>31</v>
      </c>
      <c r="S24" t="s">
        <v>153</v>
      </c>
    </row>
    <row r="25" spans="1:19" x14ac:dyDescent="0.2">
      <c r="A25" t="s">
        <v>154</v>
      </c>
      <c r="B25">
        <v>2025</v>
      </c>
      <c r="C25" t="s">
        <v>20</v>
      </c>
      <c r="D25" t="s">
        <v>21</v>
      </c>
      <c r="E25" t="s">
        <v>155</v>
      </c>
      <c r="F25" t="s">
        <v>156</v>
      </c>
      <c r="G25" t="s">
        <v>35</v>
      </c>
      <c r="H25" t="s">
        <v>25</v>
      </c>
      <c r="I25" s="177">
        <v>45734.780393518522</v>
      </c>
      <c r="J25" s="177">
        <v>45786.716412037036</v>
      </c>
      <c r="K25" s="177"/>
      <c r="L25" s="177">
        <v>45789.716412037036</v>
      </c>
      <c r="M25" t="s">
        <v>132</v>
      </c>
      <c r="N25" t="s">
        <v>133</v>
      </c>
      <c r="O25" t="s">
        <v>157</v>
      </c>
      <c r="P25" t="s">
        <v>29</v>
      </c>
      <c r="Q25" t="s">
        <v>60</v>
      </c>
      <c r="R25" t="s">
        <v>148</v>
      </c>
      <c r="S25" t="s">
        <v>156</v>
      </c>
    </row>
    <row r="26" spans="1:19" x14ac:dyDescent="0.2">
      <c r="A26" t="s">
        <v>158</v>
      </c>
      <c r="B26">
        <v>2025</v>
      </c>
      <c r="C26" t="s">
        <v>20</v>
      </c>
      <c r="D26" t="s">
        <v>21</v>
      </c>
      <c r="E26" t="s">
        <v>155</v>
      </c>
      <c r="F26" t="s">
        <v>159</v>
      </c>
      <c r="G26" t="s">
        <v>35</v>
      </c>
      <c r="H26" t="s">
        <v>25</v>
      </c>
      <c r="I26" s="177">
        <v>45734.805393518516</v>
      </c>
      <c r="J26" s="177">
        <v>45786.716666666667</v>
      </c>
      <c r="K26" s="177"/>
      <c r="L26" s="177">
        <v>45789.716666666667</v>
      </c>
      <c r="M26" t="s">
        <v>132</v>
      </c>
      <c r="N26" t="s">
        <v>133</v>
      </c>
      <c r="O26" t="s">
        <v>157</v>
      </c>
      <c r="P26" t="s">
        <v>29</v>
      </c>
      <c r="Q26" t="s">
        <v>60</v>
      </c>
      <c r="R26" t="s">
        <v>148</v>
      </c>
      <c r="S26" t="s">
        <v>159</v>
      </c>
    </row>
    <row r="27" spans="1:19" x14ac:dyDescent="0.2">
      <c r="A27" t="s">
        <v>160</v>
      </c>
      <c r="B27">
        <v>2025</v>
      </c>
      <c r="C27" t="s">
        <v>144</v>
      </c>
      <c r="D27" t="s">
        <v>21</v>
      </c>
      <c r="E27" t="s">
        <v>161</v>
      </c>
      <c r="F27" t="s">
        <v>162</v>
      </c>
      <c r="G27" t="s">
        <v>131</v>
      </c>
      <c r="H27" t="s">
        <v>25</v>
      </c>
      <c r="I27" s="177">
        <v>45737.447233796294</v>
      </c>
      <c r="J27" s="177">
        <v>45841.660995370374</v>
      </c>
      <c r="K27" s="177"/>
      <c r="L27" s="177">
        <v>45848.660995370374</v>
      </c>
      <c r="M27" t="s">
        <v>132</v>
      </c>
      <c r="N27" t="s">
        <v>133</v>
      </c>
      <c r="O27" t="s">
        <v>28</v>
      </c>
      <c r="P27" t="s">
        <v>29</v>
      </c>
      <c r="Q27" t="s">
        <v>60</v>
      </c>
      <c r="R27" t="s">
        <v>148</v>
      </c>
      <c r="S27" t="s">
        <v>162</v>
      </c>
    </row>
    <row r="28" spans="1:19" x14ac:dyDescent="0.2">
      <c r="A28" t="s">
        <v>163</v>
      </c>
      <c r="B28">
        <v>2025</v>
      </c>
      <c r="C28" t="s">
        <v>164</v>
      </c>
      <c r="D28" t="s">
        <v>21</v>
      </c>
      <c r="E28" t="s">
        <v>165</v>
      </c>
      <c r="F28" t="s">
        <v>166</v>
      </c>
      <c r="G28" t="s">
        <v>131</v>
      </c>
      <c r="H28" t="s">
        <v>25</v>
      </c>
      <c r="I28" s="177">
        <v>45737.604895833334</v>
      </c>
      <c r="J28" s="177">
        <v>45744.603032407409</v>
      </c>
      <c r="K28" s="177"/>
      <c r="L28" s="177">
        <v>45751.603032407409</v>
      </c>
      <c r="M28" t="s">
        <v>167</v>
      </c>
      <c r="N28" t="s">
        <v>168</v>
      </c>
      <c r="O28" t="s">
        <v>169</v>
      </c>
      <c r="P28" t="s">
        <v>29</v>
      </c>
      <c r="Q28" t="s">
        <v>170</v>
      </c>
      <c r="R28" t="s">
        <v>171</v>
      </c>
      <c r="S28" t="s">
        <v>172</v>
      </c>
    </row>
    <row r="29" spans="1:19" x14ac:dyDescent="0.2">
      <c r="A29" t="s">
        <v>173</v>
      </c>
      <c r="B29">
        <v>2025</v>
      </c>
      <c r="C29" t="s">
        <v>91</v>
      </c>
      <c r="D29" t="s">
        <v>21</v>
      </c>
      <c r="E29" t="s">
        <v>174</v>
      </c>
      <c r="F29" t="s">
        <v>175</v>
      </c>
      <c r="G29" t="s">
        <v>44</v>
      </c>
      <c r="H29" t="s">
        <v>25</v>
      </c>
      <c r="I29" s="177">
        <v>45740.569675925923</v>
      </c>
      <c r="J29" s="177">
        <v>45841.594490740739</v>
      </c>
      <c r="K29" s="177"/>
      <c r="L29" s="177">
        <v>45901.594490740739</v>
      </c>
      <c r="M29" t="s">
        <v>94</v>
      </c>
      <c r="N29" t="s">
        <v>95</v>
      </c>
      <c r="O29" t="s">
        <v>176</v>
      </c>
      <c r="P29" t="s">
        <v>47</v>
      </c>
      <c r="Q29" t="s">
        <v>177</v>
      </c>
      <c r="R29" t="s">
        <v>31</v>
      </c>
      <c r="S29" t="s">
        <v>178</v>
      </c>
    </row>
    <row r="30" spans="1:19" x14ac:dyDescent="0.2">
      <c r="A30" t="s">
        <v>179</v>
      </c>
      <c r="B30">
        <v>2025</v>
      </c>
      <c r="C30" t="s">
        <v>91</v>
      </c>
      <c r="D30" t="s">
        <v>21</v>
      </c>
      <c r="E30" t="s">
        <v>180</v>
      </c>
      <c r="F30" t="s">
        <v>181</v>
      </c>
      <c r="G30" t="s">
        <v>44</v>
      </c>
      <c r="H30" t="s">
        <v>25</v>
      </c>
      <c r="I30" s="177">
        <v>45741.358078703706</v>
      </c>
      <c r="J30" s="177">
        <v>45825.663449074076</v>
      </c>
      <c r="K30" s="177"/>
      <c r="L30" s="177">
        <v>45885.663449074076</v>
      </c>
      <c r="M30" t="s">
        <v>94</v>
      </c>
      <c r="N30" t="s">
        <v>95</v>
      </c>
      <c r="O30" t="s">
        <v>182</v>
      </c>
      <c r="P30" t="s">
        <v>47</v>
      </c>
      <c r="Q30" t="s">
        <v>183</v>
      </c>
      <c r="R30" t="s">
        <v>184</v>
      </c>
      <c r="S30" t="s">
        <v>185</v>
      </c>
    </row>
    <row r="31" spans="1:19" x14ac:dyDescent="0.2">
      <c r="A31" t="s">
        <v>186</v>
      </c>
      <c r="B31">
        <v>2026</v>
      </c>
      <c r="C31" t="s">
        <v>20</v>
      </c>
      <c r="D31" t="s">
        <v>21</v>
      </c>
      <c r="E31" t="s">
        <v>187</v>
      </c>
      <c r="F31" t="s">
        <v>188</v>
      </c>
      <c r="G31" t="s">
        <v>35</v>
      </c>
      <c r="H31" t="s">
        <v>25</v>
      </c>
      <c r="I31" s="177">
        <v>45745.768043981479</v>
      </c>
      <c r="J31" s="177">
        <v>46171.565486111111</v>
      </c>
      <c r="K31" s="177"/>
      <c r="L31" s="177">
        <v>46174.565486111111</v>
      </c>
      <c r="M31" t="s">
        <v>45</v>
      </c>
      <c r="N31" t="s">
        <v>46</v>
      </c>
      <c r="O31" t="s">
        <v>189</v>
      </c>
      <c r="P31" t="s">
        <v>47</v>
      </c>
      <c r="Q31" t="s">
        <v>190</v>
      </c>
      <c r="R31" t="s">
        <v>31</v>
      </c>
      <c r="S31" t="s">
        <v>191</v>
      </c>
    </row>
    <row r="32" spans="1:19" x14ac:dyDescent="0.2">
      <c r="A32" t="s">
        <v>192</v>
      </c>
      <c r="B32">
        <v>2025</v>
      </c>
      <c r="C32" t="s">
        <v>91</v>
      </c>
      <c r="D32" t="s">
        <v>21</v>
      </c>
      <c r="E32" t="s">
        <v>193</v>
      </c>
      <c r="F32" t="s">
        <v>194</v>
      </c>
      <c r="G32" t="s">
        <v>44</v>
      </c>
      <c r="H32" t="s">
        <v>25</v>
      </c>
      <c r="I32" s="177">
        <v>45748.462372685186</v>
      </c>
      <c r="J32" s="177">
        <v>45806.568692129629</v>
      </c>
      <c r="K32" s="177"/>
      <c r="L32" s="177">
        <v>45866.568692129629</v>
      </c>
      <c r="M32" t="s">
        <v>94</v>
      </c>
      <c r="N32" t="s">
        <v>95</v>
      </c>
      <c r="O32" t="s">
        <v>195</v>
      </c>
      <c r="P32" t="s">
        <v>47</v>
      </c>
      <c r="Q32" t="s">
        <v>196</v>
      </c>
      <c r="R32" t="s">
        <v>40</v>
      </c>
      <c r="S32" t="s">
        <v>197</v>
      </c>
    </row>
    <row r="33" spans="1:19" x14ac:dyDescent="0.2">
      <c r="A33" t="s">
        <v>198</v>
      </c>
      <c r="B33">
        <v>2025</v>
      </c>
      <c r="C33" t="s">
        <v>112</v>
      </c>
      <c r="D33" t="s">
        <v>21</v>
      </c>
      <c r="E33" t="s">
        <v>199</v>
      </c>
      <c r="F33" t="s">
        <v>200</v>
      </c>
      <c r="G33" t="s">
        <v>44</v>
      </c>
      <c r="H33" t="s">
        <v>25</v>
      </c>
      <c r="I33" s="177">
        <v>45749.388912037037</v>
      </c>
      <c r="J33" s="177">
        <v>45799.662164351852</v>
      </c>
      <c r="K33" s="177"/>
      <c r="L33" s="177">
        <v>45859.662164351852</v>
      </c>
      <c r="M33" t="s">
        <v>36</v>
      </c>
      <c r="N33" t="s">
        <v>108</v>
      </c>
      <c r="O33" t="s">
        <v>201</v>
      </c>
      <c r="P33" t="s">
        <v>47</v>
      </c>
      <c r="Q33" t="s">
        <v>97</v>
      </c>
      <c r="R33" t="s">
        <v>48</v>
      </c>
      <c r="S33" t="s">
        <v>200</v>
      </c>
    </row>
    <row r="34" spans="1:19" x14ac:dyDescent="0.2">
      <c r="A34" t="s">
        <v>202</v>
      </c>
      <c r="B34">
        <v>2025</v>
      </c>
      <c r="C34" t="s">
        <v>20</v>
      </c>
      <c r="D34" t="s">
        <v>21</v>
      </c>
      <c r="E34" t="s">
        <v>203</v>
      </c>
      <c r="F34" t="s">
        <v>204</v>
      </c>
      <c r="G34" t="s">
        <v>44</v>
      </c>
      <c r="H34" t="s">
        <v>25</v>
      </c>
      <c r="I34" s="177">
        <v>45755.877256944441</v>
      </c>
      <c r="J34" s="177">
        <v>45848.621365740742</v>
      </c>
      <c r="K34" s="177"/>
      <c r="L34" s="177">
        <v>45908.621365740742</v>
      </c>
      <c r="M34" t="s">
        <v>132</v>
      </c>
      <c r="N34" t="s">
        <v>133</v>
      </c>
      <c r="O34" t="s">
        <v>28</v>
      </c>
      <c r="P34" t="s">
        <v>29</v>
      </c>
      <c r="Q34" t="s">
        <v>60</v>
      </c>
      <c r="R34" t="s">
        <v>148</v>
      </c>
      <c r="S34" t="s">
        <v>204</v>
      </c>
    </row>
    <row r="35" spans="1:19" x14ac:dyDescent="0.2">
      <c r="A35" t="s">
        <v>205</v>
      </c>
      <c r="B35">
        <v>2025</v>
      </c>
      <c r="C35" t="s">
        <v>20</v>
      </c>
      <c r="D35" t="s">
        <v>21</v>
      </c>
      <c r="E35" t="s">
        <v>206</v>
      </c>
      <c r="F35" t="s">
        <v>207</v>
      </c>
      <c r="G35" t="s">
        <v>44</v>
      </c>
      <c r="H35" t="s">
        <v>25</v>
      </c>
      <c r="I35" s="177">
        <v>45759.541921296295</v>
      </c>
      <c r="J35" s="177">
        <v>45763.315358796295</v>
      </c>
      <c r="K35" s="177"/>
      <c r="L35" s="177">
        <v>45823.315358796295</v>
      </c>
      <c r="M35" t="s">
        <v>26</v>
      </c>
      <c r="N35" t="s">
        <v>27</v>
      </c>
      <c r="O35" t="s">
        <v>208</v>
      </c>
      <c r="P35" t="s">
        <v>47</v>
      </c>
      <c r="Q35" t="s">
        <v>30</v>
      </c>
      <c r="R35" t="s">
        <v>31</v>
      </c>
      <c r="S35" t="s">
        <v>209</v>
      </c>
    </row>
    <row r="36" spans="1:19" x14ac:dyDescent="0.2">
      <c r="A36" t="s">
        <v>210</v>
      </c>
      <c r="B36">
        <v>2025</v>
      </c>
      <c r="C36" t="s">
        <v>211</v>
      </c>
      <c r="D36" t="s">
        <v>21</v>
      </c>
      <c r="E36" t="s">
        <v>212</v>
      </c>
      <c r="F36" t="s">
        <v>213</v>
      </c>
      <c r="G36" t="s">
        <v>44</v>
      </c>
      <c r="H36" t="s">
        <v>25</v>
      </c>
      <c r="I36" s="177">
        <v>45762.681215277778</v>
      </c>
      <c r="J36" s="177">
        <v>45762.681215277778</v>
      </c>
      <c r="K36" s="177"/>
      <c r="L36" s="177">
        <v>45822.681215277778</v>
      </c>
      <c r="M36" t="s">
        <v>45</v>
      </c>
      <c r="N36" t="s">
        <v>46</v>
      </c>
      <c r="O36" t="s">
        <v>214</v>
      </c>
      <c r="P36" t="s">
        <v>47</v>
      </c>
      <c r="Q36" t="s">
        <v>30</v>
      </c>
      <c r="R36" t="s">
        <v>31</v>
      </c>
      <c r="S36" t="s">
        <v>215</v>
      </c>
    </row>
    <row r="37" spans="1:19" x14ac:dyDescent="0.2">
      <c r="A37" t="s">
        <v>216</v>
      </c>
      <c r="B37">
        <v>2025</v>
      </c>
      <c r="C37" t="s">
        <v>144</v>
      </c>
      <c r="D37" t="s">
        <v>21</v>
      </c>
      <c r="E37" t="s">
        <v>203</v>
      </c>
      <c r="F37" t="s">
        <v>217</v>
      </c>
      <c r="G37" t="s">
        <v>131</v>
      </c>
      <c r="H37" t="s">
        <v>25</v>
      </c>
      <c r="I37" s="177">
        <v>45764.419675925928</v>
      </c>
      <c r="J37" s="177">
        <v>45841.61078703704</v>
      </c>
      <c r="K37" s="177"/>
      <c r="L37" s="177">
        <v>45848.61078703704</v>
      </c>
      <c r="M37" t="s">
        <v>132</v>
      </c>
      <c r="N37" t="s">
        <v>133</v>
      </c>
      <c r="O37" t="s">
        <v>28</v>
      </c>
      <c r="P37" t="s">
        <v>29</v>
      </c>
      <c r="Q37" t="s">
        <v>60</v>
      </c>
      <c r="R37" t="s">
        <v>148</v>
      </c>
      <c r="S37" t="s">
        <v>217</v>
      </c>
    </row>
    <row r="38" spans="1:19" x14ac:dyDescent="0.2">
      <c r="A38" t="s">
        <v>218</v>
      </c>
      <c r="B38">
        <v>2025</v>
      </c>
      <c r="C38" t="s">
        <v>20</v>
      </c>
      <c r="D38" t="s">
        <v>21</v>
      </c>
      <c r="E38" t="s">
        <v>155</v>
      </c>
      <c r="F38" t="s">
        <v>219</v>
      </c>
      <c r="G38" t="s">
        <v>24</v>
      </c>
      <c r="H38" t="s">
        <v>25</v>
      </c>
      <c r="I38" s="177">
        <v>45765.698993055557</v>
      </c>
      <c r="J38" s="177">
        <v>45789.654282407406</v>
      </c>
      <c r="K38" s="177"/>
      <c r="L38" s="177">
        <v>46189.654282407406</v>
      </c>
      <c r="M38" t="s">
        <v>132</v>
      </c>
      <c r="N38" t="s">
        <v>133</v>
      </c>
      <c r="O38" t="s">
        <v>157</v>
      </c>
      <c r="P38" t="s">
        <v>29</v>
      </c>
      <c r="Q38" t="s">
        <v>60</v>
      </c>
      <c r="R38" t="s">
        <v>220</v>
      </c>
      <c r="S38" t="s">
        <v>219</v>
      </c>
    </row>
    <row r="39" spans="1:19" x14ac:dyDescent="0.2">
      <c r="A39" t="s">
        <v>221</v>
      </c>
      <c r="B39">
        <v>2026</v>
      </c>
      <c r="C39" t="s">
        <v>20</v>
      </c>
      <c r="D39" t="s">
        <v>21</v>
      </c>
      <c r="E39" t="s">
        <v>222</v>
      </c>
      <c r="F39" t="s">
        <v>223</v>
      </c>
      <c r="G39" t="s">
        <v>35</v>
      </c>
      <c r="H39" t="s">
        <v>25</v>
      </c>
      <c r="I39" s="177">
        <v>45769.413761574076</v>
      </c>
      <c r="J39" s="177">
        <v>46139.616099537037</v>
      </c>
      <c r="K39" s="177"/>
      <c r="L39" s="177">
        <v>46142.616099537037</v>
      </c>
      <c r="M39" t="s">
        <v>45</v>
      </c>
      <c r="N39" t="s">
        <v>46</v>
      </c>
      <c r="O39" t="s">
        <v>224</v>
      </c>
      <c r="P39" t="s">
        <v>47</v>
      </c>
      <c r="Q39" t="s">
        <v>225</v>
      </c>
      <c r="R39" t="s">
        <v>31</v>
      </c>
      <c r="S39" t="s">
        <v>226</v>
      </c>
    </row>
    <row r="40" spans="1:19" x14ac:dyDescent="0.2">
      <c r="A40" t="s">
        <v>227</v>
      </c>
      <c r="B40">
        <v>2025</v>
      </c>
      <c r="C40" t="s">
        <v>211</v>
      </c>
      <c r="D40" t="s">
        <v>21</v>
      </c>
      <c r="E40" t="s">
        <v>161</v>
      </c>
      <c r="F40" t="s">
        <v>228</v>
      </c>
      <c r="G40" t="s">
        <v>44</v>
      </c>
      <c r="H40" t="s">
        <v>25</v>
      </c>
      <c r="I40" s="177">
        <v>45769.552731481483</v>
      </c>
      <c r="J40" s="177">
        <v>45848.621122685188</v>
      </c>
      <c r="K40" s="177"/>
      <c r="L40" s="177">
        <v>45908.621122685188</v>
      </c>
      <c r="M40" t="s">
        <v>132</v>
      </c>
      <c r="N40" t="s">
        <v>133</v>
      </c>
      <c r="O40" t="s">
        <v>28</v>
      </c>
      <c r="P40" t="s">
        <v>29</v>
      </c>
      <c r="Q40" t="s">
        <v>60</v>
      </c>
      <c r="R40" t="s">
        <v>148</v>
      </c>
      <c r="S40" t="s">
        <v>228</v>
      </c>
    </row>
    <row r="41" spans="1:19" x14ac:dyDescent="0.2">
      <c r="A41" t="s">
        <v>229</v>
      </c>
      <c r="B41">
        <v>2025</v>
      </c>
      <c r="C41" t="s">
        <v>20</v>
      </c>
      <c r="D41" t="s">
        <v>21</v>
      </c>
      <c r="E41" t="s">
        <v>230</v>
      </c>
      <c r="F41" t="s">
        <v>231</v>
      </c>
      <c r="G41" t="s">
        <v>35</v>
      </c>
      <c r="H41" t="s">
        <v>25</v>
      </c>
      <c r="I41" s="177">
        <v>45770.159282407411</v>
      </c>
      <c r="J41" s="177">
        <v>45775.68414351852</v>
      </c>
      <c r="K41" s="177"/>
      <c r="L41" s="177">
        <v>45778.68414351852</v>
      </c>
      <c r="M41" t="s">
        <v>26</v>
      </c>
      <c r="N41" t="s">
        <v>27</v>
      </c>
      <c r="O41" t="s">
        <v>65</v>
      </c>
      <c r="P41" t="s">
        <v>29</v>
      </c>
      <c r="Q41" t="s">
        <v>30</v>
      </c>
      <c r="R41" t="s">
        <v>31</v>
      </c>
    </row>
    <row r="42" spans="1:19" x14ac:dyDescent="0.2">
      <c r="A42" t="s">
        <v>232</v>
      </c>
      <c r="B42">
        <v>2025</v>
      </c>
      <c r="C42" t="s">
        <v>20</v>
      </c>
      <c r="D42" t="s">
        <v>21</v>
      </c>
      <c r="E42" t="s">
        <v>233</v>
      </c>
      <c r="F42" t="s">
        <v>234</v>
      </c>
      <c r="G42" t="s">
        <v>35</v>
      </c>
      <c r="H42" t="s">
        <v>25</v>
      </c>
      <c r="I42" s="177">
        <v>45771.193738425929</v>
      </c>
      <c r="J42" s="177">
        <v>45775.698819444442</v>
      </c>
      <c r="K42" s="177"/>
      <c r="L42" s="177">
        <v>45778.698819444442</v>
      </c>
      <c r="M42" t="s">
        <v>26</v>
      </c>
      <c r="N42" t="s">
        <v>27</v>
      </c>
      <c r="O42" t="s">
        <v>65</v>
      </c>
      <c r="P42" t="s">
        <v>29</v>
      </c>
      <c r="Q42" t="s">
        <v>30</v>
      </c>
      <c r="R42" t="s">
        <v>31</v>
      </c>
      <c r="S42" t="s">
        <v>235</v>
      </c>
    </row>
    <row r="43" spans="1:19" x14ac:dyDescent="0.2">
      <c r="A43" t="s">
        <v>236</v>
      </c>
      <c r="B43">
        <v>2025</v>
      </c>
      <c r="C43" t="s">
        <v>20</v>
      </c>
      <c r="D43" t="s">
        <v>21</v>
      </c>
      <c r="E43" t="s">
        <v>237</v>
      </c>
      <c r="F43" t="s">
        <v>238</v>
      </c>
      <c r="G43" t="s">
        <v>35</v>
      </c>
      <c r="H43" t="s">
        <v>25</v>
      </c>
      <c r="I43" s="177">
        <v>45771.215555555558</v>
      </c>
      <c r="J43" s="177">
        <v>45775.700752314813</v>
      </c>
      <c r="K43" s="177"/>
      <c r="L43" s="177">
        <v>45778.700752314813</v>
      </c>
      <c r="M43" t="s">
        <v>26</v>
      </c>
      <c r="N43" t="s">
        <v>27</v>
      </c>
      <c r="O43" t="s">
        <v>65</v>
      </c>
      <c r="P43" t="s">
        <v>29</v>
      </c>
      <c r="Q43" t="s">
        <v>30</v>
      </c>
      <c r="R43" t="s">
        <v>31</v>
      </c>
      <c r="S43" t="s">
        <v>239</v>
      </c>
    </row>
    <row r="44" spans="1:19" x14ac:dyDescent="0.2">
      <c r="A44" t="s">
        <v>240</v>
      </c>
      <c r="B44">
        <v>2025</v>
      </c>
      <c r="C44" t="s">
        <v>20</v>
      </c>
      <c r="D44" t="s">
        <v>21</v>
      </c>
      <c r="E44" t="s">
        <v>241</v>
      </c>
      <c r="F44" t="s">
        <v>242</v>
      </c>
      <c r="G44" t="s">
        <v>35</v>
      </c>
      <c r="H44" t="s">
        <v>25</v>
      </c>
      <c r="I44" s="177">
        <v>45772.237905092596</v>
      </c>
      <c r="J44" s="177">
        <v>45775.701979166668</v>
      </c>
      <c r="K44" s="177"/>
      <c r="L44" s="177">
        <v>45778.701979166668</v>
      </c>
      <c r="M44" t="s">
        <v>26</v>
      </c>
      <c r="N44" t="s">
        <v>27</v>
      </c>
      <c r="O44" t="s">
        <v>65</v>
      </c>
      <c r="P44" t="s">
        <v>29</v>
      </c>
      <c r="Q44" t="s">
        <v>30</v>
      </c>
      <c r="R44" t="s">
        <v>31</v>
      </c>
      <c r="S44" t="s">
        <v>243</v>
      </c>
    </row>
    <row r="45" spans="1:19" x14ac:dyDescent="0.2">
      <c r="A45" t="s">
        <v>244</v>
      </c>
      <c r="B45">
        <v>2025</v>
      </c>
      <c r="C45" t="s">
        <v>20</v>
      </c>
      <c r="D45" t="s">
        <v>21</v>
      </c>
      <c r="E45" t="s">
        <v>245</v>
      </c>
      <c r="F45" t="s">
        <v>246</v>
      </c>
      <c r="G45" t="s">
        <v>35</v>
      </c>
      <c r="H45" t="s">
        <v>25</v>
      </c>
      <c r="I45" s="177">
        <v>45774.461724537039</v>
      </c>
      <c r="J45" s="177">
        <v>45776.576388888891</v>
      </c>
      <c r="K45" s="177"/>
      <c r="L45" s="177">
        <v>45779.576388888891</v>
      </c>
      <c r="M45" t="s">
        <v>45</v>
      </c>
      <c r="N45" t="s">
        <v>46</v>
      </c>
      <c r="O45" t="s">
        <v>65</v>
      </c>
      <c r="P45" t="s">
        <v>47</v>
      </c>
      <c r="Q45" t="s">
        <v>30</v>
      </c>
      <c r="R45" t="s">
        <v>31</v>
      </c>
      <c r="S45" t="s">
        <v>247</v>
      </c>
    </row>
    <row r="46" spans="1:19" x14ac:dyDescent="0.2">
      <c r="A46" t="s">
        <v>248</v>
      </c>
      <c r="B46">
        <v>2025</v>
      </c>
      <c r="C46" t="s">
        <v>20</v>
      </c>
      <c r="D46" t="s">
        <v>21</v>
      </c>
      <c r="E46" t="s">
        <v>249</v>
      </c>
      <c r="F46" t="s">
        <v>250</v>
      </c>
      <c r="G46" t="s">
        <v>44</v>
      </c>
      <c r="H46" t="s">
        <v>25</v>
      </c>
      <c r="I46" s="177">
        <v>45775.600636574076</v>
      </c>
      <c r="J46" s="177">
        <v>45848.621689814812</v>
      </c>
      <c r="K46" s="177"/>
      <c r="L46" s="177">
        <v>45908.621689814812</v>
      </c>
      <c r="M46" t="s">
        <v>132</v>
      </c>
      <c r="N46" t="s">
        <v>133</v>
      </c>
      <c r="O46" t="s">
        <v>28</v>
      </c>
      <c r="P46" t="s">
        <v>29</v>
      </c>
      <c r="Q46" t="s">
        <v>60</v>
      </c>
      <c r="R46" t="s">
        <v>148</v>
      </c>
      <c r="S46" t="s">
        <v>250</v>
      </c>
    </row>
    <row r="47" spans="1:19" x14ac:dyDescent="0.2">
      <c r="A47" t="s">
        <v>251</v>
      </c>
      <c r="B47">
        <v>2025</v>
      </c>
      <c r="C47" t="s">
        <v>252</v>
      </c>
      <c r="D47" t="s">
        <v>21</v>
      </c>
      <c r="E47" t="s">
        <v>253</v>
      </c>
      <c r="F47" t="s">
        <v>254</v>
      </c>
      <c r="G47" t="s">
        <v>35</v>
      </c>
      <c r="H47" t="s">
        <v>25</v>
      </c>
      <c r="I47" s="177">
        <v>45775.706307870372</v>
      </c>
      <c r="J47" s="177">
        <v>45775.706307870372</v>
      </c>
      <c r="K47" s="177"/>
      <c r="L47" s="177">
        <v>45778.706307870372</v>
      </c>
      <c r="M47" t="s">
        <v>26</v>
      </c>
      <c r="N47" t="s">
        <v>27</v>
      </c>
      <c r="O47" t="s">
        <v>65</v>
      </c>
      <c r="P47" t="s">
        <v>29</v>
      </c>
      <c r="Q47" t="s">
        <v>30</v>
      </c>
      <c r="R47" t="s">
        <v>31</v>
      </c>
      <c r="S47" t="s">
        <v>255</v>
      </c>
    </row>
    <row r="48" spans="1:19" x14ac:dyDescent="0.2">
      <c r="A48" t="s">
        <v>256</v>
      </c>
      <c r="B48">
        <v>2025</v>
      </c>
      <c r="C48" t="s">
        <v>20</v>
      </c>
      <c r="D48" t="s">
        <v>21</v>
      </c>
      <c r="E48" t="s">
        <v>245</v>
      </c>
      <c r="F48" t="s">
        <v>257</v>
      </c>
      <c r="G48" t="s">
        <v>35</v>
      </c>
      <c r="H48" t="s">
        <v>25</v>
      </c>
      <c r="I48" s="177">
        <v>45785.414780092593</v>
      </c>
      <c r="J48" s="177">
        <v>45804.749780092592</v>
      </c>
      <c r="K48" s="177"/>
      <c r="L48" s="177">
        <v>45807.749780092592</v>
      </c>
      <c r="M48" t="s">
        <v>45</v>
      </c>
      <c r="N48" t="s">
        <v>46</v>
      </c>
      <c r="O48" t="s">
        <v>258</v>
      </c>
      <c r="P48" t="s">
        <v>29</v>
      </c>
      <c r="Q48" t="s">
        <v>259</v>
      </c>
      <c r="R48" t="s">
        <v>31</v>
      </c>
      <c r="S48" t="s">
        <v>260</v>
      </c>
    </row>
    <row r="49" spans="1:19" x14ac:dyDescent="0.2">
      <c r="A49" t="s">
        <v>261</v>
      </c>
      <c r="B49">
        <v>2025</v>
      </c>
      <c r="C49" t="s">
        <v>20</v>
      </c>
      <c r="D49" t="s">
        <v>21</v>
      </c>
      <c r="E49" t="s">
        <v>83</v>
      </c>
      <c r="F49" t="s">
        <v>262</v>
      </c>
      <c r="G49" t="s">
        <v>35</v>
      </c>
      <c r="H49" t="s">
        <v>25</v>
      </c>
      <c r="I49" s="177">
        <v>45790.171863425923</v>
      </c>
      <c r="J49" s="177">
        <v>45790.313472222224</v>
      </c>
      <c r="K49" s="177"/>
      <c r="L49" s="177">
        <v>45793.313472222224</v>
      </c>
      <c r="M49" t="s">
        <v>26</v>
      </c>
      <c r="N49" t="s">
        <v>27</v>
      </c>
      <c r="O49" t="s">
        <v>28</v>
      </c>
      <c r="P49" t="s">
        <v>29</v>
      </c>
      <c r="Q49" t="s">
        <v>60</v>
      </c>
      <c r="R49" t="s">
        <v>263</v>
      </c>
      <c r="S49" t="s">
        <v>264</v>
      </c>
    </row>
    <row r="50" spans="1:19" x14ac:dyDescent="0.2">
      <c r="A50" t="s">
        <v>265</v>
      </c>
      <c r="B50">
        <v>2025</v>
      </c>
      <c r="C50" t="s">
        <v>211</v>
      </c>
      <c r="D50" t="s">
        <v>21</v>
      </c>
      <c r="E50" t="s">
        <v>266</v>
      </c>
      <c r="F50" t="s">
        <v>267</v>
      </c>
      <c r="G50" t="s">
        <v>131</v>
      </c>
      <c r="H50" t="s">
        <v>25</v>
      </c>
      <c r="I50" s="177">
        <v>45803.465798611112</v>
      </c>
      <c r="J50" s="177">
        <v>45803.465798611112</v>
      </c>
      <c r="K50" s="177"/>
      <c r="L50" s="177">
        <v>45810.465798611112</v>
      </c>
      <c r="M50" t="s">
        <v>94</v>
      </c>
      <c r="N50" t="s">
        <v>95</v>
      </c>
      <c r="O50" t="s">
        <v>268</v>
      </c>
      <c r="P50" t="s">
        <v>47</v>
      </c>
      <c r="Q50" t="s">
        <v>97</v>
      </c>
      <c r="R50" t="s">
        <v>135</v>
      </c>
      <c r="S50" t="s">
        <v>269</v>
      </c>
    </row>
    <row r="51" spans="1:19" x14ac:dyDescent="0.2">
      <c r="A51" t="s">
        <v>270</v>
      </c>
      <c r="B51">
        <v>2025</v>
      </c>
      <c r="C51" t="s">
        <v>211</v>
      </c>
      <c r="D51" t="s">
        <v>21</v>
      </c>
      <c r="E51" t="s">
        <v>271</v>
      </c>
      <c r="F51" t="s">
        <v>272</v>
      </c>
      <c r="G51" t="s">
        <v>44</v>
      </c>
      <c r="H51" t="s">
        <v>25</v>
      </c>
      <c r="I51" s="177">
        <v>45803.620636574073</v>
      </c>
      <c r="J51" s="177">
        <v>45803.620636574073</v>
      </c>
      <c r="K51" s="177"/>
      <c r="L51" s="177">
        <v>45863.620636574073</v>
      </c>
      <c r="M51" t="s">
        <v>36</v>
      </c>
      <c r="N51" t="s">
        <v>108</v>
      </c>
      <c r="O51" t="s">
        <v>273</v>
      </c>
      <c r="P51" t="s">
        <v>29</v>
      </c>
      <c r="Q51" t="s">
        <v>183</v>
      </c>
      <c r="R51" t="s">
        <v>31</v>
      </c>
    </row>
    <row r="52" spans="1:19" x14ac:dyDescent="0.2">
      <c r="A52" t="s">
        <v>274</v>
      </c>
      <c r="B52">
        <v>2025</v>
      </c>
      <c r="C52" t="s">
        <v>211</v>
      </c>
      <c r="D52" t="s">
        <v>21</v>
      </c>
      <c r="E52" t="s">
        <v>275</v>
      </c>
      <c r="F52" t="s">
        <v>276</v>
      </c>
      <c r="G52" t="s">
        <v>24</v>
      </c>
      <c r="H52" t="s">
        <v>25</v>
      </c>
      <c r="I52" s="177">
        <v>45806.446215277778</v>
      </c>
      <c r="J52" s="177">
        <v>45902.448518518519</v>
      </c>
      <c r="K52" s="177"/>
      <c r="L52" s="177">
        <v>46302.448518518519</v>
      </c>
      <c r="M52" t="s">
        <v>36</v>
      </c>
      <c r="N52" t="s">
        <v>115</v>
      </c>
      <c r="O52" t="s">
        <v>277</v>
      </c>
      <c r="P52" t="s">
        <v>47</v>
      </c>
      <c r="Q52" t="s">
        <v>177</v>
      </c>
      <c r="R52" t="s">
        <v>31</v>
      </c>
      <c r="S52" t="s">
        <v>276</v>
      </c>
    </row>
    <row r="53" spans="1:19" x14ac:dyDescent="0.2">
      <c r="A53" t="s">
        <v>278</v>
      </c>
      <c r="B53">
        <v>2025</v>
      </c>
      <c r="C53" t="s">
        <v>211</v>
      </c>
      <c r="D53" t="s">
        <v>21</v>
      </c>
      <c r="E53" t="s">
        <v>279</v>
      </c>
      <c r="F53" t="s">
        <v>280</v>
      </c>
      <c r="G53" t="s">
        <v>44</v>
      </c>
      <c r="H53" t="s">
        <v>25</v>
      </c>
      <c r="I53" s="177">
        <v>45806.4528587963</v>
      </c>
      <c r="J53" s="177">
        <v>45866.659155092595</v>
      </c>
      <c r="K53" s="177"/>
      <c r="L53" s="177">
        <v>45926.659155092595</v>
      </c>
      <c r="M53" t="s">
        <v>36</v>
      </c>
      <c r="N53" t="s">
        <v>108</v>
      </c>
      <c r="O53" t="s">
        <v>277</v>
      </c>
      <c r="P53" t="s">
        <v>47</v>
      </c>
      <c r="Q53" t="s">
        <v>177</v>
      </c>
      <c r="R53" t="s">
        <v>31</v>
      </c>
      <c r="S53" t="s">
        <v>280</v>
      </c>
    </row>
    <row r="54" spans="1:19" x14ac:dyDescent="0.2">
      <c r="A54" t="s">
        <v>281</v>
      </c>
      <c r="B54">
        <v>2025</v>
      </c>
      <c r="C54" t="s">
        <v>20</v>
      </c>
      <c r="D54" t="s">
        <v>21</v>
      </c>
      <c r="E54" t="s">
        <v>282</v>
      </c>
      <c r="F54" t="s">
        <v>283</v>
      </c>
      <c r="G54" t="s">
        <v>35</v>
      </c>
      <c r="H54" t="s">
        <v>25</v>
      </c>
      <c r="I54" s="177">
        <v>45810.339780092596</v>
      </c>
      <c r="J54" s="177">
        <v>45839.596631944441</v>
      </c>
      <c r="K54" s="177"/>
      <c r="L54" s="177">
        <v>45842.596631944441</v>
      </c>
      <c r="M54" t="s">
        <v>45</v>
      </c>
      <c r="N54" t="s">
        <v>46</v>
      </c>
      <c r="O54" t="s">
        <v>284</v>
      </c>
      <c r="P54" t="s">
        <v>29</v>
      </c>
      <c r="Q54" t="s">
        <v>177</v>
      </c>
      <c r="R54" t="s">
        <v>31</v>
      </c>
      <c r="S54" t="s">
        <v>285</v>
      </c>
    </row>
    <row r="55" spans="1:19" x14ac:dyDescent="0.2">
      <c r="A55" t="s">
        <v>286</v>
      </c>
      <c r="B55">
        <v>2025</v>
      </c>
      <c r="C55" t="s">
        <v>20</v>
      </c>
      <c r="D55" t="s">
        <v>21</v>
      </c>
      <c r="E55" t="s">
        <v>287</v>
      </c>
      <c r="F55" t="s">
        <v>288</v>
      </c>
      <c r="G55" t="s">
        <v>35</v>
      </c>
      <c r="H55" t="s">
        <v>25</v>
      </c>
      <c r="I55" s="177">
        <v>45810.457314814812</v>
      </c>
      <c r="J55" s="177">
        <v>45841.61105324074</v>
      </c>
      <c r="K55" s="177"/>
      <c r="L55" s="177">
        <v>45844.61105324074</v>
      </c>
      <c r="M55" t="s">
        <v>132</v>
      </c>
      <c r="N55" t="s">
        <v>133</v>
      </c>
      <c r="O55" t="s">
        <v>28</v>
      </c>
      <c r="P55" t="s">
        <v>29</v>
      </c>
      <c r="Q55" t="s">
        <v>60</v>
      </c>
      <c r="R55" t="s">
        <v>148</v>
      </c>
      <c r="S55" t="s">
        <v>289</v>
      </c>
    </row>
    <row r="56" spans="1:19" x14ac:dyDescent="0.2">
      <c r="A56" t="s">
        <v>290</v>
      </c>
      <c r="B56">
        <v>2025</v>
      </c>
      <c r="C56" t="s">
        <v>20</v>
      </c>
      <c r="D56" t="s">
        <v>21</v>
      </c>
      <c r="E56" t="s">
        <v>291</v>
      </c>
      <c r="F56" t="s">
        <v>292</v>
      </c>
      <c r="G56" t="s">
        <v>35</v>
      </c>
      <c r="H56" t="s">
        <v>25</v>
      </c>
      <c r="I56" s="177">
        <v>45813.56827546296</v>
      </c>
      <c r="J56" s="177">
        <v>45860.720590277779</v>
      </c>
      <c r="K56" s="177"/>
      <c r="L56" s="177">
        <v>45863.720590277779</v>
      </c>
      <c r="M56" t="s">
        <v>36</v>
      </c>
      <c r="N56" t="s">
        <v>108</v>
      </c>
      <c r="O56" t="s">
        <v>293</v>
      </c>
      <c r="P56" t="s">
        <v>29</v>
      </c>
      <c r="Q56" t="s">
        <v>110</v>
      </c>
      <c r="R56" t="s">
        <v>31</v>
      </c>
      <c r="S56" t="s">
        <v>292</v>
      </c>
    </row>
    <row r="57" spans="1:19" x14ac:dyDescent="0.2">
      <c r="A57" t="s">
        <v>294</v>
      </c>
      <c r="B57">
        <v>2025</v>
      </c>
      <c r="C57" t="s">
        <v>20</v>
      </c>
      <c r="D57" t="s">
        <v>21</v>
      </c>
      <c r="E57" t="s">
        <v>119</v>
      </c>
      <c r="F57" t="s">
        <v>295</v>
      </c>
      <c r="G57" t="s">
        <v>35</v>
      </c>
      <c r="H57" t="s">
        <v>25</v>
      </c>
      <c r="I57" s="177">
        <v>45813.686539351853</v>
      </c>
      <c r="J57" s="177">
        <v>45817.571550925924</v>
      </c>
      <c r="K57" s="177"/>
      <c r="L57" s="177">
        <v>45820.571550925924</v>
      </c>
      <c r="M57" t="s">
        <v>26</v>
      </c>
      <c r="N57" t="s">
        <v>27</v>
      </c>
      <c r="O57" t="s">
        <v>122</v>
      </c>
      <c r="P57" t="s">
        <v>47</v>
      </c>
      <c r="Q57" t="s">
        <v>296</v>
      </c>
      <c r="R57" t="s">
        <v>263</v>
      </c>
    </row>
    <row r="58" spans="1:19" x14ac:dyDescent="0.2">
      <c r="A58" t="s">
        <v>297</v>
      </c>
      <c r="B58">
        <v>2025</v>
      </c>
      <c r="C58" t="s">
        <v>20</v>
      </c>
      <c r="D58" t="s">
        <v>21</v>
      </c>
      <c r="E58" t="s">
        <v>119</v>
      </c>
      <c r="F58" t="s">
        <v>298</v>
      </c>
      <c r="G58" t="s">
        <v>35</v>
      </c>
      <c r="H58" t="s">
        <v>25</v>
      </c>
      <c r="I58" s="177">
        <v>45813.686539351853</v>
      </c>
      <c r="J58" s="177">
        <v>45817.571238425924</v>
      </c>
      <c r="K58" s="177"/>
      <c r="L58" s="177">
        <v>45820.571238425924</v>
      </c>
      <c r="M58" t="s">
        <v>26</v>
      </c>
      <c r="N58" t="s">
        <v>27</v>
      </c>
      <c r="O58" t="s">
        <v>122</v>
      </c>
      <c r="P58" t="s">
        <v>47</v>
      </c>
      <c r="Q58" t="s">
        <v>123</v>
      </c>
      <c r="R58" t="s">
        <v>263</v>
      </c>
    </row>
    <row r="59" spans="1:19" x14ac:dyDescent="0.2">
      <c r="A59" t="s">
        <v>299</v>
      </c>
      <c r="B59">
        <v>2025</v>
      </c>
      <c r="C59" t="s">
        <v>20</v>
      </c>
      <c r="D59" t="s">
        <v>21</v>
      </c>
      <c r="E59" t="s">
        <v>165</v>
      </c>
      <c r="F59" t="s">
        <v>300</v>
      </c>
      <c r="G59" t="s">
        <v>24</v>
      </c>
      <c r="H59" t="s">
        <v>25</v>
      </c>
      <c r="I59" s="177">
        <v>45815.710578703707</v>
      </c>
      <c r="J59" s="177">
        <v>45841.609791666669</v>
      </c>
      <c r="K59" s="177"/>
      <c r="L59" s="177">
        <v>46241.609791666669</v>
      </c>
      <c r="M59" t="s">
        <v>132</v>
      </c>
      <c r="N59" t="s">
        <v>133</v>
      </c>
      <c r="O59" t="s">
        <v>301</v>
      </c>
      <c r="P59" t="s">
        <v>29</v>
      </c>
      <c r="Q59" t="s">
        <v>302</v>
      </c>
      <c r="R59" t="s">
        <v>303</v>
      </c>
      <c r="S59" t="s">
        <v>300</v>
      </c>
    </row>
    <row r="60" spans="1:19" x14ac:dyDescent="0.2">
      <c r="A60" t="s">
        <v>304</v>
      </c>
      <c r="B60">
        <v>2026</v>
      </c>
      <c r="C60" t="s">
        <v>91</v>
      </c>
      <c r="D60" t="s">
        <v>21</v>
      </c>
      <c r="E60" t="s">
        <v>305</v>
      </c>
      <c r="F60" t="s">
        <v>306</v>
      </c>
      <c r="G60" t="s">
        <v>24</v>
      </c>
      <c r="H60" t="s">
        <v>25</v>
      </c>
      <c r="I60" s="177">
        <v>45824.660312499997</v>
      </c>
      <c r="J60" s="177">
        <v>46107.488055555557</v>
      </c>
      <c r="K60" s="177"/>
      <c r="L60" s="177">
        <v>46507.488055555557</v>
      </c>
      <c r="M60" t="s">
        <v>94</v>
      </c>
      <c r="N60" t="s">
        <v>95</v>
      </c>
      <c r="O60" t="s">
        <v>307</v>
      </c>
      <c r="P60" t="s">
        <v>47</v>
      </c>
      <c r="Q60" t="s">
        <v>190</v>
      </c>
      <c r="R60" t="s">
        <v>31</v>
      </c>
      <c r="S60" t="s">
        <v>308</v>
      </c>
    </row>
    <row r="61" spans="1:19" x14ac:dyDescent="0.2">
      <c r="A61" t="s">
        <v>309</v>
      </c>
      <c r="B61">
        <v>2025</v>
      </c>
      <c r="C61" t="s">
        <v>20</v>
      </c>
      <c r="D61" t="s">
        <v>21</v>
      </c>
      <c r="E61" t="s">
        <v>310</v>
      </c>
      <c r="F61" t="s">
        <v>311</v>
      </c>
      <c r="G61" t="s">
        <v>35</v>
      </c>
      <c r="H61" t="s">
        <v>25</v>
      </c>
      <c r="I61" s="177">
        <v>45828.377233796295</v>
      </c>
      <c r="J61" s="177">
        <v>45845.61650462963</v>
      </c>
      <c r="K61" s="177"/>
      <c r="L61" s="177">
        <v>45848.61650462963</v>
      </c>
      <c r="M61" t="s">
        <v>312</v>
      </c>
      <c r="N61" t="s">
        <v>313</v>
      </c>
      <c r="Q61" t="s">
        <v>183</v>
      </c>
      <c r="R61" t="s">
        <v>31</v>
      </c>
    </row>
    <row r="62" spans="1:19" x14ac:dyDescent="0.2">
      <c r="A62" t="s">
        <v>314</v>
      </c>
      <c r="B62">
        <v>2025</v>
      </c>
      <c r="C62" t="s">
        <v>20</v>
      </c>
      <c r="D62" t="s">
        <v>21</v>
      </c>
      <c r="E62" t="s">
        <v>138</v>
      </c>
      <c r="F62" t="s">
        <v>315</v>
      </c>
      <c r="G62" t="s">
        <v>35</v>
      </c>
      <c r="H62" t="s">
        <v>25</v>
      </c>
      <c r="I62" s="177">
        <v>45831.369583333333</v>
      </c>
      <c r="J62" s="177">
        <v>45867.431967592594</v>
      </c>
      <c r="K62" s="177"/>
      <c r="L62" s="177">
        <v>45870.431967592594</v>
      </c>
      <c r="M62" t="s">
        <v>45</v>
      </c>
      <c r="N62" t="s">
        <v>46</v>
      </c>
      <c r="O62" t="s">
        <v>316</v>
      </c>
      <c r="P62" t="s">
        <v>47</v>
      </c>
      <c r="Q62" t="s">
        <v>97</v>
      </c>
      <c r="R62" t="s">
        <v>48</v>
      </c>
      <c r="S62" t="s">
        <v>317</v>
      </c>
    </row>
    <row r="63" spans="1:19" x14ac:dyDescent="0.2">
      <c r="A63" t="s">
        <v>318</v>
      </c>
      <c r="B63">
        <v>2025</v>
      </c>
      <c r="C63" t="s">
        <v>211</v>
      </c>
      <c r="D63" t="s">
        <v>21</v>
      </c>
      <c r="E63" t="s">
        <v>319</v>
      </c>
      <c r="F63" t="s">
        <v>320</v>
      </c>
      <c r="G63" t="s">
        <v>24</v>
      </c>
      <c r="H63" t="s">
        <v>25</v>
      </c>
      <c r="I63" s="177">
        <v>45831.446319444447</v>
      </c>
      <c r="J63" s="177">
        <v>45831.446319444447</v>
      </c>
      <c r="K63" s="177"/>
      <c r="L63" s="177">
        <v>46231.446319444447</v>
      </c>
      <c r="M63" t="s">
        <v>36</v>
      </c>
      <c r="N63" t="s">
        <v>321</v>
      </c>
      <c r="O63" t="s">
        <v>322</v>
      </c>
      <c r="P63" t="s">
        <v>29</v>
      </c>
      <c r="Q63" t="s">
        <v>183</v>
      </c>
      <c r="R63" t="s">
        <v>135</v>
      </c>
      <c r="S63" t="s">
        <v>320</v>
      </c>
    </row>
    <row r="64" spans="1:19" x14ac:dyDescent="0.2">
      <c r="A64" t="s">
        <v>323</v>
      </c>
      <c r="B64">
        <v>2025</v>
      </c>
      <c r="C64" t="s">
        <v>211</v>
      </c>
      <c r="D64" t="s">
        <v>21</v>
      </c>
      <c r="E64" t="s">
        <v>324</v>
      </c>
      <c r="F64" t="s">
        <v>325</v>
      </c>
      <c r="G64" t="s">
        <v>24</v>
      </c>
      <c r="H64" t="s">
        <v>25</v>
      </c>
      <c r="I64" s="177">
        <v>45831.49622685185</v>
      </c>
      <c r="J64" s="177">
        <v>45831.49622685185</v>
      </c>
      <c r="K64" s="177"/>
      <c r="L64" s="177">
        <v>46231.49622685185</v>
      </c>
      <c r="M64" t="s">
        <v>36</v>
      </c>
      <c r="N64" t="s">
        <v>321</v>
      </c>
      <c r="O64" t="s">
        <v>326</v>
      </c>
      <c r="P64" t="s">
        <v>47</v>
      </c>
      <c r="Q64" t="s">
        <v>183</v>
      </c>
      <c r="R64" t="s">
        <v>135</v>
      </c>
      <c r="S64" t="s">
        <v>325</v>
      </c>
    </row>
    <row r="65" spans="1:19" x14ac:dyDescent="0.2">
      <c r="A65" t="s">
        <v>327</v>
      </c>
      <c r="B65">
        <v>2025</v>
      </c>
      <c r="C65" t="s">
        <v>20</v>
      </c>
      <c r="D65" t="s">
        <v>21</v>
      </c>
      <c r="E65" t="s">
        <v>328</v>
      </c>
      <c r="F65" t="s">
        <v>329</v>
      </c>
      <c r="G65" t="s">
        <v>35</v>
      </c>
      <c r="H65" t="s">
        <v>25</v>
      </c>
      <c r="I65" s="177">
        <v>45834.090451388889</v>
      </c>
      <c r="J65" s="177">
        <v>45846.727106481485</v>
      </c>
      <c r="K65" s="177"/>
      <c r="L65" s="177">
        <v>45849.727106481485</v>
      </c>
      <c r="M65" t="s">
        <v>45</v>
      </c>
      <c r="N65" t="s">
        <v>46</v>
      </c>
      <c r="O65" t="s">
        <v>330</v>
      </c>
      <c r="P65" t="s">
        <v>47</v>
      </c>
      <c r="Q65" t="s">
        <v>177</v>
      </c>
      <c r="R65" t="s">
        <v>31</v>
      </c>
      <c r="S65" t="s">
        <v>331</v>
      </c>
    </row>
    <row r="66" spans="1:19" x14ac:dyDescent="0.2">
      <c r="A66" t="s">
        <v>332</v>
      </c>
      <c r="B66">
        <v>2025</v>
      </c>
      <c r="C66" t="s">
        <v>20</v>
      </c>
      <c r="D66" t="s">
        <v>21</v>
      </c>
      <c r="E66" t="s">
        <v>333</v>
      </c>
      <c r="F66" t="s">
        <v>334</v>
      </c>
      <c r="G66" t="s">
        <v>35</v>
      </c>
      <c r="H66" t="s">
        <v>25</v>
      </c>
      <c r="I66" s="177">
        <v>45839.849699074075</v>
      </c>
      <c r="J66" s="177">
        <v>45854.410752314812</v>
      </c>
      <c r="K66" s="177"/>
      <c r="L66" s="177">
        <v>45857.410752314812</v>
      </c>
      <c r="M66" t="s">
        <v>45</v>
      </c>
      <c r="N66" t="s">
        <v>46</v>
      </c>
      <c r="O66" t="s">
        <v>330</v>
      </c>
      <c r="P66" t="s">
        <v>47</v>
      </c>
      <c r="Q66" t="s">
        <v>123</v>
      </c>
      <c r="R66" t="s">
        <v>31</v>
      </c>
      <c r="S66" t="s">
        <v>335</v>
      </c>
    </row>
    <row r="67" spans="1:19" x14ac:dyDescent="0.2">
      <c r="A67" t="s">
        <v>336</v>
      </c>
      <c r="B67">
        <v>2026</v>
      </c>
      <c r="C67" t="s">
        <v>20</v>
      </c>
      <c r="D67" t="s">
        <v>21</v>
      </c>
      <c r="E67" t="s">
        <v>337</v>
      </c>
      <c r="F67" t="s">
        <v>338</v>
      </c>
      <c r="G67" t="s">
        <v>44</v>
      </c>
      <c r="H67" t="s">
        <v>25</v>
      </c>
      <c r="I67" s="177">
        <v>45840.551377314812</v>
      </c>
      <c r="J67" s="177">
        <v>46136.678055555552</v>
      </c>
      <c r="K67" s="177"/>
      <c r="L67" s="177">
        <v>46196.678055555552</v>
      </c>
      <c r="M67" t="s">
        <v>36</v>
      </c>
      <c r="N67" t="s">
        <v>339</v>
      </c>
      <c r="O67" t="s">
        <v>102</v>
      </c>
      <c r="P67" t="s">
        <v>29</v>
      </c>
      <c r="Q67" t="s">
        <v>110</v>
      </c>
      <c r="R67" t="s">
        <v>31</v>
      </c>
      <c r="S67" t="s">
        <v>338</v>
      </c>
    </row>
    <row r="68" spans="1:19" x14ac:dyDescent="0.2">
      <c r="A68" t="s">
        <v>340</v>
      </c>
      <c r="B68">
        <v>2025</v>
      </c>
      <c r="C68" t="s">
        <v>91</v>
      </c>
      <c r="D68" t="s">
        <v>21</v>
      </c>
      <c r="E68" t="s">
        <v>341</v>
      </c>
      <c r="F68" t="s">
        <v>342</v>
      </c>
      <c r="G68" t="s">
        <v>44</v>
      </c>
      <c r="H68" t="s">
        <v>25</v>
      </c>
      <c r="I68" s="177">
        <v>45841.41138888889</v>
      </c>
      <c r="J68" s="177">
        <v>45882.678263888891</v>
      </c>
      <c r="K68" s="177"/>
      <c r="L68" s="177">
        <v>45942.678263888891</v>
      </c>
      <c r="M68" t="s">
        <v>94</v>
      </c>
      <c r="N68" t="s">
        <v>95</v>
      </c>
      <c r="O68" t="s">
        <v>189</v>
      </c>
      <c r="P68" t="s">
        <v>47</v>
      </c>
      <c r="Q68" t="s">
        <v>183</v>
      </c>
      <c r="R68" t="s">
        <v>184</v>
      </c>
      <c r="S68" t="s">
        <v>343</v>
      </c>
    </row>
    <row r="69" spans="1:19" x14ac:dyDescent="0.2">
      <c r="A69" t="s">
        <v>344</v>
      </c>
      <c r="B69">
        <v>2025</v>
      </c>
      <c r="C69" t="s">
        <v>211</v>
      </c>
      <c r="D69" t="s">
        <v>21</v>
      </c>
      <c r="E69" t="s">
        <v>266</v>
      </c>
      <c r="F69" t="s">
        <v>345</v>
      </c>
      <c r="G69" t="s">
        <v>44</v>
      </c>
      <c r="H69" t="s">
        <v>25</v>
      </c>
      <c r="I69" s="177">
        <v>45842.454224537039</v>
      </c>
      <c r="J69" s="177">
        <v>45842.454224537039</v>
      </c>
      <c r="K69" s="177"/>
      <c r="L69" s="177">
        <v>45902.454224537039</v>
      </c>
      <c r="M69" t="s">
        <v>45</v>
      </c>
      <c r="N69" t="s">
        <v>46</v>
      </c>
      <c r="O69" t="s">
        <v>346</v>
      </c>
      <c r="P69" t="s">
        <v>47</v>
      </c>
      <c r="Q69" t="s">
        <v>177</v>
      </c>
      <c r="R69" t="s">
        <v>31</v>
      </c>
      <c r="S69" t="s">
        <v>347</v>
      </c>
    </row>
    <row r="70" spans="1:19" x14ac:dyDescent="0.2">
      <c r="A70" t="s">
        <v>348</v>
      </c>
      <c r="B70">
        <v>2025</v>
      </c>
      <c r="C70" t="s">
        <v>20</v>
      </c>
      <c r="D70" t="s">
        <v>21</v>
      </c>
      <c r="E70" t="s">
        <v>349</v>
      </c>
      <c r="F70" t="s">
        <v>350</v>
      </c>
      <c r="G70" t="s">
        <v>35</v>
      </c>
      <c r="H70" t="s">
        <v>25</v>
      </c>
      <c r="I70" s="177">
        <v>45845.357870370368</v>
      </c>
      <c r="J70" s="177">
        <v>45845.42083333333</v>
      </c>
      <c r="K70" s="177"/>
      <c r="L70" s="177">
        <v>45848.42083333333</v>
      </c>
      <c r="M70" t="s">
        <v>26</v>
      </c>
      <c r="N70" t="s">
        <v>27</v>
      </c>
      <c r="O70" t="s">
        <v>351</v>
      </c>
      <c r="P70" t="s">
        <v>29</v>
      </c>
      <c r="Q70" t="s">
        <v>70</v>
      </c>
      <c r="R70" t="s">
        <v>148</v>
      </c>
      <c r="S70" t="s">
        <v>352</v>
      </c>
    </row>
    <row r="71" spans="1:19" x14ac:dyDescent="0.2">
      <c r="A71" t="s">
        <v>353</v>
      </c>
      <c r="B71">
        <v>2025</v>
      </c>
      <c r="C71" t="s">
        <v>20</v>
      </c>
      <c r="D71" t="s">
        <v>21</v>
      </c>
      <c r="E71" t="s">
        <v>305</v>
      </c>
      <c r="F71" t="s">
        <v>354</v>
      </c>
      <c r="G71" t="s">
        <v>35</v>
      </c>
      <c r="H71" t="s">
        <v>25</v>
      </c>
      <c r="I71" s="177">
        <v>45849.444525462961</v>
      </c>
      <c r="J71" s="177">
        <v>45849.444525462961</v>
      </c>
      <c r="K71" s="177"/>
      <c r="L71" s="177">
        <v>45852.444525462961</v>
      </c>
      <c r="M71" t="s">
        <v>45</v>
      </c>
      <c r="N71" t="s">
        <v>46</v>
      </c>
      <c r="O71" t="s">
        <v>355</v>
      </c>
      <c r="P71" t="s">
        <v>47</v>
      </c>
      <c r="Q71" t="s">
        <v>177</v>
      </c>
      <c r="R71" t="s">
        <v>31</v>
      </c>
      <c r="S71" t="s">
        <v>356</v>
      </c>
    </row>
    <row r="72" spans="1:19" x14ac:dyDescent="0.2">
      <c r="A72" t="s">
        <v>357</v>
      </c>
      <c r="B72">
        <v>2025</v>
      </c>
      <c r="C72" t="s">
        <v>20</v>
      </c>
      <c r="D72" t="s">
        <v>21</v>
      </c>
      <c r="E72" t="s">
        <v>358</v>
      </c>
      <c r="F72" t="s">
        <v>359</v>
      </c>
      <c r="G72" t="s">
        <v>131</v>
      </c>
      <c r="H72" t="s">
        <v>25</v>
      </c>
      <c r="I72" s="177">
        <v>45850.235034722224</v>
      </c>
      <c r="J72" s="177">
        <v>45896.337881944448</v>
      </c>
      <c r="K72" s="177"/>
      <c r="L72" s="177">
        <v>45903.337881944448</v>
      </c>
      <c r="M72" t="s">
        <v>26</v>
      </c>
      <c r="N72" t="s">
        <v>27</v>
      </c>
      <c r="O72" t="s">
        <v>360</v>
      </c>
      <c r="P72" t="s">
        <v>29</v>
      </c>
      <c r="Q72" t="s">
        <v>361</v>
      </c>
      <c r="R72" t="s">
        <v>148</v>
      </c>
      <c r="S72" t="s">
        <v>362</v>
      </c>
    </row>
    <row r="73" spans="1:19" x14ac:dyDescent="0.2">
      <c r="A73" t="s">
        <v>363</v>
      </c>
      <c r="B73">
        <v>2026</v>
      </c>
      <c r="C73" t="s">
        <v>211</v>
      </c>
      <c r="D73" t="s">
        <v>21</v>
      </c>
      <c r="E73" t="s">
        <v>364</v>
      </c>
      <c r="F73" t="s">
        <v>365</v>
      </c>
      <c r="G73" t="s">
        <v>24</v>
      </c>
      <c r="H73" t="s">
        <v>25</v>
      </c>
      <c r="I73" s="177">
        <v>45854.333379629628</v>
      </c>
      <c r="J73" s="177">
        <v>46142.646817129629</v>
      </c>
      <c r="K73" s="177"/>
      <c r="L73" s="177">
        <v>46542.646817129629</v>
      </c>
      <c r="M73" t="s">
        <v>45</v>
      </c>
      <c r="N73" t="s">
        <v>46</v>
      </c>
      <c r="O73" t="s">
        <v>366</v>
      </c>
      <c r="P73" t="s">
        <v>47</v>
      </c>
      <c r="Q73" t="s">
        <v>190</v>
      </c>
      <c r="R73" t="s">
        <v>31</v>
      </c>
      <c r="S73" t="s">
        <v>367</v>
      </c>
    </row>
    <row r="74" spans="1:19" x14ac:dyDescent="0.2">
      <c r="A74" t="s">
        <v>368</v>
      </c>
      <c r="B74">
        <v>2025</v>
      </c>
      <c r="C74" t="s">
        <v>91</v>
      </c>
      <c r="D74" t="s">
        <v>21</v>
      </c>
      <c r="E74" t="s">
        <v>369</v>
      </c>
      <c r="F74" t="s">
        <v>370</v>
      </c>
      <c r="G74" t="s">
        <v>44</v>
      </c>
      <c r="H74" t="s">
        <v>25</v>
      </c>
      <c r="I74" s="177">
        <v>45855.431273148148</v>
      </c>
      <c r="J74" s="177">
        <v>45898.369745370372</v>
      </c>
      <c r="K74" s="177"/>
      <c r="L74" s="177">
        <v>45958.369745370372</v>
      </c>
      <c r="M74" t="s">
        <v>94</v>
      </c>
      <c r="N74" t="s">
        <v>95</v>
      </c>
      <c r="O74" t="s">
        <v>371</v>
      </c>
      <c r="P74" t="s">
        <v>47</v>
      </c>
      <c r="Q74" t="s">
        <v>183</v>
      </c>
      <c r="R74" t="s">
        <v>184</v>
      </c>
      <c r="S74" t="s">
        <v>372</v>
      </c>
    </row>
    <row r="75" spans="1:19" x14ac:dyDescent="0.2">
      <c r="A75" t="s">
        <v>373</v>
      </c>
      <c r="B75">
        <v>2026</v>
      </c>
      <c r="C75" t="s">
        <v>20</v>
      </c>
      <c r="D75" t="s">
        <v>21</v>
      </c>
      <c r="E75" t="s">
        <v>305</v>
      </c>
      <c r="F75" t="s">
        <v>374</v>
      </c>
      <c r="G75" t="s">
        <v>375</v>
      </c>
      <c r="H75" t="s">
        <v>25</v>
      </c>
      <c r="I75" s="177">
        <v>45856.459201388891</v>
      </c>
      <c r="J75" s="177">
        <v>46107.489108796297</v>
      </c>
      <c r="K75" s="177"/>
      <c r="L75" s="177">
        <v>46287.489108796297</v>
      </c>
      <c r="M75" t="s">
        <v>94</v>
      </c>
      <c r="N75" t="s">
        <v>95</v>
      </c>
      <c r="O75" t="s">
        <v>307</v>
      </c>
      <c r="P75" t="s">
        <v>47</v>
      </c>
      <c r="Q75" t="s">
        <v>190</v>
      </c>
      <c r="R75" t="s">
        <v>31</v>
      </c>
    </row>
    <row r="76" spans="1:19" x14ac:dyDescent="0.2">
      <c r="A76" t="s">
        <v>376</v>
      </c>
      <c r="B76">
        <v>2025</v>
      </c>
      <c r="C76" t="s">
        <v>20</v>
      </c>
      <c r="D76" t="s">
        <v>21</v>
      </c>
      <c r="E76" t="s">
        <v>305</v>
      </c>
      <c r="F76" t="s">
        <v>377</v>
      </c>
      <c r="G76" t="s">
        <v>35</v>
      </c>
      <c r="H76" t="s">
        <v>25</v>
      </c>
      <c r="I76" s="177">
        <v>45856.4999537037</v>
      </c>
      <c r="J76" s="177">
        <v>45888.630011574074</v>
      </c>
      <c r="K76" s="177"/>
      <c r="L76" s="177">
        <v>45891.630011574074</v>
      </c>
      <c r="M76" t="s">
        <v>94</v>
      </c>
      <c r="N76" t="s">
        <v>95</v>
      </c>
      <c r="O76" t="s">
        <v>355</v>
      </c>
      <c r="P76" t="s">
        <v>47</v>
      </c>
      <c r="Q76" t="s">
        <v>97</v>
      </c>
      <c r="R76" t="s">
        <v>31</v>
      </c>
      <c r="S76" t="s">
        <v>378</v>
      </c>
    </row>
    <row r="77" spans="1:19" x14ac:dyDescent="0.2">
      <c r="A77" t="s">
        <v>379</v>
      </c>
      <c r="B77">
        <v>2025</v>
      </c>
      <c r="C77" t="s">
        <v>20</v>
      </c>
      <c r="D77" t="s">
        <v>21</v>
      </c>
      <c r="E77" t="s">
        <v>328</v>
      </c>
      <c r="F77" t="s">
        <v>380</v>
      </c>
      <c r="G77" t="s">
        <v>35</v>
      </c>
      <c r="H77" t="s">
        <v>25</v>
      </c>
      <c r="I77" s="177">
        <v>45861.950879629629</v>
      </c>
      <c r="J77" s="177">
        <v>45863.592418981483</v>
      </c>
      <c r="K77" s="177"/>
      <c r="L77" s="177">
        <v>45866.592418981483</v>
      </c>
      <c r="M77" t="s">
        <v>94</v>
      </c>
      <c r="N77" t="s">
        <v>95</v>
      </c>
      <c r="O77" t="s">
        <v>381</v>
      </c>
      <c r="P77" t="s">
        <v>47</v>
      </c>
      <c r="Q77" t="s">
        <v>177</v>
      </c>
      <c r="R77" t="s">
        <v>31</v>
      </c>
    </row>
    <row r="78" spans="1:19" x14ac:dyDescent="0.2">
      <c r="A78" t="s">
        <v>382</v>
      </c>
      <c r="B78">
        <v>2025</v>
      </c>
      <c r="C78" t="s">
        <v>211</v>
      </c>
      <c r="D78" t="s">
        <v>21</v>
      </c>
      <c r="E78" t="s">
        <v>199</v>
      </c>
      <c r="F78" t="s">
        <v>383</v>
      </c>
      <c r="G78" t="s">
        <v>24</v>
      </c>
      <c r="H78" t="s">
        <v>25</v>
      </c>
      <c r="I78" s="177">
        <v>45863.390625</v>
      </c>
      <c r="J78" s="177">
        <v>45915.714467592596</v>
      </c>
      <c r="K78" s="177"/>
      <c r="L78" s="177">
        <v>46315.714467592596</v>
      </c>
      <c r="M78" t="s">
        <v>36</v>
      </c>
      <c r="N78" t="s">
        <v>384</v>
      </c>
      <c r="O78" t="s">
        <v>385</v>
      </c>
      <c r="P78" t="s">
        <v>47</v>
      </c>
      <c r="Q78" t="s">
        <v>177</v>
      </c>
      <c r="R78" t="s">
        <v>48</v>
      </c>
      <c r="S78" t="s">
        <v>383</v>
      </c>
    </row>
    <row r="79" spans="1:19" x14ac:dyDescent="0.2">
      <c r="A79" t="s">
        <v>386</v>
      </c>
      <c r="B79">
        <v>2025</v>
      </c>
      <c r="C79" t="s">
        <v>20</v>
      </c>
      <c r="D79" t="s">
        <v>21</v>
      </c>
      <c r="E79" t="s">
        <v>387</v>
      </c>
      <c r="F79" t="s">
        <v>388</v>
      </c>
      <c r="G79" t="s">
        <v>24</v>
      </c>
      <c r="H79" t="s">
        <v>25</v>
      </c>
      <c r="I79" s="177">
        <v>45868.900567129633</v>
      </c>
      <c r="J79" s="177">
        <v>45931.364259259259</v>
      </c>
      <c r="K79" s="177"/>
      <c r="L79" s="177">
        <v>46331.364259259259</v>
      </c>
      <c r="M79" t="s">
        <v>167</v>
      </c>
      <c r="N79" t="s">
        <v>168</v>
      </c>
      <c r="O79" t="s">
        <v>182</v>
      </c>
      <c r="P79" t="s">
        <v>29</v>
      </c>
      <c r="Q79" t="s">
        <v>60</v>
      </c>
      <c r="R79" t="s">
        <v>135</v>
      </c>
      <c r="S79" t="s">
        <v>389</v>
      </c>
    </row>
    <row r="80" spans="1:19" x14ac:dyDescent="0.2">
      <c r="A80" t="s">
        <v>390</v>
      </c>
      <c r="B80">
        <v>2025</v>
      </c>
      <c r="C80" t="s">
        <v>20</v>
      </c>
      <c r="D80" t="s">
        <v>21</v>
      </c>
      <c r="E80" t="s">
        <v>391</v>
      </c>
      <c r="F80" t="s">
        <v>392</v>
      </c>
      <c r="G80" t="s">
        <v>35</v>
      </c>
      <c r="H80" t="s">
        <v>25</v>
      </c>
      <c r="I80" s="177">
        <v>45875.954247685186</v>
      </c>
      <c r="J80" s="177">
        <v>45877.702847222223</v>
      </c>
      <c r="K80" s="177"/>
      <c r="L80" s="177">
        <v>45880.702847222223</v>
      </c>
      <c r="M80" t="s">
        <v>94</v>
      </c>
      <c r="N80" t="s">
        <v>121</v>
      </c>
      <c r="O80" t="s">
        <v>157</v>
      </c>
      <c r="P80" t="s">
        <v>47</v>
      </c>
      <c r="Q80" t="s">
        <v>177</v>
      </c>
      <c r="R80" t="s">
        <v>31</v>
      </c>
      <c r="S80" t="s">
        <v>393</v>
      </c>
    </row>
    <row r="81" spans="1:19" x14ac:dyDescent="0.2">
      <c r="A81" t="s">
        <v>394</v>
      </c>
      <c r="B81">
        <v>2025</v>
      </c>
      <c r="C81" t="s">
        <v>20</v>
      </c>
      <c r="D81" t="s">
        <v>21</v>
      </c>
      <c r="E81" t="s">
        <v>395</v>
      </c>
      <c r="F81" t="s">
        <v>396</v>
      </c>
      <c r="G81" t="s">
        <v>35</v>
      </c>
      <c r="H81" t="s">
        <v>25</v>
      </c>
      <c r="I81" s="177">
        <v>45877.724212962959</v>
      </c>
      <c r="J81" s="177">
        <v>45894.367789351854</v>
      </c>
      <c r="K81" s="177"/>
      <c r="L81" s="177">
        <v>45897.367789351854</v>
      </c>
      <c r="M81" t="s">
        <v>36</v>
      </c>
      <c r="N81" t="s">
        <v>108</v>
      </c>
      <c r="O81" t="s">
        <v>397</v>
      </c>
      <c r="P81" t="s">
        <v>47</v>
      </c>
      <c r="Q81" t="s">
        <v>183</v>
      </c>
      <c r="R81" t="s">
        <v>31</v>
      </c>
      <c r="S81" t="s">
        <v>396</v>
      </c>
    </row>
    <row r="82" spans="1:19" x14ac:dyDescent="0.2">
      <c r="A82" t="s">
        <v>398</v>
      </c>
      <c r="B82">
        <v>2025</v>
      </c>
      <c r="C82" t="s">
        <v>20</v>
      </c>
      <c r="D82" t="s">
        <v>21</v>
      </c>
      <c r="E82" t="s">
        <v>399</v>
      </c>
      <c r="F82" t="s">
        <v>400</v>
      </c>
      <c r="G82" t="s">
        <v>35</v>
      </c>
      <c r="H82" t="s">
        <v>25</v>
      </c>
      <c r="I82" s="177">
        <v>45884.034768518519</v>
      </c>
      <c r="J82" s="177">
        <v>45902.607858796298</v>
      </c>
      <c r="K82" s="177"/>
      <c r="L82" s="177">
        <v>45905.607858796298</v>
      </c>
      <c r="M82" t="s">
        <v>94</v>
      </c>
      <c r="N82" t="s">
        <v>121</v>
      </c>
      <c r="O82" t="s">
        <v>371</v>
      </c>
      <c r="P82" t="s">
        <v>29</v>
      </c>
      <c r="Q82" t="s">
        <v>177</v>
      </c>
      <c r="R82" t="s">
        <v>31</v>
      </c>
      <c r="S82" t="s">
        <v>399</v>
      </c>
    </row>
    <row r="83" spans="1:19" x14ac:dyDescent="0.2">
      <c r="A83" t="s">
        <v>401</v>
      </c>
      <c r="B83">
        <v>2025</v>
      </c>
      <c r="D83" t="s">
        <v>21</v>
      </c>
      <c r="E83" t="s">
        <v>402</v>
      </c>
      <c r="F83" t="s">
        <v>403</v>
      </c>
      <c r="G83" t="s">
        <v>35</v>
      </c>
      <c r="H83" t="s">
        <v>25</v>
      </c>
      <c r="I83" s="177">
        <v>45888.429351851853</v>
      </c>
      <c r="J83" s="177">
        <v>45903.487696759257</v>
      </c>
      <c r="K83" s="177"/>
      <c r="L83" s="177">
        <v>45906.487696759257</v>
      </c>
      <c r="M83" t="s">
        <v>94</v>
      </c>
      <c r="N83" t="s">
        <v>95</v>
      </c>
      <c r="O83" t="s">
        <v>351</v>
      </c>
      <c r="P83" t="s">
        <v>47</v>
      </c>
      <c r="Q83" t="s">
        <v>110</v>
      </c>
      <c r="R83" t="s">
        <v>48</v>
      </c>
      <c r="S83" t="s">
        <v>404</v>
      </c>
    </row>
    <row r="84" spans="1:19" x14ac:dyDescent="0.2">
      <c r="A84" t="s">
        <v>405</v>
      </c>
      <c r="B84">
        <v>2025</v>
      </c>
      <c r="C84" t="s">
        <v>20</v>
      </c>
      <c r="D84" t="s">
        <v>21</v>
      </c>
      <c r="E84" t="s">
        <v>406</v>
      </c>
      <c r="F84" t="s">
        <v>407</v>
      </c>
      <c r="G84" t="s">
        <v>35</v>
      </c>
      <c r="H84" t="s">
        <v>25</v>
      </c>
      <c r="I84" s="177">
        <v>45889.402743055558</v>
      </c>
      <c r="J84" s="177">
        <v>45947.668923611112</v>
      </c>
      <c r="K84" s="177"/>
      <c r="L84" s="177">
        <v>45950.668923611112</v>
      </c>
      <c r="M84" t="s">
        <v>36</v>
      </c>
      <c r="N84" t="s">
        <v>108</v>
      </c>
      <c r="O84" t="s">
        <v>408</v>
      </c>
      <c r="P84" t="s">
        <v>47</v>
      </c>
      <c r="Q84" t="s">
        <v>110</v>
      </c>
      <c r="R84" t="s">
        <v>31</v>
      </c>
      <c r="S84" t="s">
        <v>407</v>
      </c>
    </row>
    <row r="85" spans="1:19" x14ac:dyDescent="0.2">
      <c r="A85" t="s">
        <v>409</v>
      </c>
      <c r="B85">
        <v>2025</v>
      </c>
      <c r="C85" t="s">
        <v>20</v>
      </c>
      <c r="D85" t="s">
        <v>21</v>
      </c>
      <c r="E85" t="s">
        <v>155</v>
      </c>
      <c r="F85" t="s">
        <v>156</v>
      </c>
      <c r="G85" t="s">
        <v>24</v>
      </c>
      <c r="H85" t="s">
        <v>25</v>
      </c>
      <c r="I85" s="177">
        <v>45889.68681712963</v>
      </c>
      <c r="J85" s="177">
        <v>45924.416006944448</v>
      </c>
      <c r="K85" s="177"/>
      <c r="L85" s="177">
        <v>46324.416006944448</v>
      </c>
      <c r="M85" t="s">
        <v>132</v>
      </c>
      <c r="N85" t="s">
        <v>133</v>
      </c>
      <c r="O85" t="s">
        <v>157</v>
      </c>
      <c r="P85" t="s">
        <v>29</v>
      </c>
      <c r="Q85" t="s">
        <v>60</v>
      </c>
      <c r="R85" t="s">
        <v>148</v>
      </c>
      <c r="S85" t="s">
        <v>156</v>
      </c>
    </row>
    <row r="86" spans="1:19" x14ac:dyDescent="0.2">
      <c r="A86" t="s">
        <v>410</v>
      </c>
      <c r="B86">
        <v>2025</v>
      </c>
      <c r="C86" t="s">
        <v>20</v>
      </c>
      <c r="D86" t="s">
        <v>21</v>
      </c>
      <c r="E86" t="s">
        <v>180</v>
      </c>
      <c r="F86" t="s">
        <v>411</v>
      </c>
      <c r="G86" t="s">
        <v>35</v>
      </c>
      <c r="H86" t="s">
        <v>25</v>
      </c>
      <c r="I86" s="177">
        <v>45892.049143518518</v>
      </c>
      <c r="J86" s="177">
        <v>45905.61378472222</v>
      </c>
      <c r="K86" s="177"/>
      <c r="L86" s="177">
        <v>45908.61378472222</v>
      </c>
      <c r="M86" t="s">
        <v>94</v>
      </c>
      <c r="N86" t="s">
        <v>95</v>
      </c>
      <c r="O86" t="s">
        <v>182</v>
      </c>
      <c r="P86" t="s">
        <v>29</v>
      </c>
      <c r="Q86" t="s">
        <v>177</v>
      </c>
      <c r="R86" t="s">
        <v>31</v>
      </c>
      <c r="S86" t="s">
        <v>412</v>
      </c>
    </row>
    <row r="87" spans="1:19" x14ac:dyDescent="0.2">
      <c r="A87" t="s">
        <v>413</v>
      </c>
      <c r="B87">
        <v>2025</v>
      </c>
      <c r="C87" t="s">
        <v>211</v>
      </c>
      <c r="D87" t="s">
        <v>21</v>
      </c>
      <c r="E87" t="s">
        <v>414</v>
      </c>
      <c r="F87" t="s">
        <v>415</v>
      </c>
      <c r="G87" t="s">
        <v>44</v>
      </c>
      <c r="H87" t="s">
        <v>25</v>
      </c>
      <c r="I87" s="177">
        <v>45896.684027777781</v>
      </c>
      <c r="J87" s="177">
        <v>45959.63380787037</v>
      </c>
      <c r="K87" s="177"/>
      <c r="L87" s="177">
        <v>46019.63380787037</v>
      </c>
      <c r="M87" t="s">
        <v>94</v>
      </c>
      <c r="N87" t="s">
        <v>95</v>
      </c>
      <c r="O87" t="s">
        <v>416</v>
      </c>
      <c r="P87" t="s">
        <v>47</v>
      </c>
      <c r="Q87" t="s">
        <v>177</v>
      </c>
      <c r="R87" t="s">
        <v>31</v>
      </c>
      <c r="S87" t="s">
        <v>417</v>
      </c>
    </row>
    <row r="88" spans="1:19" x14ac:dyDescent="0.2">
      <c r="A88" t="s">
        <v>418</v>
      </c>
      <c r="B88">
        <v>2025</v>
      </c>
      <c r="C88" t="s">
        <v>144</v>
      </c>
      <c r="D88" t="s">
        <v>21</v>
      </c>
      <c r="E88" t="s">
        <v>56</v>
      </c>
      <c r="F88" t="s">
        <v>419</v>
      </c>
      <c r="G88" t="s">
        <v>35</v>
      </c>
      <c r="H88" t="s">
        <v>25</v>
      </c>
      <c r="I88" s="177">
        <v>45901.703692129631</v>
      </c>
      <c r="J88" s="177">
        <v>45924.409942129627</v>
      </c>
      <c r="K88" s="177"/>
      <c r="L88" s="177">
        <v>45927.409942129627</v>
      </c>
      <c r="M88" t="s">
        <v>132</v>
      </c>
      <c r="N88" t="s">
        <v>133</v>
      </c>
      <c r="O88" t="s">
        <v>28</v>
      </c>
      <c r="P88" t="s">
        <v>29</v>
      </c>
      <c r="Q88" t="s">
        <v>60</v>
      </c>
      <c r="R88" t="s">
        <v>420</v>
      </c>
      <c r="S88" t="s">
        <v>419</v>
      </c>
    </row>
    <row r="89" spans="1:19" x14ac:dyDescent="0.2">
      <c r="A89" t="s">
        <v>421</v>
      </c>
      <c r="B89">
        <v>2025</v>
      </c>
      <c r="C89" t="s">
        <v>20</v>
      </c>
      <c r="D89" t="s">
        <v>21</v>
      </c>
      <c r="E89" t="s">
        <v>422</v>
      </c>
      <c r="F89" t="s">
        <v>423</v>
      </c>
      <c r="G89" t="s">
        <v>35</v>
      </c>
      <c r="H89" t="s">
        <v>25</v>
      </c>
      <c r="I89" s="177">
        <v>45903.506932870368</v>
      </c>
      <c r="J89" s="177">
        <v>45930.615057870367</v>
      </c>
      <c r="K89" s="177"/>
      <c r="L89" s="177">
        <v>45933.615057870367</v>
      </c>
      <c r="M89" t="s">
        <v>94</v>
      </c>
      <c r="N89" t="s">
        <v>121</v>
      </c>
      <c r="O89" t="s">
        <v>424</v>
      </c>
      <c r="P89" t="s">
        <v>47</v>
      </c>
      <c r="Q89" t="s">
        <v>117</v>
      </c>
      <c r="R89" t="s">
        <v>31</v>
      </c>
      <c r="S89" t="s">
        <v>425</v>
      </c>
    </row>
    <row r="90" spans="1:19" x14ac:dyDescent="0.2">
      <c r="A90" t="s">
        <v>426</v>
      </c>
      <c r="B90">
        <v>2025</v>
      </c>
      <c r="C90" t="s">
        <v>211</v>
      </c>
      <c r="D90" t="s">
        <v>21</v>
      </c>
      <c r="E90" t="s">
        <v>427</v>
      </c>
      <c r="F90" t="s">
        <v>428</v>
      </c>
      <c r="G90" t="s">
        <v>24</v>
      </c>
      <c r="H90" t="s">
        <v>25</v>
      </c>
      <c r="I90" s="177">
        <v>45903.680532407408</v>
      </c>
      <c r="J90" s="177">
        <v>45903.724606481483</v>
      </c>
      <c r="K90" s="177"/>
      <c r="L90" s="177">
        <v>46303.724606481483</v>
      </c>
      <c r="M90" t="s">
        <v>36</v>
      </c>
      <c r="N90" t="s">
        <v>108</v>
      </c>
      <c r="O90" t="s">
        <v>28</v>
      </c>
      <c r="P90" t="s">
        <v>47</v>
      </c>
      <c r="Q90" t="s">
        <v>183</v>
      </c>
      <c r="R90" t="s">
        <v>31</v>
      </c>
      <c r="S90" t="s">
        <v>428</v>
      </c>
    </row>
    <row r="91" spans="1:19" x14ac:dyDescent="0.2">
      <c r="A91" t="s">
        <v>429</v>
      </c>
      <c r="B91">
        <v>2026</v>
      </c>
      <c r="C91" t="s">
        <v>20</v>
      </c>
      <c r="D91" t="s">
        <v>21</v>
      </c>
      <c r="E91" t="s">
        <v>430</v>
      </c>
      <c r="F91" t="s">
        <v>431</v>
      </c>
      <c r="G91" t="s">
        <v>35</v>
      </c>
      <c r="H91" t="s">
        <v>25</v>
      </c>
      <c r="I91" s="177">
        <v>45904.900254629632</v>
      </c>
      <c r="J91" s="177">
        <v>46044.491932870369</v>
      </c>
      <c r="K91" s="177"/>
      <c r="L91" s="177">
        <v>46047.491932870369</v>
      </c>
      <c r="M91" t="s">
        <v>94</v>
      </c>
      <c r="N91" t="s">
        <v>121</v>
      </c>
      <c r="O91" t="s">
        <v>330</v>
      </c>
      <c r="P91" t="s">
        <v>47</v>
      </c>
      <c r="Q91" t="s">
        <v>177</v>
      </c>
      <c r="R91" t="s">
        <v>31</v>
      </c>
      <c r="S91" t="s">
        <v>432</v>
      </c>
    </row>
    <row r="92" spans="1:19" x14ac:dyDescent="0.2">
      <c r="A92" t="s">
        <v>433</v>
      </c>
      <c r="B92">
        <v>2026</v>
      </c>
      <c r="C92" t="s">
        <v>252</v>
      </c>
      <c r="D92" t="s">
        <v>21</v>
      </c>
      <c r="E92" t="s">
        <v>83</v>
      </c>
      <c r="F92" t="s">
        <v>434</v>
      </c>
      <c r="G92" t="s">
        <v>44</v>
      </c>
      <c r="H92" t="s">
        <v>25</v>
      </c>
      <c r="I92" s="177">
        <v>45905.393148148149</v>
      </c>
      <c r="J92" s="177">
        <v>46036.652986111112</v>
      </c>
      <c r="K92" s="177"/>
      <c r="L92" s="177">
        <v>46096.652986111112</v>
      </c>
      <c r="M92" t="s">
        <v>58</v>
      </c>
      <c r="N92" t="s">
        <v>59</v>
      </c>
      <c r="O92" t="s">
        <v>28</v>
      </c>
      <c r="P92" t="s">
        <v>29</v>
      </c>
      <c r="Q92" t="s">
        <v>60</v>
      </c>
      <c r="R92" t="s">
        <v>148</v>
      </c>
      <c r="S92" t="s">
        <v>434</v>
      </c>
    </row>
    <row r="93" spans="1:19" x14ac:dyDescent="0.2">
      <c r="A93" t="s">
        <v>435</v>
      </c>
      <c r="B93">
        <v>2025</v>
      </c>
      <c r="C93" t="s">
        <v>91</v>
      </c>
      <c r="D93" t="s">
        <v>21</v>
      </c>
      <c r="E93" t="s">
        <v>436</v>
      </c>
      <c r="F93" t="s">
        <v>437</v>
      </c>
      <c r="G93" t="s">
        <v>44</v>
      </c>
      <c r="H93" t="s">
        <v>25</v>
      </c>
      <c r="I93" s="177">
        <v>45909.7034375</v>
      </c>
      <c r="J93" s="177">
        <v>45930.604409722226</v>
      </c>
      <c r="K93" s="177"/>
      <c r="L93" s="177">
        <v>45990.604409722226</v>
      </c>
      <c r="M93" t="s">
        <v>94</v>
      </c>
      <c r="N93" t="s">
        <v>121</v>
      </c>
      <c r="O93" t="s">
        <v>330</v>
      </c>
      <c r="P93" t="s">
        <v>47</v>
      </c>
      <c r="Q93" t="s">
        <v>117</v>
      </c>
      <c r="R93" t="s">
        <v>184</v>
      </c>
      <c r="S93" t="s">
        <v>438</v>
      </c>
    </row>
    <row r="94" spans="1:19" x14ac:dyDescent="0.2">
      <c r="A94" t="s">
        <v>439</v>
      </c>
      <c r="B94">
        <v>2026</v>
      </c>
      <c r="C94" t="s">
        <v>144</v>
      </c>
      <c r="D94" t="s">
        <v>21</v>
      </c>
      <c r="E94" t="s">
        <v>440</v>
      </c>
      <c r="F94" t="s">
        <v>441</v>
      </c>
      <c r="G94" t="s">
        <v>44</v>
      </c>
      <c r="H94" t="s">
        <v>25</v>
      </c>
      <c r="I94" s="177">
        <v>45910.714155092595</v>
      </c>
      <c r="J94" s="177">
        <v>46036.653344907405</v>
      </c>
      <c r="K94" s="177"/>
      <c r="L94" s="177">
        <v>46096.653344907405</v>
      </c>
      <c r="M94" t="s">
        <v>132</v>
      </c>
      <c r="N94" t="s">
        <v>442</v>
      </c>
      <c r="O94" t="s">
        <v>28</v>
      </c>
      <c r="P94" t="s">
        <v>29</v>
      </c>
      <c r="Q94" t="s">
        <v>60</v>
      </c>
      <c r="R94" t="s">
        <v>148</v>
      </c>
      <c r="S94" t="s">
        <v>441</v>
      </c>
    </row>
    <row r="95" spans="1:19" x14ac:dyDescent="0.2">
      <c r="A95" t="s">
        <v>443</v>
      </c>
      <c r="B95">
        <v>2026</v>
      </c>
      <c r="C95" t="s">
        <v>20</v>
      </c>
      <c r="D95" t="s">
        <v>21</v>
      </c>
      <c r="E95" t="s">
        <v>444</v>
      </c>
      <c r="F95" t="s">
        <v>445</v>
      </c>
      <c r="G95" t="s">
        <v>35</v>
      </c>
      <c r="H95" t="s">
        <v>25</v>
      </c>
      <c r="I95" s="177">
        <v>45920.877222222225</v>
      </c>
      <c r="J95" s="177">
        <v>46092.343969907408</v>
      </c>
      <c r="K95" s="177"/>
      <c r="L95" s="177">
        <v>46095.343969907408</v>
      </c>
      <c r="M95" t="s">
        <v>26</v>
      </c>
      <c r="N95" t="s">
        <v>27</v>
      </c>
      <c r="O95" t="s">
        <v>65</v>
      </c>
      <c r="P95" t="s">
        <v>29</v>
      </c>
      <c r="Q95" t="s">
        <v>446</v>
      </c>
      <c r="R95" t="s">
        <v>148</v>
      </c>
      <c r="S95" t="s">
        <v>447</v>
      </c>
    </row>
    <row r="96" spans="1:19" x14ac:dyDescent="0.2">
      <c r="A96" t="s">
        <v>448</v>
      </c>
      <c r="B96">
        <v>2026</v>
      </c>
      <c r="C96" t="s">
        <v>20</v>
      </c>
      <c r="D96" t="s">
        <v>21</v>
      </c>
      <c r="E96" t="s">
        <v>449</v>
      </c>
      <c r="F96" t="s">
        <v>450</v>
      </c>
      <c r="G96" t="s">
        <v>35</v>
      </c>
      <c r="H96" t="s">
        <v>25</v>
      </c>
      <c r="I96" s="177">
        <v>45926.778379629628</v>
      </c>
      <c r="J96" s="177">
        <v>46042.774270833332</v>
      </c>
      <c r="K96" s="177"/>
      <c r="L96" s="177">
        <v>46045.774270833332</v>
      </c>
      <c r="M96" t="s">
        <v>132</v>
      </c>
      <c r="N96" t="s">
        <v>133</v>
      </c>
      <c r="O96" t="s">
        <v>65</v>
      </c>
      <c r="P96" t="s">
        <v>29</v>
      </c>
      <c r="Q96" t="s">
        <v>451</v>
      </c>
      <c r="R96" t="s">
        <v>263</v>
      </c>
      <c r="S96" t="s">
        <v>450</v>
      </c>
    </row>
    <row r="97" spans="1:19" x14ac:dyDescent="0.2">
      <c r="A97" t="s">
        <v>452</v>
      </c>
      <c r="B97">
        <v>2025</v>
      </c>
      <c r="C97" t="s">
        <v>20</v>
      </c>
      <c r="D97" t="s">
        <v>21</v>
      </c>
      <c r="E97" t="s">
        <v>206</v>
      </c>
      <c r="F97" t="s">
        <v>453</v>
      </c>
      <c r="G97" t="s">
        <v>35</v>
      </c>
      <c r="H97" t="s">
        <v>25</v>
      </c>
      <c r="I97" s="177">
        <v>45933.454340277778</v>
      </c>
      <c r="J97" s="177">
        <v>45933.648726851854</v>
      </c>
      <c r="K97" s="177"/>
      <c r="L97" s="177">
        <v>45936.648726851854</v>
      </c>
      <c r="M97" t="s">
        <v>94</v>
      </c>
      <c r="N97" t="s">
        <v>121</v>
      </c>
      <c r="O97" t="s">
        <v>208</v>
      </c>
      <c r="P97" t="s">
        <v>47</v>
      </c>
      <c r="Q97" t="s">
        <v>117</v>
      </c>
      <c r="R97" t="s">
        <v>454</v>
      </c>
      <c r="S97" t="s">
        <v>455</v>
      </c>
    </row>
    <row r="98" spans="1:19" x14ac:dyDescent="0.2">
      <c r="A98" t="s">
        <v>456</v>
      </c>
      <c r="B98">
        <v>2026</v>
      </c>
      <c r="C98" t="s">
        <v>20</v>
      </c>
      <c r="D98" t="s">
        <v>21</v>
      </c>
      <c r="E98" t="s">
        <v>457</v>
      </c>
      <c r="F98" t="s">
        <v>458</v>
      </c>
      <c r="G98" t="s">
        <v>35</v>
      </c>
      <c r="H98" t="s">
        <v>25</v>
      </c>
      <c r="I98" s="177">
        <v>45938.728171296294</v>
      </c>
      <c r="J98" s="177">
        <v>46136.605312500003</v>
      </c>
      <c r="K98" s="177"/>
      <c r="L98" s="177">
        <v>46139.605312500003</v>
      </c>
      <c r="M98" t="s">
        <v>45</v>
      </c>
      <c r="N98" t="s">
        <v>46</v>
      </c>
      <c r="O98" t="s">
        <v>65</v>
      </c>
      <c r="P98" t="s">
        <v>29</v>
      </c>
      <c r="Q98" t="s">
        <v>459</v>
      </c>
      <c r="R98" t="s">
        <v>31</v>
      </c>
      <c r="S98" t="s">
        <v>460</v>
      </c>
    </row>
    <row r="99" spans="1:19" x14ac:dyDescent="0.2">
      <c r="A99" t="s">
        <v>461</v>
      </c>
      <c r="B99">
        <v>2026</v>
      </c>
      <c r="C99" t="s">
        <v>20</v>
      </c>
      <c r="D99" t="s">
        <v>21</v>
      </c>
      <c r="E99" t="s">
        <v>462</v>
      </c>
      <c r="F99" t="s">
        <v>463</v>
      </c>
      <c r="G99" t="s">
        <v>35</v>
      </c>
      <c r="H99" t="s">
        <v>25</v>
      </c>
      <c r="I99" s="177">
        <v>45939.420717592591</v>
      </c>
      <c r="J99" s="177">
        <v>46136.36990740741</v>
      </c>
      <c r="K99" s="177"/>
      <c r="L99" s="177">
        <v>46139.36990740741</v>
      </c>
      <c r="M99" t="s">
        <v>45</v>
      </c>
      <c r="N99" t="s">
        <v>46</v>
      </c>
      <c r="O99" t="s">
        <v>464</v>
      </c>
      <c r="P99" t="s">
        <v>47</v>
      </c>
      <c r="Q99" t="s">
        <v>70</v>
      </c>
      <c r="R99" t="s">
        <v>31</v>
      </c>
      <c r="S99" t="s">
        <v>465</v>
      </c>
    </row>
    <row r="100" spans="1:19" x14ac:dyDescent="0.2">
      <c r="A100" t="s">
        <v>466</v>
      </c>
      <c r="B100">
        <v>2026</v>
      </c>
      <c r="C100" t="s">
        <v>20</v>
      </c>
      <c r="D100" t="s">
        <v>21</v>
      </c>
      <c r="E100" t="s">
        <v>467</v>
      </c>
      <c r="F100" t="s">
        <v>468</v>
      </c>
      <c r="G100" t="s">
        <v>35</v>
      </c>
      <c r="H100" t="s">
        <v>25</v>
      </c>
      <c r="I100" s="177">
        <v>45940.307534722226</v>
      </c>
      <c r="J100" s="177">
        <v>46136.605567129627</v>
      </c>
      <c r="K100" s="177"/>
      <c r="L100" s="177">
        <v>46139.605567129627</v>
      </c>
      <c r="M100" t="s">
        <v>45</v>
      </c>
      <c r="N100" t="s">
        <v>46</v>
      </c>
      <c r="O100" t="s">
        <v>65</v>
      </c>
      <c r="P100" t="s">
        <v>29</v>
      </c>
      <c r="Q100" t="s">
        <v>459</v>
      </c>
      <c r="R100" t="s">
        <v>31</v>
      </c>
      <c r="S100" t="s">
        <v>469</v>
      </c>
    </row>
    <row r="101" spans="1:19" x14ac:dyDescent="0.2">
      <c r="A101" t="s">
        <v>470</v>
      </c>
      <c r="B101">
        <v>2026</v>
      </c>
      <c r="C101" t="s">
        <v>211</v>
      </c>
      <c r="D101" t="s">
        <v>21</v>
      </c>
      <c r="E101" t="s">
        <v>56</v>
      </c>
      <c r="F101" t="s">
        <v>471</v>
      </c>
      <c r="G101" t="s">
        <v>44</v>
      </c>
      <c r="H101" t="s">
        <v>25</v>
      </c>
      <c r="I101" s="177">
        <v>45957.466782407406</v>
      </c>
      <c r="J101" s="177">
        <v>46037.562685185185</v>
      </c>
      <c r="K101" s="177"/>
      <c r="L101" s="177">
        <v>46097.562685185185</v>
      </c>
      <c r="M101" t="s">
        <v>132</v>
      </c>
      <c r="N101" t="s">
        <v>133</v>
      </c>
      <c r="O101" t="s">
        <v>28</v>
      </c>
      <c r="P101" t="s">
        <v>29</v>
      </c>
      <c r="Q101" t="s">
        <v>60</v>
      </c>
      <c r="R101" t="s">
        <v>148</v>
      </c>
      <c r="S101" t="s">
        <v>471</v>
      </c>
    </row>
    <row r="102" spans="1:19" x14ac:dyDescent="0.2">
      <c r="A102" t="s">
        <v>472</v>
      </c>
      <c r="B102">
        <v>2025</v>
      </c>
      <c r="C102" t="s">
        <v>211</v>
      </c>
      <c r="D102" t="s">
        <v>21</v>
      </c>
      <c r="E102" t="s">
        <v>473</v>
      </c>
      <c r="F102" t="s">
        <v>474</v>
      </c>
      <c r="G102" t="s">
        <v>24</v>
      </c>
      <c r="H102" t="s">
        <v>25</v>
      </c>
      <c r="I102" s="177">
        <v>45965.416678240741</v>
      </c>
      <c r="J102" s="177">
        <v>45965.420347222222</v>
      </c>
      <c r="K102" s="177"/>
      <c r="L102" s="177">
        <v>46365.420347222222</v>
      </c>
      <c r="M102" t="s">
        <v>94</v>
      </c>
      <c r="N102" t="s">
        <v>121</v>
      </c>
      <c r="O102" t="s">
        <v>475</v>
      </c>
      <c r="P102" t="s">
        <v>47</v>
      </c>
      <c r="Q102" t="s">
        <v>183</v>
      </c>
      <c r="R102" t="s">
        <v>40</v>
      </c>
      <c r="S102" t="s">
        <v>476</v>
      </c>
    </row>
    <row r="103" spans="1:19" x14ac:dyDescent="0.2">
      <c r="A103" t="s">
        <v>477</v>
      </c>
      <c r="B103">
        <v>2025</v>
      </c>
      <c r="C103" t="s">
        <v>112</v>
      </c>
      <c r="D103" t="s">
        <v>21</v>
      </c>
      <c r="E103" t="s">
        <v>449</v>
      </c>
      <c r="F103" t="s">
        <v>478</v>
      </c>
      <c r="G103" t="s">
        <v>44</v>
      </c>
      <c r="H103" t="s">
        <v>25</v>
      </c>
      <c r="I103" s="177">
        <v>45975.444120370368</v>
      </c>
      <c r="J103" s="177">
        <v>45979.43577546296</v>
      </c>
      <c r="K103" s="177"/>
      <c r="L103" s="177">
        <v>46039.43577546296</v>
      </c>
      <c r="M103" t="s">
        <v>479</v>
      </c>
      <c r="N103" t="s">
        <v>480</v>
      </c>
      <c r="O103" t="s">
        <v>65</v>
      </c>
      <c r="P103" t="s">
        <v>29</v>
      </c>
      <c r="Q103" t="s">
        <v>451</v>
      </c>
      <c r="R103" t="s">
        <v>135</v>
      </c>
      <c r="S103" t="s">
        <v>478</v>
      </c>
    </row>
    <row r="104" spans="1:19" x14ac:dyDescent="0.2">
      <c r="A104" t="s">
        <v>481</v>
      </c>
      <c r="B104">
        <v>2026</v>
      </c>
      <c r="C104" t="s">
        <v>20</v>
      </c>
      <c r="D104" t="s">
        <v>21</v>
      </c>
      <c r="E104" t="s">
        <v>482</v>
      </c>
      <c r="F104" t="s">
        <v>483</v>
      </c>
      <c r="G104" t="s">
        <v>24</v>
      </c>
      <c r="H104" t="s">
        <v>25</v>
      </c>
      <c r="I104" s="177">
        <v>45979.44321759259</v>
      </c>
      <c r="J104" s="177">
        <v>46042.767569444448</v>
      </c>
      <c r="K104" s="177"/>
      <c r="L104" s="177">
        <v>46442.767569444448</v>
      </c>
      <c r="M104" t="s">
        <v>132</v>
      </c>
      <c r="N104" t="s">
        <v>133</v>
      </c>
      <c r="O104" t="s">
        <v>330</v>
      </c>
      <c r="P104" t="s">
        <v>47</v>
      </c>
      <c r="Q104" t="s">
        <v>451</v>
      </c>
      <c r="R104" t="s">
        <v>263</v>
      </c>
      <c r="S104" t="s">
        <v>483</v>
      </c>
    </row>
    <row r="105" spans="1:19" x14ac:dyDescent="0.2">
      <c r="A105" t="s">
        <v>484</v>
      </c>
      <c r="B105">
        <v>2026</v>
      </c>
      <c r="C105" t="s">
        <v>20</v>
      </c>
      <c r="D105" t="s">
        <v>21</v>
      </c>
      <c r="E105" t="s">
        <v>485</v>
      </c>
      <c r="F105" t="s">
        <v>486</v>
      </c>
      <c r="G105" t="s">
        <v>35</v>
      </c>
      <c r="H105" t="s">
        <v>25</v>
      </c>
      <c r="I105" s="177">
        <v>45984.908599537041</v>
      </c>
      <c r="J105" s="177">
        <v>46066.373784722222</v>
      </c>
      <c r="K105" s="177"/>
      <c r="L105" s="177">
        <v>46069.373784722222</v>
      </c>
      <c r="M105" t="s">
        <v>45</v>
      </c>
      <c r="N105" t="s">
        <v>46</v>
      </c>
      <c r="O105" t="s">
        <v>487</v>
      </c>
      <c r="P105" t="s">
        <v>47</v>
      </c>
      <c r="Q105" t="s">
        <v>117</v>
      </c>
      <c r="R105" t="s">
        <v>31</v>
      </c>
      <c r="S105" t="s">
        <v>488</v>
      </c>
    </row>
    <row r="106" spans="1:19" x14ac:dyDescent="0.2">
      <c r="A106" t="s">
        <v>489</v>
      </c>
      <c r="B106">
        <v>2025</v>
      </c>
      <c r="C106" t="s">
        <v>211</v>
      </c>
      <c r="D106" t="s">
        <v>21</v>
      </c>
      <c r="E106" t="s">
        <v>490</v>
      </c>
      <c r="F106" t="s">
        <v>491</v>
      </c>
      <c r="G106" t="s">
        <v>24</v>
      </c>
      <c r="H106" t="s">
        <v>25</v>
      </c>
      <c r="I106" s="177">
        <v>45992.675532407404</v>
      </c>
      <c r="J106" s="177">
        <v>45992.675532407404</v>
      </c>
      <c r="K106" s="177"/>
      <c r="L106" s="177">
        <v>46392.675532407404</v>
      </c>
      <c r="M106" t="s">
        <v>36</v>
      </c>
      <c r="N106" t="s">
        <v>108</v>
      </c>
      <c r="O106" t="s">
        <v>346</v>
      </c>
      <c r="P106" t="s">
        <v>47</v>
      </c>
      <c r="Q106" t="s">
        <v>259</v>
      </c>
      <c r="R106" t="s">
        <v>31</v>
      </c>
      <c r="S106" t="s">
        <v>491</v>
      </c>
    </row>
    <row r="107" spans="1:19" x14ac:dyDescent="0.2">
      <c r="A107" t="s">
        <v>492</v>
      </c>
      <c r="B107">
        <v>2025</v>
      </c>
      <c r="C107" t="s">
        <v>493</v>
      </c>
      <c r="D107" t="s">
        <v>21</v>
      </c>
      <c r="E107" t="s">
        <v>494</v>
      </c>
      <c r="F107" t="s">
        <v>495</v>
      </c>
      <c r="G107" t="s">
        <v>24</v>
      </c>
      <c r="H107" t="s">
        <v>25</v>
      </c>
      <c r="I107" s="177">
        <v>45996.663460648146</v>
      </c>
      <c r="J107" s="177">
        <v>45996.663460648146</v>
      </c>
      <c r="K107" s="177"/>
      <c r="L107" s="177">
        <v>46396.663460648146</v>
      </c>
      <c r="M107" t="s">
        <v>94</v>
      </c>
      <c r="N107" t="s">
        <v>95</v>
      </c>
      <c r="O107" t="s">
        <v>214</v>
      </c>
      <c r="P107" t="s">
        <v>47</v>
      </c>
      <c r="Q107" t="s">
        <v>259</v>
      </c>
      <c r="R107" t="s">
        <v>31</v>
      </c>
      <c r="S107" t="s">
        <v>496</v>
      </c>
    </row>
    <row r="108" spans="1:19" x14ac:dyDescent="0.2">
      <c r="A108" t="s">
        <v>497</v>
      </c>
      <c r="B108">
        <v>2025</v>
      </c>
      <c r="C108" t="s">
        <v>20</v>
      </c>
      <c r="D108" t="s">
        <v>21</v>
      </c>
      <c r="E108" t="s">
        <v>249</v>
      </c>
      <c r="F108" t="s">
        <v>498</v>
      </c>
      <c r="G108" t="s">
        <v>35</v>
      </c>
      <c r="H108" t="s">
        <v>25</v>
      </c>
      <c r="I108" s="177">
        <v>45998.72011574074</v>
      </c>
      <c r="J108" s="177">
        <v>45999.585173611114</v>
      </c>
      <c r="K108" s="177"/>
      <c r="L108" s="177">
        <v>46002.585173611114</v>
      </c>
      <c r="M108" t="s">
        <v>132</v>
      </c>
      <c r="N108" t="s">
        <v>133</v>
      </c>
      <c r="O108" t="s">
        <v>499</v>
      </c>
      <c r="P108" t="s">
        <v>29</v>
      </c>
      <c r="Q108" t="s">
        <v>60</v>
      </c>
      <c r="R108" t="s">
        <v>148</v>
      </c>
      <c r="S108" t="s">
        <v>500</v>
      </c>
    </row>
    <row r="109" spans="1:19" x14ac:dyDescent="0.2">
      <c r="A109" t="s">
        <v>501</v>
      </c>
      <c r="B109">
        <v>2025</v>
      </c>
      <c r="C109" t="s">
        <v>493</v>
      </c>
      <c r="D109" t="s">
        <v>21</v>
      </c>
      <c r="E109" t="s">
        <v>502</v>
      </c>
      <c r="F109" t="s">
        <v>503</v>
      </c>
      <c r="G109" t="s">
        <v>24</v>
      </c>
      <c r="H109" t="s">
        <v>25</v>
      </c>
      <c r="I109" s="177">
        <v>45999.427245370367</v>
      </c>
      <c r="J109" s="177">
        <v>45999.427245370367</v>
      </c>
      <c r="K109" s="177"/>
      <c r="L109" s="177">
        <v>46399.427245370367</v>
      </c>
      <c r="M109" t="s">
        <v>36</v>
      </c>
      <c r="N109" t="s">
        <v>384</v>
      </c>
      <c r="O109" t="s">
        <v>504</v>
      </c>
      <c r="P109" t="s">
        <v>47</v>
      </c>
      <c r="Q109" t="s">
        <v>259</v>
      </c>
      <c r="R109" t="s">
        <v>31</v>
      </c>
      <c r="S109" t="s">
        <v>503</v>
      </c>
    </row>
    <row r="110" spans="1:19" x14ac:dyDescent="0.2">
      <c r="A110" t="s">
        <v>505</v>
      </c>
      <c r="B110">
        <v>2025</v>
      </c>
      <c r="C110" t="s">
        <v>493</v>
      </c>
      <c r="D110" t="s">
        <v>21</v>
      </c>
      <c r="E110" t="s">
        <v>506</v>
      </c>
      <c r="F110" t="s">
        <v>507</v>
      </c>
      <c r="G110" t="s">
        <v>24</v>
      </c>
      <c r="H110" t="s">
        <v>25</v>
      </c>
      <c r="I110" s="177">
        <v>45999.455821759257</v>
      </c>
      <c r="J110" s="177">
        <v>45999.467835648145</v>
      </c>
      <c r="K110" s="177"/>
      <c r="L110" s="177">
        <v>46399.467835648145</v>
      </c>
      <c r="M110" t="s">
        <v>94</v>
      </c>
      <c r="N110" t="s">
        <v>95</v>
      </c>
      <c r="O110" t="s">
        <v>307</v>
      </c>
      <c r="P110" t="s">
        <v>47</v>
      </c>
      <c r="Q110" t="s">
        <v>196</v>
      </c>
      <c r="R110" t="s">
        <v>31</v>
      </c>
      <c r="S110" t="s">
        <v>508</v>
      </c>
    </row>
    <row r="111" spans="1:19" x14ac:dyDescent="0.2">
      <c r="A111" t="s">
        <v>509</v>
      </c>
      <c r="B111">
        <v>2026</v>
      </c>
      <c r="C111" t="s">
        <v>20</v>
      </c>
      <c r="D111" t="s">
        <v>21</v>
      </c>
      <c r="E111" t="s">
        <v>291</v>
      </c>
      <c r="F111" t="s">
        <v>510</v>
      </c>
      <c r="G111" t="s">
        <v>35</v>
      </c>
      <c r="H111" t="s">
        <v>25</v>
      </c>
      <c r="I111" s="177">
        <v>46008.244733796295</v>
      </c>
      <c r="J111" s="177">
        <v>46112.401701388888</v>
      </c>
      <c r="K111" s="177"/>
      <c r="L111" s="177">
        <v>46115.401701388888</v>
      </c>
      <c r="M111" t="s">
        <v>45</v>
      </c>
      <c r="N111" t="s">
        <v>46</v>
      </c>
      <c r="O111" t="s">
        <v>511</v>
      </c>
      <c r="P111" t="s">
        <v>47</v>
      </c>
      <c r="Q111" t="s">
        <v>117</v>
      </c>
      <c r="R111" t="s">
        <v>31</v>
      </c>
      <c r="S111" t="s">
        <v>512</v>
      </c>
    </row>
    <row r="112" spans="1:19" x14ac:dyDescent="0.2">
      <c r="A112" t="s">
        <v>513</v>
      </c>
      <c r="B112">
        <v>2025</v>
      </c>
      <c r="C112" t="s">
        <v>493</v>
      </c>
      <c r="D112" t="s">
        <v>21</v>
      </c>
      <c r="E112" t="s">
        <v>514</v>
      </c>
      <c r="F112" t="s">
        <v>515</v>
      </c>
      <c r="G112" t="s">
        <v>24</v>
      </c>
      <c r="H112" t="s">
        <v>25</v>
      </c>
      <c r="I112" s="177">
        <v>46009.565671296295</v>
      </c>
      <c r="J112" s="177">
        <v>46009.565671296295</v>
      </c>
      <c r="K112" s="177"/>
      <c r="L112" s="177">
        <v>46409.565671296295</v>
      </c>
      <c r="M112" t="s">
        <v>36</v>
      </c>
      <c r="N112" t="s">
        <v>108</v>
      </c>
      <c r="O112" t="s">
        <v>516</v>
      </c>
      <c r="P112" t="s">
        <v>47</v>
      </c>
      <c r="Q112" t="s">
        <v>259</v>
      </c>
      <c r="R112" t="s">
        <v>31</v>
      </c>
      <c r="S112" t="s">
        <v>515</v>
      </c>
    </row>
    <row r="113" spans="1:19" x14ac:dyDescent="0.2">
      <c r="A113" t="s">
        <v>517</v>
      </c>
      <c r="B113">
        <v>2026</v>
      </c>
      <c r="C113" t="s">
        <v>20</v>
      </c>
      <c r="D113" t="s">
        <v>21</v>
      </c>
      <c r="E113" t="s">
        <v>518</v>
      </c>
      <c r="F113" t="s">
        <v>519</v>
      </c>
      <c r="G113" t="s">
        <v>35</v>
      </c>
      <c r="H113" t="s">
        <v>25</v>
      </c>
      <c r="I113" s="177">
        <v>46028.393217592595</v>
      </c>
      <c r="J113" s="177">
        <v>46028.406597222223</v>
      </c>
      <c r="K113" s="177"/>
      <c r="L113" s="177">
        <v>46031.406597222223</v>
      </c>
      <c r="M113" t="s">
        <v>26</v>
      </c>
      <c r="N113" t="s">
        <v>27</v>
      </c>
      <c r="O113" t="s">
        <v>464</v>
      </c>
      <c r="P113" t="s">
        <v>29</v>
      </c>
      <c r="Q113" t="s">
        <v>259</v>
      </c>
      <c r="R113" t="s">
        <v>31</v>
      </c>
      <c r="S113" t="s">
        <v>520</v>
      </c>
    </row>
    <row r="114" spans="1:19" x14ac:dyDescent="0.2">
      <c r="A114" t="s">
        <v>521</v>
      </c>
      <c r="B114">
        <v>2026</v>
      </c>
      <c r="C114" t="s">
        <v>20</v>
      </c>
      <c r="D114" t="s">
        <v>21</v>
      </c>
      <c r="E114" t="s">
        <v>150</v>
      </c>
      <c r="F114" t="s">
        <v>522</v>
      </c>
      <c r="G114" t="s">
        <v>35</v>
      </c>
      <c r="H114" t="s">
        <v>25</v>
      </c>
      <c r="I114" s="177">
        <v>46031.381874999999</v>
      </c>
      <c r="J114" s="177">
        <v>46057.369456018518</v>
      </c>
      <c r="K114" s="177"/>
      <c r="L114" s="177">
        <v>46060.369456018518</v>
      </c>
      <c r="M114" t="s">
        <v>36</v>
      </c>
      <c r="N114" t="s">
        <v>108</v>
      </c>
      <c r="O114" t="s">
        <v>523</v>
      </c>
      <c r="P114" t="s">
        <v>47</v>
      </c>
      <c r="Q114" t="s">
        <v>117</v>
      </c>
      <c r="R114" t="s">
        <v>31</v>
      </c>
      <c r="S114" t="s">
        <v>522</v>
      </c>
    </row>
    <row r="115" spans="1:19" x14ac:dyDescent="0.2">
      <c r="A115" t="s">
        <v>524</v>
      </c>
      <c r="B115">
        <v>2026</v>
      </c>
      <c r="C115" t="s">
        <v>20</v>
      </c>
      <c r="D115" t="s">
        <v>21</v>
      </c>
      <c r="E115" t="s">
        <v>525</v>
      </c>
      <c r="F115" t="s">
        <v>526</v>
      </c>
      <c r="G115" t="s">
        <v>35</v>
      </c>
      <c r="H115" t="s">
        <v>25</v>
      </c>
      <c r="I115" s="177">
        <v>46035.947372685187</v>
      </c>
      <c r="J115" s="177">
        <v>46038.606793981482</v>
      </c>
      <c r="K115" s="177"/>
      <c r="L115" s="177">
        <v>46041.606793981482</v>
      </c>
      <c r="M115" t="s">
        <v>132</v>
      </c>
      <c r="N115" t="s">
        <v>133</v>
      </c>
      <c r="O115" t="s">
        <v>65</v>
      </c>
      <c r="P115" t="s">
        <v>29</v>
      </c>
      <c r="Q115" t="s">
        <v>451</v>
      </c>
      <c r="R115" t="s">
        <v>420</v>
      </c>
      <c r="S115" t="s">
        <v>527</v>
      </c>
    </row>
    <row r="116" spans="1:19" x14ac:dyDescent="0.2">
      <c r="A116" t="s">
        <v>528</v>
      </c>
      <c r="B116">
        <v>2026</v>
      </c>
      <c r="C116" t="s">
        <v>211</v>
      </c>
      <c r="D116" t="s">
        <v>21</v>
      </c>
      <c r="E116" t="s">
        <v>430</v>
      </c>
      <c r="F116" t="s">
        <v>529</v>
      </c>
      <c r="G116" t="s">
        <v>35</v>
      </c>
      <c r="H116" t="s">
        <v>25</v>
      </c>
      <c r="I116" s="177">
        <v>46038.392129629632</v>
      </c>
      <c r="J116" s="177">
        <v>46077.392129629632</v>
      </c>
      <c r="K116" s="177"/>
      <c r="L116" s="177">
        <v>46080.392129629632</v>
      </c>
      <c r="M116" t="s">
        <v>36</v>
      </c>
      <c r="N116" t="s">
        <v>321</v>
      </c>
      <c r="O116" t="s">
        <v>330</v>
      </c>
      <c r="P116" t="s">
        <v>47</v>
      </c>
      <c r="Q116" t="s">
        <v>259</v>
      </c>
      <c r="R116" t="s">
        <v>31</v>
      </c>
      <c r="S116" t="s">
        <v>529</v>
      </c>
    </row>
    <row r="117" spans="1:19" x14ac:dyDescent="0.2">
      <c r="A117" t="s">
        <v>530</v>
      </c>
      <c r="B117">
        <v>2026</v>
      </c>
      <c r="C117" t="s">
        <v>112</v>
      </c>
      <c r="D117" t="s">
        <v>21</v>
      </c>
      <c r="E117" t="s">
        <v>63</v>
      </c>
      <c r="F117" t="s">
        <v>531</v>
      </c>
      <c r="G117" t="s">
        <v>131</v>
      </c>
      <c r="H117" t="s">
        <v>25</v>
      </c>
      <c r="I117" s="177">
        <v>46038.672546296293</v>
      </c>
      <c r="J117" s="177">
        <v>46038.704907407409</v>
      </c>
      <c r="K117" s="177"/>
      <c r="L117" s="177">
        <v>46045.704907407409</v>
      </c>
      <c r="M117" t="s">
        <v>132</v>
      </c>
      <c r="N117" t="s">
        <v>133</v>
      </c>
      <c r="O117" t="s">
        <v>65</v>
      </c>
      <c r="P117" t="s">
        <v>29</v>
      </c>
      <c r="Q117" t="s">
        <v>451</v>
      </c>
      <c r="R117" t="s">
        <v>263</v>
      </c>
      <c r="S117" t="s">
        <v>531</v>
      </c>
    </row>
    <row r="118" spans="1:19" x14ac:dyDescent="0.2">
      <c r="A118" t="s">
        <v>532</v>
      </c>
      <c r="B118">
        <v>2026</v>
      </c>
      <c r="C118" t="s">
        <v>20</v>
      </c>
      <c r="D118" t="s">
        <v>21</v>
      </c>
      <c r="E118" t="s">
        <v>63</v>
      </c>
      <c r="F118" t="s">
        <v>533</v>
      </c>
      <c r="G118" t="s">
        <v>35</v>
      </c>
      <c r="H118" t="s">
        <v>25</v>
      </c>
      <c r="I118" s="177">
        <v>46041.880254629628</v>
      </c>
      <c r="J118" s="177">
        <v>46042.346296296295</v>
      </c>
      <c r="K118" s="177"/>
      <c r="L118" s="177">
        <v>46045.346296296295</v>
      </c>
      <c r="M118" t="s">
        <v>167</v>
      </c>
      <c r="N118" t="s">
        <v>168</v>
      </c>
      <c r="O118" t="s">
        <v>65</v>
      </c>
      <c r="P118" t="s">
        <v>29</v>
      </c>
      <c r="Q118" t="s">
        <v>451</v>
      </c>
      <c r="R118" t="s">
        <v>148</v>
      </c>
      <c r="S118" t="s">
        <v>534</v>
      </c>
    </row>
    <row r="119" spans="1:19" x14ac:dyDescent="0.2">
      <c r="A119" t="s">
        <v>535</v>
      </c>
      <c r="B119">
        <v>2026</v>
      </c>
      <c r="C119" t="s">
        <v>493</v>
      </c>
      <c r="D119" t="s">
        <v>21</v>
      </c>
      <c r="E119" t="s">
        <v>305</v>
      </c>
      <c r="F119" t="s">
        <v>536</v>
      </c>
      <c r="G119" t="s">
        <v>24</v>
      </c>
      <c r="H119" t="s">
        <v>25</v>
      </c>
      <c r="I119" s="177">
        <v>46044.462106481478</v>
      </c>
      <c r="J119" s="177">
        <v>46044.462106481478</v>
      </c>
      <c r="K119" s="177"/>
      <c r="L119" s="177">
        <v>46444.462106481478</v>
      </c>
      <c r="M119" t="s">
        <v>36</v>
      </c>
      <c r="N119" t="s">
        <v>108</v>
      </c>
      <c r="O119" t="s">
        <v>355</v>
      </c>
      <c r="P119" t="s">
        <v>47</v>
      </c>
      <c r="Q119" t="s">
        <v>259</v>
      </c>
      <c r="R119" t="s">
        <v>31</v>
      </c>
      <c r="S119" t="s">
        <v>536</v>
      </c>
    </row>
    <row r="120" spans="1:19" x14ac:dyDescent="0.2">
      <c r="A120" t="s">
        <v>537</v>
      </c>
      <c r="B120">
        <v>2026</v>
      </c>
      <c r="C120" t="s">
        <v>211</v>
      </c>
      <c r="D120" t="s">
        <v>21</v>
      </c>
      <c r="E120" t="s">
        <v>328</v>
      </c>
      <c r="F120" t="s">
        <v>538</v>
      </c>
      <c r="G120" t="s">
        <v>44</v>
      </c>
      <c r="H120" t="s">
        <v>25</v>
      </c>
      <c r="I120" s="177">
        <v>46044.477881944447</v>
      </c>
      <c r="J120" s="177">
        <v>46077.477881944447</v>
      </c>
      <c r="K120" s="177"/>
      <c r="L120" s="177">
        <v>46137.477881944447</v>
      </c>
      <c r="M120" t="s">
        <v>36</v>
      </c>
      <c r="N120" t="s">
        <v>108</v>
      </c>
      <c r="O120" t="s">
        <v>539</v>
      </c>
      <c r="P120" t="s">
        <v>47</v>
      </c>
      <c r="Q120" t="s">
        <v>259</v>
      </c>
      <c r="R120" t="s">
        <v>31</v>
      </c>
      <c r="S120" t="s">
        <v>538</v>
      </c>
    </row>
    <row r="121" spans="1:19" x14ac:dyDescent="0.2">
      <c r="A121" t="s">
        <v>540</v>
      </c>
      <c r="B121">
        <v>2026</v>
      </c>
      <c r="C121" t="s">
        <v>91</v>
      </c>
      <c r="D121" t="s">
        <v>21</v>
      </c>
      <c r="E121" t="s">
        <v>282</v>
      </c>
      <c r="F121" t="s">
        <v>541</v>
      </c>
      <c r="G121" t="s">
        <v>44</v>
      </c>
      <c r="H121" t="s">
        <v>25</v>
      </c>
      <c r="I121" s="177">
        <v>46045.39230324074</v>
      </c>
      <c r="J121" s="177">
        <v>46128.59337962963</v>
      </c>
      <c r="K121" s="177"/>
      <c r="L121" s="177">
        <v>46188.59337962963</v>
      </c>
      <c r="M121" t="s">
        <v>45</v>
      </c>
      <c r="N121" t="s">
        <v>46</v>
      </c>
      <c r="O121" t="s">
        <v>284</v>
      </c>
      <c r="P121" t="s">
        <v>47</v>
      </c>
      <c r="Q121" t="s">
        <v>259</v>
      </c>
      <c r="R121" t="s">
        <v>31</v>
      </c>
      <c r="S121" t="s">
        <v>542</v>
      </c>
    </row>
    <row r="122" spans="1:19" x14ac:dyDescent="0.2">
      <c r="A122" t="s">
        <v>543</v>
      </c>
      <c r="B122">
        <v>2026</v>
      </c>
      <c r="C122" t="s">
        <v>493</v>
      </c>
      <c r="D122" t="s">
        <v>21</v>
      </c>
      <c r="E122" t="s">
        <v>494</v>
      </c>
      <c r="F122" t="s">
        <v>544</v>
      </c>
      <c r="G122" t="s">
        <v>35</v>
      </c>
      <c r="H122" t="s">
        <v>25</v>
      </c>
      <c r="I122" s="177">
        <v>46049.689664351848</v>
      </c>
      <c r="J122" s="177">
        <v>46049.689664351848</v>
      </c>
      <c r="K122" s="177"/>
      <c r="L122" s="177">
        <v>46052.689664351848</v>
      </c>
      <c r="M122" t="s">
        <v>36</v>
      </c>
      <c r="N122" t="s">
        <v>108</v>
      </c>
      <c r="O122" t="s">
        <v>214</v>
      </c>
      <c r="P122" t="s">
        <v>47</v>
      </c>
      <c r="Q122" t="s">
        <v>259</v>
      </c>
      <c r="R122" t="s">
        <v>31</v>
      </c>
      <c r="S122" t="s">
        <v>544</v>
      </c>
    </row>
    <row r="123" spans="1:19" x14ac:dyDescent="0.2">
      <c r="A123" t="s">
        <v>545</v>
      </c>
      <c r="B123">
        <v>2026</v>
      </c>
      <c r="C123" t="s">
        <v>211</v>
      </c>
      <c r="D123" t="s">
        <v>21</v>
      </c>
      <c r="E123" t="s">
        <v>546</v>
      </c>
      <c r="F123" t="s">
        <v>547</v>
      </c>
      <c r="G123" t="s">
        <v>35</v>
      </c>
      <c r="H123" t="s">
        <v>25</v>
      </c>
      <c r="I123" s="177">
        <v>46050.48709490741</v>
      </c>
      <c r="J123" s="177">
        <v>46077.48709490741</v>
      </c>
      <c r="K123" s="177"/>
      <c r="L123" s="177">
        <v>46080.48709490741</v>
      </c>
      <c r="M123" t="s">
        <v>36</v>
      </c>
      <c r="N123" t="s">
        <v>115</v>
      </c>
      <c r="O123" t="s">
        <v>65</v>
      </c>
      <c r="P123" t="s">
        <v>29</v>
      </c>
      <c r="Q123" t="s">
        <v>259</v>
      </c>
      <c r="R123" t="s">
        <v>31</v>
      </c>
      <c r="S123" t="s">
        <v>547</v>
      </c>
    </row>
    <row r="124" spans="1:19" x14ac:dyDescent="0.2">
      <c r="A124" t="s">
        <v>548</v>
      </c>
      <c r="B124">
        <v>2026</v>
      </c>
      <c r="C124" t="s">
        <v>91</v>
      </c>
      <c r="D124" t="s">
        <v>21</v>
      </c>
      <c r="E124" t="s">
        <v>549</v>
      </c>
      <c r="F124" t="s">
        <v>550</v>
      </c>
      <c r="G124" t="s">
        <v>44</v>
      </c>
      <c r="H124" t="s">
        <v>25</v>
      </c>
      <c r="I124" s="177">
        <v>46052.333229166667</v>
      </c>
      <c r="J124" s="177">
        <v>46099.670439814814</v>
      </c>
      <c r="K124" s="177"/>
      <c r="L124" s="177">
        <v>46159.670439814814</v>
      </c>
      <c r="M124" t="s">
        <v>45</v>
      </c>
      <c r="N124" t="s">
        <v>46</v>
      </c>
      <c r="O124" t="s">
        <v>551</v>
      </c>
      <c r="P124" t="s">
        <v>29</v>
      </c>
      <c r="Q124" t="s">
        <v>117</v>
      </c>
      <c r="R124" t="s">
        <v>184</v>
      </c>
      <c r="S124" t="s">
        <v>552</v>
      </c>
    </row>
    <row r="125" spans="1:19" x14ac:dyDescent="0.2">
      <c r="A125" t="s">
        <v>553</v>
      </c>
      <c r="B125">
        <v>2026</v>
      </c>
      <c r="C125" t="s">
        <v>20</v>
      </c>
      <c r="D125" t="s">
        <v>21</v>
      </c>
      <c r="E125" t="s">
        <v>554</v>
      </c>
      <c r="F125" t="s">
        <v>555</v>
      </c>
      <c r="G125" t="s">
        <v>35</v>
      </c>
      <c r="H125" t="s">
        <v>25</v>
      </c>
      <c r="I125" s="177">
        <v>46062.991481481484</v>
      </c>
      <c r="J125" s="177">
        <v>46111.432384259257</v>
      </c>
      <c r="K125" s="177"/>
      <c r="L125" s="177">
        <v>46114.432384259257</v>
      </c>
      <c r="M125" t="s">
        <v>45</v>
      </c>
      <c r="N125" t="s">
        <v>46</v>
      </c>
      <c r="O125" t="s">
        <v>556</v>
      </c>
      <c r="P125" t="s">
        <v>29</v>
      </c>
      <c r="Q125" t="s">
        <v>557</v>
      </c>
      <c r="R125" t="s">
        <v>31</v>
      </c>
      <c r="S125" t="s">
        <v>558</v>
      </c>
    </row>
    <row r="126" spans="1:19" x14ac:dyDescent="0.2">
      <c r="A126" t="s">
        <v>559</v>
      </c>
      <c r="B126">
        <v>2026</v>
      </c>
      <c r="D126" t="s">
        <v>21</v>
      </c>
      <c r="E126" t="s">
        <v>440</v>
      </c>
      <c r="F126" t="s">
        <v>560</v>
      </c>
      <c r="G126" t="s">
        <v>131</v>
      </c>
      <c r="H126" t="s">
        <v>25</v>
      </c>
      <c r="I126" s="177">
        <v>46063.369456018518</v>
      </c>
      <c r="J126" s="177">
        <v>46063.427407407406</v>
      </c>
      <c r="K126" s="177"/>
      <c r="L126" s="177">
        <v>46070.427407407406</v>
      </c>
      <c r="M126" t="s">
        <v>167</v>
      </c>
      <c r="N126" t="s">
        <v>168</v>
      </c>
      <c r="O126" t="s">
        <v>28</v>
      </c>
      <c r="P126" t="s">
        <v>29</v>
      </c>
      <c r="Q126" t="s">
        <v>60</v>
      </c>
      <c r="R126" t="s">
        <v>561</v>
      </c>
      <c r="S126" t="s">
        <v>562</v>
      </c>
    </row>
    <row r="127" spans="1:19" x14ac:dyDescent="0.2">
      <c r="A127" t="s">
        <v>563</v>
      </c>
      <c r="B127">
        <v>2026</v>
      </c>
      <c r="C127" t="s">
        <v>20</v>
      </c>
      <c r="D127" t="s">
        <v>21</v>
      </c>
      <c r="E127" t="s">
        <v>564</v>
      </c>
      <c r="F127" t="s">
        <v>565</v>
      </c>
      <c r="G127" t="s">
        <v>35</v>
      </c>
      <c r="H127" t="s">
        <v>25</v>
      </c>
      <c r="I127" s="177">
        <v>46068.857847222222</v>
      </c>
      <c r="J127" s="177">
        <v>46140.617650462962</v>
      </c>
      <c r="K127" s="177"/>
      <c r="L127" s="177">
        <v>46143.617650462962</v>
      </c>
      <c r="M127" t="s">
        <v>312</v>
      </c>
      <c r="N127" t="s">
        <v>566</v>
      </c>
      <c r="Q127" t="s">
        <v>177</v>
      </c>
      <c r="R127" t="s">
        <v>31</v>
      </c>
      <c r="S127" t="s">
        <v>565</v>
      </c>
    </row>
    <row r="128" spans="1:19" x14ac:dyDescent="0.2">
      <c r="A128" t="s">
        <v>567</v>
      </c>
      <c r="B128">
        <v>2026</v>
      </c>
      <c r="C128" t="s">
        <v>20</v>
      </c>
      <c r="D128" t="s">
        <v>21</v>
      </c>
      <c r="E128" t="s">
        <v>395</v>
      </c>
      <c r="F128" t="s">
        <v>568</v>
      </c>
      <c r="G128" t="s">
        <v>35</v>
      </c>
      <c r="H128" t="s">
        <v>25</v>
      </c>
      <c r="I128" s="177">
        <v>46069.23269675926</v>
      </c>
      <c r="J128" s="177">
        <v>46071.63826388889</v>
      </c>
      <c r="K128" s="177"/>
      <c r="L128" s="177">
        <v>46074.63826388889</v>
      </c>
      <c r="M128" t="s">
        <v>132</v>
      </c>
      <c r="N128" t="s">
        <v>133</v>
      </c>
      <c r="O128" t="s">
        <v>147</v>
      </c>
      <c r="P128" t="s">
        <v>47</v>
      </c>
      <c r="Q128" t="s">
        <v>569</v>
      </c>
      <c r="R128" t="s">
        <v>263</v>
      </c>
      <c r="S128" t="s">
        <v>568</v>
      </c>
    </row>
    <row r="129" spans="1:19" x14ac:dyDescent="0.2">
      <c r="A129" t="s">
        <v>570</v>
      </c>
      <c r="B129">
        <v>2026</v>
      </c>
      <c r="C129" t="s">
        <v>20</v>
      </c>
      <c r="D129" t="s">
        <v>21</v>
      </c>
      <c r="E129" t="s">
        <v>150</v>
      </c>
      <c r="F129" t="s">
        <v>571</v>
      </c>
      <c r="G129" t="s">
        <v>35</v>
      </c>
      <c r="H129" t="s">
        <v>25</v>
      </c>
      <c r="I129" s="177">
        <v>46069.238310185188</v>
      </c>
      <c r="J129" s="177">
        <v>46099.672673611109</v>
      </c>
      <c r="K129" s="177"/>
      <c r="L129" s="177">
        <v>46102.672673611109</v>
      </c>
      <c r="M129" t="s">
        <v>45</v>
      </c>
      <c r="N129" t="s">
        <v>46</v>
      </c>
      <c r="O129" t="s">
        <v>572</v>
      </c>
      <c r="P129" t="s">
        <v>47</v>
      </c>
      <c r="Q129" t="s">
        <v>117</v>
      </c>
      <c r="R129" t="s">
        <v>31</v>
      </c>
      <c r="S129" t="s">
        <v>573</v>
      </c>
    </row>
    <row r="130" spans="1:19" x14ac:dyDescent="0.2">
      <c r="A130" t="s">
        <v>574</v>
      </c>
      <c r="B130">
        <v>2026</v>
      </c>
      <c r="C130" t="s">
        <v>20</v>
      </c>
      <c r="D130" t="s">
        <v>21</v>
      </c>
      <c r="E130" t="s">
        <v>575</v>
      </c>
      <c r="F130" t="s">
        <v>576</v>
      </c>
      <c r="G130" t="s">
        <v>35</v>
      </c>
      <c r="H130" t="s">
        <v>25</v>
      </c>
      <c r="I130" s="177">
        <v>46070.793437499997</v>
      </c>
      <c r="J130" s="177">
        <v>46083.89261574074</v>
      </c>
      <c r="K130" s="177"/>
      <c r="L130" s="177">
        <v>46086.89261574074</v>
      </c>
      <c r="M130" t="s">
        <v>45</v>
      </c>
      <c r="N130" t="s">
        <v>46</v>
      </c>
      <c r="O130" t="s">
        <v>351</v>
      </c>
      <c r="P130" t="s">
        <v>47</v>
      </c>
      <c r="Q130" t="s">
        <v>183</v>
      </c>
      <c r="R130" t="s">
        <v>31</v>
      </c>
      <c r="S130" t="s">
        <v>577</v>
      </c>
    </row>
    <row r="131" spans="1:19" x14ac:dyDescent="0.2">
      <c r="A131" t="s">
        <v>578</v>
      </c>
      <c r="B131">
        <v>2026</v>
      </c>
      <c r="C131" t="s">
        <v>20</v>
      </c>
      <c r="D131" t="s">
        <v>21</v>
      </c>
      <c r="E131" t="s">
        <v>579</v>
      </c>
      <c r="F131" t="s">
        <v>580</v>
      </c>
      <c r="G131" t="s">
        <v>35</v>
      </c>
      <c r="H131" t="s">
        <v>25</v>
      </c>
      <c r="I131" s="177">
        <v>46071.683761574073</v>
      </c>
      <c r="J131" s="177">
        <v>46099.677141203705</v>
      </c>
      <c r="K131" s="177"/>
      <c r="L131" s="177">
        <v>46102.677141203705</v>
      </c>
      <c r="M131" t="s">
        <v>36</v>
      </c>
      <c r="N131" t="s">
        <v>384</v>
      </c>
      <c r="O131" t="s">
        <v>581</v>
      </c>
      <c r="P131" t="s">
        <v>47</v>
      </c>
      <c r="Q131" t="s">
        <v>117</v>
      </c>
      <c r="R131" t="s">
        <v>31</v>
      </c>
      <c r="S131" t="s">
        <v>580</v>
      </c>
    </row>
    <row r="132" spans="1:19" x14ac:dyDescent="0.2">
      <c r="A132" t="s">
        <v>582</v>
      </c>
      <c r="B132">
        <v>2026</v>
      </c>
      <c r="C132" t="s">
        <v>91</v>
      </c>
      <c r="D132" t="s">
        <v>21</v>
      </c>
      <c r="E132" t="s">
        <v>583</v>
      </c>
      <c r="F132" t="s">
        <v>584</v>
      </c>
      <c r="G132" t="s">
        <v>44</v>
      </c>
      <c r="H132" t="s">
        <v>25</v>
      </c>
      <c r="I132" s="177">
        <v>46078.447650462964</v>
      </c>
      <c r="J132" s="177">
        <v>46129.383113425924</v>
      </c>
      <c r="K132" s="177"/>
      <c r="L132" s="177">
        <v>46189.383113425924</v>
      </c>
      <c r="M132" t="s">
        <v>45</v>
      </c>
      <c r="N132" t="s">
        <v>46</v>
      </c>
      <c r="O132" t="s">
        <v>585</v>
      </c>
      <c r="P132" t="s">
        <v>47</v>
      </c>
      <c r="Q132" t="s">
        <v>259</v>
      </c>
      <c r="R132" t="s">
        <v>31</v>
      </c>
      <c r="S132" t="s">
        <v>586</v>
      </c>
    </row>
    <row r="133" spans="1:19" x14ac:dyDescent="0.2">
      <c r="A133" t="s">
        <v>587</v>
      </c>
      <c r="B133">
        <v>2026</v>
      </c>
      <c r="C133" t="s">
        <v>211</v>
      </c>
      <c r="D133" t="s">
        <v>21</v>
      </c>
      <c r="E133" t="s">
        <v>150</v>
      </c>
      <c r="F133" t="s">
        <v>588</v>
      </c>
      <c r="G133" t="s">
        <v>44</v>
      </c>
      <c r="H133" t="s">
        <v>25</v>
      </c>
      <c r="I133" s="177">
        <v>46079.436793981484</v>
      </c>
      <c r="J133" s="177">
        <v>46079.436793981484</v>
      </c>
      <c r="K133" s="177"/>
      <c r="L133" s="177">
        <v>46139.436793981484</v>
      </c>
      <c r="M133" t="s">
        <v>36</v>
      </c>
      <c r="N133" t="s">
        <v>108</v>
      </c>
      <c r="O133" t="s">
        <v>523</v>
      </c>
      <c r="P133" t="s">
        <v>47</v>
      </c>
      <c r="Q133" t="s">
        <v>177</v>
      </c>
      <c r="R133" t="s">
        <v>48</v>
      </c>
      <c r="S133" t="s">
        <v>588</v>
      </c>
    </row>
    <row r="134" spans="1:19" x14ac:dyDescent="0.2">
      <c r="A134" t="s">
        <v>589</v>
      </c>
      <c r="B134">
        <v>2026</v>
      </c>
      <c r="C134" t="s">
        <v>112</v>
      </c>
      <c r="D134" t="s">
        <v>21</v>
      </c>
      <c r="E134" t="s">
        <v>485</v>
      </c>
      <c r="F134" t="s">
        <v>590</v>
      </c>
      <c r="G134" t="s">
        <v>44</v>
      </c>
      <c r="H134" t="s">
        <v>25</v>
      </c>
      <c r="I134" s="177">
        <v>46080.620393518519</v>
      </c>
      <c r="J134" s="177">
        <v>46083.638020833336</v>
      </c>
      <c r="K134" s="177"/>
      <c r="L134" s="177">
        <v>46143.638020833336</v>
      </c>
      <c r="M134" t="s">
        <v>132</v>
      </c>
      <c r="N134" t="s">
        <v>133</v>
      </c>
      <c r="O134" t="s">
        <v>169</v>
      </c>
      <c r="P134" t="s">
        <v>29</v>
      </c>
      <c r="Q134" t="s">
        <v>569</v>
      </c>
      <c r="R134" t="s">
        <v>135</v>
      </c>
      <c r="S134" t="s">
        <v>590</v>
      </c>
    </row>
    <row r="135" spans="1:19" x14ac:dyDescent="0.2">
      <c r="A135" t="s">
        <v>591</v>
      </c>
      <c r="B135">
        <v>2026</v>
      </c>
      <c r="C135" t="s">
        <v>20</v>
      </c>
      <c r="D135" t="s">
        <v>21</v>
      </c>
      <c r="E135" t="s">
        <v>92</v>
      </c>
      <c r="F135" t="s">
        <v>592</v>
      </c>
      <c r="G135" t="s">
        <v>35</v>
      </c>
      <c r="H135" t="s">
        <v>25</v>
      </c>
      <c r="I135" s="177">
        <v>46082.3675</v>
      </c>
      <c r="J135" s="177">
        <v>46125.645648148151</v>
      </c>
      <c r="K135" s="177"/>
      <c r="L135" s="177">
        <v>46128.645648148151</v>
      </c>
      <c r="M135" t="s">
        <v>132</v>
      </c>
      <c r="N135" t="s">
        <v>133</v>
      </c>
      <c r="O135" t="s">
        <v>593</v>
      </c>
      <c r="P135" t="s">
        <v>47</v>
      </c>
      <c r="Q135" t="s">
        <v>446</v>
      </c>
      <c r="R135" t="s">
        <v>263</v>
      </c>
      <c r="S135" t="s">
        <v>592</v>
      </c>
    </row>
    <row r="136" spans="1:19" x14ac:dyDescent="0.2">
      <c r="A136" t="s">
        <v>594</v>
      </c>
      <c r="B136">
        <v>2026</v>
      </c>
      <c r="C136" t="s">
        <v>20</v>
      </c>
      <c r="D136" t="s">
        <v>21</v>
      </c>
      <c r="E136" t="s">
        <v>92</v>
      </c>
      <c r="F136" t="s">
        <v>592</v>
      </c>
      <c r="G136" t="s">
        <v>35</v>
      </c>
      <c r="H136" t="s">
        <v>25</v>
      </c>
      <c r="I136" s="177">
        <v>46082.3675</v>
      </c>
      <c r="J136" s="177">
        <v>46125.646053240744</v>
      </c>
      <c r="K136" s="177"/>
      <c r="L136" s="177">
        <v>46128.646053240744</v>
      </c>
      <c r="M136" t="s">
        <v>132</v>
      </c>
      <c r="N136" t="s">
        <v>133</v>
      </c>
      <c r="O136" t="s">
        <v>593</v>
      </c>
      <c r="P136" t="s">
        <v>47</v>
      </c>
      <c r="Q136" t="s">
        <v>446</v>
      </c>
      <c r="R136" t="s">
        <v>263</v>
      </c>
      <c r="S136" t="s">
        <v>595</v>
      </c>
    </row>
    <row r="137" spans="1:19" x14ac:dyDescent="0.2">
      <c r="A137" t="s">
        <v>596</v>
      </c>
      <c r="B137">
        <v>2026</v>
      </c>
      <c r="C137" t="s">
        <v>211</v>
      </c>
      <c r="D137" t="s">
        <v>21</v>
      </c>
      <c r="E137" t="s">
        <v>597</v>
      </c>
      <c r="F137" t="s">
        <v>598</v>
      </c>
      <c r="G137" t="s">
        <v>35</v>
      </c>
      <c r="H137" t="s">
        <v>25</v>
      </c>
      <c r="I137" s="177">
        <v>46083.6641087963</v>
      </c>
      <c r="J137" s="177">
        <v>46083.6641087963</v>
      </c>
      <c r="K137" s="177"/>
      <c r="L137" s="177">
        <v>46086.6641087963</v>
      </c>
      <c r="M137" t="s">
        <v>36</v>
      </c>
      <c r="N137" t="s">
        <v>108</v>
      </c>
      <c r="O137" t="s">
        <v>599</v>
      </c>
      <c r="P137" t="s">
        <v>47</v>
      </c>
      <c r="Q137" t="s">
        <v>259</v>
      </c>
      <c r="R137" t="s">
        <v>31</v>
      </c>
      <c r="S137" t="s">
        <v>598</v>
      </c>
    </row>
    <row r="138" spans="1:19" x14ac:dyDescent="0.2">
      <c r="A138" t="s">
        <v>600</v>
      </c>
      <c r="B138">
        <v>2026</v>
      </c>
      <c r="C138" t="s">
        <v>20</v>
      </c>
      <c r="D138" t="s">
        <v>21</v>
      </c>
      <c r="E138" t="s">
        <v>100</v>
      </c>
      <c r="F138" t="s">
        <v>601</v>
      </c>
      <c r="G138" t="s">
        <v>35</v>
      </c>
      <c r="H138" t="s">
        <v>25</v>
      </c>
      <c r="I138" s="177">
        <v>46083.665590277778</v>
      </c>
      <c r="J138" s="177">
        <v>46132.324965277781</v>
      </c>
      <c r="K138" s="177"/>
      <c r="L138" s="177">
        <v>46135.324965277781</v>
      </c>
      <c r="M138" t="s">
        <v>94</v>
      </c>
      <c r="N138" t="s">
        <v>121</v>
      </c>
      <c r="O138" t="s">
        <v>102</v>
      </c>
      <c r="P138" t="s">
        <v>47</v>
      </c>
      <c r="Q138" t="s">
        <v>110</v>
      </c>
      <c r="R138" t="s">
        <v>31</v>
      </c>
      <c r="S138" t="s">
        <v>602</v>
      </c>
    </row>
    <row r="139" spans="1:19" x14ac:dyDescent="0.2">
      <c r="A139" t="s">
        <v>603</v>
      </c>
      <c r="B139">
        <v>2026</v>
      </c>
      <c r="C139" t="s">
        <v>20</v>
      </c>
      <c r="D139" t="s">
        <v>21</v>
      </c>
      <c r="E139" t="s">
        <v>604</v>
      </c>
      <c r="F139" t="s">
        <v>605</v>
      </c>
      <c r="G139" t="s">
        <v>35</v>
      </c>
      <c r="H139" t="s">
        <v>25</v>
      </c>
      <c r="I139" s="177">
        <v>46083.898020833331</v>
      </c>
      <c r="J139" s="177">
        <v>46118.403229166666</v>
      </c>
      <c r="K139" s="177"/>
      <c r="L139" s="177">
        <v>46121.403229166666</v>
      </c>
      <c r="M139" t="s">
        <v>45</v>
      </c>
      <c r="N139" t="s">
        <v>46</v>
      </c>
      <c r="O139" t="s">
        <v>116</v>
      </c>
      <c r="P139" t="s">
        <v>47</v>
      </c>
      <c r="Q139" t="s">
        <v>110</v>
      </c>
      <c r="R139" t="s">
        <v>31</v>
      </c>
      <c r="S139" t="s">
        <v>606</v>
      </c>
    </row>
    <row r="140" spans="1:19" x14ac:dyDescent="0.2">
      <c r="A140" t="s">
        <v>607</v>
      </c>
      <c r="B140">
        <v>2026</v>
      </c>
      <c r="C140" t="s">
        <v>20</v>
      </c>
      <c r="D140" t="s">
        <v>21</v>
      </c>
      <c r="E140" t="s">
        <v>138</v>
      </c>
      <c r="F140" t="s">
        <v>608</v>
      </c>
      <c r="G140" t="s">
        <v>35</v>
      </c>
      <c r="H140" t="s">
        <v>25</v>
      </c>
      <c r="I140" s="177">
        <v>46084.848483796297</v>
      </c>
      <c r="J140" s="177">
        <v>46086.32440972222</v>
      </c>
      <c r="K140" s="177"/>
      <c r="L140" s="177">
        <v>46089.32440972222</v>
      </c>
      <c r="M140" t="s">
        <v>167</v>
      </c>
      <c r="N140" t="s">
        <v>168</v>
      </c>
      <c r="O140" t="s">
        <v>140</v>
      </c>
      <c r="P140" t="s">
        <v>29</v>
      </c>
      <c r="Q140" t="s">
        <v>569</v>
      </c>
      <c r="R140" t="s">
        <v>148</v>
      </c>
      <c r="S140" t="s">
        <v>609</v>
      </c>
    </row>
    <row r="141" spans="1:19" x14ac:dyDescent="0.2">
      <c r="A141" t="s">
        <v>610</v>
      </c>
      <c r="B141">
        <v>2026</v>
      </c>
      <c r="C141" t="s">
        <v>20</v>
      </c>
      <c r="D141" t="s">
        <v>21</v>
      </c>
      <c r="E141" t="s">
        <v>22</v>
      </c>
      <c r="F141" t="s">
        <v>611</v>
      </c>
      <c r="G141" t="s">
        <v>35</v>
      </c>
      <c r="H141" t="s">
        <v>25</v>
      </c>
      <c r="I141" s="177">
        <v>46092.76394675926</v>
      </c>
      <c r="J141" s="177">
        <v>46111.460335648146</v>
      </c>
      <c r="K141" s="177"/>
      <c r="L141" s="177">
        <v>46114.460335648146</v>
      </c>
      <c r="M141" t="s">
        <v>45</v>
      </c>
      <c r="N141" t="s">
        <v>46</v>
      </c>
      <c r="O141" t="s">
        <v>28</v>
      </c>
      <c r="P141" t="s">
        <v>29</v>
      </c>
      <c r="Q141" t="s">
        <v>557</v>
      </c>
      <c r="R141" t="s">
        <v>31</v>
      </c>
      <c r="S141" t="s">
        <v>612</v>
      </c>
    </row>
    <row r="142" spans="1:19" x14ac:dyDescent="0.2">
      <c r="A142" t="s">
        <v>613</v>
      </c>
      <c r="B142">
        <v>2026</v>
      </c>
      <c r="C142" t="s">
        <v>20</v>
      </c>
      <c r="D142" t="s">
        <v>21</v>
      </c>
      <c r="E142" t="s">
        <v>614</v>
      </c>
      <c r="F142" t="s">
        <v>615</v>
      </c>
      <c r="G142" t="s">
        <v>35</v>
      </c>
      <c r="H142" t="s">
        <v>25</v>
      </c>
      <c r="I142" s="177">
        <v>46094.838541666664</v>
      </c>
      <c r="J142" s="177">
        <v>46111.41306712963</v>
      </c>
      <c r="K142" s="177"/>
      <c r="L142" s="177">
        <v>46114.41306712963</v>
      </c>
      <c r="M142" t="s">
        <v>45</v>
      </c>
      <c r="N142" t="s">
        <v>46</v>
      </c>
      <c r="O142" t="s">
        <v>169</v>
      </c>
      <c r="P142" t="s">
        <v>47</v>
      </c>
      <c r="Q142" t="s">
        <v>557</v>
      </c>
      <c r="R142" t="s">
        <v>31</v>
      </c>
      <c r="S142" t="s">
        <v>616</v>
      </c>
    </row>
    <row r="143" spans="1:19" x14ac:dyDescent="0.2">
      <c r="A143" t="s">
        <v>617</v>
      </c>
      <c r="B143">
        <v>2026</v>
      </c>
      <c r="C143" t="s">
        <v>211</v>
      </c>
      <c r="D143" t="s">
        <v>21</v>
      </c>
      <c r="E143" t="s">
        <v>129</v>
      </c>
      <c r="F143" t="s">
        <v>618</v>
      </c>
      <c r="G143" t="s">
        <v>24</v>
      </c>
      <c r="H143" t="s">
        <v>25</v>
      </c>
      <c r="I143" s="177">
        <v>46097.58016203704</v>
      </c>
      <c r="J143" s="177">
        <v>46097.58016203704</v>
      </c>
      <c r="K143" s="177"/>
      <c r="L143" s="177">
        <v>46497.58016203704</v>
      </c>
      <c r="M143" t="s">
        <v>36</v>
      </c>
      <c r="N143" t="s">
        <v>108</v>
      </c>
      <c r="O143" t="s">
        <v>134</v>
      </c>
      <c r="P143" t="s">
        <v>29</v>
      </c>
      <c r="Q143" t="s">
        <v>117</v>
      </c>
      <c r="R143" t="s">
        <v>31</v>
      </c>
      <c r="S143" t="s">
        <v>618</v>
      </c>
    </row>
    <row r="144" spans="1:19" x14ac:dyDescent="0.2">
      <c r="A144" t="s">
        <v>619</v>
      </c>
      <c r="B144">
        <v>2026</v>
      </c>
      <c r="C144" t="s">
        <v>211</v>
      </c>
      <c r="D144" t="s">
        <v>21</v>
      </c>
      <c r="E144" t="s">
        <v>620</v>
      </c>
      <c r="F144" t="s">
        <v>621</v>
      </c>
      <c r="G144" t="s">
        <v>24</v>
      </c>
      <c r="H144" t="s">
        <v>25</v>
      </c>
      <c r="I144" s="177">
        <v>46098.419965277775</v>
      </c>
      <c r="J144" s="177">
        <v>46112.456828703704</v>
      </c>
      <c r="K144" s="177"/>
      <c r="L144" s="177">
        <v>46512.456828703704</v>
      </c>
      <c r="M144" t="s">
        <v>36</v>
      </c>
      <c r="N144" t="s">
        <v>108</v>
      </c>
      <c r="O144" t="s">
        <v>622</v>
      </c>
      <c r="P144" t="s">
        <v>47</v>
      </c>
      <c r="Q144" t="s">
        <v>110</v>
      </c>
      <c r="R144" t="s">
        <v>31</v>
      </c>
      <c r="S144" t="s">
        <v>621</v>
      </c>
    </row>
    <row r="145" spans="1:19" x14ac:dyDescent="0.2">
      <c r="A145" t="s">
        <v>623</v>
      </c>
      <c r="B145">
        <v>2026</v>
      </c>
      <c r="D145" t="s">
        <v>21</v>
      </c>
      <c r="E145" t="s">
        <v>427</v>
      </c>
      <c r="F145" t="s">
        <v>624</v>
      </c>
      <c r="G145" t="s">
        <v>35</v>
      </c>
      <c r="H145" t="s">
        <v>25</v>
      </c>
      <c r="I145" s="177">
        <v>46106.609872685185</v>
      </c>
      <c r="J145" s="177">
        <v>46125.452523148146</v>
      </c>
      <c r="K145" s="177"/>
      <c r="L145" s="177">
        <v>46128.452523148146</v>
      </c>
      <c r="M145" t="s">
        <v>45</v>
      </c>
      <c r="N145" t="s">
        <v>46</v>
      </c>
      <c r="O145" t="s">
        <v>625</v>
      </c>
      <c r="P145" t="s">
        <v>29</v>
      </c>
      <c r="Q145" t="s">
        <v>557</v>
      </c>
      <c r="R145" t="s">
        <v>31</v>
      </c>
      <c r="S145" t="s">
        <v>626</v>
      </c>
    </row>
    <row r="146" spans="1:19" x14ac:dyDescent="0.2">
      <c r="A146" t="s">
        <v>627</v>
      </c>
      <c r="B146">
        <v>2026</v>
      </c>
      <c r="C146" t="s">
        <v>493</v>
      </c>
      <c r="D146" t="s">
        <v>21</v>
      </c>
      <c r="E146" t="s">
        <v>628</v>
      </c>
      <c r="F146" t="s">
        <v>629</v>
      </c>
      <c r="G146" t="s">
        <v>24</v>
      </c>
      <c r="H146" t="s">
        <v>25</v>
      </c>
      <c r="I146" s="177">
        <v>46107.658784722225</v>
      </c>
      <c r="J146" s="177">
        <v>46107.658784722225</v>
      </c>
      <c r="K146" s="177"/>
      <c r="L146" s="177">
        <v>46507.658784722225</v>
      </c>
      <c r="M146" t="s">
        <v>36</v>
      </c>
      <c r="N146" t="s">
        <v>339</v>
      </c>
      <c r="O146" t="s">
        <v>28</v>
      </c>
      <c r="P146" t="s">
        <v>29</v>
      </c>
      <c r="Q146" t="s">
        <v>259</v>
      </c>
      <c r="R146" t="s">
        <v>31</v>
      </c>
      <c r="S146" t="s">
        <v>629</v>
      </c>
    </row>
    <row r="147" spans="1:19" x14ac:dyDescent="0.2">
      <c r="A147" t="s">
        <v>630</v>
      </c>
      <c r="B147">
        <v>2026</v>
      </c>
      <c r="C147" t="s">
        <v>112</v>
      </c>
      <c r="D147" t="s">
        <v>21</v>
      </c>
      <c r="E147" t="s">
        <v>631</v>
      </c>
      <c r="F147" t="s">
        <v>632</v>
      </c>
      <c r="G147" t="s">
        <v>44</v>
      </c>
      <c r="H147" t="s">
        <v>25</v>
      </c>
      <c r="I147" s="177">
        <v>46108.654699074075</v>
      </c>
      <c r="J147" s="177">
        <v>46135.332002314812</v>
      </c>
      <c r="K147" s="177"/>
      <c r="L147" s="177">
        <v>46195.332002314812</v>
      </c>
      <c r="M147" t="s">
        <v>36</v>
      </c>
      <c r="N147" t="s">
        <v>108</v>
      </c>
      <c r="O147" t="s">
        <v>102</v>
      </c>
      <c r="P147" t="s">
        <v>47</v>
      </c>
      <c r="Q147" t="s">
        <v>177</v>
      </c>
      <c r="R147" t="s">
        <v>31</v>
      </c>
      <c r="S147" t="s">
        <v>632</v>
      </c>
    </row>
    <row r="148" spans="1:19" x14ac:dyDescent="0.2">
      <c r="A148" t="s">
        <v>633</v>
      </c>
      <c r="B148">
        <v>2026</v>
      </c>
      <c r="C148" t="s">
        <v>211</v>
      </c>
      <c r="D148" t="s">
        <v>21</v>
      </c>
      <c r="E148" t="s">
        <v>291</v>
      </c>
      <c r="F148" t="s">
        <v>634</v>
      </c>
      <c r="G148" t="s">
        <v>131</v>
      </c>
      <c r="H148" t="s">
        <v>25</v>
      </c>
      <c r="I148" s="177">
        <v>46112.411990740744</v>
      </c>
      <c r="J148" s="177">
        <v>46112.45621527778</v>
      </c>
      <c r="K148" s="177"/>
      <c r="L148" s="177">
        <v>46119.45621527778</v>
      </c>
      <c r="M148" t="s">
        <v>36</v>
      </c>
      <c r="N148" t="s">
        <v>108</v>
      </c>
      <c r="O148" t="s">
        <v>511</v>
      </c>
      <c r="P148" t="s">
        <v>47</v>
      </c>
      <c r="Q148" t="s">
        <v>110</v>
      </c>
      <c r="R148" t="s">
        <v>31</v>
      </c>
      <c r="S148" t="s">
        <v>634</v>
      </c>
    </row>
    <row r="149" spans="1:19" x14ac:dyDescent="0.2">
      <c r="A149" t="s">
        <v>635</v>
      </c>
      <c r="B149">
        <v>2026</v>
      </c>
      <c r="C149" t="s">
        <v>20</v>
      </c>
      <c r="D149" t="s">
        <v>21</v>
      </c>
      <c r="E149" t="s">
        <v>212</v>
      </c>
      <c r="F149" t="s">
        <v>636</v>
      </c>
      <c r="G149" t="s">
        <v>35</v>
      </c>
      <c r="H149" t="s">
        <v>25</v>
      </c>
      <c r="I149" s="177">
        <v>46114.350497685184</v>
      </c>
      <c r="J149" s="177">
        <v>46188.582407407404</v>
      </c>
      <c r="K149" s="177"/>
      <c r="L149" s="177">
        <v>46191.582407407404</v>
      </c>
      <c r="M149" t="s">
        <v>94</v>
      </c>
      <c r="N149" t="s">
        <v>95</v>
      </c>
      <c r="O149" t="s">
        <v>637</v>
      </c>
      <c r="P149" t="s">
        <v>47</v>
      </c>
      <c r="Q149" t="s">
        <v>183</v>
      </c>
      <c r="R149" t="s">
        <v>31</v>
      </c>
      <c r="S149" t="s">
        <v>638</v>
      </c>
    </row>
    <row r="150" spans="1:19" x14ac:dyDescent="0.2">
      <c r="A150" t="s">
        <v>639</v>
      </c>
      <c r="B150">
        <v>2026</v>
      </c>
      <c r="C150" t="s">
        <v>20</v>
      </c>
      <c r="D150" t="s">
        <v>21</v>
      </c>
      <c r="E150" t="s">
        <v>150</v>
      </c>
      <c r="F150" t="s">
        <v>640</v>
      </c>
      <c r="G150" t="s">
        <v>35</v>
      </c>
      <c r="H150" t="s">
        <v>25</v>
      </c>
      <c r="I150" s="177">
        <v>46116.368310185186</v>
      </c>
      <c r="J150" s="177">
        <v>46179.632835648146</v>
      </c>
      <c r="K150" s="177"/>
      <c r="L150" s="177">
        <v>46182.632835648146</v>
      </c>
      <c r="M150" t="s">
        <v>45</v>
      </c>
      <c r="N150" t="s">
        <v>46</v>
      </c>
      <c r="O150" t="s">
        <v>572</v>
      </c>
      <c r="P150" t="s">
        <v>47</v>
      </c>
      <c r="Q150" t="s">
        <v>446</v>
      </c>
      <c r="R150" t="s">
        <v>31</v>
      </c>
      <c r="S150" t="s">
        <v>641</v>
      </c>
    </row>
    <row r="151" spans="1:19" x14ac:dyDescent="0.2">
      <c r="A151" t="s">
        <v>642</v>
      </c>
      <c r="B151">
        <v>2026</v>
      </c>
      <c r="C151" t="s">
        <v>211</v>
      </c>
      <c r="D151" t="s">
        <v>21</v>
      </c>
      <c r="E151" t="s">
        <v>150</v>
      </c>
      <c r="F151" t="s">
        <v>643</v>
      </c>
      <c r="G151" t="s">
        <v>44</v>
      </c>
      <c r="H151" t="s">
        <v>25</v>
      </c>
      <c r="I151" s="177">
        <v>46118.460925925923</v>
      </c>
      <c r="J151" s="177">
        <v>46126.460925925923</v>
      </c>
      <c r="K151" s="177"/>
      <c r="L151" s="177">
        <v>46186.460925925923</v>
      </c>
      <c r="M151" t="s">
        <v>36</v>
      </c>
      <c r="N151" t="s">
        <v>384</v>
      </c>
      <c r="O151" t="s">
        <v>572</v>
      </c>
      <c r="P151" t="s">
        <v>47</v>
      </c>
      <c r="Q151" t="s">
        <v>117</v>
      </c>
      <c r="R151" t="s">
        <v>31</v>
      </c>
      <c r="S151" t="s">
        <v>643</v>
      </c>
    </row>
    <row r="152" spans="1:19" x14ac:dyDescent="0.2">
      <c r="A152" t="s">
        <v>644</v>
      </c>
      <c r="B152">
        <v>2026</v>
      </c>
      <c r="C152" t="s">
        <v>20</v>
      </c>
      <c r="D152" t="s">
        <v>21</v>
      </c>
      <c r="E152" t="s">
        <v>645</v>
      </c>
      <c r="F152" t="s">
        <v>646</v>
      </c>
      <c r="G152" t="s">
        <v>35</v>
      </c>
      <c r="H152" t="s">
        <v>25</v>
      </c>
      <c r="I152" s="177">
        <v>46125.905972222223</v>
      </c>
      <c r="J152" s="177">
        <v>46126.464236111111</v>
      </c>
      <c r="K152" s="177"/>
      <c r="L152" s="177">
        <v>46129.464236111111</v>
      </c>
      <c r="M152" t="s">
        <v>45</v>
      </c>
      <c r="N152" t="s">
        <v>46</v>
      </c>
      <c r="O152" t="s">
        <v>169</v>
      </c>
      <c r="P152" t="s">
        <v>47</v>
      </c>
      <c r="Q152" t="s">
        <v>259</v>
      </c>
      <c r="R152" t="s">
        <v>31</v>
      </c>
      <c r="S152" t="s">
        <v>647</v>
      </c>
    </row>
    <row r="153" spans="1:19" x14ac:dyDescent="0.2">
      <c r="A153" t="s">
        <v>648</v>
      </c>
      <c r="B153">
        <v>2026</v>
      </c>
      <c r="C153" t="s">
        <v>20</v>
      </c>
      <c r="D153" t="s">
        <v>21</v>
      </c>
      <c r="E153" t="s">
        <v>514</v>
      </c>
      <c r="F153" t="s">
        <v>649</v>
      </c>
      <c r="G153" t="s">
        <v>35</v>
      </c>
      <c r="H153" t="s">
        <v>25</v>
      </c>
      <c r="I153" s="177">
        <v>46128.480381944442</v>
      </c>
      <c r="J153" s="177">
        <v>46160.578229166669</v>
      </c>
      <c r="K153" s="177"/>
      <c r="L153" s="177">
        <v>46163.578229166669</v>
      </c>
      <c r="M153" t="s">
        <v>94</v>
      </c>
      <c r="N153" t="s">
        <v>95</v>
      </c>
      <c r="O153" t="s">
        <v>268</v>
      </c>
      <c r="P153" t="s">
        <v>47</v>
      </c>
      <c r="Q153" t="s">
        <v>183</v>
      </c>
      <c r="R153" t="s">
        <v>31</v>
      </c>
      <c r="S153" t="s">
        <v>650</v>
      </c>
    </row>
    <row r="154" spans="1:19" x14ac:dyDescent="0.2">
      <c r="A154" t="s">
        <v>651</v>
      </c>
      <c r="B154">
        <v>2026</v>
      </c>
      <c r="C154" t="s">
        <v>20</v>
      </c>
      <c r="D154" t="s">
        <v>21</v>
      </c>
      <c r="E154" t="s">
        <v>150</v>
      </c>
      <c r="F154" t="s">
        <v>652</v>
      </c>
      <c r="G154" t="s">
        <v>35</v>
      </c>
      <c r="H154" t="s">
        <v>25</v>
      </c>
      <c r="I154" s="177">
        <v>46135.712037037039</v>
      </c>
      <c r="J154" s="177">
        <v>46183.466874999998</v>
      </c>
      <c r="K154" s="177"/>
      <c r="L154" s="177">
        <v>46186.466874999998</v>
      </c>
      <c r="M154" t="s">
        <v>36</v>
      </c>
      <c r="N154" t="s">
        <v>108</v>
      </c>
      <c r="O154" t="s">
        <v>523</v>
      </c>
      <c r="P154" t="s">
        <v>29</v>
      </c>
      <c r="Q154" t="s">
        <v>177</v>
      </c>
      <c r="R154" t="s">
        <v>31</v>
      </c>
      <c r="S154" t="s">
        <v>652</v>
      </c>
    </row>
    <row r="155" spans="1:19" x14ac:dyDescent="0.2">
      <c r="A155" t="s">
        <v>653</v>
      </c>
      <c r="B155">
        <v>2026</v>
      </c>
      <c r="C155" t="s">
        <v>211</v>
      </c>
      <c r="D155" t="s">
        <v>21</v>
      </c>
      <c r="E155" t="s">
        <v>245</v>
      </c>
      <c r="F155" t="s">
        <v>654</v>
      </c>
      <c r="G155" t="s">
        <v>35</v>
      </c>
      <c r="H155" t="s">
        <v>25</v>
      </c>
      <c r="I155" s="177">
        <v>46154.437071759261</v>
      </c>
      <c r="J155" s="177">
        <v>46182.429780092592</v>
      </c>
      <c r="K155" s="177"/>
      <c r="L155" s="177">
        <v>46185.429780092592</v>
      </c>
      <c r="M155" t="s">
        <v>45</v>
      </c>
      <c r="N155" t="s">
        <v>46</v>
      </c>
      <c r="O155" t="s">
        <v>65</v>
      </c>
      <c r="P155" t="s">
        <v>47</v>
      </c>
      <c r="Q155" t="s">
        <v>97</v>
      </c>
      <c r="R155" t="s">
        <v>31</v>
      </c>
      <c r="S155" t="s">
        <v>655</v>
      </c>
    </row>
    <row r="156" spans="1:19" x14ac:dyDescent="0.2">
      <c r="A156" t="s">
        <v>656</v>
      </c>
      <c r="B156">
        <v>2026</v>
      </c>
      <c r="C156" t="s">
        <v>20</v>
      </c>
      <c r="D156" t="s">
        <v>21</v>
      </c>
      <c r="E156" t="s">
        <v>657</v>
      </c>
      <c r="F156" t="s">
        <v>658</v>
      </c>
      <c r="G156" t="s">
        <v>35</v>
      </c>
      <c r="H156" t="s">
        <v>25</v>
      </c>
      <c r="I156" s="177">
        <v>46155.010787037034</v>
      </c>
      <c r="J156" s="177">
        <v>46155.377106481479</v>
      </c>
      <c r="K156" s="177"/>
      <c r="L156" s="177">
        <v>46158.377106481479</v>
      </c>
      <c r="M156" t="s">
        <v>26</v>
      </c>
      <c r="N156" t="s">
        <v>27</v>
      </c>
      <c r="O156" t="s">
        <v>38</v>
      </c>
      <c r="P156" t="s">
        <v>29</v>
      </c>
      <c r="Q156" t="s">
        <v>70</v>
      </c>
      <c r="R156" t="s">
        <v>148</v>
      </c>
      <c r="S156" t="s">
        <v>659</v>
      </c>
    </row>
    <row r="157" spans="1:19" x14ac:dyDescent="0.2">
      <c r="A157" t="s">
        <v>660</v>
      </c>
      <c r="B157">
        <v>2026</v>
      </c>
      <c r="C157" t="s">
        <v>20</v>
      </c>
      <c r="D157" t="s">
        <v>21</v>
      </c>
      <c r="E157" t="s">
        <v>661</v>
      </c>
      <c r="F157" t="s">
        <v>662</v>
      </c>
      <c r="G157" t="s">
        <v>35</v>
      </c>
      <c r="H157" t="s">
        <v>25</v>
      </c>
      <c r="I157" s="177">
        <v>46155.199791666666</v>
      </c>
      <c r="J157" s="177">
        <v>46155.486226851855</v>
      </c>
      <c r="K157" s="177"/>
      <c r="L157" s="177">
        <v>46158.486226851855</v>
      </c>
      <c r="M157" t="s">
        <v>26</v>
      </c>
      <c r="N157" t="s">
        <v>27</v>
      </c>
      <c r="O157" t="s">
        <v>65</v>
      </c>
      <c r="P157" t="s">
        <v>29</v>
      </c>
      <c r="Q157" t="s">
        <v>663</v>
      </c>
      <c r="R157" t="s">
        <v>148</v>
      </c>
      <c r="S157" t="s">
        <v>664</v>
      </c>
    </row>
    <row r="158" spans="1:19" x14ac:dyDescent="0.2">
      <c r="A158" t="s">
        <v>665</v>
      </c>
      <c r="B158">
        <v>2026</v>
      </c>
      <c r="C158" t="s">
        <v>20</v>
      </c>
      <c r="D158" t="s">
        <v>21</v>
      </c>
      <c r="E158" t="s">
        <v>666</v>
      </c>
      <c r="F158" t="s">
        <v>667</v>
      </c>
      <c r="G158" t="s">
        <v>35</v>
      </c>
      <c r="H158" t="s">
        <v>25</v>
      </c>
      <c r="I158" s="177">
        <v>46156.481307870374</v>
      </c>
      <c r="J158" s="177">
        <v>46169.6640625</v>
      </c>
      <c r="K158" s="177"/>
      <c r="L158" s="177">
        <v>46172.6640625</v>
      </c>
      <c r="M158" t="s">
        <v>94</v>
      </c>
      <c r="N158" t="s">
        <v>95</v>
      </c>
      <c r="O158" t="s">
        <v>268</v>
      </c>
      <c r="P158" t="s">
        <v>47</v>
      </c>
      <c r="Q158" t="s">
        <v>183</v>
      </c>
      <c r="R158" t="s">
        <v>31</v>
      </c>
      <c r="S158" t="s">
        <v>668</v>
      </c>
    </row>
    <row r="159" spans="1:19" x14ac:dyDescent="0.2">
      <c r="A159" t="s">
        <v>669</v>
      </c>
      <c r="B159">
        <v>2026</v>
      </c>
      <c r="C159" t="s">
        <v>20</v>
      </c>
      <c r="D159" t="s">
        <v>21</v>
      </c>
      <c r="E159" t="s">
        <v>230</v>
      </c>
      <c r="F159" t="s">
        <v>670</v>
      </c>
      <c r="G159" t="s">
        <v>44</v>
      </c>
      <c r="H159" t="s">
        <v>25</v>
      </c>
      <c r="I159" s="177">
        <v>46157.171770833331</v>
      </c>
      <c r="J159" s="177">
        <v>46157.31113425926</v>
      </c>
      <c r="K159" s="177"/>
      <c r="L159" s="177">
        <v>46217.31113425926</v>
      </c>
      <c r="M159" t="s">
        <v>26</v>
      </c>
      <c r="N159" t="s">
        <v>27</v>
      </c>
      <c r="O159" t="s">
        <v>65</v>
      </c>
      <c r="P159" t="s">
        <v>29</v>
      </c>
      <c r="Q159" t="s">
        <v>663</v>
      </c>
      <c r="R159" t="s">
        <v>135</v>
      </c>
      <c r="S159" t="s">
        <v>671</v>
      </c>
    </row>
    <row r="160" spans="1:19" x14ac:dyDescent="0.2">
      <c r="A160" t="s">
        <v>672</v>
      </c>
      <c r="B160">
        <v>2026</v>
      </c>
      <c r="C160" t="s">
        <v>20</v>
      </c>
      <c r="D160" t="s">
        <v>21</v>
      </c>
      <c r="E160" t="s">
        <v>440</v>
      </c>
      <c r="F160" t="s">
        <v>673</v>
      </c>
      <c r="G160" t="s">
        <v>35</v>
      </c>
      <c r="H160" t="s">
        <v>25</v>
      </c>
      <c r="I160" s="177">
        <v>46157.215011574073</v>
      </c>
      <c r="J160" s="177">
        <v>46157.308553240742</v>
      </c>
      <c r="K160" s="177"/>
      <c r="L160" s="177">
        <v>46160.308553240742</v>
      </c>
      <c r="M160" t="s">
        <v>26</v>
      </c>
      <c r="N160" t="s">
        <v>27</v>
      </c>
      <c r="O160" t="s">
        <v>28</v>
      </c>
      <c r="P160" t="s">
        <v>29</v>
      </c>
      <c r="Q160" t="s">
        <v>663</v>
      </c>
      <c r="R160" t="s">
        <v>31</v>
      </c>
      <c r="S160" t="s">
        <v>674</v>
      </c>
    </row>
    <row r="161" spans="1:19" x14ac:dyDescent="0.2">
      <c r="A161" t="s">
        <v>675</v>
      </c>
      <c r="B161">
        <v>2026</v>
      </c>
      <c r="C161" t="s">
        <v>20</v>
      </c>
      <c r="D161" t="s">
        <v>21</v>
      </c>
      <c r="E161" t="s">
        <v>676</v>
      </c>
      <c r="F161" t="s">
        <v>677</v>
      </c>
      <c r="G161" t="s">
        <v>44</v>
      </c>
      <c r="H161" t="s">
        <v>25</v>
      </c>
      <c r="I161" s="177">
        <v>46158.133425925924</v>
      </c>
      <c r="J161" s="177">
        <v>46160.303136574075</v>
      </c>
      <c r="K161" s="177"/>
      <c r="L161" s="177">
        <v>46220.303136574075</v>
      </c>
      <c r="M161" t="s">
        <v>26</v>
      </c>
      <c r="N161" t="s">
        <v>27</v>
      </c>
      <c r="O161" t="s">
        <v>65</v>
      </c>
      <c r="P161" t="s">
        <v>29</v>
      </c>
      <c r="Q161" t="s">
        <v>663</v>
      </c>
      <c r="R161" t="s">
        <v>135</v>
      </c>
      <c r="S161" t="s">
        <v>678</v>
      </c>
    </row>
    <row r="162" spans="1:19" x14ac:dyDescent="0.2">
      <c r="A162" t="s">
        <v>679</v>
      </c>
      <c r="B162">
        <v>2026</v>
      </c>
      <c r="C162" t="s">
        <v>144</v>
      </c>
      <c r="D162" t="s">
        <v>21</v>
      </c>
      <c r="E162" t="s">
        <v>680</v>
      </c>
      <c r="F162" t="s">
        <v>681</v>
      </c>
      <c r="G162" t="s">
        <v>44</v>
      </c>
      <c r="H162" t="s">
        <v>25</v>
      </c>
      <c r="I162" s="177">
        <v>46163.665034722224</v>
      </c>
      <c r="J162" s="177">
        <v>46163.666562500002</v>
      </c>
      <c r="K162" s="177"/>
      <c r="L162" s="177">
        <v>46223.666562500002</v>
      </c>
      <c r="M162" t="s">
        <v>26</v>
      </c>
      <c r="N162" t="s">
        <v>27</v>
      </c>
      <c r="O162" t="s">
        <v>65</v>
      </c>
      <c r="P162" t="s">
        <v>29</v>
      </c>
      <c r="Q162" t="s">
        <v>663</v>
      </c>
      <c r="R162" t="s">
        <v>135</v>
      </c>
      <c r="S162" t="s">
        <v>682</v>
      </c>
    </row>
    <row r="163" spans="1:19" x14ac:dyDescent="0.2">
      <c r="A163" t="s">
        <v>683</v>
      </c>
      <c r="B163">
        <v>2026</v>
      </c>
      <c r="C163" t="s">
        <v>144</v>
      </c>
      <c r="D163" t="s">
        <v>21</v>
      </c>
      <c r="E163" t="s">
        <v>680</v>
      </c>
      <c r="F163" t="s">
        <v>684</v>
      </c>
      <c r="G163" t="s">
        <v>44</v>
      </c>
      <c r="H163" t="s">
        <v>25</v>
      </c>
      <c r="I163" s="177">
        <v>46163.668483796297</v>
      </c>
      <c r="J163" s="177">
        <v>46163.668483796297</v>
      </c>
      <c r="K163" s="177"/>
      <c r="L163" s="177">
        <v>46223.668483796297</v>
      </c>
      <c r="M163" t="s">
        <v>26</v>
      </c>
      <c r="N163" t="s">
        <v>27</v>
      </c>
      <c r="O163" t="s">
        <v>65</v>
      </c>
      <c r="P163" t="s">
        <v>29</v>
      </c>
      <c r="Q163" t="s">
        <v>663</v>
      </c>
      <c r="R163" t="s">
        <v>135</v>
      </c>
      <c r="S163" t="s">
        <v>685</v>
      </c>
    </row>
    <row r="164" spans="1:19" x14ac:dyDescent="0.2">
      <c r="A164" t="s">
        <v>686</v>
      </c>
      <c r="B164">
        <v>2026</v>
      </c>
      <c r="C164" t="s">
        <v>20</v>
      </c>
      <c r="D164" t="s">
        <v>21</v>
      </c>
      <c r="E164" t="s">
        <v>241</v>
      </c>
      <c r="F164" t="s">
        <v>687</v>
      </c>
      <c r="G164" t="s">
        <v>35</v>
      </c>
      <c r="H164" t="s">
        <v>25</v>
      </c>
      <c r="I164" s="177">
        <v>46164.13208333333</v>
      </c>
      <c r="J164" s="177">
        <v>46167.320787037039</v>
      </c>
      <c r="K164" s="177"/>
      <c r="L164" s="177">
        <v>46170.320787037039</v>
      </c>
      <c r="M164" t="s">
        <v>26</v>
      </c>
      <c r="N164" t="s">
        <v>27</v>
      </c>
      <c r="O164" t="s">
        <v>65</v>
      </c>
      <c r="P164" t="s">
        <v>29</v>
      </c>
      <c r="Q164" t="s">
        <v>663</v>
      </c>
      <c r="R164" t="s">
        <v>148</v>
      </c>
      <c r="S164" t="s">
        <v>688</v>
      </c>
    </row>
    <row r="165" spans="1:19" x14ac:dyDescent="0.2">
      <c r="A165" t="s">
        <v>689</v>
      </c>
      <c r="B165">
        <v>2026</v>
      </c>
      <c r="C165" t="s">
        <v>20</v>
      </c>
      <c r="D165" t="s">
        <v>21</v>
      </c>
      <c r="E165" t="s">
        <v>690</v>
      </c>
      <c r="F165" t="s">
        <v>691</v>
      </c>
      <c r="G165" t="s">
        <v>35</v>
      </c>
      <c r="H165" t="s">
        <v>25</v>
      </c>
      <c r="I165" s="177">
        <v>46167.756724537037</v>
      </c>
      <c r="J165" s="177">
        <v>46168.677870370368</v>
      </c>
      <c r="K165" s="177"/>
      <c r="L165" s="177">
        <v>46171.677870370368</v>
      </c>
      <c r="M165" t="s">
        <v>132</v>
      </c>
      <c r="N165" t="s">
        <v>133</v>
      </c>
      <c r="O165" t="s">
        <v>65</v>
      </c>
      <c r="P165" t="s">
        <v>29</v>
      </c>
      <c r="Q165" t="s">
        <v>446</v>
      </c>
      <c r="R165" t="s">
        <v>148</v>
      </c>
      <c r="S165" t="s">
        <v>691</v>
      </c>
    </row>
    <row r="166" spans="1:19" x14ac:dyDescent="0.2">
      <c r="A166" t="s">
        <v>692</v>
      </c>
      <c r="B166">
        <v>2026</v>
      </c>
      <c r="C166" t="s">
        <v>20</v>
      </c>
      <c r="D166" t="s">
        <v>21</v>
      </c>
      <c r="E166" t="s">
        <v>68</v>
      </c>
      <c r="F166" t="s">
        <v>693</v>
      </c>
      <c r="G166" t="s">
        <v>35</v>
      </c>
      <c r="H166" t="s">
        <v>25</v>
      </c>
      <c r="I166" s="177">
        <v>46168.044085648151</v>
      </c>
      <c r="J166" s="177">
        <v>46168.305115740739</v>
      </c>
      <c r="K166" s="177"/>
      <c r="L166" s="177">
        <v>46171.305115740739</v>
      </c>
      <c r="M166" t="s">
        <v>26</v>
      </c>
      <c r="N166" t="s">
        <v>27</v>
      </c>
      <c r="O166" t="s">
        <v>38</v>
      </c>
      <c r="P166" t="s">
        <v>29</v>
      </c>
      <c r="Q166" t="s">
        <v>663</v>
      </c>
      <c r="R166" t="s">
        <v>148</v>
      </c>
      <c r="S166" t="s">
        <v>694</v>
      </c>
    </row>
    <row r="167" spans="1:19" x14ac:dyDescent="0.2">
      <c r="A167" t="s">
        <v>695</v>
      </c>
      <c r="B167">
        <v>2026</v>
      </c>
      <c r="C167" t="s">
        <v>20</v>
      </c>
      <c r="D167" t="s">
        <v>21</v>
      </c>
      <c r="E167" t="s">
        <v>63</v>
      </c>
      <c r="F167" t="s">
        <v>696</v>
      </c>
      <c r="G167" t="s">
        <v>35</v>
      </c>
      <c r="H167" t="s">
        <v>25</v>
      </c>
      <c r="I167" s="177">
        <v>46168.091574074075</v>
      </c>
      <c r="J167" s="177">
        <v>46168.302800925929</v>
      </c>
      <c r="K167" s="177"/>
      <c r="L167" s="177">
        <v>46171.302800925929</v>
      </c>
      <c r="M167" t="s">
        <v>26</v>
      </c>
      <c r="N167" t="s">
        <v>27</v>
      </c>
      <c r="O167" t="s">
        <v>65</v>
      </c>
      <c r="P167" t="s">
        <v>29</v>
      </c>
      <c r="Q167" t="s">
        <v>663</v>
      </c>
      <c r="R167" t="s">
        <v>148</v>
      </c>
      <c r="S167" t="s">
        <v>697</v>
      </c>
    </row>
    <row r="168" spans="1:19" x14ac:dyDescent="0.2">
      <c r="A168" t="s">
        <v>698</v>
      </c>
      <c r="B168">
        <v>2026</v>
      </c>
      <c r="C168" t="s">
        <v>20</v>
      </c>
      <c r="D168" t="s">
        <v>21</v>
      </c>
      <c r="E168" t="s">
        <v>165</v>
      </c>
      <c r="F168" t="s">
        <v>699</v>
      </c>
      <c r="G168" t="s">
        <v>35</v>
      </c>
      <c r="H168" t="s">
        <v>25</v>
      </c>
      <c r="I168" s="177">
        <v>46169.52447916667</v>
      </c>
      <c r="J168" s="177">
        <v>46185.6247337963</v>
      </c>
      <c r="K168" s="177"/>
      <c r="L168" s="177">
        <v>46188.6247337963</v>
      </c>
      <c r="M168" t="s">
        <v>94</v>
      </c>
      <c r="N168" t="s">
        <v>121</v>
      </c>
      <c r="O168" t="s">
        <v>301</v>
      </c>
      <c r="P168" t="s">
        <v>47</v>
      </c>
      <c r="Q168" t="s">
        <v>557</v>
      </c>
      <c r="R168" t="s">
        <v>31</v>
      </c>
      <c r="S168" t="s">
        <v>700</v>
      </c>
    </row>
    <row r="169" spans="1:19" x14ac:dyDescent="0.2">
      <c r="A169" t="s">
        <v>701</v>
      </c>
      <c r="B169">
        <v>2026</v>
      </c>
      <c r="C169" t="s">
        <v>20</v>
      </c>
      <c r="D169" t="s">
        <v>21</v>
      </c>
      <c r="E169" t="s">
        <v>690</v>
      </c>
      <c r="F169" t="s">
        <v>702</v>
      </c>
      <c r="G169" t="s">
        <v>35</v>
      </c>
      <c r="H169" t="s">
        <v>25</v>
      </c>
      <c r="I169" s="177">
        <v>46178.072569444441</v>
      </c>
      <c r="J169" s="177">
        <v>46185.755578703705</v>
      </c>
      <c r="K169" s="177"/>
      <c r="L169" s="177">
        <v>46188.755578703705</v>
      </c>
      <c r="M169" t="s">
        <v>26</v>
      </c>
      <c r="N169" t="s">
        <v>27</v>
      </c>
      <c r="O169" t="s">
        <v>65</v>
      </c>
      <c r="P169" t="s">
        <v>29</v>
      </c>
      <c r="Q169" t="s">
        <v>446</v>
      </c>
      <c r="R169" t="s">
        <v>148</v>
      </c>
      <c r="S169" t="s">
        <v>703</v>
      </c>
    </row>
    <row r="170" spans="1:19" x14ac:dyDescent="0.2">
      <c r="A170" t="s">
        <v>704</v>
      </c>
      <c r="B170">
        <v>2026</v>
      </c>
      <c r="C170" t="s">
        <v>20</v>
      </c>
      <c r="D170" t="s">
        <v>21</v>
      </c>
      <c r="E170" t="s">
        <v>705</v>
      </c>
      <c r="F170" t="s">
        <v>706</v>
      </c>
      <c r="G170" t="s">
        <v>35</v>
      </c>
      <c r="H170" t="s">
        <v>25</v>
      </c>
      <c r="I170" s="177">
        <v>46181.65896990741</v>
      </c>
      <c r="J170" s="177">
        <v>46183.659733796296</v>
      </c>
      <c r="K170" s="177"/>
      <c r="L170" s="177">
        <v>46186.659733796296</v>
      </c>
      <c r="M170" t="s">
        <v>36</v>
      </c>
      <c r="N170" t="s">
        <v>321</v>
      </c>
      <c r="O170" t="s">
        <v>599</v>
      </c>
      <c r="P170" t="s">
        <v>29</v>
      </c>
      <c r="Q170" t="s">
        <v>259</v>
      </c>
      <c r="R170" t="s">
        <v>31</v>
      </c>
      <c r="S170" t="s">
        <v>706</v>
      </c>
    </row>
    <row r="171" spans="1:19" x14ac:dyDescent="0.2">
      <c r="A171" t="s">
        <v>707</v>
      </c>
      <c r="B171">
        <v>2026</v>
      </c>
      <c r="C171" t="s">
        <v>112</v>
      </c>
      <c r="D171" t="s">
        <v>21</v>
      </c>
      <c r="E171" t="s">
        <v>628</v>
      </c>
      <c r="F171" t="s">
        <v>708</v>
      </c>
      <c r="G171" t="s">
        <v>44</v>
      </c>
      <c r="H171" t="s">
        <v>25</v>
      </c>
      <c r="I171" s="177">
        <v>46196.508171296293</v>
      </c>
      <c r="J171" s="177">
        <v>46196.508171296293</v>
      </c>
      <c r="K171" s="177"/>
      <c r="L171" s="177">
        <v>46256.508171296293</v>
      </c>
      <c r="M171" t="s">
        <v>26</v>
      </c>
      <c r="N171" t="s">
        <v>27</v>
      </c>
      <c r="O171" t="s">
        <v>28</v>
      </c>
      <c r="P171" t="s">
        <v>29</v>
      </c>
      <c r="Q171" t="s">
        <v>30</v>
      </c>
      <c r="R171" t="s">
        <v>709</v>
      </c>
      <c r="S171" t="s">
        <v>710</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DC6D4-06C4-4643-8582-0C1FCBADB9C7}">
  <dimension ref="A1"/>
  <sheetViews>
    <sheetView workbookViewId="0">
      <selection activeCell="B20" sqref="B20"/>
    </sheetView>
  </sheetViews>
  <sheetFormatPr baseColWidth="10" defaultColWidth="8.83203125" defaultRowHeight="15" x14ac:dyDescent="0.2"/>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BB184"/>
  <sheetViews>
    <sheetView showGridLines="0" tabSelected="1" zoomScale="85" zoomScaleNormal="85" workbookViewId="0">
      <pane ySplit="1" topLeftCell="A2" activePane="bottomLeft" state="frozen"/>
      <selection activeCell="C1" sqref="C1:C1048576"/>
      <selection pane="bottomLeft" activeCell="C7" sqref="C7"/>
    </sheetView>
  </sheetViews>
  <sheetFormatPr baseColWidth="10" defaultColWidth="8.6640625" defaultRowHeight="15" x14ac:dyDescent="0.2"/>
  <cols>
    <col min="1" max="1" width="22" customWidth="1"/>
    <col min="2" max="2" width="6" customWidth="1"/>
    <col min="3" max="3" width="255.6640625" bestFit="1" customWidth="1"/>
    <col min="4" max="4" width="18" customWidth="1"/>
    <col min="5" max="10" width="14" customWidth="1"/>
    <col min="11" max="11" width="26.5" customWidth="1"/>
    <col min="12" max="16" width="14" customWidth="1"/>
    <col min="17" max="17" width="42.6640625" bestFit="1" customWidth="1"/>
    <col min="18" max="18" width="32.5" bestFit="1" customWidth="1"/>
    <col min="19" max="33" width="14" customWidth="1"/>
    <col min="34" max="34" width="19.1640625" bestFit="1" customWidth="1"/>
    <col min="35" max="36" width="14" customWidth="1"/>
    <col min="37" max="37" width="25.1640625" customWidth="1"/>
    <col min="38" max="40" width="14" customWidth="1"/>
    <col min="41" max="41" width="22" customWidth="1"/>
    <col min="42" max="42" width="18" customWidth="1"/>
    <col min="43" max="43" width="28" customWidth="1"/>
    <col min="44" max="44" width="14" customWidth="1"/>
    <col min="45" max="45" width="22" customWidth="1"/>
    <col min="46" max="46" width="30" customWidth="1"/>
    <col min="47" max="47" width="14" customWidth="1"/>
    <col min="48" max="52" width="0" hidden="1" customWidth="1"/>
    <col min="53" max="53" width="29.33203125" customWidth="1"/>
  </cols>
  <sheetData>
    <row r="1" spans="1:53" ht="30" x14ac:dyDescent="0.2">
      <c r="A1" s="67" t="s">
        <v>711</v>
      </c>
      <c r="B1" s="67" t="s">
        <v>712</v>
      </c>
      <c r="C1" s="67" t="s">
        <v>713</v>
      </c>
      <c r="D1" s="67" t="s">
        <v>714</v>
      </c>
      <c r="E1" s="67" t="s">
        <v>715</v>
      </c>
      <c r="F1" s="67" t="s">
        <v>716</v>
      </c>
      <c r="G1" s="67" t="s">
        <v>717</v>
      </c>
      <c r="H1" s="67" t="s">
        <v>718</v>
      </c>
      <c r="I1" s="67" t="s">
        <v>719</v>
      </c>
      <c r="J1" s="67" t="s">
        <v>720</v>
      </c>
      <c r="K1" s="67" t="s">
        <v>721</v>
      </c>
      <c r="L1" s="67" t="s">
        <v>722</v>
      </c>
      <c r="M1" s="67" t="s">
        <v>723</v>
      </c>
      <c r="N1" s="67" t="s">
        <v>724</v>
      </c>
      <c r="O1" s="67" t="s">
        <v>725</v>
      </c>
      <c r="P1" s="67" t="s">
        <v>726</v>
      </c>
      <c r="Q1" s="67" t="s">
        <v>727</v>
      </c>
      <c r="R1" s="67" t="s">
        <v>728</v>
      </c>
      <c r="S1" s="67" t="s">
        <v>729</v>
      </c>
      <c r="T1" s="67" t="s">
        <v>730</v>
      </c>
      <c r="U1" s="67" t="s">
        <v>731</v>
      </c>
      <c r="V1" s="67" t="s">
        <v>732</v>
      </c>
      <c r="W1" s="67" t="s">
        <v>733</v>
      </c>
      <c r="X1" s="67" t="s">
        <v>734</v>
      </c>
      <c r="Y1" s="67" t="s">
        <v>735</v>
      </c>
      <c r="Z1" s="67" t="s">
        <v>736</v>
      </c>
      <c r="AA1" s="67" t="s">
        <v>737</v>
      </c>
      <c r="AB1" s="67" t="s">
        <v>738</v>
      </c>
      <c r="AC1" s="67" t="s">
        <v>3</v>
      </c>
      <c r="AD1" s="67" t="s">
        <v>739</v>
      </c>
      <c r="AE1" s="67" t="s">
        <v>740</v>
      </c>
      <c r="AF1" s="67" t="s">
        <v>741</v>
      </c>
      <c r="AG1" s="67" t="s">
        <v>742</v>
      </c>
      <c r="AH1" s="67" t="s">
        <v>743</v>
      </c>
      <c r="AI1" s="67" t="s">
        <v>744</v>
      </c>
      <c r="AJ1" s="67" t="s">
        <v>745</v>
      </c>
      <c r="AK1" s="67" t="s">
        <v>14</v>
      </c>
      <c r="AL1" s="67" t="s">
        <v>746</v>
      </c>
      <c r="AM1" s="67" t="s">
        <v>747</v>
      </c>
      <c r="AN1" s="67" t="s">
        <v>748</v>
      </c>
      <c r="AO1" s="67" t="s">
        <v>749</v>
      </c>
      <c r="AP1" s="67" t="s">
        <v>750</v>
      </c>
      <c r="AQ1" s="67" t="s">
        <v>751</v>
      </c>
      <c r="AR1" s="67" t="s">
        <v>752</v>
      </c>
      <c r="AS1" s="67" t="s">
        <v>753</v>
      </c>
      <c r="AT1" s="67" t="s">
        <v>754</v>
      </c>
      <c r="AU1" s="67" t="s">
        <v>755</v>
      </c>
      <c r="AV1" s="68" t="s">
        <v>756</v>
      </c>
      <c r="AW1" s="69" t="s">
        <v>757</v>
      </c>
      <c r="AX1" s="69" t="s">
        <v>758</v>
      </c>
      <c r="AY1" s="70" t="s">
        <v>759</v>
      </c>
      <c r="AZ1" s="70" t="s">
        <v>760</v>
      </c>
      <c r="BA1" s="85" t="s">
        <v>761</v>
      </c>
    </row>
    <row r="2" spans="1:53" ht="78.75" customHeight="1" x14ac:dyDescent="0.2">
      <c r="A2" s="71" t="s">
        <v>517</v>
      </c>
      <c r="B2" s="71">
        <v>2026</v>
      </c>
      <c r="C2" s="72" t="s">
        <v>762</v>
      </c>
      <c r="D2" s="71" t="s">
        <v>763</v>
      </c>
      <c r="E2" s="71" t="s">
        <v>520</v>
      </c>
      <c r="F2" s="71" t="s">
        <v>518</v>
      </c>
      <c r="G2" s="71">
        <v>3</v>
      </c>
      <c r="H2" s="71" t="s">
        <v>519</v>
      </c>
      <c r="I2" s="71" t="s">
        <v>764</v>
      </c>
      <c r="J2" s="71" t="s">
        <v>20</v>
      </c>
      <c r="K2" s="71" t="s">
        <v>765</v>
      </c>
      <c r="L2" s="71" t="s">
        <v>35</v>
      </c>
      <c r="M2" s="71" t="s">
        <v>25</v>
      </c>
      <c r="N2" s="71" t="s">
        <v>766</v>
      </c>
      <c r="O2" s="71">
        <v>190.02318033</v>
      </c>
      <c r="P2" s="71" t="s">
        <v>767</v>
      </c>
      <c r="Q2" s="71" t="s">
        <v>26</v>
      </c>
      <c r="R2" s="71" t="s">
        <v>31</v>
      </c>
      <c r="S2" s="71"/>
      <c r="T2" s="71"/>
      <c r="U2" s="71"/>
      <c r="V2" s="71"/>
      <c r="W2" s="71"/>
      <c r="X2" s="71" t="s">
        <v>768</v>
      </c>
      <c r="Y2" s="71"/>
      <c r="Z2" s="71" t="s">
        <v>769</v>
      </c>
      <c r="AA2" s="71" t="s">
        <v>770</v>
      </c>
      <c r="AB2" s="71"/>
      <c r="AC2" s="71" t="s">
        <v>21</v>
      </c>
      <c r="AD2" s="71"/>
      <c r="AE2" s="71"/>
      <c r="AF2" s="71"/>
      <c r="AG2" s="71"/>
      <c r="AH2" s="71" t="s">
        <v>771</v>
      </c>
      <c r="AI2" s="71" t="s">
        <v>772</v>
      </c>
      <c r="AJ2" s="71">
        <v>8657782</v>
      </c>
      <c r="AK2" s="71" t="s">
        <v>464</v>
      </c>
      <c r="AL2" s="71">
        <v>698997</v>
      </c>
      <c r="AM2" s="71"/>
      <c r="AN2" s="71"/>
      <c r="AO2" s="71" t="s">
        <v>773</v>
      </c>
      <c r="AP2" s="71" t="s">
        <v>774</v>
      </c>
      <c r="AQ2" s="71" t="s">
        <v>775</v>
      </c>
      <c r="AR2" s="71" t="s">
        <v>776</v>
      </c>
      <c r="AS2" s="71" t="s">
        <v>777</v>
      </c>
      <c r="AT2" s="71"/>
      <c r="AU2" s="71"/>
    </row>
    <row r="3" spans="1:53" ht="69" hidden="1" customHeight="1" x14ac:dyDescent="0.2">
      <c r="A3" s="71" t="s">
        <v>433</v>
      </c>
      <c r="B3" s="71">
        <v>2026</v>
      </c>
      <c r="C3" s="71" t="s">
        <v>778</v>
      </c>
      <c r="D3" s="71" t="s">
        <v>779</v>
      </c>
      <c r="E3" s="71" t="s">
        <v>434</v>
      </c>
      <c r="F3" s="71" t="s">
        <v>83</v>
      </c>
      <c r="G3" s="71">
        <v>3</v>
      </c>
      <c r="H3" s="71" t="s">
        <v>434</v>
      </c>
      <c r="I3" s="71" t="s">
        <v>780</v>
      </c>
      <c r="J3" s="71" t="s">
        <v>252</v>
      </c>
      <c r="K3" s="71" t="s">
        <v>60</v>
      </c>
      <c r="L3" s="71" t="s">
        <v>44</v>
      </c>
      <c r="M3" s="71" t="s">
        <v>25</v>
      </c>
      <c r="N3" s="71" t="s">
        <v>781</v>
      </c>
      <c r="O3" s="71">
        <v>190.02389937999999</v>
      </c>
      <c r="P3" s="71" t="s">
        <v>782</v>
      </c>
      <c r="Q3" s="71" t="s">
        <v>58</v>
      </c>
      <c r="R3" s="71" t="s">
        <v>148</v>
      </c>
      <c r="S3" s="71"/>
      <c r="T3" s="71"/>
      <c r="U3" s="71"/>
      <c r="V3" s="71"/>
      <c r="W3" s="71"/>
      <c r="X3" s="71" t="s">
        <v>783</v>
      </c>
      <c r="Y3" s="71"/>
      <c r="Z3" s="71" t="s">
        <v>784</v>
      </c>
      <c r="AA3" s="71" t="s">
        <v>770</v>
      </c>
      <c r="AB3" s="71"/>
      <c r="AC3" s="71" t="s">
        <v>21</v>
      </c>
      <c r="AD3" s="71"/>
      <c r="AE3" s="71"/>
      <c r="AF3" s="71"/>
      <c r="AG3" s="71"/>
      <c r="AH3" s="71" t="s">
        <v>785</v>
      </c>
      <c r="AI3" s="71" t="s">
        <v>772</v>
      </c>
      <c r="AJ3" s="71">
        <v>9204397</v>
      </c>
      <c r="AK3" s="71" t="s">
        <v>28</v>
      </c>
      <c r="AL3" s="71">
        <v>806192</v>
      </c>
      <c r="AM3" s="71"/>
      <c r="AN3" s="71"/>
      <c r="AO3" s="71" t="s">
        <v>786</v>
      </c>
      <c r="AP3" s="71" t="s">
        <v>774</v>
      </c>
      <c r="AQ3" s="71" t="s">
        <v>787</v>
      </c>
      <c r="AR3" s="71" t="s">
        <v>788</v>
      </c>
      <c r="AS3" s="71" t="s">
        <v>777</v>
      </c>
      <c r="AT3" s="71"/>
      <c r="AU3" s="71"/>
    </row>
    <row r="4" spans="1:53" ht="85.5" hidden="1" customHeight="1" x14ac:dyDescent="0.2">
      <c r="A4" s="71" t="s">
        <v>439</v>
      </c>
      <c r="B4" s="71">
        <v>2026</v>
      </c>
      <c r="C4" s="71" t="s">
        <v>789</v>
      </c>
      <c r="D4" s="71" t="s">
        <v>790</v>
      </c>
      <c r="E4" s="71" t="s">
        <v>441</v>
      </c>
      <c r="F4" s="71" t="s">
        <v>440</v>
      </c>
      <c r="G4" s="71">
        <v>3</v>
      </c>
      <c r="H4" s="71" t="s">
        <v>441</v>
      </c>
      <c r="I4" s="71" t="s">
        <v>791</v>
      </c>
      <c r="J4" s="71" t="s">
        <v>144</v>
      </c>
      <c r="K4" s="71" t="s">
        <v>792</v>
      </c>
      <c r="L4" s="71" t="s">
        <v>44</v>
      </c>
      <c r="M4" s="71" t="s">
        <v>25</v>
      </c>
      <c r="N4" s="71" t="s">
        <v>793</v>
      </c>
      <c r="O4" s="71">
        <v>190.00487175000001</v>
      </c>
      <c r="P4" s="71" t="s">
        <v>794</v>
      </c>
      <c r="Q4" s="71" t="s">
        <v>132</v>
      </c>
      <c r="R4" s="71" t="s">
        <v>148</v>
      </c>
      <c r="S4" s="71"/>
      <c r="T4" s="71"/>
      <c r="U4" s="71"/>
      <c r="V4" s="71"/>
      <c r="W4" s="71"/>
      <c r="X4" s="71" t="s">
        <v>795</v>
      </c>
      <c r="Y4" s="71"/>
      <c r="Z4" s="71" t="s">
        <v>796</v>
      </c>
      <c r="AA4" s="71" t="s">
        <v>770</v>
      </c>
      <c r="AB4" s="71"/>
      <c r="AC4" s="71" t="s">
        <v>21</v>
      </c>
      <c r="AD4" s="71" t="s">
        <v>797</v>
      </c>
      <c r="AE4" s="71"/>
      <c r="AF4" s="71"/>
      <c r="AG4" s="71"/>
      <c r="AH4" s="71" t="s">
        <v>798</v>
      </c>
      <c r="AI4" s="71" t="s">
        <v>772</v>
      </c>
      <c r="AJ4" s="71">
        <v>9203692</v>
      </c>
      <c r="AK4" s="71" t="s">
        <v>28</v>
      </c>
      <c r="AL4" s="71">
        <v>806862</v>
      </c>
      <c r="AM4" s="71"/>
      <c r="AN4" s="71" t="s">
        <v>799</v>
      </c>
      <c r="AO4" s="71" t="s">
        <v>800</v>
      </c>
      <c r="AP4" s="71" t="s">
        <v>774</v>
      </c>
      <c r="AQ4" s="71" t="s">
        <v>801</v>
      </c>
      <c r="AR4" s="71" t="s">
        <v>802</v>
      </c>
      <c r="AS4" s="71" t="s">
        <v>801</v>
      </c>
      <c r="AT4" s="71"/>
      <c r="AU4" s="71"/>
      <c r="AV4" s="178" t="s">
        <v>803</v>
      </c>
      <c r="AW4">
        <v>150</v>
      </c>
    </row>
    <row r="5" spans="1:53" ht="104.25" hidden="1" customHeight="1" x14ac:dyDescent="0.2">
      <c r="A5" s="71" t="s">
        <v>470</v>
      </c>
      <c r="B5" s="71">
        <v>2026</v>
      </c>
      <c r="C5" s="72" t="s">
        <v>804</v>
      </c>
      <c r="D5" s="71" t="s">
        <v>805</v>
      </c>
      <c r="E5" s="71" t="s">
        <v>471</v>
      </c>
      <c r="F5" s="71" t="s">
        <v>56</v>
      </c>
      <c r="G5" s="71">
        <v>3</v>
      </c>
      <c r="H5" s="71" t="s">
        <v>471</v>
      </c>
      <c r="I5" s="71" t="s">
        <v>806</v>
      </c>
      <c r="J5" s="71" t="s">
        <v>211</v>
      </c>
      <c r="K5" s="71" t="s">
        <v>807</v>
      </c>
      <c r="L5" s="71" t="s">
        <v>44</v>
      </c>
      <c r="M5" s="71" t="s">
        <v>25</v>
      </c>
      <c r="N5" s="71" t="s">
        <v>808</v>
      </c>
      <c r="O5" s="71">
        <v>190.00958768000001</v>
      </c>
      <c r="P5" s="71" t="s">
        <v>809</v>
      </c>
      <c r="Q5" s="71" t="s">
        <v>132</v>
      </c>
      <c r="R5" s="71" t="s">
        <v>148</v>
      </c>
      <c r="S5" s="71"/>
      <c r="T5" s="71"/>
      <c r="U5" s="71"/>
      <c r="V5" s="71"/>
      <c r="W5" s="71"/>
      <c r="X5" s="71" t="s">
        <v>795</v>
      </c>
      <c r="Y5" s="71"/>
      <c r="Z5" s="71" t="s">
        <v>796</v>
      </c>
      <c r="AA5" s="71" t="s">
        <v>770</v>
      </c>
      <c r="AB5" s="71"/>
      <c r="AC5" s="71" t="s">
        <v>21</v>
      </c>
      <c r="AD5" s="71" t="s">
        <v>797</v>
      </c>
      <c r="AE5" s="71"/>
      <c r="AF5" s="71"/>
      <c r="AG5" s="71"/>
      <c r="AH5" s="71" t="s">
        <v>810</v>
      </c>
      <c r="AI5" s="71" t="s">
        <v>772</v>
      </c>
      <c r="AJ5" s="71">
        <v>9205274</v>
      </c>
      <c r="AK5" s="71" t="s">
        <v>28</v>
      </c>
      <c r="AL5" s="71">
        <v>804541</v>
      </c>
      <c r="AM5" s="71"/>
      <c r="AN5" s="71" t="s">
        <v>811</v>
      </c>
      <c r="AO5" s="71" t="s">
        <v>800</v>
      </c>
      <c r="AP5" s="71" t="s">
        <v>774</v>
      </c>
      <c r="AQ5" s="71" t="s">
        <v>801</v>
      </c>
      <c r="AR5" s="71" t="s">
        <v>802</v>
      </c>
      <c r="AS5" s="71" t="s">
        <v>801</v>
      </c>
      <c r="AT5" s="71"/>
      <c r="AU5" s="71"/>
      <c r="AV5">
        <v>35</v>
      </c>
      <c r="AW5">
        <v>150</v>
      </c>
    </row>
    <row r="6" spans="1:53" ht="89.25" hidden="1" customHeight="1" x14ac:dyDescent="0.2">
      <c r="A6" s="71" t="s">
        <v>524</v>
      </c>
      <c r="B6" s="71">
        <v>2026</v>
      </c>
      <c r="C6" s="72" t="s">
        <v>812</v>
      </c>
      <c r="D6" s="71" t="s">
        <v>813</v>
      </c>
      <c r="E6" s="71" t="s">
        <v>527</v>
      </c>
      <c r="F6" s="71" t="s">
        <v>525</v>
      </c>
      <c r="G6" s="71">
        <v>3</v>
      </c>
      <c r="H6" s="71" t="s">
        <v>526</v>
      </c>
      <c r="I6" s="71" t="s">
        <v>814</v>
      </c>
      <c r="J6" s="71" t="s">
        <v>20</v>
      </c>
      <c r="K6" s="71" t="s">
        <v>815</v>
      </c>
      <c r="L6" s="71" t="s">
        <v>35</v>
      </c>
      <c r="M6" s="71" t="s">
        <v>25</v>
      </c>
      <c r="N6" s="71" t="s">
        <v>816</v>
      </c>
      <c r="O6" s="71">
        <v>190.00992697000001</v>
      </c>
      <c r="P6" s="71" t="s">
        <v>817</v>
      </c>
      <c r="Q6" s="71" t="s">
        <v>132</v>
      </c>
      <c r="R6" s="71" t="s">
        <v>420</v>
      </c>
      <c r="S6" s="71"/>
      <c r="T6" s="71"/>
      <c r="U6" s="71"/>
      <c r="V6" s="71"/>
      <c r="W6" s="71"/>
      <c r="X6" s="71" t="s">
        <v>818</v>
      </c>
      <c r="Y6" s="71"/>
      <c r="Z6" s="71" t="s">
        <v>819</v>
      </c>
      <c r="AA6" s="71" t="s">
        <v>770</v>
      </c>
      <c r="AB6" s="71"/>
      <c r="AC6" s="71" t="s">
        <v>21</v>
      </c>
      <c r="AD6" s="71" t="s">
        <v>797</v>
      </c>
      <c r="AE6" s="71"/>
      <c r="AF6" s="71"/>
      <c r="AG6" s="71"/>
      <c r="AH6" s="71" t="s">
        <v>820</v>
      </c>
      <c r="AI6" s="71" t="s">
        <v>772</v>
      </c>
      <c r="AJ6" s="71">
        <v>8864791</v>
      </c>
      <c r="AK6" s="71" t="s">
        <v>65</v>
      </c>
      <c r="AL6" s="71">
        <v>791175</v>
      </c>
      <c r="AM6" s="71" t="s">
        <v>821</v>
      </c>
      <c r="AN6" s="71" t="s">
        <v>822</v>
      </c>
      <c r="AO6" s="71" t="s">
        <v>786</v>
      </c>
      <c r="AP6" s="71" t="s">
        <v>774</v>
      </c>
      <c r="AQ6" s="71" t="s">
        <v>823</v>
      </c>
      <c r="AR6" s="71" t="s">
        <v>776</v>
      </c>
      <c r="AS6" s="71" t="s">
        <v>818</v>
      </c>
      <c r="AT6" s="71"/>
      <c r="AU6" s="71"/>
    </row>
    <row r="7" spans="1:53" ht="15" customHeight="1" x14ac:dyDescent="0.2">
      <c r="A7" s="71" t="s">
        <v>530</v>
      </c>
      <c r="B7" s="71">
        <v>2026</v>
      </c>
      <c r="C7" s="72" t="s">
        <v>824</v>
      </c>
      <c r="D7" s="71" t="s">
        <v>825</v>
      </c>
      <c r="E7" s="71" t="s">
        <v>531</v>
      </c>
      <c r="F7" s="71" t="s">
        <v>63</v>
      </c>
      <c r="G7" s="71">
        <v>3</v>
      </c>
      <c r="H7" s="71" t="s">
        <v>531</v>
      </c>
      <c r="I7" s="71" t="s">
        <v>826</v>
      </c>
      <c r="J7" s="71" t="s">
        <v>112</v>
      </c>
      <c r="K7" s="71" t="s">
        <v>827</v>
      </c>
      <c r="L7" s="71" t="s">
        <v>131</v>
      </c>
      <c r="M7" s="71" t="s">
        <v>25</v>
      </c>
      <c r="N7" s="71" t="s">
        <v>828</v>
      </c>
      <c r="O7" s="71">
        <v>190.00666608</v>
      </c>
      <c r="P7" s="71" t="s">
        <v>829</v>
      </c>
      <c r="Q7" s="71" t="s">
        <v>132</v>
      </c>
      <c r="R7" s="71" t="s">
        <v>263</v>
      </c>
      <c r="S7" s="71"/>
      <c r="T7" s="71"/>
      <c r="U7" s="71"/>
      <c r="V7" s="71"/>
      <c r="W7" s="71"/>
      <c r="X7" s="71"/>
      <c r="Y7" s="71"/>
      <c r="Z7" s="71"/>
      <c r="AA7" s="71" t="s">
        <v>770</v>
      </c>
      <c r="AB7" s="71"/>
      <c r="AC7" s="71" t="s">
        <v>21</v>
      </c>
      <c r="AD7" s="71" t="s">
        <v>797</v>
      </c>
      <c r="AE7" s="71"/>
      <c r="AF7" s="71"/>
      <c r="AG7" s="71"/>
      <c r="AH7" s="71" t="s">
        <v>830</v>
      </c>
      <c r="AI7" s="71" t="s">
        <v>772</v>
      </c>
      <c r="AJ7" s="71">
        <v>8869067</v>
      </c>
      <c r="AK7" s="71" t="s">
        <v>65</v>
      </c>
      <c r="AL7" s="71">
        <v>794173</v>
      </c>
      <c r="AM7" s="71" t="s">
        <v>821</v>
      </c>
      <c r="AN7" s="71" t="s">
        <v>831</v>
      </c>
      <c r="AO7" s="71" t="s">
        <v>773</v>
      </c>
      <c r="AP7" s="71" t="s">
        <v>774</v>
      </c>
      <c r="AQ7" s="71" t="s">
        <v>787</v>
      </c>
      <c r="AR7" s="71" t="s">
        <v>788</v>
      </c>
      <c r="AS7" s="71" t="s">
        <v>777</v>
      </c>
      <c r="AT7" s="71"/>
      <c r="AU7" s="71"/>
    </row>
    <row r="8" spans="1:53" ht="111.75" hidden="1" customHeight="1" x14ac:dyDescent="0.2">
      <c r="A8" s="71" t="s">
        <v>532</v>
      </c>
      <c r="B8" s="71">
        <v>2026</v>
      </c>
      <c r="C8" s="72" t="s">
        <v>832</v>
      </c>
      <c r="D8" s="71" t="s">
        <v>833</v>
      </c>
      <c r="E8" s="71" t="s">
        <v>534</v>
      </c>
      <c r="F8" s="71" t="s">
        <v>63</v>
      </c>
      <c r="G8" s="71">
        <v>3</v>
      </c>
      <c r="H8" s="71" t="s">
        <v>533</v>
      </c>
      <c r="I8" s="71" t="s">
        <v>834</v>
      </c>
      <c r="J8" s="71" t="s">
        <v>20</v>
      </c>
      <c r="K8" s="71" t="s">
        <v>835</v>
      </c>
      <c r="L8" s="71" t="s">
        <v>35</v>
      </c>
      <c r="M8" s="71" t="s">
        <v>25</v>
      </c>
      <c r="N8" s="71" t="s">
        <v>836</v>
      </c>
      <c r="O8" s="71">
        <v>190.02384706000001</v>
      </c>
      <c r="P8" s="71" t="s">
        <v>837</v>
      </c>
      <c r="Q8" s="71" t="s">
        <v>167</v>
      </c>
      <c r="R8" s="71" t="s">
        <v>148</v>
      </c>
      <c r="S8" s="71"/>
      <c r="T8" s="71"/>
      <c r="U8" s="71"/>
      <c r="V8" s="71"/>
      <c r="W8" s="71"/>
      <c r="X8" s="71" t="s">
        <v>783</v>
      </c>
      <c r="Y8" s="71"/>
      <c r="Z8" s="71" t="s">
        <v>784</v>
      </c>
      <c r="AA8" s="71" t="s">
        <v>770</v>
      </c>
      <c r="AB8" s="71"/>
      <c r="AC8" s="71" t="s">
        <v>21</v>
      </c>
      <c r="AD8" s="71"/>
      <c r="AE8" s="71"/>
      <c r="AF8" s="71"/>
      <c r="AG8" s="71"/>
      <c r="AH8" s="71" t="s">
        <v>838</v>
      </c>
      <c r="AI8" s="71" t="s">
        <v>772</v>
      </c>
      <c r="AJ8" s="71">
        <v>8868117</v>
      </c>
      <c r="AK8" s="71" t="s">
        <v>65</v>
      </c>
      <c r="AL8" s="71">
        <v>792975</v>
      </c>
      <c r="AM8" s="71"/>
      <c r="AN8" s="71"/>
      <c r="AO8" s="71" t="s">
        <v>786</v>
      </c>
      <c r="AP8" s="71" t="s">
        <v>774</v>
      </c>
      <c r="AQ8" s="71" t="s">
        <v>787</v>
      </c>
      <c r="AR8" s="71" t="s">
        <v>788</v>
      </c>
      <c r="AS8" s="71" t="s">
        <v>777</v>
      </c>
      <c r="AT8" s="71"/>
      <c r="AU8" s="71"/>
    </row>
    <row r="9" spans="1:53" ht="84" hidden="1" customHeight="1" x14ac:dyDescent="0.2">
      <c r="A9" s="71" t="s">
        <v>481</v>
      </c>
      <c r="B9" s="71">
        <v>2026</v>
      </c>
      <c r="C9" s="72" t="s">
        <v>839</v>
      </c>
      <c r="D9" s="71" t="s">
        <v>840</v>
      </c>
      <c r="E9" s="71" t="s">
        <v>483</v>
      </c>
      <c r="F9" s="71" t="s">
        <v>482</v>
      </c>
      <c r="G9" s="71">
        <v>1</v>
      </c>
      <c r="H9" s="71" t="s">
        <v>483</v>
      </c>
      <c r="I9" s="71" t="s">
        <v>841</v>
      </c>
      <c r="J9" s="71" t="s">
        <v>20</v>
      </c>
      <c r="K9" s="71" t="s">
        <v>842</v>
      </c>
      <c r="L9" s="71" t="s">
        <v>24</v>
      </c>
      <c r="M9" s="71" t="s">
        <v>25</v>
      </c>
      <c r="N9" s="71" t="s">
        <v>843</v>
      </c>
      <c r="O9" s="71">
        <v>190.01018948000001</v>
      </c>
      <c r="P9" s="71" t="s">
        <v>844</v>
      </c>
      <c r="Q9" s="71" t="s">
        <v>132</v>
      </c>
      <c r="R9" s="71" t="s">
        <v>263</v>
      </c>
      <c r="S9" s="71"/>
      <c r="T9" s="71"/>
      <c r="U9" s="71"/>
      <c r="V9" s="71"/>
      <c r="W9" s="71"/>
      <c r="X9" s="71" t="s">
        <v>845</v>
      </c>
      <c r="Y9" s="71"/>
      <c r="Z9" s="71" t="s">
        <v>846</v>
      </c>
      <c r="AA9" s="71" t="s">
        <v>770</v>
      </c>
      <c r="AB9" s="71"/>
      <c r="AC9" s="71" t="s">
        <v>21</v>
      </c>
      <c r="AD9" s="71" t="s">
        <v>797</v>
      </c>
      <c r="AE9" s="71"/>
      <c r="AF9" s="71"/>
      <c r="AG9" s="71"/>
      <c r="AH9" s="71" t="s">
        <v>847</v>
      </c>
      <c r="AI9" s="71" t="s">
        <v>772</v>
      </c>
      <c r="AJ9" s="71">
        <v>8872214</v>
      </c>
      <c r="AK9" s="71" t="s">
        <v>330</v>
      </c>
      <c r="AL9" s="71">
        <v>775561</v>
      </c>
      <c r="AM9" s="71" t="s">
        <v>821</v>
      </c>
      <c r="AN9" s="71"/>
      <c r="AO9" s="71" t="s">
        <v>848</v>
      </c>
      <c r="AP9" s="71" t="s">
        <v>774</v>
      </c>
      <c r="AQ9" s="71" t="s">
        <v>787</v>
      </c>
      <c r="AR9" s="71" t="s">
        <v>788</v>
      </c>
      <c r="AS9" s="71" t="s">
        <v>777</v>
      </c>
      <c r="AT9" s="71"/>
      <c r="AU9" s="71"/>
    </row>
    <row r="10" spans="1:53" ht="66" hidden="1" customHeight="1" x14ac:dyDescent="0.2">
      <c r="A10" s="71" t="s">
        <v>849</v>
      </c>
      <c r="B10" s="71">
        <v>2026</v>
      </c>
      <c r="C10" s="72" t="s">
        <v>850</v>
      </c>
      <c r="D10" s="71" t="s">
        <v>851</v>
      </c>
      <c r="E10" s="71" t="s">
        <v>852</v>
      </c>
      <c r="F10" s="71" t="s">
        <v>449</v>
      </c>
      <c r="G10" s="71">
        <v>2</v>
      </c>
      <c r="H10" s="71" t="s">
        <v>478</v>
      </c>
      <c r="I10" s="71" t="s">
        <v>853</v>
      </c>
      <c r="J10" s="71" t="s">
        <v>20</v>
      </c>
      <c r="K10" s="71" t="s">
        <v>854</v>
      </c>
      <c r="L10" s="71" t="s">
        <v>35</v>
      </c>
      <c r="M10" s="71" t="s">
        <v>25</v>
      </c>
      <c r="N10" s="71" t="s">
        <v>855</v>
      </c>
      <c r="O10" s="71">
        <v>190.00091168</v>
      </c>
      <c r="P10" s="71" t="s">
        <v>856</v>
      </c>
      <c r="Q10" s="71" t="s">
        <v>857</v>
      </c>
      <c r="R10" s="71" t="s">
        <v>263</v>
      </c>
      <c r="S10" s="71"/>
      <c r="T10" s="71"/>
      <c r="U10" s="71"/>
      <c r="V10" s="71"/>
      <c r="W10" s="71"/>
      <c r="X10" s="71" t="s">
        <v>858</v>
      </c>
      <c r="Y10" s="71"/>
      <c r="Z10" s="71" t="s">
        <v>846</v>
      </c>
      <c r="AA10" s="71" t="s">
        <v>770</v>
      </c>
      <c r="AB10" s="71"/>
      <c r="AC10" s="71" t="s">
        <v>21</v>
      </c>
      <c r="AD10" s="71" t="s">
        <v>797</v>
      </c>
      <c r="AE10" s="71"/>
      <c r="AF10" s="71"/>
      <c r="AG10" s="71"/>
      <c r="AH10" s="71" t="s">
        <v>859</v>
      </c>
      <c r="AI10" s="71" t="s">
        <v>772</v>
      </c>
      <c r="AJ10" s="71">
        <v>8869375</v>
      </c>
      <c r="AK10" s="71" t="s">
        <v>65</v>
      </c>
      <c r="AL10" s="71">
        <v>791764</v>
      </c>
      <c r="AM10" s="71"/>
      <c r="AN10" s="71"/>
      <c r="AO10" s="71" t="s">
        <v>848</v>
      </c>
      <c r="AP10" s="71" t="s">
        <v>774</v>
      </c>
      <c r="AQ10" s="71" t="s">
        <v>860</v>
      </c>
      <c r="AR10" s="71" t="s">
        <v>776</v>
      </c>
      <c r="AS10" s="71" t="s">
        <v>861</v>
      </c>
      <c r="AT10" s="72" t="s">
        <v>850</v>
      </c>
      <c r="AU10" s="71" t="s">
        <v>862</v>
      </c>
    </row>
    <row r="11" spans="1:53" ht="15" hidden="1" customHeight="1" x14ac:dyDescent="0.2">
      <c r="A11" s="71" t="s">
        <v>448</v>
      </c>
      <c r="B11" s="71">
        <v>2026</v>
      </c>
      <c r="C11" s="72" t="s">
        <v>863</v>
      </c>
      <c r="D11" s="71" t="s">
        <v>851</v>
      </c>
      <c r="E11" s="71" t="s">
        <v>450</v>
      </c>
      <c r="F11" s="71" t="s">
        <v>449</v>
      </c>
      <c r="G11" s="71">
        <v>2</v>
      </c>
      <c r="H11" s="71" t="s">
        <v>450</v>
      </c>
      <c r="I11" s="71" t="s">
        <v>864</v>
      </c>
      <c r="J11" s="71" t="s">
        <v>20</v>
      </c>
      <c r="K11" s="71" t="s">
        <v>854</v>
      </c>
      <c r="L11" s="71" t="s">
        <v>35</v>
      </c>
      <c r="M11" s="71" t="s">
        <v>25</v>
      </c>
      <c r="N11" s="71" t="s">
        <v>865</v>
      </c>
      <c r="O11" s="71">
        <v>190.00990371</v>
      </c>
      <c r="P11" s="71" t="s">
        <v>866</v>
      </c>
      <c r="Q11" s="71" t="s">
        <v>132</v>
      </c>
      <c r="R11" s="71" t="s">
        <v>263</v>
      </c>
      <c r="S11" s="71"/>
      <c r="T11" s="71"/>
      <c r="U11" s="71"/>
      <c r="V11" s="71"/>
      <c r="W11" s="71"/>
      <c r="X11" s="71" t="s">
        <v>858</v>
      </c>
      <c r="Y11" s="71"/>
      <c r="Z11" s="71" t="s">
        <v>846</v>
      </c>
      <c r="AA11" s="71" t="s">
        <v>770</v>
      </c>
      <c r="AB11" s="71"/>
      <c r="AC11" s="71" t="s">
        <v>21</v>
      </c>
      <c r="AD11" s="71" t="s">
        <v>797</v>
      </c>
      <c r="AE11" s="71"/>
      <c r="AF11" s="71"/>
      <c r="AG11" s="71"/>
      <c r="AH11" s="71" t="s">
        <v>867</v>
      </c>
      <c r="AI11" s="71" t="s">
        <v>772</v>
      </c>
      <c r="AJ11" s="71">
        <v>8869976</v>
      </c>
      <c r="AK11" s="71" t="s">
        <v>65</v>
      </c>
      <c r="AL11" s="71">
        <v>791764</v>
      </c>
      <c r="AM11" s="71" t="s">
        <v>821</v>
      </c>
      <c r="AN11" s="71" t="s">
        <v>831</v>
      </c>
      <c r="AO11" s="71" t="s">
        <v>848</v>
      </c>
      <c r="AP11" s="71" t="s">
        <v>774</v>
      </c>
      <c r="AQ11" s="71" t="s">
        <v>860</v>
      </c>
      <c r="AR11" s="71" t="s">
        <v>776</v>
      </c>
      <c r="AS11" s="71" t="s">
        <v>861</v>
      </c>
      <c r="AT11" s="72" t="s">
        <v>850</v>
      </c>
      <c r="AU11" s="71"/>
    </row>
    <row r="12" spans="1:53" ht="15" customHeight="1" x14ac:dyDescent="0.2">
      <c r="A12" s="71" t="s">
        <v>62</v>
      </c>
      <c r="B12" s="71">
        <v>2024</v>
      </c>
      <c r="C12" s="71" t="s">
        <v>868</v>
      </c>
      <c r="D12" s="71" t="s">
        <v>869</v>
      </c>
      <c r="E12" s="71" t="s">
        <v>66</v>
      </c>
      <c r="F12" s="71" t="s">
        <v>63</v>
      </c>
      <c r="G12" s="71">
        <v>3</v>
      </c>
      <c r="H12" s="71" t="s">
        <v>64</v>
      </c>
      <c r="I12" s="71" t="s">
        <v>870</v>
      </c>
      <c r="J12" s="71" t="s">
        <v>20</v>
      </c>
      <c r="K12" s="71" t="s">
        <v>871</v>
      </c>
      <c r="L12" s="71" t="s">
        <v>35</v>
      </c>
      <c r="M12" s="71" t="s">
        <v>25</v>
      </c>
      <c r="N12" s="71" t="s">
        <v>872</v>
      </c>
      <c r="O12" s="71">
        <v>190.02683740000001</v>
      </c>
      <c r="P12" s="71" t="s">
        <v>767</v>
      </c>
      <c r="Q12" s="71" t="s">
        <v>26</v>
      </c>
      <c r="R12" s="71" t="s">
        <v>31</v>
      </c>
      <c r="S12" s="71"/>
      <c r="T12" s="71"/>
      <c r="U12" s="71"/>
      <c r="V12" s="71"/>
      <c r="W12" s="71"/>
      <c r="X12" s="71" t="s">
        <v>845</v>
      </c>
      <c r="Y12" s="71"/>
      <c r="Z12" s="71" t="s">
        <v>873</v>
      </c>
      <c r="AA12" s="71" t="s">
        <v>874</v>
      </c>
      <c r="AB12" s="71"/>
      <c r="AC12" s="71" t="s">
        <v>21</v>
      </c>
      <c r="AD12" s="71"/>
      <c r="AE12" s="71"/>
      <c r="AF12" s="71"/>
      <c r="AG12" s="71"/>
      <c r="AH12" s="71" t="s">
        <v>875</v>
      </c>
      <c r="AI12" s="71" t="s">
        <v>772</v>
      </c>
      <c r="AJ12" s="71">
        <v>8868932</v>
      </c>
      <c r="AK12" s="71" t="s">
        <v>65</v>
      </c>
      <c r="AL12" s="71">
        <v>793345</v>
      </c>
      <c r="AM12" s="71"/>
      <c r="AN12" s="71"/>
      <c r="AO12" s="71" t="s">
        <v>773</v>
      </c>
      <c r="AP12" s="71" t="s">
        <v>774</v>
      </c>
      <c r="AQ12" s="71" t="s">
        <v>876</v>
      </c>
      <c r="AR12" s="71" t="s">
        <v>802</v>
      </c>
      <c r="AS12" s="71" t="s">
        <v>876</v>
      </c>
      <c r="AT12" s="71"/>
      <c r="AU12" s="71"/>
    </row>
    <row r="13" spans="1:53" ht="118.5" customHeight="1" x14ac:dyDescent="0.2">
      <c r="A13" s="71" t="s">
        <v>535</v>
      </c>
      <c r="B13" s="71">
        <v>2026</v>
      </c>
      <c r="C13" s="71" t="s">
        <v>877</v>
      </c>
      <c r="D13" s="71" t="s">
        <v>878</v>
      </c>
      <c r="E13" s="71" t="s">
        <v>536</v>
      </c>
      <c r="F13" s="71" t="s">
        <v>305</v>
      </c>
      <c r="G13" s="71">
        <v>2</v>
      </c>
      <c r="H13" s="71" t="s">
        <v>536</v>
      </c>
      <c r="I13" s="71" t="s">
        <v>879</v>
      </c>
      <c r="J13" s="71" t="s">
        <v>493</v>
      </c>
      <c r="K13" s="71" t="s">
        <v>880</v>
      </c>
      <c r="L13" s="71" t="s">
        <v>24</v>
      </c>
      <c r="M13" s="71" t="s">
        <v>25</v>
      </c>
      <c r="N13" s="71" t="s">
        <v>881</v>
      </c>
      <c r="O13" s="71">
        <v>190.02295982000001</v>
      </c>
      <c r="P13" s="71" t="s">
        <v>882</v>
      </c>
      <c r="Q13" s="71" t="s">
        <v>36</v>
      </c>
      <c r="R13" s="71" t="s">
        <v>31</v>
      </c>
      <c r="S13" s="71"/>
      <c r="T13" s="71"/>
      <c r="U13" s="71"/>
      <c r="V13" s="71"/>
      <c r="W13" s="71"/>
      <c r="X13" s="71"/>
      <c r="Y13" s="71"/>
      <c r="Z13" s="71"/>
      <c r="AA13" s="71" t="s">
        <v>770</v>
      </c>
      <c r="AB13" s="71"/>
      <c r="AC13" s="71" t="s">
        <v>21</v>
      </c>
      <c r="AD13" s="71"/>
      <c r="AE13" s="71"/>
      <c r="AF13" s="71"/>
      <c r="AG13" s="71"/>
      <c r="AH13" s="71"/>
      <c r="AI13" s="71" t="s">
        <v>772</v>
      </c>
      <c r="AJ13" s="71">
        <v>8722032</v>
      </c>
      <c r="AK13" s="71" t="s">
        <v>355</v>
      </c>
      <c r="AL13" s="71">
        <v>849089</v>
      </c>
      <c r="AM13" s="71"/>
      <c r="AN13" s="71"/>
      <c r="AO13" s="71" t="s">
        <v>773</v>
      </c>
      <c r="AP13" s="71" t="s">
        <v>774</v>
      </c>
      <c r="AQ13" s="71" t="s">
        <v>883</v>
      </c>
      <c r="AR13" s="71" t="s">
        <v>802</v>
      </c>
      <c r="AS13" s="71" t="s">
        <v>884</v>
      </c>
      <c r="AT13" s="71"/>
      <c r="AU13" s="71"/>
    </row>
    <row r="14" spans="1:53" ht="15" customHeight="1" x14ac:dyDescent="0.2">
      <c r="A14" s="71" t="s">
        <v>429</v>
      </c>
      <c r="B14" s="71">
        <v>2026</v>
      </c>
      <c r="C14" s="72" t="s">
        <v>885</v>
      </c>
      <c r="D14" s="71" t="s">
        <v>886</v>
      </c>
      <c r="E14" s="71" t="s">
        <v>432</v>
      </c>
      <c r="F14" s="71" t="s">
        <v>430</v>
      </c>
      <c r="G14" s="71">
        <v>2</v>
      </c>
      <c r="H14" s="71" t="s">
        <v>431</v>
      </c>
      <c r="I14" s="71" t="s">
        <v>887</v>
      </c>
      <c r="J14" s="71" t="s">
        <v>20</v>
      </c>
      <c r="K14" s="71" t="s">
        <v>888</v>
      </c>
      <c r="L14" s="71" t="s">
        <v>35</v>
      </c>
      <c r="M14" s="71" t="s">
        <v>25</v>
      </c>
      <c r="N14" s="71" t="s">
        <v>889</v>
      </c>
      <c r="O14" s="71">
        <v>190.02317871</v>
      </c>
      <c r="P14" s="71" t="s">
        <v>890</v>
      </c>
      <c r="Q14" s="71" t="s">
        <v>94</v>
      </c>
      <c r="R14" s="71" t="s">
        <v>31</v>
      </c>
      <c r="S14" s="71"/>
      <c r="T14" s="71"/>
      <c r="U14" s="71"/>
      <c r="V14" s="71"/>
      <c r="W14" s="71"/>
      <c r="X14" s="71" t="s">
        <v>891</v>
      </c>
      <c r="Y14" s="71"/>
      <c r="Z14" s="71" t="s">
        <v>892</v>
      </c>
      <c r="AA14" s="71" t="s">
        <v>770</v>
      </c>
      <c r="AB14" s="71"/>
      <c r="AC14" s="71" t="s">
        <v>21</v>
      </c>
      <c r="AD14" s="71"/>
      <c r="AE14" s="71"/>
      <c r="AF14" s="71"/>
      <c r="AG14" s="71"/>
      <c r="AH14" s="71" t="s">
        <v>893</v>
      </c>
      <c r="AI14" s="71" t="s">
        <v>772</v>
      </c>
      <c r="AJ14" s="71">
        <v>8872358</v>
      </c>
      <c r="AK14" s="71" t="s">
        <v>330</v>
      </c>
      <c r="AL14" s="71">
        <v>770823</v>
      </c>
      <c r="AM14" s="71"/>
      <c r="AN14" s="71"/>
      <c r="AO14" s="71" t="s">
        <v>773</v>
      </c>
      <c r="AP14" s="71" t="s">
        <v>774</v>
      </c>
      <c r="AQ14" s="71" t="s">
        <v>894</v>
      </c>
      <c r="AR14" s="71" t="s">
        <v>802</v>
      </c>
      <c r="AS14" s="71" t="s">
        <v>895</v>
      </c>
      <c r="AT14" s="71"/>
      <c r="AU14" s="71"/>
    </row>
    <row r="15" spans="1:53" ht="86.25" customHeight="1" x14ac:dyDescent="0.2">
      <c r="A15" s="71" t="s">
        <v>543</v>
      </c>
      <c r="B15" s="71">
        <v>2026</v>
      </c>
      <c r="C15" s="71" t="s">
        <v>896</v>
      </c>
      <c r="D15" s="71" t="s">
        <v>897</v>
      </c>
      <c r="E15" s="71" t="s">
        <v>544</v>
      </c>
      <c r="F15" s="71" t="s">
        <v>494</v>
      </c>
      <c r="G15" s="71">
        <v>2</v>
      </c>
      <c r="H15" s="71" t="s">
        <v>544</v>
      </c>
      <c r="I15" s="71" t="s">
        <v>898</v>
      </c>
      <c r="J15" s="71" t="s">
        <v>493</v>
      </c>
      <c r="K15" s="71" t="s">
        <v>880</v>
      </c>
      <c r="L15" s="71" t="s">
        <v>35</v>
      </c>
      <c r="M15" s="71" t="s">
        <v>25</v>
      </c>
      <c r="N15" s="71" t="s">
        <v>899</v>
      </c>
      <c r="O15" s="71">
        <v>190.02765059000001</v>
      </c>
      <c r="P15" s="71" t="s">
        <v>767</v>
      </c>
      <c r="Q15" s="71" t="s">
        <v>36</v>
      </c>
      <c r="R15" s="71" t="s">
        <v>31</v>
      </c>
      <c r="S15" s="71"/>
      <c r="T15" s="71"/>
      <c r="U15" s="71"/>
      <c r="V15" s="71"/>
      <c r="W15" s="71"/>
      <c r="X15" s="71"/>
      <c r="Y15" s="71"/>
      <c r="Z15" s="71"/>
      <c r="AA15" s="71" t="s">
        <v>770</v>
      </c>
      <c r="AB15" s="71"/>
      <c r="AC15" s="71" t="s">
        <v>21</v>
      </c>
      <c r="AD15" s="71"/>
      <c r="AE15" s="71"/>
      <c r="AF15" s="71"/>
      <c r="AG15" s="71"/>
      <c r="AH15" s="71"/>
      <c r="AI15" s="71" t="s">
        <v>772</v>
      </c>
      <c r="AJ15" s="71">
        <v>8726425</v>
      </c>
      <c r="AK15" s="71" t="s">
        <v>214</v>
      </c>
      <c r="AL15" s="71">
        <v>986342</v>
      </c>
      <c r="AM15" s="71"/>
      <c r="AN15" s="71"/>
      <c r="AO15" s="71" t="s">
        <v>773</v>
      </c>
      <c r="AP15" s="71" t="s">
        <v>774</v>
      </c>
      <c r="AQ15" s="71" t="s">
        <v>884</v>
      </c>
      <c r="AR15" s="71" t="s">
        <v>802</v>
      </c>
      <c r="AS15" s="71" t="s">
        <v>884</v>
      </c>
      <c r="AT15" s="71"/>
      <c r="AU15" s="71"/>
    </row>
    <row r="16" spans="1:53" ht="15" customHeight="1" x14ac:dyDescent="0.2">
      <c r="A16" s="71" t="s">
        <v>118</v>
      </c>
      <c r="B16" s="71">
        <v>2026</v>
      </c>
      <c r="C16" s="72" t="s">
        <v>900</v>
      </c>
      <c r="D16" s="71" t="s">
        <v>901</v>
      </c>
      <c r="E16" s="71" t="s">
        <v>124</v>
      </c>
      <c r="F16" s="71" t="s">
        <v>119</v>
      </c>
      <c r="G16" s="71">
        <v>2</v>
      </c>
      <c r="H16" s="71" t="s">
        <v>120</v>
      </c>
      <c r="I16" s="71" t="s">
        <v>902</v>
      </c>
      <c r="J16" s="71" t="s">
        <v>91</v>
      </c>
      <c r="K16" s="71" t="s">
        <v>903</v>
      </c>
      <c r="L16" s="71" t="s">
        <v>44</v>
      </c>
      <c r="M16" s="71" t="s">
        <v>25</v>
      </c>
      <c r="N16" s="71" t="s">
        <v>904</v>
      </c>
      <c r="O16" s="71">
        <v>190.02746868</v>
      </c>
      <c r="P16" s="71" t="s">
        <v>905</v>
      </c>
      <c r="Q16" s="71" t="s">
        <v>94</v>
      </c>
      <c r="R16" s="71" t="s">
        <v>40</v>
      </c>
      <c r="S16" s="71"/>
      <c r="T16" s="71"/>
      <c r="U16" s="71"/>
      <c r="V16" s="71"/>
      <c r="W16" s="71"/>
      <c r="X16" s="71" t="s">
        <v>906</v>
      </c>
      <c r="Y16" s="71"/>
      <c r="Z16" s="71"/>
      <c r="AA16" s="71" t="s">
        <v>770</v>
      </c>
      <c r="AB16" s="71"/>
      <c r="AC16" s="71" t="s">
        <v>21</v>
      </c>
      <c r="AD16" s="71"/>
      <c r="AE16" s="71"/>
      <c r="AF16" s="71"/>
      <c r="AG16" s="71"/>
      <c r="AH16" s="71" t="s">
        <v>907</v>
      </c>
      <c r="AI16" s="71" t="s">
        <v>772</v>
      </c>
      <c r="AJ16" s="71">
        <v>8781673</v>
      </c>
      <c r="AK16" s="71" t="s">
        <v>122</v>
      </c>
      <c r="AL16" s="71">
        <v>766351</v>
      </c>
      <c r="AM16" s="71"/>
      <c r="AN16" s="71"/>
      <c r="AO16" s="71" t="s">
        <v>773</v>
      </c>
      <c r="AP16" s="71" t="s">
        <v>908</v>
      </c>
      <c r="AQ16" s="71" t="s">
        <v>775</v>
      </c>
      <c r="AR16" s="71" t="s">
        <v>788</v>
      </c>
      <c r="AS16" s="71" t="s">
        <v>777</v>
      </c>
      <c r="AT16" s="71"/>
      <c r="AU16" s="71"/>
    </row>
    <row r="17" spans="1:49" ht="90" customHeight="1" x14ac:dyDescent="0.2">
      <c r="A17" s="71" t="s">
        <v>909</v>
      </c>
      <c r="B17" s="71">
        <v>2026</v>
      </c>
      <c r="C17" s="72" t="s">
        <v>910</v>
      </c>
      <c r="D17" s="71" t="s">
        <v>911</v>
      </c>
      <c r="E17" s="71" t="s">
        <v>912</v>
      </c>
      <c r="F17" s="71" t="s">
        <v>291</v>
      </c>
      <c r="G17" s="71">
        <v>3</v>
      </c>
      <c r="H17" s="71" t="s">
        <v>913</v>
      </c>
      <c r="I17" s="71" t="s">
        <v>914</v>
      </c>
      <c r="J17" s="71" t="s">
        <v>20</v>
      </c>
      <c r="K17" s="71" t="s">
        <v>915</v>
      </c>
      <c r="L17" s="71" t="s">
        <v>35</v>
      </c>
      <c r="M17" s="71" t="s">
        <v>25</v>
      </c>
      <c r="N17" s="71" t="s">
        <v>916</v>
      </c>
      <c r="O17" s="71">
        <v>190.02714137000001</v>
      </c>
      <c r="P17" s="71" t="s">
        <v>917</v>
      </c>
      <c r="Q17" s="71" t="s">
        <v>45</v>
      </c>
      <c r="R17" s="71" t="s">
        <v>31</v>
      </c>
      <c r="S17" s="71"/>
      <c r="T17" s="71"/>
      <c r="U17" s="71"/>
      <c r="V17" s="71"/>
      <c r="W17" s="71"/>
      <c r="X17" s="71" t="s">
        <v>918</v>
      </c>
      <c r="Y17" s="71"/>
      <c r="Z17" s="71" t="s">
        <v>873</v>
      </c>
      <c r="AA17" s="71" t="s">
        <v>770</v>
      </c>
      <c r="AB17" s="71"/>
      <c r="AC17" s="71" t="s">
        <v>21</v>
      </c>
      <c r="AD17" s="71"/>
      <c r="AE17" s="71"/>
      <c r="AF17" s="71"/>
      <c r="AG17" s="71"/>
      <c r="AH17" s="71" t="s">
        <v>919</v>
      </c>
      <c r="AI17" s="71" t="s">
        <v>772</v>
      </c>
      <c r="AJ17" s="71">
        <v>8908376</v>
      </c>
      <c r="AK17" s="71" t="s">
        <v>511</v>
      </c>
      <c r="AL17" s="71">
        <v>700668</v>
      </c>
      <c r="AM17" s="71"/>
      <c r="AN17" s="71"/>
      <c r="AO17" s="71" t="s">
        <v>773</v>
      </c>
      <c r="AP17" s="71" t="s">
        <v>908</v>
      </c>
      <c r="AQ17" s="71" t="s">
        <v>775</v>
      </c>
      <c r="AR17" s="71" t="s">
        <v>788</v>
      </c>
      <c r="AS17" s="71" t="s">
        <v>777</v>
      </c>
      <c r="AT17" s="71"/>
      <c r="AU17" s="71"/>
    </row>
    <row r="18" spans="1:49" ht="108" customHeight="1" x14ac:dyDescent="0.2">
      <c r="A18" s="71" t="s">
        <v>521</v>
      </c>
      <c r="B18" s="71">
        <v>2026</v>
      </c>
      <c r="C18" s="72" t="s">
        <v>920</v>
      </c>
      <c r="D18" s="71" t="s">
        <v>921</v>
      </c>
      <c r="E18" s="71" t="s">
        <v>522</v>
      </c>
      <c r="F18" s="71" t="s">
        <v>150</v>
      </c>
      <c r="G18" s="71">
        <v>2</v>
      </c>
      <c r="H18" s="71" t="s">
        <v>522</v>
      </c>
      <c r="I18" s="71" t="s">
        <v>922</v>
      </c>
      <c r="J18" s="71" t="s">
        <v>20</v>
      </c>
      <c r="K18" s="71" t="s">
        <v>259</v>
      </c>
      <c r="L18" s="71" t="s">
        <v>35</v>
      </c>
      <c r="M18" s="71" t="s">
        <v>25</v>
      </c>
      <c r="N18" s="71" t="s">
        <v>923</v>
      </c>
      <c r="O18" s="71">
        <v>190.02702975</v>
      </c>
      <c r="P18" s="71" t="s">
        <v>924</v>
      </c>
      <c r="Q18" s="71" t="s">
        <v>36</v>
      </c>
      <c r="R18" s="71" t="s">
        <v>31</v>
      </c>
      <c r="S18" s="71"/>
      <c r="T18" s="71"/>
      <c r="U18" s="71"/>
      <c r="V18" s="71"/>
      <c r="W18" s="71"/>
      <c r="X18" s="71"/>
      <c r="Y18" s="71"/>
      <c r="Z18" s="71"/>
      <c r="AA18" s="71" t="s">
        <v>770</v>
      </c>
      <c r="AB18" s="71"/>
      <c r="AC18" s="71" t="s">
        <v>21</v>
      </c>
      <c r="AD18" s="71"/>
      <c r="AE18" s="71"/>
      <c r="AF18" s="71"/>
      <c r="AG18" s="71"/>
      <c r="AH18" s="71" t="s">
        <v>925</v>
      </c>
      <c r="AI18" s="71" t="s">
        <v>772</v>
      </c>
      <c r="AJ18" s="71">
        <v>8841819</v>
      </c>
      <c r="AK18" s="71" t="s">
        <v>523</v>
      </c>
      <c r="AL18" s="71">
        <v>918776</v>
      </c>
      <c r="AM18" s="71"/>
      <c r="AN18" s="71"/>
      <c r="AO18" s="71" t="s">
        <v>773</v>
      </c>
      <c r="AP18" s="71" t="s">
        <v>774</v>
      </c>
      <c r="AQ18" s="71" t="s">
        <v>926</v>
      </c>
      <c r="AR18" s="71" t="s">
        <v>802</v>
      </c>
      <c r="AS18" s="71" t="s">
        <v>884</v>
      </c>
      <c r="AT18" s="71"/>
      <c r="AU18" s="71"/>
    </row>
    <row r="19" spans="1:49" ht="144" hidden="1" customHeight="1" x14ac:dyDescent="0.2">
      <c r="A19" s="71" t="s">
        <v>559</v>
      </c>
      <c r="B19" s="71">
        <v>2026</v>
      </c>
      <c r="C19" s="71" t="s">
        <v>927</v>
      </c>
      <c r="D19" s="71" t="s">
        <v>928</v>
      </c>
      <c r="E19" s="71" t="s">
        <v>562</v>
      </c>
      <c r="F19" s="71" t="s">
        <v>440</v>
      </c>
      <c r="G19" s="71">
        <v>1</v>
      </c>
      <c r="H19" s="71" t="s">
        <v>560</v>
      </c>
      <c r="I19" s="71" t="s">
        <v>929</v>
      </c>
      <c r="J19" s="71"/>
      <c r="K19" s="71" t="s">
        <v>930</v>
      </c>
      <c r="L19" s="71" t="s">
        <v>131</v>
      </c>
      <c r="M19" s="71" t="s">
        <v>25</v>
      </c>
      <c r="N19" s="71" t="s">
        <v>931</v>
      </c>
      <c r="O19" s="71">
        <v>190.02340107000001</v>
      </c>
      <c r="P19" s="71" t="s">
        <v>932</v>
      </c>
      <c r="Q19" s="71" t="s">
        <v>167</v>
      </c>
      <c r="R19" s="71" t="s">
        <v>561</v>
      </c>
      <c r="S19" s="71"/>
      <c r="T19" s="71"/>
      <c r="U19" s="71"/>
      <c r="V19" s="71"/>
      <c r="W19" s="71"/>
      <c r="X19" s="71"/>
      <c r="Y19" s="71"/>
      <c r="Z19" s="71"/>
      <c r="AA19" s="71" t="s">
        <v>770</v>
      </c>
      <c r="AB19" s="71"/>
      <c r="AC19" s="71" t="s">
        <v>21</v>
      </c>
      <c r="AD19" s="71"/>
      <c r="AE19" s="71"/>
      <c r="AF19" s="71"/>
      <c r="AG19" s="71"/>
      <c r="AH19" s="71" t="s">
        <v>933</v>
      </c>
      <c r="AI19" s="71" t="s">
        <v>772</v>
      </c>
      <c r="AJ19" s="71">
        <v>9203556</v>
      </c>
      <c r="AK19" s="71" t="s">
        <v>28</v>
      </c>
      <c r="AL19" s="71">
        <v>806816</v>
      </c>
      <c r="AM19" s="71"/>
      <c r="AN19" s="71"/>
      <c r="AO19" s="71" t="s">
        <v>786</v>
      </c>
      <c r="AP19" s="71" t="s">
        <v>774</v>
      </c>
      <c r="AQ19" s="71" t="s">
        <v>934</v>
      </c>
      <c r="AR19" s="71" t="s">
        <v>802</v>
      </c>
      <c r="AS19" s="71" t="s">
        <v>934</v>
      </c>
      <c r="AT19" s="71"/>
      <c r="AU19" s="71"/>
    </row>
    <row r="20" spans="1:49" ht="15" customHeight="1" x14ac:dyDescent="0.2">
      <c r="A20" s="71" t="s">
        <v>484</v>
      </c>
      <c r="B20" s="71">
        <v>2026</v>
      </c>
      <c r="C20" s="72" t="s">
        <v>935</v>
      </c>
      <c r="D20" s="71" t="s">
        <v>936</v>
      </c>
      <c r="E20" s="71" t="s">
        <v>488</v>
      </c>
      <c r="F20" s="71" t="s">
        <v>485</v>
      </c>
      <c r="G20" s="71">
        <v>3</v>
      </c>
      <c r="H20" s="71" t="s">
        <v>486</v>
      </c>
      <c r="I20" s="71" t="s">
        <v>937</v>
      </c>
      <c r="J20" s="71" t="s">
        <v>20</v>
      </c>
      <c r="K20" s="71" t="s">
        <v>938</v>
      </c>
      <c r="L20" s="71" t="s">
        <v>35</v>
      </c>
      <c r="M20" s="71" t="s">
        <v>25</v>
      </c>
      <c r="N20" s="71" t="s">
        <v>939</v>
      </c>
      <c r="O20" s="71">
        <v>190.02641084000001</v>
      </c>
      <c r="P20" s="71" t="s">
        <v>940</v>
      </c>
      <c r="Q20" s="71" t="s">
        <v>45</v>
      </c>
      <c r="R20" s="71" t="s">
        <v>31</v>
      </c>
      <c r="S20" s="71"/>
      <c r="T20" s="71"/>
      <c r="U20" s="71"/>
      <c r="V20" s="71"/>
      <c r="W20" s="71"/>
      <c r="X20" s="71" t="s">
        <v>312</v>
      </c>
      <c r="Y20" s="71"/>
      <c r="Z20" s="71" t="s">
        <v>846</v>
      </c>
      <c r="AA20" s="71" t="s">
        <v>770</v>
      </c>
      <c r="AB20" s="71"/>
      <c r="AC20" s="71" t="s">
        <v>21</v>
      </c>
      <c r="AD20" s="71"/>
      <c r="AE20" s="71"/>
      <c r="AF20" s="71"/>
      <c r="AG20" s="71"/>
      <c r="AH20" s="71" t="s">
        <v>941</v>
      </c>
      <c r="AI20" s="71" t="s">
        <v>772</v>
      </c>
      <c r="AJ20" s="71">
        <v>8950905</v>
      </c>
      <c r="AK20" s="71" t="s">
        <v>487</v>
      </c>
      <c r="AL20" s="71">
        <v>851948</v>
      </c>
      <c r="AM20" s="71"/>
      <c r="AN20" s="71"/>
      <c r="AO20" s="71" t="s">
        <v>773</v>
      </c>
      <c r="AP20" s="71" t="s">
        <v>774</v>
      </c>
      <c r="AQ20" s="71" t="s">
        <v>312</v>
      </c>
      <c r="AR20" s="71" t="s">
        <v>802</v>
      </c>
      <c r="AS20" s="71" t="s">
        <v>312</v>
      </c>
      <c r="AT20" s="71"/>
      <c r="AU20" s="71"/>
    </row>
    <row r="21" spans="1:49" ht="15" hidden="1" customHeight="1" x14ac:dyDescent="0.2">
      <c r="A21" s="71" t="s">
        <v>567</v>
      </c>
      <c r="B21" s="71">
        <v>2026</v>
      </c>
      <c r="C21" s="72" t="s">
        <v>942</v>
      </c>
      <c r="D21" s="71" t="s">
        <v>943</v>
      </c>
      <c r="E21" s="71" t="s">
        <v>568</v>
      </c>
      <c r="F21" s="71" t="s">
        <v>395</v>
      </c>
      <c r="G21" s="71">
        <v>2</v>
      </c>
      <c r="H21" s="71" t="s">
        <v>568</v>
      </c>
      <c r="I21" s="71" t="s">
        <v>944</v>
      </c>
      <c r="J21" s="71" t="s">
        <v>20</v>
      </c>
      <c r="K21" s="71" t="s">
        <v>945</v>
      </c>
      <c r="L21" s="71" t="s">
        <v>35</v>
      </c>
      <c r="M21" s="71" t="s">
        <v>25</v>
      </c>
      <c r="N21" s="71" t="s">
        <v>946</v>
      </c>
      <c r="O21" s="71">
        <v>190.00481052999999</v>
      </c>
      <c r="P21" s="71" t="s">
        <v>947</v>
      </c>
      <c r="Q21" s="71" t="s">
        <v>132</v>
      </c>
      <c r="R21" s="71" t="s">
        <v>263</v>
      </c>
      <c r="S21" s="71"/>
      <c r="T21" s="71"/>
      <c r="U21" s="71"/>
      <c r="V21" s="71"/>
      <c r="W21" s="71"/>
      <c r="X21" s="71" t="s">
        <v>818</v>
      </c>
      <c r="Y21" s="71"/>
      <c r="Z21" s="71" t="s">
        <v>948</v>
      </c>
      <c r="AA21" s="71" t="s">
        <v>770</v>
      </c>
      <c r="AB21" s="71"/>
      <c r="AC21" s="71" t="s">
        <v>21</v>
      </c>
      <c r="AD21" s="71" t="s">
        <v>797</v>
      </c>
      <c r="AE21" s="71"/>
      <c r="AF21" s="71"/>
      <c r="AG21" s="71"/>
      <c r="AH21" s="71" t="s">
        <v>949</v>
      </c>
      <c r="AI21" s="71" t="s">
        <v>772</v>
      </c>
      <c r="AJ21" s="71">
        <v>9208353</v>
      </c>
      <c r="AK21" s="71" t="s">
        <v>147</v>
      </c>
      <c r="AL21" s="71">
        <v>762298</v>
      </c>
      <c r="AM21" s="71" t="s">
        <v>821</v>
      </c>
      <c r="AN21" s="71"/>
      <c r="AO21" s="71" t="s">
        <v>786</v>
      </c>
      <c r="AP21" s="71" t="s">
        <v>774</v>
      </c>
      <c r="AQ21" s="71" t="s">
        <v>787</v>
      </c>
      <c r="AR21" s="71" t="s">
        <v>788</v>
      </c>
      <c r="AS21" s="71" t="s">
        <v>777</v>
      </c>
      <c r="AT21" s="71"/>
      <c r="AU21" s="71"/>
    </row>
    <row r="22" spans="1:49" ht="15" customHeight="1" x14ac:dyDescent="0.2">
      <c r="A22" s="71" t="s">
        <v>528</v>
      </c>
      <c r="B22" s="71">
        <v>2026</v>
      </c>
      <c r="C22" s="72" t="s">
        <v>950</v>
      </c>
      <c r="D22" s="71" t="s">
        <v>951</v>
      </c>
      <c r="E22" s="71" t="s">
        <v>529</v>
      </c>
      <c r="F22" s="71" t="s">
        <v>430</v>
      </c>
      <c r="G22" s="71">
        <v>1</v>
      </c>
      <c r="H22" s="71" t="s">
        <v>529</v>
      </c>
      <c r="I22" s="71" t="s">
        <v>952</v>
      </c>
      <c r="J22" s="71" t="s">
        <v>211</v>
      </c>
      <c r="K22" s="71" t="s">
        <v>117</v>
      </c>
      <c r="L22" s="71" t="s">
        <v>35</v>
      </c>
      <c r="M22" s="71" t="s">
        <v>25</v>
      </c>
      <c r="N22" s="71" t="s">
        <v>953</v>
      </c>
      <c r="O22" s="71">
        <v>190.02210486000001</v>
      </c>
      <c r="P22" s="71" t="s">
        <v>954</v>
      </c>
      <c r="Q22" s="71" t="s">
        <v>36</v>
      </c>
      <c r="R22" s="71" t="s">
        <v>31</v>
      </c>
      <c r="S22" s="71"/>
      <c r="T22" s="71"/>
      <c r="U22" s="71"/>
      <c r="V22" s="71"/>
      <c r="W22" s="71"/>
      <c r="X22" s="71"/>
      <c r="Y22" s="71"/>
      <c r="Z22" s="71"/>
      <c r="AA22" s="71" t="s">
        <v>770</v>
      </c>
      <c r="AB22" s="71"/>
      <c r="AC22" s="71" t="s">
        <v>21</v>
      </c>
      <c r="AD22" s="71"/>
      <c r="AE22" s="71"/>
      <c r="AF22" s="71"/>
      <c r="AG22" s="71"/>
      <c r="AH22" s="71"/>
      <c r="AI22" s="71" t="s">
        <v>772</v>
      </c>
      <c r="AJ22" s="71">
        <v>8872437</v>
      </c>
      <c r="AK22" s="71" t="s">
        <v>330</v>
      </c>
      <c r="AL22" s="71">
        <v>766063</v>
      </c>
      <c r="AM22" s="71"/>
      <c r="AN22" s="71"/>
      <c r="AO22" s="71" t="s">
        <v>773</v>
      </c>
      <c r="AP22" s="71" t="s">
        <v>774</v>
      </c>
      <c r="AQ22" s="72" t="s">
        <v>955</v>
      </c>
      <c r="AR22" s="71" t="s">
        <v>802</v>
      </c>
      <c r="AS22" s="71" t="s">
        <v>884</v>
      </c>
      <c r="AT22" s="71"/>
      <c r="AU22" s="71"/>
    </row>
    <row r="23" spans="1:49" ht="24" customHeight="1" x14ac:dyDescent="0.2">
      <c r="A23" s="71" t="s">
        <v>537</v>
      </c>
      <c r="B23" s="71">
        <v>2026</v>
      </c>
      <c r="C23" s="72" t="s">
        <v>956</v>
      </c>
      <c r="D23" s="71" t="s">
        <v>957</v>
      </c>
      <c r="E23" s="71" t="s">
        <v>538</v>
      </c>
      <c r="F23" s="71" t="s">
        <v>328</v>
      </c>
      <c r="G23" s="71">
        <v>3</v>
      </c>
      <c r="H23" s="71" t="s">
        <v>538</v>
      </c>
      <c r="I23" s="71" t="s">
        <v>958</v>
      </c>
      <c r="J23" s="71" t="s">
        <v>211</v>
      </c>
      <c r="K23" s="71" t="s">
        <v>117</v>
      </c>
      <c r="L23" s="71" t="s">
        <v>44</v>
      </c>
      <c r="M23" s="71" t="s">
        <v>25</v>
      </c>
      <c r="N23" s="71" t="s">
        <v>959</v>
      </c>
      <c r="O23" s="71">
        <v>190.02206576</v>
      </c>
      <c r="P23" s="71" t="s">
        <v>960</v>
      </c>
      <c r="Q23" s="71" t="s">
        <v>36</v>
      </c>
      <c r="R23" s="71" t="s">
        <v>31</v>
      </c>
      <c r="S23" s="71"/>
      <c r="T23" s="71"/>
      <c r="U23" s="71"/>
      <c r="V23" s="71"/>
      <c r="W23" s="71"/>
      <c r="X23" s="71"/>
      <c r="Y23" s="71"/>
      <c r="Z23" s="71"/>
      <c r="AA23" s="71" t="s">
        <v>770</v>
      </c>
      <c r="AB23" s="71"/>
      <c r="AC23" s="71" t="s">
        <v>21</v>
      </c>
      <c r="AD23" s="71"/>
      <c r="AE23" s="71"/>
      <c r="AF23" s="71"/>
      <c r="AG23" s="71"/>
      <c r="AH23" s="71"/>
      <c r="AI23" s="71" t="s">
        <v>772</v>
      </c>
      <c r="AJ23" s="71">
        <v>8737798</v>
      </c>
      <c r="AK23" s="71" t="s">
        <v>539</v>
      </c>
      <c r="AL23" s="71">
        <v>805385</v>
      </c>
      <c r="AM23" s="71"/>
      <c r="AN23" s="71"/>
      <c r="AO23" s="71" t="s">
        <v>773</v>
      </c>
      <c r="AP23" s="71" t="s">
        <v>774</v>
      </c>
      <c r="AQ23" s="71" t="s">
        <v>312</v>
      </c>
      <c r="AR23" s="71" t="s">
        <v>802</v>
      </c>
      <c r="AS23" s="71" t="s">
        <v>312</v>
      </c>
      <c r="AT23" s="71"/>
      <c r="AU23" s="71"/>
    </row>
    <row r="24" spans="1:49" ht="55.5" customHeight="1" x14ac:dyDescent="0.2">
      <c r="A24" s="71" t="s">
        <v>961</v>
      </c>
      <c r="B24" s="71">
        <v>2026</v>
      </c>
      <c r="C24" s="72" t="s">
        <v>962</v>
      </c>
      <c r="D24" s="71" t="s">
        <v>963</v>
      </c>
      <c r="E24" s="71" t="s">
        <v>632</v>
      </c>
      <c r="F24" s="71" t="s">
        <v>631</v>
      </c>
      <c r="G24" s="71">
        <v>3</v>
      </c>
      <c r="H24" s="71" t="s">
        <v>632</v>
      </c>
      <c r="I24" s="71" t="s">
        <v>964</v>
      </c>
      <c r="J24" s="71" t="s">
        <v>211</v>
      </c>
      <c r="K24" s="71" t="s">
        <v>117</v>
      </c>
      <c r="L24" s="71" t="s">
        <v>44</v>
      </c>
      <c r="M24" s="71" t="s">
        <v>25</v>
      </c>
      <c r="N24" s="71" t="s">
        <v>965</v>
      </c>
      <c r="O24" s="71">
        <v>190.02203075</v>
      </c>
      <c r="P24" s="71" t="s">
        <v>966</v>
      </c>
      <c r="Q24" s="71" t="s">
        <v>36</v>
      </c>
      <c r="R24" s="71" t="s">
        <v>31</v>
      </c>
      <c r="S24" s="71"/>
      <c r="T24" s="71"/>
      <c r="U24" s="71"/>
      <c r="V24" s="71"/>
      <c r="W24" s="71"/>
      <c r="X24" s="71"/>
      <c r="Y24" s="71"/>
      <c r="Z24" s="71"/>
      <c r="AA24" s="71" t="s">
        <v>770</v>
      </c>
      <c r="AB24" s="71"/>
      <c r="AC24" s="71" t="s">
        <v>21</v>
      </c>
      <c r="AD24" s="71"/>
      <c r="AE24" s="71"/>
      <c r="AF24" s="71"/>
      <c r="AG24" s="71"/>
      <c r="AH24" s="71"/>
      <c r="AI24" s="71" t="s">
        <v>772</v>
      </c>
      <c r="AJ24" s="71">
        <v>8867765</v>
      </c>
      <c r="AK24" s="71" t="s">
        <v>102</v>
      </c>
      <c r="AL24" s="71">
        <v>718799</v>
      </c>
      <c r="AM24" s="71"/>
      <c r="AN24" s="71"/>
      <c r="AO24" s="71" t="s">
        <v>773</v>
      </c>
      <c r="AP24" s="71" t="s">
        <v>774</v>
      </c>
      <c r="AQ24" s="71" t="s">
        <v>926</v>
      </c>
      <c r="AR24" s="71" t="s">
        <v>802</v>
      </c>
      <c r="AS24" s="71" t="s">
        <v>884</v>
      </c>
      <c r="AT24" s="71"/>
      <c r="AU24" s="71" t="s">
        <v>862</v>
      </c>
    </row>
    <row r="25" spans="1:49" ht="94.5" customHeight="1" x14ac:dyDescent="0.2">
      <c r="A25" s="71" t="s">
        <v>545</v>
      </c>
      <c r="B25" s="71">
        <v>2026</v>
      </c>
      <c r="C25" s="71" t="s">
        <v>967</v>
      </c>
      <c r="D25" s="71" t="s">
        <v>968</v>
      </c>
      <c r="E25" s="71" t="s">
        <v>547</v>
      </c>
      <c r="F25" s="71" t="s">
        <v>546</v>
      </c>
      <c r="G25" s="71">
        <v>2</v>
      </c>
      <c r="H25" s="71" t="s">
        <v>547</v>
      </c>
      <c r="I25" s="71" t="s">
        <v>969</v>
      </c>
      <c r="J25" s="71" t="s">
        <v>211</v>
      </c>
      <c r="K25" s="71" t="s">
        <v>117</v>
      </c>
      <c r="L25" s="71" t="s">
        <v>35</v>
      </c>
      <c r="M25" s="71" t="s">
        <v>25</v>
      </c>
      <c r="N25" s="71" t="s">
        <v>970</v>
      </c>
      <c r="O25" s="71">
        <v>190.02208145</v>
      </c>
      <c r="P25" s="71" t="s">
        <v>767</v>
      </c>
      <c r="Q25" s="71" t="s">
        <v>36</v>
      </c>
      <c r="R25" s="71" t="s">
        <v>31</v>
      </c>
      <c r="S25" s="71"/>
      <c r="T25" s="71"/>
      <c r="U25" s="71"/>
      <c r="V25" s="71"/>
      <c r="W25" s="71"/>
      <c r="X25" s="71"/>
      <c r="Y25" s="71"/>
      <c r="Z25" s="71"/>
      <c r="AA25" s="71" t="s">
        <v>770</v>
      </c>
      <c r="AB25" s="71"/>
      <c r="AC25" s="71" t="s">
        <v>21</v>
      </c>
      <c r="AD25" s="71"/>
      <c r="AE25" s="71"/>
      <c r="AF25" s="71"/>
      <c r="AG25" s="71"/>
      <c r="AH25" s="71"/>
      <c r="AI25" s="71" t="s">
        <v>772</v>
      </c>
      <c r="AJ25" s="71">
        <v>8854562</v>
      </c>
      <c r="AK25" s="71" t="s">
        <v>65</v>
      </c>
      <c r="AL25" s="71">
        <v>796501</v>
      </c>
      <c r="AM25" s="71"/>
      <c r="AN25" s="71"/>
      <c r="AO25" s="71" t="s">
        <v>773</v>
      </c>
      <c r="AP25" s="71" t="s">
        <v>774</v>
      </c>
      <c r="AQ25" s="71" t="s">
        <v>971</v>
      </c>
      <c r="AR25" s="71" t="s">
        <v>802</v>
      </c>
      <c r="AS25" s="71" t="s">
        <v>884</v>
      </c>
      <c r="AT25" s="71"/>
      <c r="AU25" s="71"/>
    </row>
    <row r="26" spans="1:49" ht="74.25" customHeight="1" x14ac:dyDescent="0.2">
      <c r="A26" s="71" t="s">
        <v>587</v>
      </c>
      <c r="B26" s="71">
        <v>2026</v>
      </c>
      <c r="C26" s="71" t="s">
        <v>972</v>
      </c>
      <c r="D26" s="71" t="s">
        <v>973</v>
      </c>
      <c r="E26" s="71" t="s">
        <v>588</v>
      </c>
      <c r="F26" s="71" t="s">
        <v>150</v>
      </c>
      <c r="G26" s="71">
        <v>2</v>
      </c>
      <c r="H26" s="71" t="s">
        <v>588</v>
      </c>
      <c r="I26" s="71" t="s">
        <v>974</v>
      </c>
      <c r="J26" s="71" t="s">
        <v>211</v>
      </c>
      <c r="K26" s="71" t="s">
        <v>117</v>
      </c>
      <c r="L26" s="71" t="s">
        <v>44</v>
      </c>
      <c r="M26" s="71" t="s">
        <v>25</v>
      </c>
      <c r="N26" s="71" t="s">
        <v>975</v>
      </c>
      <c r="O26" s="71">
        <v>190.02223473999999</v>
      </c>
      <c r="P26" s="71" t="s">
        <v>976</v>
      </c>
      <c r="Q26" s="71" t="s">
        <v>36</v>
      </c>
      <c r="R26" s="71" t="s">
        <v>48</v>
      </c>
      <c r="S26" s="71"/>
      <c r="T26" s="71"/>
      <c r="U26" s="71"/>
      <c r="V26" s="71"/>
      <c r="W26" s="71"/>
      <c r="X26" s="71"/>
      <c r="Y26" s="71"/>
      <c r="Z26" s="71"/>
      <c r="AA26" s="71" t="s">
        <v>770</v>
      </c>
      <c r="AB26" s="71"/>
      <c r="AC26" s="71" t="s">
        <v>21</v>
      </c>
      <c r="AD26" s="71"/>
      <c r="AE26" s="71"/>
      <c r="AF26" s="71"/>
      <c r="AG26" s="71"/>
      <c r="AH26" s="71"/>
      <c r="AI26" s="71" t="s">
        <v>772</v>
      </c>
      <c r="AJ26" s="71">
        <v>8796235</v>
      </c>
      <c r="AK26" s="71" t="s">
        <v>523</v>
      </c>
      <c r="AL26" s="71">
        <v>882036</v>
      </c>
      <c r="AM26" s="71"/>
      <c r="AN26" s="71"/>
      <c r="AO26" s="71" t="s">
        <v>773</v>
      </c>
      <c r="AP26" s="71" t="s">
        <v>774</v>
      </c>
      <c r="AQ26" s="71" t="s">
        <v>312</v>
      </c>
      <c r="AR26" s="71" t="s">
        <v>802</v>
      </c>
      <c r="AS26" s="71" t="s">
        <v>312</v>
      </c>
      <c r="AT26" s="71"/>
      <c r="AU26" s="71"/>
      <c r="AV26" s="179"/>
    </row>
    <row r="27" spans="1:49" ht="72" hidden="1" customHeight="1" x14ac:dyDescent="0.2">
      <c r="A27" s="71" t="s">
        <v>589</v>
      </c>
      <c r="B27" s="71">
        <v>2026</v>
      </c>
      <c r="C27" s="71" t="s">
        <v>977</v>
      </c>
      <c r="D27" s="71" t="s">
        <v>978</v>
      </c>
      <c r="E27" s="71" t="s">
        <v>590</v>
      </c>
      <c r="F27" s="71" t="s">
        <v>485</v>
      </c>
      <c r="G27" s="71">
        <v>1</v>
      </c>
      <c r="H27" s="71" t="s">
        <v>590</v>
      </c>
      <c r="I27" s="71" t="s">
        <v>979</v>
      </c>
      <c r="J27" s="71" t="s">
        <v>112</v>
      </c>
      <c r="K27" s="71" t="s">
        <v>980</v>
      </c>
      <c r="L27" s="71" t="s">
        <v>44</v>
      </c>
      <c r="M27" s="71" t="s">
        <v>25</v>
      </c>
      <c r="N27" s="71" t="s">
        <v>981</v>
      </c>
      <c r="O27" s="71">
        <v>190.02658037</v>
      </c>
      <c r="P27" s="71" t="s">
        <v>982</v>
      </c>
      <c r="Q27" s="71" t="s">
        <v>132</v>
      </c>
      <c r="R27" s="71" t="s">
        <v>135</v>
      </c>
      <c r="S27" s="71"/>
      <c r="T27" s="71"/>
      <c r="U27" s="71"/>
      <c r="V27" s="71"/>
      <c r="W27" s="71"/>
      <c r="X27" s="71" t="s">
        <v>818</v>
      </c>
      <c r="Y27" s="71"/>
      <c r="Z27" s="71" t="s">
        <v>819</v>
      </c>
      <c r="AA27" s="71" t="s">
        <v>770</v>
      </c>
      <c r="AB27" s="71"/>
      <c r="AC27" s="71" t="s">
        <v>21</v>
      </c>
      <c r="AD27" s="71"/>
      <c r="AE27" s="71"/>
      <c r="AF27" s="71"/>
      <c r="AG27" s="71"/>
      <c r="AH27" s="71" t="s">
        <v>983</v>
      </c>
      <c r="AI27" s="71" t="s">
        <v>772</v>
      </c>
      <c r="AJ27" s="71">
        <v>9004568</v>
      </c>
      <c r="AK27" s="71" t="s">
        <v>169</v>
      </c>
      <c r="AL27" s="71">
        <v>811516</v>
      </c>
      <c r="AM27" s="71" t="s">
        <v>984</v>
      </c>
      <c r="AN27" s="71" t="s">
        <v>985</v>
      </c>
      <c r="AO27" s="71" t="s">
        <v>786</v>
      </c>
      <c r="AP27" s="71" t="s">
        <v>774</v>
      </c>
      <c r="AQ27" s="71" t="s">
        <v>787</v>
      </c>
      <c r="AR27" s="71" t="s">
        <v>788</v>
      </c>
      <c r="AS27" s="71" t="s">
        <v>777</v>
      </c>
      <c r="AT27" s="71"/>
      <c r="AU27" s="71"/>
      <c r="AW27" s="179"/>
    </row>
    <row r="28" spans="1:49" ht="140.25" customHeight="1" x14ac:dyDescent="0.2">
      <c r="A28" s="71" t="s">
        <v>596</v>
      </c>
      <c r="B28" s="71">
        <v>2026</v>
      </c>
      <c r="C28" s="72" t="s">
        <v>986</v>
      </c>
      <c r="D28" s="71" t="s">
        <v>987</v>
      </c>
      <c r="E28" s="71" t="s">
        <v>598</v>
      </c>
      <c r="F28" s="71" t="s">
        <v>597</v>
      </c>
      <c r="G28" s="71">
        <v>3</v>
      </c>
      <c r="H28" s="71" t="s">
        <v>598</v>
      </c>
      <c r="I28" s="71" t="s">
        <v>988</v>
      </c>
      <c r="J28" s="71" t="s">
        <v>211</v>
      </c>
      <c r="K28" s="71" t="s">
        <v>183</v>
      </c>
      <c r="L28" s="71" t="s">
        <v>35</v>
      </c>
      <c r="M28" s="71" t="s">
        <v>25</v>
      </c>
      <c r="N28" s="71" t="s">
        <v>989</v>
      </c>
      <c r="O28" s="71">
        <v>190.02208898000001</v>
      </c>
      <c r="P28" s="71" t="s">
        <v>990</v>
      </c>
      <c r="Q28" s="71" t="s">
        <v>36</v>
      </c>
      <c r="R28" s="71" t="s">
        <v>31</v>
      </c>
      <c r="S28" s="71"/>
      <c r="T28" s="71"/>
      <c r="U28" s="71"/>
      <c r="V28" s="71"/>
      <c r="W28" s="71"/>
      <c r="X28" s="71"/>
      <c r="Y28" s="71"/>
      <c r="Z28" s="71"/>
      <c r="AA28" s="71" t="s">
        <v>770</v>
      </c>
      <c r="AB28" s="71"/>
      <c r="AC28" s="71" t="s">
        <v>21</v>
      </c>
      <c r="AD28" s="71"/>
      <c r="AE28" s="71"/>
      <c r="AF28" s="71"/>
      <c r="AG28" s="71"/>
      <c r="AH28" s="71"/>
      <c r="AI28" s="71" t="s">
        <v>772</v>
      </c>
      <c r="AJ28" s="71">
        <v>8742101</v>
      </c>
      <c r="AK28" s="71" t="s">
        <v>599</v>
      </c>
      <c r="AL28" s="71">
        <v>666106</v>
      </c>
      <c r="AM28" s="71"/>
      <c r="AN28" s="71"/>
      <c r="AO28" s="71" t="s">
        <v>773</v>
      </c>
      <c r="AP28" s="71" t="s">
        <v>774</v>
      </c>
      <c r="AQ28" s="71" t="s">
        <v>312</v>
      </c>
      <c r="AR28" s="71" t="s">
        <v>802</v>
      </c>
      <c r="AS28" s="71" t="s">
        <v>312</v>
      </c>
      <c r="AT28" s="71"/>
      <c r="AU28" s="71"/>
      <c r="AV28" s="179"/>
    </row>
    <row r="29" spans="1:49" ht="58.5" customHeight="1" x14ac:dyDescent="0.2">
      <c r="A29" s="95" t="s">
        <v>574</v>
      </c>
      <c r="B29" s="71">
        <v>2026</v>
      </c>
      <c r="C29" s="72" t="s">
        <v>991</v>
      </c>
      <c r="D29" s="71" t="s">
        <v>992</v>
      </c>
      <c r="E29" s="71" t="s">
        <v>577</v>
      </c>
      <c r="F29" s="71" t="s">
        <v>575</v>
      </c>
      <c r="G29" s="71">
        <v>3</v>
      </c>
      <c r="H29" s="71" t="s">
        <v>576</v>
      </c>
      <c r="I29" s="71" t="s">
        <v>993</v>
      </c>
      <c r="J29" s="71" t="s">
        <v>20</v>
      </c>
      <c r="K29" s="71" t="s">
        <v>994</v>
      </c>
      <c r="L29" s="71" t="s">
        <v>35</v>
      </c>
      <c r="M29" s="71" t="s">
        <v>25</v>
      </c>
      <c r="N29" s="71" t="s">
        <v>995</v>
      </c>
      <c r="O29" s="71">
        <v>190.02666830999999</v>
      </c>
      <c r="P29" s="71" t="s">
        <v>767</v>
      </c>
      <c r="Q29" s="71" t="s">
        <v>45</v>
      </c>
      <c r="R29" s="71" t="s">
        <v>31</v>
      </c>
      <c r="S29" s="71"/>
      <c r="T29" s="71"/>
      <c r="U29" s="71"/>
      <c r="V29" s="71"/>
      <c r="W29" s="71"/>
      <c r="X29" s="71" t="s">
        <v>312</v>
      </c>
      <c r="Y29" s="71"/>
      <c r="Z29" s="71" t="s">
        <v>846</v>
      </c>
      <c r="AA29" s="71" t="s">
        <v>770</v>
      </c>
      <c r="AB29" s="71"/>
      <c r="AC29" s="71" t="s">
        <v>21</v>
      </c>
      <c r="AD29" s="71"/>
      <c r="AE29" s="71"/>
      <c r="AF29" s="71"/>
      <c r="AG29" s="71"/>
      <c r="AH29" s="71" t="s">
        <v>996</v>
      </c>
      <c r="AI29" s="71" t="s">
        <v>772</v>
      </c>
      <c r="AJ29" s="71">
        <v>8723116</v>
      </c>
      <c r="AK29" s="71" t="s">
        <v>351</v>
      </c>
      <c r="AL29" s="71">
        <v>645739</v>
      </c>
      <c r="AM29" s="71"/>
      <c r="AN29" s="71"/>
      <c r="AO29" s="71" t="s">
        <v>773</v>
      </c>
      <c r="AP29" s="71" t="s">
        <v>774</v>
      </c>
      <c r="AQ29" s="71" t="s">
        <v>775</v>
      </c>
      <c r="AR29" s="71" t="s">
        <v>788</v>
      </c>
      <c r="AS29" s="71" t="s">
        <v>777</v>
      </c>
      <c r="AT29" s="71"/>
      <c r="AU29" s="71"/>
    </row>
    <row r="30" spans="1:49" ht="72" hidden="1" customHeight="1" x14ac:dyDescent="0.2">
      <c r="A30" s="71" t="s">
        <v>607</v>
      </c>
      <c r="B30" s="71">
        <v>2026</v>
      </c>
      <c r="C30" s="72" t="s">
        <v>997</v>
      </c>
      <c r="D30" s="71" t="s">
        <v>998</v>
      </c>
      <c r="E30" s="71" t="s">
        <v>609</v>
      </c>
      <c r="F30" s="71" t="s">
        <v>138</v>
      </c>
      <c r="G30" s="71">
        <v>3</v>
      </c>
      <c r="H30" s="71" t="s">
        <v>608</v>
      </c>
      <c r="I30" s="71" t="s">
        <v>999</v>
      </c>
      <c r="J30" s="71" t="s">
        <v>20</v>
      </c>
      <c r="K30" s="71" t="s">
        <v>1000</v>
      </c>
      <c r="L30" s="71" t="s">
        <v>35</v>
      </c>
      <c r="M30" s="71" t="s">
        <v>25</v>
      </c>
      <c r="N30" s="71" t="s">
        <v>1001</v>
      </c>
      <c r="O30" s="71">
        <v>190.02338162000001</v>
      </c>
      <c r="P30" s="71" t="s">
        <v>1002</v>
      </c>
      <c r="Q30" s="71" t="s">
        <v>167</v>
      </c>
      <c r="R30" s="71" t="s">
        <v>148</v>
      </c>
      <c r="S30" s="71"/>
      <c r="T30" s="71"/>
      <c r="U30" s="71"/>
      <c r="V30" s="71"/>
      <c r="W30" s="71"/>
      <c r="X30" s="71" t="s">
        <v>1003</v>
      </c>
      <c r="Y30" s="71"/>
      <c r="Z30" s="71" t="s">
        <v>1004</v>
      </c>
      <c r="AA30" s="71" t="s">
        <v>770</v>
      </c>
      <c r="AB30" s="71"/>
      <c r="AC30" s="71" t="s">
        <v>21</v>
      </c>
      <c r="AD30" s="71"/>
      <c r="AE30" s="71"/>
      <c r="AF30" s="71"/>
      <c r="AG30" s="71"/>
      <c r="AH30" s="71" t="s">
        <v>1005</v>
      </c>
      <c r="AI30" s="71" t="s">
        <v>772</v>
      </c>
      <c r="AJ30" s="71">
        <v>9032221</v>
      </c>
      <c r="AK30" s="71" t="s">
        <v>140</v>
      </c>
      <c r="AL30" s="71">
        <v>913609</v>
      </c>
      <c r="AM30" s="71"/>
      <c r="AN30" s="71"/>
      <c r="AO30" s="71" t="s">
        <v>786</v>
      </c>
      <c r="AP30" s="71" t="s">
        <v>774</v>
      </c>
      <c r="AQ30" s="71" t="s">
        <v>787</v>
      </c>
      <c r="AR30" s="71" t="s">
        <v>788</v>
      </c>
      <c r="AS30" s="71" t="s">
        <v>777</v>
      </c>
      <c r="AT30" s="71"/>
      <c r="AU30" s="71"/>
      <c r="AV30" s="179"/>
    </row>
    <row r="31" spans="1:49" ht="72" hidden="1" customHeight="1" x14ac:dyDescent="0.2">
      <c r="A31" s="71" t="s">
        <v>163</v>
      </c>
      <c r="B31" s="71">
        <v>2025</v>
      </c>
      <c r="C31" s="72" t="s">
        <v>1006</v>
      </c>
      <c r="D31" s="71" t="s">
        <v>1007</v>
      </c>
      <c r="E31" s="71" t="s">
        <v>172</v>
      </c>
      <c r="F31" s="71" t="s">
        <v>165</v>
      </c>
      <c r="G31" s="71">
        <v>3</v>
      </c>
      <c r="H31" s="71" t="s">
        <v>166</v>
      </c>
      <c r="I31" s="71" t="s">
        <v>1008</v>
      </c>
      <c r="J31" s="71" t="s">
        <v>164</v>
      </c>
      <c r="K31" s="71" t="s">
        <v>1009</v>
      </c>
      <c r="L31" s="71" t="s">
        <v>131</v>
      </c>
      <c r="M31" s="71" t="s">
        <v>25</v>
      </c>
      <c r="N31" s="71" t="s">
        <v>1010</v>
      </c>
      <c r="O31" s="71">
        <v>190.02338193</v>
      </c>
      <c r="P31" s="71" t="s">
        <v>1011</v>
      </c>
      <c r="Q31" s="71" t="s">
        <v>167</v>
      </c>
      <c r="R31" s="71" t="s">
        <v>171</v>
      </c>
      <c r="S31" s="71"/>
      <c r="T31" s="71"/>
      <c r="U31" s="71"/>
      <c r="V31" s="71"/>
      <c r="W31" s="71"/>
      <c r="X31" s="71" t="s">
        <v>783</v>
      </c>
      <c r="Y31" s="71"/>
      <c r="Z31" s="71" t="s">
        <v>784</v>
      </c>
      <c r="AA31" s="71" t="s">
        <v>874</v>
      </c>
      <c r="AB31" s="71"/>
      <c r="AC31" s="71" t="s">
        <v>21</v>
      </c>
      <c r="AD31" s="71"/>
      <c r="AE31" s="71"/>
      <c r="AF31" s="71"/>
      <c r="AG31" s="71"/>
      <c r="AH31" s="71" t="s">
        <v>1012</v>
      </c>
      <c r="AI31" s="71" t="s">
        <v>772</v>
      </c>
      <c r="AJ31" s="71">
        <v>9006069</v>
      </c>
      <c r="AK31" s="71" t="s">
        <v>169</v>
      </c>
      <c r="AL31" s="71">
        <v>811652</v>
      </c>
      <c r="AM31" s="71"/>
      <c r="AN31" s="71"/>
      <c r="AO31" s="71" t="s">
        <v>786</v>
      </c>
      <c r="AP31" s="71" t="s">
        <v>774</v>
      </c>
      <c r="AQ31" s="71" t="s">
        <v>1013</v>
      </c>
      <c r="AR31" s="71" t="s">
        <v>776</v>
      </c>
      <c r="AS31" s="71" t="s">
        <v>861</v>
      </c>
      <c r="AT31" s="71"/>
      <c r="AU31" s="71"/>
      <c r="AV31" s="179"/>
    </row>
    <row r="32" spans="1:49" ht="96" customHeight="1" x14ac:dyDescent="0.2">
      <c r="A32" s="71" t="s">
        <v>443</v>
      </c>
      <c r="B32" s="71">
        <v>2026</v>
      </c>
      <c r="C32" s="71" t="s">
        <v>1014</v>
      </c>
      <c r="D32" s="71" t="s">
        <v>1015</v>
      </c>
      <c r="E32" s="71" t="s">
        <v>447</v>
      </c>
      <c r="F32" s="71" t="s">
        <v>444</v>
      </c>
      <c r="G32" s="71">
        <v>3</v>
      </c>
      <c r="H32" s="71" t="s">
        <v>445</v>
      </c>
      <c r="I32" s="71" t="s">
        <v>1016</v>
      </c>
      <c r="J32" s="71" t="s">
        <v>20</v>
      </c>
      <c r="K32" s="71" t="s">
        <v>938</v>
      </c>
      <c r="L32" s="71" t="s">
        <v>35</v>
      </c>
      <c r="M32" s="71" t="s">
        <v>25</v>
      </c>
      <c r="N32" s="71" t="s">
        <v>1017</v>
      </c>
      <c r="O32" s="71">
        <v>190.02661216000001</v>
      </c>
      <c r="P32" s="71" t="s">
        <v>767</v>
      </c>
      <c r="Q32" s="71" t="s">
        <v>26</v>
      </c>
      <c r="R32" s="71" t="s">
        <v>148</v>
      </c>
      <c r="S32" s="71"/>
      <c r="T32" s="71"/>
      <c r="U32" s="71"/>
      <c r="V32" s="71"/>
      <c r="W32" s="71"/>
      <c r="X32" s="71" t="s">
        <v>768</v>
      </c>
      <c r="Y32" s="71"/>
      <c r="Z32" s="71" t="s">
        <v>769</v>
      </c>
      <c r="AA32" s="71" t="s">
        <v>770</v>
      </c>
      <c r="AB32" s="71"/>
      <c r="AC32" s="71" t="s">
        <v>21</v>
      </c>
      <c r="AD32" s="71"/>
      <c r="AE32" s="71"/>
      <c r="AF32" s="71"/>
      <c r="AG32" s="71"/>
      <c r="AH32" s="71" t="s">
        <v>1018</v>
      </c>
      <c r="AI32" s="71" t="s">
        <v>772</v>
      </c>
      <c r="AJ32" s="71">
        <v>8868642</v>
      </c>
      <c r="AK32" s="71" t="s">
        <v>65</v>
      </c>
      <c r="AL32" s="71">
        <v>792093</v>
      </c>
      <c r="AM32" s="71"/>
      <c r="AN32" s="71"/>
      <c r="AO32" s="71" t="s">
        <v>773</v>
      </c>
      <c r="AP32" s="71" t="s">
        <v>774</v>
      </c>
      <c r="AQ32" s="71" t="s">
        <v>775</v>
      </c>
      <c r="AR32" s="71" t="s">
        <v>788</v>
      </c>
      <c r="AS32" s="71" t="s">
        <v>777</v>
      </c>
      <c r="AT32" s="71"/>
      <c r="AU32" s="71"/>
      <c r="AV32" s="180"/>
    </row>
    <row r="33" spans="1:53" ht="336" customHeight="1" x14ac:dyDescent="0.2">
      <c r="A33" s="71" t="s">
        <v>617</v>
      </c>
      <c r="B33" s="71">
        <v>2026</v>
      </c>
      <c r="C33" s="72" t="s">
        <v>1019</v>
      </c>
      <c r="D33" s="71" t="s">
        <v>1020</v>
      </c>
      <c r="E33" s="71" t="s">
        <v>618</v>
      </c>
      <c r="F33" s="71" t="s">
        <v>129</v>
      </c>
      <c r="G33" s="71">
        <v>2</v>
      </c>
      <c r="H33" s="71" t="s">
        <v>618</v>
      </c>
      <c r="I33" s="71" t="s">
        <v>1021</v>
      </c>
      <c r="J33" s="71" t="s">
        <v>211</v>
      </c>
      <c r="K33" s="71" t="s">
        <v>117</v>
      </c>
      <c r="L33" s="71" t="s">
        <v>24</v>
      </c>
      <c r="M33" s="71" t="s">
        <v>25</v>
      </c>
      <c r="N33" s="71" t="s">
        <v>1022</v>
      </c>
      <c r="O33" s="71">
        <v>190.02205254</v>
      </c>
      <c r="P33" s="71" t="s">
        <v>1023</v>
      </c>
      <c r="Q33" s="71" t="s">
        <v>36</v>
      </c>
      <c r="R33" s="71" t="s">
        <v>31</v>
      </c>
      <c r="S33" s="71"/>
      <c r="T33" s="71"/>
      <c r="U33" s="71"/>
      <c r="V33" s="71"/>
      <c r="W33" s="71"/>
      <c r="X33" s="71"/>
      <c r="Y33" s="71"/>
      <c r="Z33" s="71"/>
      <c r="AA33" s="71" t="s">
        <v>770</v>
      </c>
      <c r="AB33" s="71"/>
      <c r="AC33" s="71" t="s">
        <v>21</v>
      </c>
      <c r="AD33" s="71"/>
      <c r="AE33" s="71"/>
      <c r="AF33" s="71"/>
      <c r="AG33" s="71"/>
      <c r="AH33" s="71"/>
      <c r="AI33" s="71" t="s">
        <v>772</v>
      </c>
      <c r="AJ33" s="71">
        <v>9145475</v>
      </c>
      <c r="AK33" s="71" t="s">
        <v>134</v>
      </c>
      <c r="AL33" s="71">
        <v>905716</v>
      </c>
      <c r="AM33" s="71"/>
      <c r="AN33" s="71"/>
      <c r="AO33" s="71" t="s">
        <v>773</v>
      </c>
      <c r="AP33" s="71" t="s">
        <v>774</v>
      </c>
      <c r="AQ33" s="71" t="s">
        <v>1024</v>
      </c>
      <c r="AR33" s="71" t="s">
        <v>802</v>
      </c>
      <c r="AS33" s="71" t="s">
        <v>1024</v>
      </c>
      <c r="AT33" s="71"/>
      <c r="AU33" s="71"/>
    </row>
    <row r="34" spans="1:53" ht="108" customHeight="1" x14ac:dyDescent="0.2">
      <c r="A34" s="71" t="s">
        <v>548</v>
      </c>
      <c r="B34" s="71">
        <v>2026</v>
      </c>
      <c r="C34" s="72" t="s">
        <v>1025</v>
      </c>
      <c r="D34" s="71" t="s">
        <v>1026</v>
      </c>
      <c r="E34" s="71" t="s">
        <v>552</v>
      </c>
      <c r="F34" s="71" t="s">
        <v>549</v>
      </c>
      <c r="G34" s="71">
        <v>2</v>
      </c>
      <c r="H34" s="71" t="s">
        <v>550</v>
      </c>
      <c r="I34" s="71" t="s">
        <v>1027</v>
      </c>
      <c r="J34" s="71" t="s">
        <v>91</v>
      </c>
      <c r="K34" s="71" t="s">
        <v>1028</v>
      </c>
      <c r="L34" s="71" t="s">
        <v>44</v>
      </c>
      <c r="M34" s="71" t="s">
        <v>25</v>
      </c>
      <c r="N34" s="71" t="s">
        <v>1029</v>
      </c>
      <c r="O34" s="71">
        <v>190.02823515</v>
      </c>
      <c r="P34" s="71" t="s">
        <v>1030</v>
      </c>
      <c r="Q34" s="71" t="s">
        <v>45</v>
      </c>
      <c r="R34" s="71" t="s">
        <v>184</v>
      </c>
      <c r="S34" s="71"/>
      <c r="T34" s="71"/>
      <c r="U34" s="71"/>
      <c r="V34" s="71"/>
      <c r="W34" s="71"/>
      <c r="X34" s="71" t="s">
        <v>312</v>
      </c>
      <c r="Y34" s="71"/>
      <c r="Z34" s="71"/>
      <c r="AA34" s="71" t="s">
        <v>770</v>
      </c>
      <c r="AB34" s="71"/>
      <c r="AC34" s="71" t="s">
        <v>21</v>
      </c>
      <c r="AD34" s="71"/>
      <c r="AE34" s="71"/>
      <c r="AF34" s="71"/>
      <c r="AG34" s="71"/>
      <c r="AH34" s="71" t="s">
        <v>1031</v>
      </c>
      <c r="AI34" s="71" t="s">
        <v>772</v>
      </c>
      <c r="AJ34" s="71">
        <v>8830255</v>
      </c>
      <c r="AK34" s="71" t="s">
        <v>551</v>
      </c>
      <c r="AL34" s="71">
        <v>728313</v>
      </c>
      <c r="AM34" s="71"/>
      <c r="AN34" s="71"/>
      <c r="AO34" s="71" t="s">
        <v>773</v>
      </c>
      <c r="AP34" s="71" t="s">
        <v>908</v>
      </c>
      <c r="AQ34" s="71" t="s">
        <v>775</v>
      </c>
      <c r="AR34" s="71" t="s">
        <v>788</v>
      </c>
      <c r="AS34" s="71" t="s">
        <v>777</v>
      </c>
      <c r="AT34" s="71"/>
      <c r="AU34" s="71"/>
    </row>
    <row r="35" spans="1:53" ht="57" customHeight="1" x14ac:dyDescent="0.2">
      <c r="A35" s="71" t="s">
        <v>570</v>
      </c>
      <c r="B35" s="71">
        <v>2026</v>
      </c>
      <c r="C35" s="72" t="s">
        <v>1032</v>
      </c>
      <c r="D35" s="71" t="s">
        <v>1033</v>
      </c>
      <c r="E35" s="71" t="s">
        <v>573</v>
      </c>
      <c r="F35" s="71" t="s">
        <v>150</v>
      </c>
      <c r="G35" s="71">
        <v>3</v>
      </c>
      <c r="H35" s="71" t="s">
        <v>571</v>
      </c>
      <c r="I35" s="71" t="s">
        <v>1034</v>
      </c>
      <c r="J35" s="71" t="s">
        <v>20</v>
      </c>
      <c r="K35" s="71" t="s">
        <v>1035</v>
      </c>
      <c r="L35" s="71" t="s">
        <v>35</v>
      </c>
      <c r="M35" s="71" t="s">
        <v>25</v>
      </c>
      <c r="N35" s="71" t="s">
        <v>1036</v>
      </c>
      <c r="O35" s="71">
        <v>190.02706214</v>
      </c>
      <c r="P35" s="71" t="s">
        <v>1037</v>
      </c>
      <c r="Q35" s="71" t="s">
        <v>45</v>
      </c>
      <c r="R35" s="71" t="s">
        <v>31</v>
      </c>
      <c r="S35" s="71"/>
      <c r="T35" s="71"/>
      <c r="U35" s="71"/>
      <c r="V35" s="71"/>
      <c r="W35" s="71"/>
      <c r="X35" s="71" t="s">
        <v>312</v>
      </c>
      <c r="Y35" s="71"/>
      <c r="Z35" s="71" t="s">
        <v>846</v>
      </c>
      <c r="AA35" s="71" t="s">
        <v>770</v>
      </c>
      <c r="AB35" s="71"/>
      <c r="AC35" s="71" t="s">
        <v>21</v>
      </c>
      <c r="AD35" s="71"/>
      <c r="AE35" s="71"/>
      <c r="AF35" s="71"/>
      <c r="AG35" s="71"/>
      <c r="AH35" s="71" t="s">
        <v>1038</v>
      </c>
      <c r="AI35" s="71" t="s">
        <v>772</v>
      </c>
      <c r="AJ35" s="71">
        <v>8855553</v>
      </c>
      <c r="AK35" s="71" t="s">
        <v>572</v>
      </c>
      <c r="AL35" s="71">
        <v>1068871</v>
      </c>
      <c r="AM35" s="71"/>
      <c r="AN35" s="71"/>
      <c r="AO35" s="71" t="s">
        <v>773</v>
      </c>
      <c r="AP35" s="71" t="s">
        <v>908</v>
      </c>
      <c r="AQ35" s="71" t="s">
        <v>775</v>
      </c>
      <c r="AR35" s="71" t="s">
        <v>788</v>
      </c>
      <c r="AS35" s="71" t="s">
        <v>777</v>
      </c>
      <c r="AT35" s="71"/>
      <c r="AU35" s="71"/>
    </row>
    <row r="36" spans="1:53" ht="72" customHeight="1" x14ac:dyDescent="0.2">
      <c r="A36" s="71" t="s">
        <v>578</v>
      </c>
      <c r="B36" s="71">
        <v>2026</v>
      </c>
      <c r="C36" s="72" t="s">
        <v>1039</v>
      </c>
      <c r="D36" s="71" t="s">
        <v>1040</v>
      </c>
      <c r="E36" s="71" t="s">
        <v>580</v>
      </c>
      <c r="F36" s="71" t="s">
        <v>579</v>
      </c>
      <c r="G36" s="71">
        <v>3</v>
      </c>
      <c r="H36" s="71" t="s">
        <v>580</v>
      </c>
      <c r="I36" s="71" t="s">
        <v>1041</v>
      </c>
      <c r="J36" s="71" t="s">
        <v>20</v>
      </c>
      <c r="K36" s="71" t="s">
        <v>842</v>
      </c>
      <c r="L36" s="71" t="s">
        <v>35</v>
      </c>
      <c r="M36" s="71" t="s">
        <v>25</v>
      </c>
      <c r="N36" s="71" t="s">
        <v>1042</v>
      </c>
      <c r="O36" s="71">
        <v>190.02205895</v>
      </c>
      <c r="P36" s="71" t="s">
        <v>1043</v>
      </c>
      <c r="Q36" s="71" t="s">
        <v>36</v>
      </c>
      <c r="R36" s="71" t="s">
        <v>31</v>
      </c>
      <c r="S36" s="71"/>
      <c r="T36" s="71"/>
      <c r="U36" s="71"/>
      <c r="V36" s="71"/>
      <c r="W36" s="71"/>
      <c r="X36" s="71" t="s">
        <v>312</v>
      </c>
      <c r="Y36" s="71"/>
      <c r="Z36" s="71" t="s">
        <v>845</v>
      </c>
      <c r="AA36" s="71" t="s">
        <v>770</v>
      </c>
      <c r="AB36" s="71"/>
      <c r="AC36" s="71" t="s">
        <v>21</v>
      </c>
      <c r="AD36" s="71"/>
      <c r="AE36" s="71"/>
      <c r="AF36" s="71"/>
      <c r="AG36" s="71"/>
      <c r="AH36" s="71" t="s">
        <v>1044</v>
      </c>
      <c r="AI36" s="71" t="s">
        <v>772</v>
      </c>
      <c r="AJ36" s="71">
        <v>8782076</v>
      </c>
      <c r="AK36" s="71" t="s">
        <v>581</v>
      </c>
      <c r="AL36" s="71">
        <v>819553</v>
      </c>
      <c r="AM36" s="71"/>
      <c r="AN36" s="71"/>
      <c r="AO36" s="71" t="s">
        <v>773</v>
      </c>
      <c r="AP36" s="71" t="s">
        <v>908</v>
      </c>
      <c r="AQ36" s="71" t="s">
        <v>775</v>
      </c>
      <c r="AR36" s="71" t="s">
        <v>788</v>
      </c>
      <c r="AS36" s="71" t="s">
        <v>777</v>
      </c>
      <c r="AT36" s="71"/>
      <c r="AU36" s="71"/>
    </row>
    <row r="37" spans="1:53" ht="72" customHeight="1" x14ac:dyDescent="0.2">
      <c r="A37" s="71" t="s">
        <v>1045</v>
      </c>
      <c r="B37" s="71">
        <v>2026</v>
      </c>
      <c r="C37" s="72" t="s">
        <v>1046</v>
      </c>
      <c r="D37" s="71" t="s">
        <v>1047</v>
      </c>
      <c r="E37" s="71" t="s">
        <v>1048</v>
      </c>
      <c r="F37" s="71" t="s">
        <v>138</v>
      </c>
      <c r="G37" s="71">
        <v>3</v>
      </c>
      <c r="H37" s="71" t="s">
        <v>1049</v>
      </c>
      <c r="I37" s="71" t="s">
        <v>1050</v>
      </c>
      <c r="J37" s="71" t="s">
        <v>91</v>
      </c>
      <c r="K37" s="71" t="s">
        <v>1028</v>
      </c>
      <c r="L37" s="71" t="s">
        <v>44</v>
      </c>
      <c r="M37" s="71" t="s">
        <v>25</v>
      </c>
      <c r="N37" s="71" t="s">
        <v>1051</v>
      </c>
      <c r="O37" s="71">
        <v>190.02813184999999</v>
      </c>
      <c r="P37" s="71" t="s">
        <v>1052</v>
      </c>
      <c r="Q37" s="71" t="s">
        <v>94</v>
      </c>
      <c r="R37" s="71" t="s">
        <v>184</v>
      </c>
      <c r="S37" s="71"/>
      <c r="T37" s="71"/>
      <c r="U37" s="71"/>
      <c r="V37" s="71"/>
      <c r="W37" s="71"/>
      <c r="X37" s="71" t="s">
        <v>906</v>
      </c>
      <c r="Y37" s="71"/>
      <c r="Z37" s="71"/>
      <c r="AA37" s="71" t="s">
        <v>770</v>
      </c>
      <c r="AB37" s="71"/>
      <c r="AC37" s="71" t="s">
        <v>21</v>
      </c>
      <c r="AD37" s="71"/>
      <c r="AE37" s="71"/>
      <c r="AF37" s="71"/>
      <c r="AG37" s="71"/>
      <c r="AH37" s="71" t="s">
        <v>1053</v>
      </c>
      <c r="AI37" s="71" t="s">
        <v>772</v>
      </c>
      <c r="AJ37" s="71">
        <v>9016857</v>
      </c>
      <c r="AK37" s="71" t="s">
        <v>1054</v>
      </c>
      <c r="AL37" s="71">
        <v>889017</v>
      </c>
      <c r="AM37" s="71"/>
      <c r="AN37" s="71"/>
      <c r="AO37" s="71" t="s">
        <v>773</v>
      </c>
      <c r="AP37" s="71" t="s">
        <v>908</v>
      </c>
      <c r="AQ37" s="71" t="s">
        <v>775</v>
      </c>
      <c r="AR37" s="71" t="s">
        <v>788</v>
      </c>
      <c r="AS37" s="71" t="s">
        <v>777</v>
      </c>
      <c r="AT37" s="71"/>
      <c r="AU37" s="71"/>
      <c r="BA37" s="181" t="s">
        <v>1055</v>
      </c>
    </row>
    <row r="38" spans="1:53" ht="72" hidden="1" customHeight="1" x14ac:dyDescent="0.2">
      <c r="A38" s="71" t="s">
        <v>1056</v>
      </c>
      <c r="B38" s="71">
        <v>2025</v>
      </c>
      <c r="C38" s="71" t="s">
        <v>1057</v>
      </c>
      <c r="D38" s="71" t="s">
        <v>1058</v>
      </c>
      <c r="E38" s="71" t="s">
        <v>1059</v>
      </c>
      <c r="F38" s="71" t="s">
        <v>287</v>
      </c>
      <c r="G38" s="71">
        <v>3</v>
      </c>
      <c r="H38" s="71" t="s">
        <v>1059</v>
      </c>
      <c r="I38" s="71" t="s">
        <v>1060</v>
      </c>
      <c r="J38" s="71" t="s">
        <v>20</v>
      </c>
      <c r="K38" s="71" t="s">
        <v>1061</v>
      </c>
      <c r="L38" s="71" t="s">
        <v>131</v>
      </c>
      <c r="M38" s="71" t="s">
        <v>25</v>
      </c>
      <c r="N38" s="71" t="s">
        <v>1062</v>
      </c>
      <c r="O38" s="71">
        <v>190.00955450999999</v>
      </c>
      <c r="P38" s="71" t="s">
        <v>809</v>
      </c>
      <c r="Q38" s="71" t="s">
        <v>132</v>
      </c>
      <c r="R38" s="71" t="s">
        <v>148</v>
      </c>
      <c r="S38" s="71"/>
      <c r="T38" s="71"/>
      <c r="U38" s="71"/>
      <c r="V38" s="71"/>
      <c r="W38" s="71"/>
      <c r="X38" s="71" t="s">
        <v>795</v>
      </c>
      <c r="Y38" s="71"/>
      <c r="Z38" s="71" t="s">
        <v>796</v>
      </c>
      <c r="AA38" s="71" t="s">
        <v>770</v>
      </c>
      <c r="AB38" s="71"/>
      <c r="AC38" s="71" t="s">
        <v>21</v>
      </c>
      <c r="AD38" s="71" t="s">
        <v>797</v>
      </c>
      <c r="AE38" s="71"/>
      <c r="AF38" s="71"/>
      <c r="AG38" s="71"/>
      <c r="AH38" s="71" t="s">
        <v>1063</v>
      </c>
      <c r="AI38" s="71" t="s">
        <v>772</v>
      </c>
      <c r="AJ38" s="71">
        <v>9205890</v>
      </c>
      <c r="AK38" s="71" t="s">
        <v>28</v>
      </c>
      <c r="AL38" s="71">
        <v>804712</v>
      </c>
      <c r="AM38" s="71"/>
      <c r="AN38" s="71" t="s">
        <v>811</v>
      </c>
      <c r="AO38" s="71" t="s">
        <v>800</v>
      </c>
      <c r="AP38" s="71" t="s">
        <v>774</v>
      </c>
      <c r="AQ38" s="71" t="s">
        <v>801</v>
      </c>
      <c r="AR38" s="71" t="s">
        <v>802</v>
      </c>
      <c r="AS38" s="71" t="s">
        <v>801</v>
      </c>
      <c r="AT38" s="71"/>
      <c r="AU38" s="71" t="s">
        <v>862</v>
      </c>
      <c r="AV38">
        <v>0</v>
      </c>
      <c r="AW38">
        <v>0</v>
      </c>
    </row>
    <row r="39" spans="1:53" ht="15" customHeight="1" x14ac:dyDescent="0.2">
      <c r="A39" s="71" t="s">
        <v>304</v>
      </c>
      <c r="B39" s="71">
        <v>2026</v>
      </c>
      <c r="C39" s="72" t="s">
        <v>1064</v>
      </c>
      <c r="D39" s="71" t="s">
        <v>1065</v>
      </c>
      <c r="E39" s="71" t="s">
        <v>308</v>
      </c>
      <c r="F39" s="71" t="s">
        <v>305</v>
      </c>
      <c r="G39" s="71">
        <v>1</v>
      </c>
      <c r="H39" s="71">
        <v>5856156091</v>
      </c>
      <c r="I39" s="71" t="s">
        <v>1066</v>
      </c>
      <c r="J39" s="71" t="s">
        <v>91</v>
      </c>
      <c r="K39" s="71" t="s">
        <v>1028</v>
      </c>
      <c r="L39" s="71" t="s">
        <v>24</v>
      </c>
      <c r="M39" s="71" t="s">
        <v>25</v>
      </c>
      <c r="N39" s="71" t="s">
        <v>1067</v>
      </c>
      <c r="O39" s="71">
        <v>190.02786072000001</v>
      </c>
      <c r="P39" s="71" t="s">
        <v>1068</v>
      </c>
      <c r="Q39" s="71" t="s">
        <v>94</v>
      </c>
      <c r="R39" s="71" t="s">
        <v>31</v>
      </c>
      <c r="S39" s="71"/>
      <c r="T39" s="71"/>
      <c r="U39" s="71"/>
      <c r="V39" s="71"/>
      <c r="W39" s="71"/>
      <c r="X39" s="71" t="s">
        <v>906</v>
      </c>
      <c r="Y39" s="71"/>
      <c r="Z39" s="71"/>
      <c r="AA39" s="71" t="s">
        <v>770</v>
      </c>
      <c r="AB39" s="71"/>
      <c r="AC39" s="71" t="s">
        <v>21</v>
      </c>
      <c r="AD39" s="71"/>
      <c r="AE39" s="71"/>
      <c r="AF39" s="71"/>
      <c r="AG39" s="71"/>
      <c r="AH39" s="71" t="s">
        <v>1069</v>
      </c>
      <c r="AI39" s="71" t="s">
        <v>772</v>
      </c>
      <c r="AJ39" s="71">
        <v>8714782</v>
      </c>
      <c r="AK39" s="71" t="s">
        <v>307</v>
      </c>
      <c r="AL39" s="71">
        <v>899501</v>
      </c>
      <c r="AM39" s="71"/>
      <c r="AN39" s="71"/>
      <c r="AO39" s="71" t="s">
        <v>773</v>
      </c>
      <c r="AP39" s="71" t="s">
        <v>908</v>
      </c>
      <c r="AQ39" s="71" t="s">
        <v>775</v>
      </c>
      <c r="AR39" s="71" t="s">
        <v>788</v>
      </c>
      <c r="AS39" s="71" t="s">
        <v>777</v>
      </c>
      <c r="AT39" s="71"/>
      <c r="AU39" s="71"/>
    </row>
    <row r="40" spans="1:53" ht="15" customHeight="1" x14ac:dyDescent="0.2">
      <c r="A40" s="71" t="s">
        <v>1070</v>
      </c>
      <c r="B40" s="71">
        <v>2025</v>
      </c>
      <c r="C40" s="72" t="s">
        <v>1071</v>
      </c>
      <c r="D40" s="71" t="s">
        <v>1072</v>
      </c>
      <c r="E40" s="71" t="s">
        <v>191</v>
      </c>
      <c r="F40" s="71" t="s">
        <v>187</v>
      </c>
      <c r="G40" s="71">
        <v>2</v>
      </c>
      <c r="H40" s="71" t="s">
        <v>188</v>
      </c>
      <c r="I40" s="71" t="s">
        <v>1073</v>
      </c>
      <c r="J40" s="71" t="s">
        <v>20</v>
      </c>
      <c r="K40" s="71" t="s">
        <v>854</v>
      </c>
      <c r="L40" s="71" t="s">
        <v>35</v>
      </c>
      <c r="M40" s="71" t="s">
        <v>25</v>
      </c>
      <c r="N40" s="71" t="s">
        <v>1074</v>
      </c>
      <c r="O40" s="71">
        <v>190.0001919</v>
      </c>
      <c r="P40" s="71" t="s">
        <v>1075</v>
      </c>
      <c r="Q40" s="71" t="s">
        <v>45</v>
      </c>
      <c r="R40" s="71" t="s">
        <v>31</v>
      </c>
      <c r="S40" s="71"/>
      <c r="T40" s="71"/>
      <c r="U40" s="71"/>
      <c r="V40" s="71"/>
      <c r="W40" s="71"/>
      <c r="X40" s="71" t="s">
        <v>312</v>
      </c>
      <c r="Y40" s="71"/>
      <c r="Z40" s="71" t="s">
        <v>846</v>
      </c>
      <c r="AA40" s="71" t="s">
        <v>874</v>
      </c>
      <c r="AB40" s="71"/>
      <c r="AC40" s="71" t="s">
        <v>21</v>
      </c>
      <c r="AD40" s="71" t="s">
        <v>797</v>
      </c>
      <c r="AE40" s="71"/>
      <c r="AF40" s="71"/>
      <c r="AG40" s="71"/>
      <c r="AH40" s="71" t="s">
        <v>1076</v>
      </c>
      <c r="AI40" s="71" t="s">
        <v>772</v>
      </c>
      <c r="AJ40" s="71">
        <v>9129950</v>
      </c>
      <c r="AK40" s="71" t="s">
        <v>189</v>
      </c>
      <c r="AL40" s="71">
        <v>834706</v>
      </c>
      <c r="AM40" s="71"/>
      <c r="AN40" s="71"/>
      <c r="AO40" s="71" t="s">
        <v>773</v>
      </c>
      <c r="AP40" s="71" t="s">
        <v>774</v>
      </c>
      <c r="AQ40" s="71" t="s">
        <v>775</v>
      </c>
      <c r="AR40" s="71" t="s">
        <v>788</v>
      </c>
      <c r="AS40" s="71" t="s">
        <v>777</v>
      </c>
      <c r="AT40" s="71"/>
      <c r="AU40" s="71"/>
    </row>
    <row r="41" spans="1:53" ht="48" customHeight="1" x14ac:dyDescent="0.2">
      <c r="A41" s="71" t="s">
        <v>373</v>
      </c>
      <c r="B41" s="71">
        <v>2026</v>
      </c>
      <c r="C41" s="72" t="s">
        <v>1077</v>
      </c>
      <c r="D41" s="71" t="s">
        <v>1078</v>
      </c>
      <c r="E41" s="71"/>
      <c r="F41" s="71" t="s">
        <v>305</v>
      </c>
      <c r="G41" s="71"/>
      <c r="H41" s="71" t="s">
        <v>374</v>
      </c>
      <c r="I41" s="71" t="s">
        <v>1079</v>
      </c>
      <c r="J41" s="71" t="s">
        <v>20</v>
      </c>
      <c r="K41" s="71" t="s">
        <v>1080</v>
      </c>
      <c r="L41" s="71" t="s">
        <v>375</v>
      </c>
      <c r="M41" s="71" t="s">
        <v>25</v>
      </c>
      <c r="N41" s="71" t="s">
        <v>1081</v>
      </c>
      <c r="O41" s="71">
        <v>190.02761168000001</v>
      </c>
      <c r="P41" s="71" t="s">
        <v>767</v>
      </c>
      <c r="Q41" s="71" t="s">
        <v>94</v>
      </c>
      <c r="R41" s="71" t="s">
        <v>31</v>
      </c>
      <c r="S41" s="71"/>
      <c r="T41" s="71"/>
      <c r="U41" s="71"/>
      <c r="V41" s="71"/>
      <c r="W41" s="71"/>
      <c r="X41" s="71"/>
      <c r="Y41" s="71"/>
      <c r="Z41" s="71"/>
      <c r="AA41" s="71" t="s">
        <v>770</v>
      </c>
      <c r="AB41" s="71"/>
      <c r="AC41" s="71" t="s">
        <v>21</v>
      </c>
      <c r="AD41" s="71"/>
      <c r="AE41" s="71"/>
      <c r="AF41" s="71"/>
      <c r="AG41" s="71"/>
      <c r="AH41" s="71" t="s">
        <v>1082</v>
      </c>
      <c r="AI41" s="71" t="s">
        <v>772</v>
      </c>
      <c r="AJ41" s="71">
        <v>8717852</v>
      </c>
      <c r="AK41" s="71" t="s">
        <v>307</v>
      </c>
      <c r="AL41" s="71">
        <v>905857</v>
      </c>
      <c r="AM41" s="71"/>
      <c r="AN41" s="71"/>
      <c r="AO41" s="71" t="s">
        <v>773</v>
      </c>
      <c r="AP41" s="71" t="s">
        <v>774</v>
      </c>
      <c r="AQ41" s="71" t="s">
        <v>775</v>
      </c>
      <c r="AR41" s="71" t="s">
        <v>788</v>
      </c>
      <c r="AS41" s="71" t="s">
        <v>777</v>
      </c>
      <c r="AT41" s="71"/>
      <c r="AU41" s="71"/>
    </row>
    <row r="42" spans="1:53" ht="288" customHeight="1" x14ac:dyDescent="0.2">
      <c r="A42" s="71" t="s">
        <v>1083</v>
      </c>
      <c r="B42" s="71">
        <v>2024</v>
      </c>
      <c r="C42" s="72" t="s">
        <v>1084</v>
      </c>
      <c r="D42" s="71" t="s">
        <v>1085</v>
      </c>
      <c r="E42" s="71"/>
      <c r="F42" s="71" t="s">
        <v>1086</v>
      </c>
      <c r="G42" s="71"/>
      <c r="H42" s="71" t="s">
        <v>1087</v>
      </c>
      <c r="I42" s="71" t="s">
        <v>1088</v>
      </c>
      <c r="J42" s="71" t="s">
        <v>20</v>
      </c>
      <c r="K42" s="71" t="s">
        <v>1089</v>
      </c>
      <c r="L42" s="71" t="s">
        <v>35</v>
      </c>
      <c r="M42" s="71" t="s">
        <v>25</v>
      </c>
      <c r="N42" s="71" t="s">
        <v>1090</v>
      </c>
      <c r="O42" s="71">
        <v>190.02317982</v>
      </c>
      <c r="P42" s="71" t="s">
        <v>767</v>
      </c>
      <c r="Q42" s="71" t="s">
        <v>26</v>
      </c>
      <c r="R42" s="71" t="s">
        <v>31</v>
      </c>
      <c r="S42" s="71"/>
      <c r="T42" s="71"/>
      <c r="U42" s="71"/>
      <c r="V42" s="71"/>
      <c r="W42" s="71"/>
      <c r="X42" s="71" t="s">
        <v>845</v>
      </c>
      <c r="Y42" s="71"/>
      <c r="Z42" s="71" t="s">
        <v>1091</v>
      </c>
      <c r="AA42" s="71" t="s">
        <v>770</v>
      </c>
      <c r="AB42" s="71"/>
      <c r="AC42" s="71" t="s">
        <v>21</v>
      </c>
      <c r="AD42" s="71"/>
      <c r="AE42" s="71"/>
      <c r="AF42" s="71"/>
      <c r="AG42" s="71"/>
      <c r="AH42" s="71" t="s">
        <v>1092</v>
      </c>
      <c r="AI42" s="71" t="s">
        <v>772</v>
      </c>
      <c r="AJ42" s="71">
        <v>9204224</v>
      </c>
      <c r="AK42" s="71" t="s">
        <v>28</v>
      </c>
      <c r="AL42" s="71">
        <v>809973</v>
      </c>
      <c r="AM42" s="71"/>
      <c r="AN42" s="71"/>
      <c r="AO42" s="71" t="s">
        <v>773</v>
      </c>
      <c r="AP42" s="71" t="s">
        <v>774</v>
      </c>
      <c r="AQ42" s="71" t="s">
        <v>1093</v>
      </c>
      <c r="AR42" s="71" t="s">
        <v>776</v>
      </c>
      <c r="AS42" s="71" t="s">
        <v>1094</v>
      </c>
      <c r="AT42" s="71" t="s">
        <v>1083</v>
      </c>
      <c r="AU42" s="71"/>
      <c r="BA42" t="s">
        <v>1095</v>
      </c>
    </row>
    <row r="43" spans="1:53" ht="120" customHeight="1" x14ac:dyDescent="0.2">
      <c r="A43" s="71" t="s">
        <v>627</v>
      </c>
      <c r="B43" s="71">
        <v>2026</v>
      </c>
      <c r="C43" s="71" t="s">
        <v>1096</v>
      </c>
      <c r="D43" s="71" t="s">
        <v>1097</v>
      </c>
      <c r="E43" s="71" t="s">
        <v>629</v>
      </c>
      <c r="F43" s="71" t="s">
        <v>628</v>
      </c>
      <c r="G43" s="71">
        <v>2</v>
      </c>
      <c r="H43" s="71" t="s">
        <v>629</v>
      </c>
      <c r="I43" s="71" t="s">
        <v>1098</v>
      </c>
      <c r="J43" s="71" t="s">
        <v>493</v>
      </c>
      <c r="K43" s="71" t="s">
        <v>880</v>
      </c>
      <c r="L43" s="71" t="s">
        <v>24</v>
      </c>
      <c r="M43" s="71" t="s">
        <v>25</v>
      </c>
      <c r="N43" s="71" t="s">
        <v>1099</v>
      </c>
      <c r="O43" s="71">
        <v>190.02206706999999</v>
      </c>
      <c r="P43" s="71" t="s">
        <v>767</v>
      </c>
      <c r="Q43" s="71" t="s">
        <v>36</v>
      </c>
      <c r="R43" s="71" t="s">
        <v>31</v>
      </c>
      <c r="S43" s="71"/>
      <c r="T43" s="71"/>
      <c r="U43" s="71"/>
      <c r="V43" s="71"/>
      <c r="W43" s="71"/>
      <c r="X43" s="71"/>
      <c r="Y43" s="71"/>
      <c r="Z43" s="71"/>
      <c r="AA43" s="71" t="s">
        <v>770</v>
      </c>
      <c r="AB43" s="71"/>
      <c r="AC43" s="71" t="s">
        <v>21</v>
      </c>
      <c r="AD43" s="71"/>
      <c r="AE43" s="71"/>
      <c r="AF43" s="71"/>
      <c r="AG43" s="71"/>
      <c r="AH43" s="71"/>
      <c r="AI43" s="71" t="s">
        <v>772</v>
      </c>
      <c r="AJ43" s="71">
        <v>9204335</v>
      </c>
      <c r="AK43" s="71" t="s">
        <v>28</v>
      </c>
      <c r="AL43" s="71">
        <v>808350</v>
      </c>
      <c r="AM43" s="71"/>
      <c r="AN43" s="71"/>
      <c r="AO43" s="71" t="s">
        <v>773</v>
      </c>
      <c r="AP43" s="71" t="s">
        <v>774</v>
      </c>
      <c r="AQ43" s="71" t="s">
        <v>918</v>
      </c>
      <c r="AR43" s="71" t="s">
        <v>802</v>
      </c>
      <c r="AS43" s="71" t="s">
        <v>918</v>
      </c>
      <c r="AT43" s="71"/>
      <c r="AU43" s="71"/>
    </row>
    <row r="44" spans="1:53" ht="252" customHeight="1" x14ac:dyDescent="0.2">
      <c r="A44" s="71" t="s">
        <v>72</v>
      </c>
      <c r="B44" s="71">
        <v>2024</v>
      </c>
      <c r="C44" s="72" t="s">
        <v>1084</v>
      </c>
      <c r="D44" s="71" t="s">
        <v>1085</v>
      </c>
      <c r="E44" s="71" t="s">
        <v>75</v>
      </c>
      <c r="F44" s="71" t="s">
        <v>73</v>
      </c>
      <c r="G44" s="71">
        <v>3</v>
      </c>
      <c r="H44" s="71" t="s">
        <v>74</v>
      </c>
      <c r="I44" s="71" t="s">
        <v>1100</v>
      </c>
      <c r="J44" s="71" t="s">
        <v>20</v>
      </c>
      <c r="K44" s="71" t="s">
        <v>1089</v>
      </c>
      <c r="L44" s="71" t="s">
        <v>44</v>
      </c>
      <c r="M44" s="71" t="s">
        <v>25</v>
      </c>
      <c r="N44" s="71" t="s">
        <v>1101</v>
      </c>
      <c r="O44" s="71">
        <v>190.02678886999999</v>
      </c>
      <c r="P44" s="71" t="s">
        <v>767</v>
      </c>
      <c r="Q44" s="71" t="s">
        <v>26</v>
      </c>
      <c r="R44" s="71" t="s">
        <v>31</v>
      </c>
      <c r="S44" s="71"/>
      <c r="T44" s="71"/>
      <c r="U44" s="71"/>
      <c r="V44" s="71"/>
      <c r="W44" s="71"/>
      <c r="X44" s="71" t="s">
        <v>845</v>
      </c>
      <c r="Y44" s="71"/>
      <c r="Z44" s="71" t="s">
        <v>1091</v>
      </c>
      <c r="AA44" s="71" t="s">
        <v>770</v>
      </c>
      <c r="AB44" s="71"/>
      <c r="AC44" s="71" t="s">
        <v>21</v>
      </c>
      <c r="AD44" s="71"/>
      <c r="AE44" s="71"/>
      <c r="AF44" s="71"/>
      <c r="AG44" s="71"/>
      <c r="AH44" s="71" t="s">
        <v>1102</v>
      </c>
      <c r="AI44" s="71" t="s">
        <v>772</v>
      </c>
      <c r="AJ44" s="71">
        <v>9203976</v>
      </c>
      <c r="AK44" s="71" t="s">
        <v>28</v>
      </c>
      <c r="AL44" s="71">
        <v>810560</v>
      </c>
      <c r="AM44" s="71"/>
      <c r="AN44" s="71"/>
      <c r="AO44" s="71" t="s">
        <v>773</v>
      </c>
      <c r="AP44" s="71" t="s">
        <v>774</v>
      </c>
      <c r="AQ44" s="71" t="s">
        <v>1093</v>
      </c>
      <c r="AR44" s="71" t="s">
        <v>776</v>
      </c>
      <c r="AS44" s="71" t="s">
        <v>1094</v>
      </c>
      <c r="AT44" s="71" t="s">
        <v>1083</v>
      </c>
      <c r="AU44" s="71"/>
      <c r="BA44" t="s">
        <v>1095</v>
      </c>
    </row>
    <row r="45" spans="1:53" ht="264" customHeight="1" x14ac:dyDescent="0.2">
      <c r="A45" s="71" t="s">
        <v>613</v>
      </c>
      <c r="B45" s="71">
        <v>2026</v>
      </c>
      <c r="C45" s="72" t="s">
        <v>1103</v>
      </c>
      <c r="D45" s="71" t="s">
        <v>1104</v>
      </c>
      <c r="E45" s="71" t="s">
        <v>616</v>
      </c>
      <c r="F45" s="71" t="s">
        <v>614</v>
      </c>
      <c r="G45" s="71">
        <v>3</v>
      </c>
      <c r="H45" s="71" t="s">
        <v>615</v>
      </c>
      <c r="I45" s="71" t="s">
        <v>1105</v>
      </c>
      <c r="J45" s="71" t="s">
        <v>20</v>
      </c>
      <c r="K45" s="71" t="s">
        <v>945</v>
      </c>
      <c r="L45" s="71" t="s">
        <v>35</v>
      </c>
      <c r="M45" s="71" t="s">
        <v>25</v>
      </c>
      <c r="N45" s="71" t="s">
        <v>1106</v>
      </c>
      <c r="O45" s="71">
        <v>190.01239174</v>
      </c>
      <c r="P45" s="71" t="s">
        <v>1107</v>
      </c>
      <c r="Q45" s="71" t="s">
        <v>45</v>
      </c>
      <c r="R45" s="71" t="s">
        <v>31</v>
      </c>
      <c r="S45" s="71"/>
      <c r="T45" s="71"/>
      <c r="U45" s="71"/>
      <c r="V45" s="71"/>
      <c r="W45" s="71"/>
      <c r="X45" s="71" t="s">
        <v>312</v>
      </c>
      <c r="Y45" s="71"/>
      <c r="Z45" s="71" t="s">
        <v>873</v>
      </c>
      <c r="AA45" s="71" t="s">
        <v>770</v>
      </c>
      <c r="AB45" s="71"/>
      <c r="AC45" s="71" t="s">
        <v>21</v>
      </c>
      <c r="AD45" s="71" t="s">
        <v>797</v>
      </c>
      <c r="AE45" s="71"/>
      <c r="AF45" s="71"/>
      <c r="AG45" s="71"/>
      <c r="AH45" s="71" t="s">
        <v>1108</v>
      </c>
      <c r="AI45" s="71" t="s">
        <v>772</v>
      </c>
      <c r="AJ45" s="71">
        <v>8984037</v>
      </c>
      <c r="AK45" s="71" t="s">
        <v>169</v>
      </c>
      <c r="AL45" s="71">
        <v>813445</v>
      </c>
      <c r="AM45" s="71"/>
      <c r="AN45" s="71"/>
      <c r="AO45" s="71" t="s">
        <v>773</v>
      </c>
      <c r="AP45" s="71" t="s">
        <v>774</v>
      </c>
      <c r="AQ45" s="71" t="s">
        <v>860</v>
      </c>
      <c r="AR45" s="71" t="s">
        <v>776</v>
      </c>
      <c r="AS45" s="71" t="s">
        <v>861</v>
      </c>
      <c r="AT45" s="71"/>
      <c r="AU45" s="71"/>
    </row>
    <row r="46" spans="1:53" ht="19.5" customHeight="1" x14ac:dyDescent="0.2">
      <c r="A46" s="71" t="s">
        <v>1109</v>
      </c>
      <c r="B46" s="71">
        <v>2024</v>
      </c>
      <c r="C46" s="72" t="s">
        <v>1084</v>
      </c>
      <c r="D46" s="71" t="s">
        <v>1085</v>
      </c>
      <c r="E46" s="71"/>
      <c r="F46" s="71" t="s">
        <v>628</v>
      </c>
      <c r="G46" s="71"/>
      <c r="H46" s="71" t="s">
        <v>708</v>
      </c>
      <c r="I46" s="71" t="s">
        <v>1110</v>
      </c>
      <c r="J46" s="71" t="s">
        <v>20</v>
      </c>
      <c r="K46" s="71" t="s">
        <v>1089</v>
      </c>
      <c r="L46" s="71" t="s">
        <v>35</v>
      </c>
      <c r="M46" s="71" t="s">
        <v>25</v>
      </c>
      <c r="N46" s="71" t="s">
        <v>1111</v>
      </c>
      <c r="O46" s="71">
        <v>190.02318019000001</v>
      </c>
      <c r="P46" s="71" t="s">
        <v>767</v>
      </c>
      <c r="Q46" s="71" t="s">
        <v>26</v>
      </c>
      <c r="R46" s="71" t="s">
        <v>31</v>
      </c>
      <c r="S46" s="71"/>
      <c r="T46" s="71"/>
      <c r="U46" s="71"/>
      <c r="V46" s="71"/>
      <c r="W46" s="71"/>
      <c r="X46" s="71" t="s">
        <v>845</v>
      </c>
      <c r="Y46" s="71"/>
      <c r="Z46" s="71" t="s">
        <v>1091</v>
      </c>
      <c r="AA46" s="71" t="s">
        <v>770</v>
      </c>
      <c r="AB46" s="71"/>
      <c r="AC46" s="71" t="s">
        <v>21</v>
      </c>
      <c r="AD46" s="71"/>
      <c r="AE46" s="71"/>
      <c r="AF46" s="71"/>
      <c r="AG46" s="71"/>
      <c r="AH46" s="71" t="s">
        <v>1112</v>
      </c>
      <c r="AI46" s="71" t="s">
        <v>772</v>
      </c>
      <c r="AJ46" s="71">
        <v>9204643</v>
      </c>
      <c r="AK46" s="71" t="s">
        <v>28</v>
      </c>
      <c r="AL46" s="71">
        <v>807522</v>
      </c>
      <c r="AM46" s="71"/>
      <c r="AN46" s="71"/>
      <c r="AO46" s="71" t="s">
        <v>773</v>
      </c>
      <c r="AP46" s="71" t="s">
        <v>774</v>
      </c>
      <c r="AQ46" s="71" t="s">
        <v>1093</v>
      </c>
      <c r="AR46" s="71" t="s">
        <v>776</v>
      </c>
      <c r="AS46" s="71" t="s">
        <v>1094</v>
      </c>
      <c r="AT46" s="71" t="s">
        <v>1083</v>
      </c>
      <c r="AU46" s="71"/>
      <c r="BA46" t="s">
        <v>1095</v>
      </c>
    </row>
    <row r="47" spans="1:53" ht="15" customHeight="1" x14ac:dyDescent="0.2">
      <c r="A47" s="71" t="s">
        <v>553</v>
      </c>
      <c r="B47" s="71">
        <v>2026</v>
      </c>
      <c r="C47" s="72" t="s">
        <v>1113</v>
      </c>
      <c r="D47" s="71" t="s">
        <v>1114</v>
      </c>
      <c r="E47" s="71" t="s">
        <v>558</v>
      </c>
      <c r="F47" s="71" t="s">
        <v>554</v>
      </c>
      <c r="G47" s="71">
        <v>3</v>
      </c>
      <c r="H47" s="71" t="s">
        <v>555</v>
      </c>
      <c r="I47" s="71" t="s">
        <v>1115</v>
      </c>
      <c r="J47" s="71" t="s">
        <v>20</v>
      </c>
      <c r="K47" s="71" t="s">
        <v>1116</v>
      </c>
      <c r="L47" s="71" t="s">
        <v>35</v>
      </c>
      <c r="M47" s="71" t="s">
        <v>25</v>
      </c>
      <c r="N47" s="71" t="s">
        <v>1117</v>
      </c>
      <c r="O47" s="71">
        <v>190.01236825000001</v>
      </c>
      <c r="P47" s="71" t="s">
        <v>767</v>
      </c>
      <c r="Q47" s="71" t="s">
        <v>45</v>
      </c>
      <c r="R47" s="71" t="s">
        <v>31</v>
      </c>
      <c r="S47" s="71"/>
      <c r="T47" s="71"/>
      <c r="U47" s="71"/>
      <c r="V47" s="71"/>
      <c r="W47" s="71"/>
      <c r="X47" s="71" t="s">
        <v>918</v>
      </c>
      <c r="Y47" s="71"/>
      <c r="Z47" s="71" t="s">
        <v>948</v>
      </c>
      <c r="AA47" s="71" t="s">
        <v>770</v>
      </c>
      <c r="AB47" s="71"/>
      <c r="AC47" s="71" t="s">
        <v>21</v>
      </c>
      <c r="AD47" s="71" t="s">
        <v>797</v>
      </c>
      <c r="AE47" s="71"/>
      <c r="AF47" s="71"/>
      <c r="AG47" s="71"/>
      <c r="AH47" s="71" t="s">
        <v>1118</v>
      </c>
      <c r="AI47" s="71" t="s">
        <v>772</v>
      </c>
      <c r="AJ47" s="71">
        <v>9029671</v>
      </c>
      <c r="AK47" s="71" t="s">
        <v>556</v>
      </c>
      <c r="AL47" s="71">
        <v>727489</v>
      </c>
      <c r="AM47" s="71"/>
      <c r="AN47" s="71"/>
      <c r="AO47" s="71" t="s">
        <v>773</v>
      </c>
      <c r="AP47" s="71" t="s">
        <v>774</v>
      </c>
      <c r="AQ47" s="71" t="s">
        <v>1119</v>
      </c>
      <c r="AR47" s="71" t="s">
        <v>802</v>
      </c>
      <c r="AS47" s="71" t="s">
        <v>312</v>
      </c>
      <c r="AT47" s="71"/>
      <c r="AU47" s="71"/>
    </row>
    <row r="48" spans="1:53" ht="240" customHeight="1" x14ac:dyDescent="0.2">
      <c r="A48" s="71" t="s">
        <v>76</v>
      </c>
      <c r="B48" s="71">
        <v>2024</v>
      </c>
      <c r="C48" s="71" t="s">
        <v>1120</v>
      </c>
      <c r="D48" s="71" t="s">
        <v>1121</v>
      </c>
      <c r="E48" s="71" t="s">
        <v>78</v>
      </c>
      <c r="F48" s="71" t="s">
        <v>22</v>
      </c>
      <c r="G48" s="71">
        <v>3</v>
      </c>
      <c r="H48" s="71" t="s">
        <v>77</v>
      </c>
      <c r="I48" s="71" t="s">
        <v>1122</v>
      </c>
      <c r="J48" s="71" t="s">
        <v>20</v>
      </c>
      <c r="K48" s="71" t="s">
        <v>1123</v>
      </c>
      <c r="L48" s="71" t="s">
        <v>35</v>
      </c>
      <c r="M48" s="71" t="s">
        <v>25</v>
      </c>
      <c r="N48" s="71" t="s">
        <v>1124</v>
      </c>
      <c r="O48" s="71">
        <v>190.02711586999999</v>
      </c>
      <c r="P48" s="71" t="s">
        <v>767</v>
      </c>
      <c r="Q48" s="71" t="s">
        <v>26</v>
      </c>
      <c r="R48" s="71" t="s">
        <v>31</v>
      </c>
      <c r="S48" s="71"/>
      <c r="T48" s="71"/>
      <c r="U48" s="71"/>
      <c r="V48" s="71"/>
      <c r="W48" s="71"/>
      <c r="X48" s="71" t="s">
        <v>768</v>
      </c>
      <c r="Y48" s="71"/>
      <c r="Z48" s="71" t="s">
        <v>1125</v>
      </c>
      <c r="AA48" s="71" t="s">
        <v>770</v>
      </c>
      <c r="AB48" s="71"/>
      <c r="AC48" s="71" t="s">
        <v>21</v>
      </c>
      <c r="AD48" s="71"/>
      <c r="AE48" s="71"/>
      <c r="AF48" s="71"/>
      <c r="AG48" s="71"/>
      <c r="AH48" s="71" t="s">
        <v>1126</v>
      </c>
      <c r="AI48" s="71" t="s">
        <v>772</v>
      </c>
      <c r="AJ48" s="71">
        <v>9202268</v>
      </c>
      <c r="AK48" s="71" t="s">
        <v>28</v>
      </c>
      <c r="AL48" s="71">
        <v>804877</v>
      </c>
      <c r="AM48" s="71"/>
      <c r="AN48" s="71"/>
      <c r="AO48" s="71" t="s">
        <v>773</v>
      </c>
      <c r="AP48" s="71" t="s">
        <v>774</v>
      </c>
      <c r="AQ48" s="71" t="s">
        <v>876</v>
      </c>
      <c r="AR48" s="71" t="s">
        <v>802</v>
      </c>
      <c r="AS48" s="71" t="s">
        <v>876</v>
      </c>
      <c r="AT48" s="71"/>
      <c r="AU48" s="71"/>
    </row>
    <row r="49" spans="1:48" ht="108" customHeight="1" x14ac:dyDescent="0.2">
      <c r="A49" s="71" t="s">
        <v>610</v>
      </c>
      <c r="B49" s="71">
        <v>2026</v>
      </c>
      <c r="C49" s="100" t="s">
        <v>1127</v>
      </c>
      <c r="D49" s="71" t="s">
        <v>1128</v>
      </c>
      <c r="E49" s="71" t="s">
        <v>612</v>
      </c>
      <c r="F49" s="71" t="s">
        <v>22</v>
      </c>
      <c r="G49" s="71">
        <v>2</v>
      </c>
      <c r="H49" s="71" t="s">
        <v>611</v>
      </c>
      <c r="I49" s="71" t="s">
        <v>1129</v>
      </c>
      <c r="J49" s="71" t="s">
        <v>20</v>
      </c>
      <c r="K49" s="71" t="s">
        <v>1116</v>
      </c>
      <c r="L49" s="71" t="s">
        <v>35</v>
      </c>
      <c r="M49" s="71" t="s">
        <v>25</v>
      </c>
      <c r="N49" s="71" t="s">
        <v>1130</v>
      </c>
      <c r="O49" s="71">
        <v>190.00009925000001</v>
      </c>
      <c r="P49" s="71" t="s">
        <v>767</v>
      </c>
      <c r="Q49" s="71" t="s">
        <v>45</v>
      </c>
      <c r="R49" s="71" t="s">
        <v>31</v>
      </c>
      <c r="S49" s="71"/>
      <c r="T49" s="71"/>
      <c r="U49" s="71"/>
      <c r="V49" s="71"/>
      <c r="W49" s="71"/>
      <c r="X49" s="71" t="s">
        <v>918</v>
      </c>
      <c r="Y49" s="71"/>
      <c r="Z49" s="71" t="s">
        <v>948</v>
      </c>
      <c r="AA49" s="71" t="s">
        <v>770</v>
      </c>
      <c r="AB49" s="71"/>
      <c r="AC49" s="71" t="s">
        <v>21</v>
      </c>
      <c r="AD49" s="71" t="s">
        <v>797</v>
      </c>
      <c r="AE49" s="71"/>
      <c r="AF49" s="71"/>
      <c r="AG49" s="71"/>
      <c r="AH49" s="71" t="s">
        <v>1131</v>
      </c>
      <c r="AI49" s="71" t="s">
        <v>772</v>
      </c>
      <c r="AJ49" s="71">
        <v>9202999</v>
      </c>
      <c r="AK49" s="71" t="s">
        <v>28</v>
      </c>
      <c r="AL49" s="71">
        <v>807531</v>
      </c>
      <c r="AM49" s="71"/>
      <c r="AN49" s="71"/>
      <c r="AO49" s="71" t="s">
        <v>773</v>
      </c>
      <c r="AP49" s="71" t="s">
        <v>908</v>
      </c>
      <c r="AQ49" s="71" t="s">
        <v>775</v>
      </c>
      <c r="AR49" s="71" t="s">
        <v>788</v>
      </c>
      <c r="AS49" s="71" t="s">
        <v>777</v>
      </c>
      <c r="AT49" s="71"/>
      <c r="AU49" s="71"/>
    </row>
    <row r="50" spans="1:48" ht="84" customHeight="1" x14ac:dyDescent="0.2">
      <c r="A50" s="71" t="s">
        <v>509</v>
      </c>
      <c r="B50" s="71">
        <v>2026</v>
      </c>
      <c r="C50" s="72" t="s">
        <v>1132</v>
      </c>
      <c r="D50" s="71" t="s">
        <v>1133</v>
      </c>
      <c r="E50" s="71" t="s">
        <v>512</v>
      </c>
      <c r="F50" s="71" t="s">
        <v>291</v>
      </c>
      <c r="G50" s="71">
        <v>2</v>
      </c>
      <c r="H50" s="71" t="s">
        <v>510</v>
      </c>
      <c r="I50" s="71" t="s">
        <v>1134</v>
      </c>
      <c r="J50" s="71" t="s">
        <v>20</v>
      </c>
      <c r="K50" s="71" t="s">
        <v>1135</v>
      </c>
      <c r="L50" s="71" t="s">
        <v>35</v>
      </c>
      <c r="M50" s="71" t="s">
        <v>25</v>
      </c>
      <c r="N50" s="71" t="s">
        <v>1136</v>
      </c>
      <c r="O50" s="71">
        <v>190.00128194999999</v>
      </c>
      <c r="P50" s="71" t="s">
        <v>767</v>
      </c>
      <c r="Q50" s="71" t="s">
        <v>45</v>
      </c>
      <c r="R50" s="71" t="s">
        <v>31</v>
      </c>
      <c r="S50" s="71"/>
      <c r="T50" s="71"/>
      <c r="U50" s="71"/>
      <c r="V50" s="71"/>
      <c r="W50" s="71"/>
      <c r="X50" s="71" t="s">
        <v>1137</v>
      </c>
      <c r="Y50" s="71"/>
      <c r="Z50" s="71" t="s">
        <v>1138</v>
      </c>
      <c r="AA50" s="71" t="s">
        <v>770</v>
      </c>
      <c r="AB50" s="71"/>
      <c r="AC50" s="71" t="s">
        <v>21</v>
      </c>
      <c r="AD50" s="71" t="s">
        <v>797</v>
      </c>
      <c r="AE50" s="71"/>
      <c r="AF50" s="71"/>
      <c r="AG50" s="71"/>
      <c r="AH50" s="71" t="s">
        <v>1139</v>
      </c>
      <c r="AI50" s="71" t="s">
        <v>772</v>
      </c>
      <c r="AJ50" s="71">
        <v>8916959</v>
      </c>
      <c r="AK50" s="71" t="s">
        <v>511</v>
      </c>
      <c r="AL50" s="71">
        <v>695579</v>
      </c>
      <c r="AM50" s="71"/>
      <c r="AN50" s="71"/>
      <c r="AO50" s="71" t="s">
        <v>773</v>
      </c>
      <c r="AP50" s="71" t="s">
        <v>774</v>
      </c>
      <c r="AQ50" s="71" t="s">
        <v>1024</v>
      </c>
      <c r="AR50" s="71" t="s">
        <v>802</v>
      </c>
      <c r="AS50" s="71" t="s">
        <v>1024</v>
      </c>
      <c r="AT50" s="71"/>
      <c r="AU50" s="71"/>
    </row>
    <row r="51" spans="1:48" ht="84" customHeight="1" x14ac:dyDescent="0.2">
      <c r="A51" s="71" t="s">
        <v>633</v>
      </c>
      <c r="B51" s="71">
        <v>2026</v>
      </c>
      <c r="C51" s="72" t="s">
        <v>1140</v>
      </c>
      <c r="D51" s="71" t="s">
        <v>1141</v>
      </c>
      <c r="E51" s="71" t="s">
        <v>634</v>
      </c>
      <c r="F51" s="71" t="s">
        <v>291</v>
      </c>
      <c r="G51" s="71">
        <v>2</v>
      </c>
      <c r="H51" s="71" t="s">
        <v>634</v>
      </c>
      <c r="I51" s="71" t="s">
        <v>1142</v>
      </c>
      <c r="J51" s="71" t="s">
        <v>211</v>
      </c>
      <c r="K51" s="71" t="s">
        <v>117</v>
      </c>
      <c r="L51" s="71" t="s">
        <v>131</v>
      </c>
      <c r="M51" s="71" t="s">
        <v>25</v>
      </c>
      <c r="N51" s="71" t="s">
        <v>1143</v>
      </c>
      <c r="O51" s="71">
        <v>190.02736236999999</v>
      </c>
      <c r="P51" s="71" t="s">
        <v>1144</v>
      </c>
      <c r="Q51" s="71" t="s">
        <v>36</v>
      </c>
      <c r="R51" s="71" t="s">
        <v>31</v>
      </c>
      <c r="S51" s="71"/>
      <c r="T51" s="71"/>
      <c r="U51" s="71"/>
      <c r="V51" s="71"/>
      <c r="W51" s="71"/>
      <c r="X51" s="71"/>
      <c r="Y51" s="71"/>
      <c r="Z51" s="71"/>
      <c r="AA51" s="71" t="s">
        <v>770</v>
      </c>
      <c r="AB51" s="71"/>
      <c r="AC51" s="71" t="s">
        <v>21</v>
      </c>
      <c r="AD51" s="71"/>
      <c r="AE51" s="71"/>
      <c r="AF51" s="71"/>
      <c r="AG51" s="71"/>
      <c r="AH51" s="71" t="s">
        <v>1145</v>
      </c>
      <c r="AI51" s="71" t="s">
        <v>772</v>
      </c>
      <c r="AJ51" s="71">
        <v>8916924</v>
      </c>
      <c r="AK51" s="71" t="s">
        <v>511</v>
      </c>
      <c r="AL51" s="71">
        <v>695371</v>
      </c>
      <c r="AM51" s="71"/>
      <c r="AN51" s="71"/>
      <c r="AO51" s="71" t="s">
        <v>773</v>
      </c>
      <c r="AP51" s="71" t="s">
        <v>908</v>
      </c>
      <c r="AQ51" s="71" t="s">
        <v>775</v>
      </c>
      <c r="AR51" s="71" t="s">
        <v>788</v>
      </c>
      <c r="AS51" s="71" t="s">
        <v>777</v>
      </c>
      <c r="AT51" s="71"/>
      <c r="AU51" s="71"/>
    </row>
    <row r="52" spans="1:48" ht="60" customHeight="1" x14ac:dyDescent="0.2">
      <c r="A52" s="71" t="s">
        <v>210</v>
      </c>
      <c r="B52" s="71">
        <v>2025</v>
      </c>
      <c r="C52" s="71" t="s">
        <v>1146</v>
      </c>
      <c r="D52" s="71" t="s">
        <v>1147</v>
      </c>
      <c r="E52" s="71" t="s">
        <v>215</v>
      </c>
      <c r="F52" s="71" t="s">
        <v>212</v>
      </c>
      <c r="G52" s="71">
        <v>2</v>
      </c>
      <c r="H52" s="71" t="s">
        <v>213</v>
      </c>
      <c r="I52" s="71" t="s">
        <v>1148</v>
      </c>
      <c r="J52" s="71" t="s">
        <v>211</v>
      </c>
      <c r="K52" s="71" t="s">
        <v>97</v>
      </c>
      <c r="L52" s="71" t="s">
        <v>44</v>
      </c>
      <c r="M52" s="71" t="s">
        <v>25</v>
      </c>
      <c r="N52" s="71" t="s">
        <v>1149</v>
      </c>
      <c r="O52" s="71">
        <v>190.00040976</v>
      </c>
      <c r="P52" s="71" t="s">
        <v>1150</v>
      </c>
      <c r="Q52" s="71" t="s">
        <v>45</v>
      </c>
      <c r="R52" s="71" t="s">
        <v>31</v>
      </c>
      <c r="S52" s="71"/>
      <c r="T52" s="71"/>
      <c r="U52" s="71"/>
      <c r="V52" s="71"/>
      <c r="W52" s="71"/>
      <c r="X52" s="71"/>
      <c r="Y52" s="71"/>
      <c r="Z52" s="71"/>
      <c r="AA52" s="71" t="s">
        <v>874</v>
      </c>
      <c r="AB52" s="71"/>
      <c r="AC52" s="71" t="s">
        <v>21</v>
      </c>
      <c r="AD52" s="71" t="s">
        <v>797</v>
      </c>
      <c r="AE52" s="71"/>
      <c r="AF52" s="71"/>
      <c r="AG52" s="71"/>
      <c r="AH52" s="71"/>
      <c r="AI52" s="71" t="s">
        <v>772</v>
      </c>
      <c r="AJ52" s="71">
        <v>8699956</v>
      </c>
      <c r="AK52" s="71" t="s">
        <v>214</v>
      </c>
      <c r="AL52" s="71">
        <v>944748</v>
      </c>
      <c r="AM52" s="71"/>
      <c r="AN52" s="71"/>
      <c r="AO52" s="71" t="s">
        <v>773</v>
      </c>
      <c r="AP52" s="71" t="s">
        <v>774</v>
      </c>
      <c r="AQ52" s="71" t="s">
        <v>884</v>
      </c>
      <c r="AR52" s="71" t="s">
        <v>802</v>
      </c>
      <c r="AS52" s="71" t="s">
        <v>884</v>
      </c>
      <c r="AT52" s="71"/>
      <c r="AU52" s="71"/>
    </row>
    <row r="53" spans="1:48" ht="168" customHeight="1" x14ac:dyDescent="0.2">
      <c r="A53" s="71" t="s">
        <v>619</v>
      </c>
      <c r="B53" s="71">
        <v>2026</v>
      </c>
      <c r="C53" s="72" t="s">
        <v>1151</v>
      </c>
      <c r="D53" s="71" t="s">
        <v>1152</v>
      </c>
      <c r="E53" s="71" t="s">
        <v>621</v>
      </c>
      <c r="F53" s="71" t="s">
        <v>620</v>
      </c>
      <c r="G53" s="71">
        <v>3</v>
      </c>
      <c r="H53" s="71" t="s">
        <v>621</v>
      </c>
      <c r="I53" s="71" t="s">
        <v>1153</v>
      </c>
      <c r="J53" s="71" t="s">
        <v>211</v>
      </c>
      <c r="K53" s="71" t="s">
        <v>117</v>
      </c>
      <c r="L53" s="71" t="s">
        <v>24</v>
      </c>
      <c r="M53" s="71" t="s">
        <v>25</v>
      </c>
      <c r="N53" s="71" t="s">
        <v>1154</v>
      </c>
      <c r="O53" s="71">
        <v>190.02687298999999</v>
      </c>
      <c r="P53" s="71" t="s">
        <v>1155</v>
      </c>
      <c r="Q53" s="71" t="s">
        <v>36</v>
      </c>
      <c r="R53" s="71" t="s">
        <v>31</v>
      </c>
      <c r="S53" s="71"/>
      <c r="T53" s="71"/>
      <c r="U53" s="71"/>
      <c r="V53" s="71"/>
      <c r="W53" s="71"/>
      <c r="X53" s="71"/>
      <c r="Y53" s="71"/>
      <c r="Z53" s="71"/>
      <c r="AA53" s="71" t="s">
        <v>770</v>
      </c>
      <c r="AB53" s="71"/>
      <c r="AC53" s="71" t="s">
        <v>21</v>
      </c>
      <c r="AD53" s="71"/>
      <c r="AE53" s="71"/>
      <c r="AF53" s="71"/>
      <c r="AG53" s="71"/>
      <c r="AH53" s="71" t="s">
        <v>1156</v>
      </c>
      <c r="AI53" s="71" t="s">
        <v>772</v>
      </c>
      <c r="AJ53" s="71">
        <v>8986227</v>
      </c>
      <c r="AK53" s="71" t="s">
        <v>622</v>
      </c>
      <c r="AL53" s="71">
        <v>630275</v>
      </c>
      <c r="AM53" s="71"/>
      <c r="AN53" s="71"/>
      <c r="AO53" s="71" t="s">
        <v>773</v>
      </c>
      <c r="AP53" s="71" t="s">
        <v>908</v>
      </c>
      <c r="AQ53" s="71" t="s">
        <v>775</v>
      </c>
      <c r="AR53" s="71" t="s">
        <v>788</v>
      </c>
      <c r="AS53" s="71" t="s">
        <v>777</v>
      </c>
      <c r="AT53" s="71"/>
      <c r="AU53" s="71"/>
    </row>
    <row r="54" spans="1:48" ht="15" customHeight="1" x14ac:dyDescent="0.2">
      <c r="A54" s="71" t="s">
        <v>205</v>
      </c>
      <c r="B54" s="71">
        <v>2025</v>
      </c>
      <c r="C54" s="71" t="s">
        <v>1157</v>
      </c>
      <c r="D54" s="71" t="s">
        <v>1158</v>
      </c>
      <c r="E54" s="71" t="s">
        <v>209</v>
      </c>
      <c r="F54" s="71" t="s">
        <v>206</v>
      </c>
      <c r="G54" s="71">
        <v>3</v>
      </c>
      <c r="H54" s="71" t="s">
        <v>207</v>
      </c>
      <c r="I54" s="71" t="s">
        <v>1159</v>
      </c>
      <c r="J54" s="71" t="s">
        <v>20</v>
      </c>
      <c r="K54" s="71" t="s">
        <v>1160</v>
      </c>
      <c r="L54" s="71" t="s">
        <v>44</v>
      </c>
      <c r="M54" s="71" t="s">
        <v>25</v>
      </c>
      <c r="N54" s="71" t="s">
        <v>1161</v>
      </c>
      <c r="O54" s="71">
        <v>190.02736861</v>
      </c>
      <c r="P54" s="71" t="s">
        <v>767</v>
      </c>
      <c r="Q54" s="71" t="s">
        <v>26</v>
      </c>
      <c r="R54" s="71" t="s">
        <v>31</v>
      </c>
      <c r="S54" s="71"/>
      <c r="T54" s="71"/>
      <c r="U54" s="71"/>
      <c r="V54" s="71"/>
      <c r="W54" s="71"/>
      <c r="X54" s="71" t="s">
        <v>891</v>
      </c>
      <c r="Y54" s="71"/>
      <c r="Z54" s="71" t="s">
        <v>769</v>
      </c>
      <c r="AA54" s="71" t="s">
        <v>874</v>
      </c>
      <c r="AB54" s="71"/>
      <c r="AC54" s="71" t="s">
        <v>21</v>
      </c>
      <c r="AD54" s="71"/>
      <c r="AE54" s="71"/>
      <c r="AF54" s="71"/>
      <c r="AG54" s="71"/>
      <c r="AH54" s="71" t="s">
        <v>1162</v>
      </c>
      <c r="AI54" s="71" t="s">
        <v>772</v>
      </c>
      <c r="AJ54" s="71">
        <v>9277884</v>
      </c>
      <c r="AK54" s="71" t="s">
        <v>208</v>
      </c>
      <c r="AL54" s="71">
        <v>891790</v>
      </c>
      <c r="AM54" s="71"/>
      <c r="AN54" s="71"/>
      <c r="AO54" s="71" t="s">
        <v>773</v>
      </c>
      <c r="AP54" s="71" t="s">
        <v>774</v>
      </c>
      <c r="AQ54" s="71" t="s">
        <v>876</v>
      </c>
      <c r="AR54" s="71" t="s">
        <v>802</v>
      </c>
      <c r="AS54" s="71" t="s">
        <v>876</v>
      </c>
      <c r="AT54" s="71"/>
      <c r="AU54" s="71"/>
    </row>
    <row r="55" spans="1:48" ht="164.25" customHeight="1" x14ac:dyDescent="0.2">
      <c r="A55" s="71" t="s">
        <v>603</v>
      </c>
      <c r="B55" s="71">
        <v>2026</v>
      </c>
      <c r="C55" s="72" t="s">
        <v>1163</v>
      </c>
      <c r="D55" s="71" t="s">
        <v>1164</v>
      </c>
      <c r="E55" s="71" t="s">
        <v>606</v>
      </c>
      <c r="F55" s="71" t="s">
        <v>604</v>
      </c>
      <c r="G55" s="71">
        <v>3</v>
      </c>
      <c r="H55" s="71" t="s">
        <v>605</v>
      </c>
      <c r="I55" s="71" t="s">
        <v>1165</v>
      </c>
      <c r="J55" s="71" t="s">
        <v>20</v>
      </c>
      <c r="K55" s="71" t="s">
        <v>1166</v>
      </c>
      <c r="L55" s="71" t="s">
        <v>35</v>
      </c>
      <c r="M55" s="71" t="s">
        <v>25</v>
      </c>
      <c r="N55" s="71" t="s">
        <v>1167</v>
      </c>
      <c r="O55" s="71">
        <v>190.02730957</v>
      </c>
      <c r="P55" s="71" t="s">
        <v>1168</v>
      </c>
      <c r="Q55" s="71" t="s">
        <v>45</v>
      </c>
      <c r="R55" s="71" t="s">
        <v>31</v>
      </c>
      <c r="S55" s="71"/>
      <c r="T55" s="71"/>
      <c r="U55" s="71"/>
      <c r="V55" s="71"/>
      <c r="W55" s="71"/>
      <c r="X55" s="71" t="s">
        <v>312</v>
      </c>
      <c r="Y55" s="71"/>
      <c r="Z55" s="71" t="s">
        <v>846</v>
      </c>
      <c r="AA55" s="71" t="s">
        <v>770</v>
      </c>
      <c r="AB55" s="71"/>
      <c r="AC55" s="71" t="s">
        <v>21</v>
      </c>
      <c r="AD55" s="71"/>
      <c r="AE55" s="71"/>
      <c r="AF55" s="71"/>
      <c r="AG55" s="71"/>
      <c r="AH55" s="71" t="s">
        <v>1169</v>
      </c>
      <c r="AI55" s="71" t="s">
        <v>772</v>
      </c>
      <c r="AJ55" s="71">
        <v>8929207</v>
      </c>
      <c r="AK55" s="71" t="s">
        <v>116</v>
      </c>
      <c r="AL55" s="71">
        <v>787602</v>
      </c>
      <c r="AM55" s="71"/>
      <c r="AN55" s="71"/>
      <c r="AO55" s="71" t="s">
        <v>773</v>
      </c>
      <c r="AP55" s="71" t="s">
        <v>908</v>
      </c>
      <c r="AQ55" s="71" t="s">
        <v>775</v>
      </c>
      <c r="AR55" s="71" t="s">
        <v>788</v>
      </c>
      <c r="AS55" s="71" t="s">
        <v>777</v>
      </c>
      <c r="AT55" s="71"/>
      <c r="AU55" s="71"/>
    </row>
    <row r="56" spans="1:48" ht="84" hidden="1" customHeight="1" x14ac:dyDescent="0.2">
      <c r="A56" s="71" t="s">
        <v>1170</v>
      </c>
      <c r="B56" s="71">
        <v>2026</v>
      </c>
      <c r="C56" s="71" t="s">
        <v>1171</v>
      </c>
      <c r="D56" s="71" t="s">
        <v>1172</v>
      </c>
      <c r="E56" s="71"/>
      <c r="F56" s="71" t="s">
        <v>1173</v>
      </c>
      <c r="G56" s="71"/>
      <c r="H56" s="71"/>
      <c r="I56" s="71" t="s">
        <v>1174</v>
      </c>
      <c r="J56" s="71" t="s">
        <v>493</v>
      </c>
      <c r="K56" s="71" t="s">
        <v>880</v>
      </c>
      <c r="L56" s="71" t="s">
        <v>24</v>
      </c>
      <c r="M56" s="71" t="s">
        <v>25</v>
      </c>
      <c r="N56" s="71" t="s">
        <v>1175</v>
      </c>
      <c r="O56" s="71">
        <v>190.00248429000001</v>
      </c>
      <c r="P56" s="71" t="s">
        <v>767</v>
      </c>
      <c r="Q56" s="71" t="s">
        <v>1176</v>
      </c>
      <c r="R56" s="71" t="s">
        <v>135</v>
      </c>
      <c r="S56" s="71"/>
      <c r="T56" s="71"/>
      <c r="U56" s="71"/>
      <c r="V56" s="71"/>
      <c r="W56" s="71"/>
      <c r="X56" s="71"/>
      <c r="Y56" s="71"/>
      <c r="Z56" s="71"/>
      <c r="AA56" s="71" t="s">
        <v>770</v>
      </c>
      <c r="AB56" s="71"/>
      <c r="AC56" s="71" t="s">
        <v>21</v>
      </c>
      <c r="AD56" s="71" t="s">
        <v>797</v>
      </c>
      <c r="AE56" s="71"/>
      <c r="AF56" s="71"/>
      <c r="AG56" s="71"/>
      <c r="AH56" s="71"/>
      <c r="AI56" s="71" t="s">
        <v>772</v>
      </c>
      <c r="AJ56" s="71"/>
      <c r="AK56" s="71"/>
      <c r="AL56" s="71"/>
      <c r="AM56" s="71"/>
      <c r="AN56" s="71"/>
      <c r="AO56" s="71" t="s">
        <v>1177</v>
      </c>
      <c r="AP56" s="71" t="s">
        <v>774</v>
      </c>
      <c r="AQ56" s="71" t="s">
        <v>1178</v>
      </c>
      <c r="AR56" s="71" t="s">
        <v>788</v>
      </c>
      <c r="AS56" s="71" t="s">
        <v>777</v>
      </c>
      <c r="AT56" s="71" t="s">
        <v>1179</v>
      </c>
      <c r="AU56" s="71"/>
    </row>
    <row r="57" spans="1:48" ht="84" customHeight="1" x14ac:dyDescent="0.2">
      <c r="A57" s="71" t="s">
        <v>1180</v>
      </c>
      <c r="B57" s="71">
        <v>2026</v>
      </c>
      <c r="C57" s="72" t="s">
        <v>1181</v>
      </c>
      <c r="D57" s="71" t="s">
        <v>1182</v>
      </c>
      <c r="E57" s="71" t="s">
        <v>1183</v>
      </c>
      <c r="F57" s="71" t="s">
        <v>129</v>
      </c>
      <c r="G57" s="71">
        <v>2</v>
      </c>
      <c r="H57" s="71" t="s">
        <v>1184</v>
      </c>
      <c r="I57" s="71" t="s">
        <v>1185</v>
      </c>
      <c r="J57" s="71" t="s">
        <v>20</v>
      </c>
      <c r="K57" s="71" t="s">
        <v>815</v>
      </c>
      <c r="L57" s="71" t="s">
        <v>35</v>
      </c>
      <c r="M57" s="71" t="s">
        <v>25</v>
      </c>
      <c r="N57" s="71" t="s">
        <v>1186</v>
      </c>
      <c r="O57" s="71">
        <v>190.02725813999999</v>
      </c>
      <c r="P57" s="71" t="s">
        <v>1023</v>
      </c>
      <c r="Q57" s="71" t="s">
        <v>94</v>
      </c>
      <c r="R57" s="71" t="s">
        <v>31</v>
      </c>
      <c r="S57" s="71"/>
      <c r="T57" s="71"/>
      <c r="U57" s="71"/>
      <c r="V57" s="71"/>
      <c r="W57" s="71"/>
      <c r="X57" s="71" t="s">
        <v>1187</v>
      </c>
      <c r="Y57" s="71"/>
      <c r="Z57" s="71" t="s">
        <v>892</v>
      </c>
      <c r="AA57" s="71" t="s">
        <v>770</v>
      </c>
      <c r="AB57" s="71"/>
      <c r="AC57" s="71" t="s">
        <v>21</v>
      </c>
      <c r="AD57" s="71"/>
      <c r="AE57" s="71"/>
      <c r="AF57" s="71"/>
      <c r="AG57" s="71"/>
      <c r="AH57" s="71" t="s">
        <v>1188</v>
      </c>
      <c r="AI57" s="71" t="s">
        <v>772</v>
      </c>
      <c r="AJ57" s="71">
        <v>9145471</v>
      </c>
      <c r="AK57" s="71" t="s">
        <v>134</v>
      </c>
      <c r="AL57" s="71">
        <v>905726</v>
      </c>
      <c r="AM57" s="71"/>
      <c r="AN57" s="71"/>
      <c r="AO57" s="71" t="s">
        <v>773</v>
      </c>
      <c r="AP57" s="71" t="s">
        <v>908</v>
      </c>
      <c r="AQ57" s="71" t="s">
        <v>775</v>
      </c>
      <c r="AR57" s="71" t="s">
        <v>788</v>
      </c>
      <c r="AS57" s="71" t="s">
        <v>777</v>
      </c>
      <c r="AT57" s="71"/>
      <c r="AU57" s="71"/>
      <c r="AV57" s="179"/>
    </row>
    <row r="58" spans="1:48" ht="84" customHeight="1" x14ac:dyDescent="0.2">
      <c r="A58" s="71" t="s">
        <v>623</v>
      </c>
      <c r="B58" s="71">
        <v>2026</v>
      </c>
      <c r="C58" s="72" t="s">
        <v>1189</v>
      </c>
      <c r="D58" s="71" t="s">
        <v>1190</v>
      </c>
      <c r="E58" s="71" t="s">
        <v>626</v>
      </c>
      <c r="F58" s="71" t="s">
        <v>427</v>
      </c>
      <c r="G58" s="71">
        <v>3</v>
      </c>
      <c r="H58" s="71" t="s">
        <v>624</v>
      </c>
      <c r="I58" s="71" t="s">
        <v>1191</v>
      </c>
      <c r="J58" s="71"/>
      <c r="K58" s="71" t="s">
        <v>930</v>
      </c>
      <c r="L58" s="71" t="s">
        <v>35</v>
      </c>
      <c r="M58" s="71" t="s">
        <v>25</v>
      </c>
      <c r="N58" s="71" t="s">
        <v>1192</v>
      </c>
      <c r="O58" s="71">
        <v>190.01269432999999</v>
      </c>
      <c r="P58" s="71" t="s">
        <v>767</v>
      </c>
      <c r="Q58" s="71" t="s">
        <v>45</v>
      </c>
      <c r="R58" s="71" t="s">
        <v>31</v>
      </c>
      <c r="S58" s="71"/>
      <c r="T58" s="71"/>
      <c r="U58" s="71"/>
      <c r="V58" s="71"/>
      <c r="W58" s="71"/>
      <c r="X58" s="71"/>
      <c r="Y58" s="71"/>
      <c r="Z58" s="71"/>
      <c r="AA58" s="71" t="s">
        <v>770</v>
      </c>
      <c r="AB58" s="71"/>
      <c r="AC58" s="71" t="s">
        <v>21</v>
      </c>
      <c r="AD58" s="71" t="s">
        <v>797</v>
      </c>
      <c r="AE58" s="71"/>
      <c r="AF58" s="71"/>
      <c r="AG58" s="71"/>
      <c r="AH58" s="71" t="s">
        <v>1193</v>
      </c>
      <c r="AI58" s="71" t="s">
        <v>772</v>
      </c>
      <c r="AJ58" s="71">
        <v>9201747</v>
      </c>
      <c r="AK58" s="71" t="s">
        <v>625</v>
      </c>
      <c r="AL58" s="71">
        <v>858418</v>
      </c>
      <c r="AM58" s="71"/>
      <c r="AN58" s="71"/>
      <c r="AO58" s="71" t="s">
        <v>773</v>
      </c>
      <c r="AP58" s="71" t="s">
        <v>774</v>
      </c>
      <c r="AQ58" s="71" t="s">
        <v>775</v>
      </c>
      <c r="AR58" s="71" t="s">
        <v>788</v>
      </c>
      <c r="AS58" s="71" t="s">
        <v>777</v>
      </c>
      <c r="AT58" s="71" t="s">
        <v>1194</v>
      </c>
      <c r="AU58" s="71"/>
    </row>
    <row r="59" spans="1:48" ht="84" hidden="1" customHeight="1" x14ac:dyDescent="0.2">
      <c r="A59" s="71" t="s">
        <v>591</v>
      </c>
      <c r="B59" s="71">
        <v>2026</v>
      </c>
      <c r="C59" s="72" t="s">
        <v>1195</v>
      </c>
      <c r="D59" s="71" t="s">
        <v>1196</v>
      </c>
      <c r="E59" s="71" t="s">
        <v>592</v>
      </c>
      <c r="F59" s="71" t="s">
        <v>92</v>
      </c>
      <c r="G59" s="71">
        <v>2</v>
      </c>
      <c r="H59" s="71" t="s">
        <v>592</v>
      </c>
      <c r="I59" s="71" t="s">
        <v>1197</v>
      </c>
      <c r="J59" s="71" t="s">
        <v>20</v>
      </c>
      <c r="K59" s="71" t="s">
        <v>1198</v>
      </c>
      <c r="L59" s="71" t="s">
        <v>35</v>
      </c>
      <c r="M59" s="71" t="s">
        <v>25</v>
      </c>
      <c r="N59" s="71" t="s">
        <v>1199</v>
      </c>
      <c r="O59" s="71">
        <v>190.00412402000001</v>
      </c>
      <c r="P59" s="71" t="s">
        <v>1200</v>
      </c>
      <c r="Q59" s="71" t="s">
        <v>132</v>
      </c>
      <c r="R59" s="71" t="s">
        <v>263</v>
      </c>
      <c r="S59" s="71"/>
      <c r="T59" s="71"/>
      <c r="U59" s="71"/>
      <c r="V59" s="71"/>
      <c r="W59" s="71"/>
      <c r="X59" s="71" t="s">
        <v>818</v>
      </c>
      <c r="Y59" s="71"/>
      <c r="Z59" s="71" t="s">
        <v>819</v>
      </c>
      <c r="AA59" s="71" t="s">
        <v>770</v>
      </c>
      <c r="AB59" s="71"/>
      <c r="AC59" s="71" t="s">
        <v>21</v>
      </c>
      <c r="AD59" s="71" t="s">
        <v>797</v>
      </c>
      <c r="AE59" s="71"/>
      <c r="AF59" s="71"/>
      <c r="AG59" s="71"/>
      <c r="AH59" s="71" t="s">
        <v>1201</v>
      </c>
      <c r="AI59" s="71" t="s">
        <v>772</v>
      </c>
      <c r="AJ59" s="71">
        <v>8898809</v>
      </c>
      <c r="AK59" s="71" t="s">
        <v>593</v>
      </c>
      <c r="AL59" s="71">
        <v>836182</v>
      </c>
      <c r="AM59" s="71" t="s">
        <v>1202</v>
      </c>
      <c r="AN59" s="71"/>
      <c r="AO59" s="71" t="s">
        <v>786</v>
      </c>
      <c r="AP59" s="71" t="s">
        <v>774</v>
      </c>
      <c r="AQ59" s="71" t="s">
        <v>787</v>
      </c>
      <c r="AR59" s="71" t="s">
        <v>788</v>
      </c>
      <c r="AS59" s="71" t="s">
        <v>777</v>
      </c>
      <c r="AT59" s="71"/>
      <c r="AU59" s="71" t="s">
        <v>862</v>
      </c>
    </row>
    <row r="60" spans="1:48" ht="84" hidden="1" customHeight="1" x14ac:dyDescent="0.2">
      <c r="A60" s="71" t="s">
        <v>594</v>
      </c>
      <c r="B60" s="71">
        <v>2026</v>
      </c>
      <c r="C60" s="72" t="s">
        <v>1195</v>
      </c>
      <c r="D60" s="71" t="s">
        <v>1196</v>
      </c>
      <c r="E60" s="71" t="s">
        <v>592</v>
      </c>
      <c r="F60" s="71" t="s">
        <v>92</v>
      </c>
      <c r="G60" s="71">
        <v>2</v>
      </c>
      <c r="H60" s="71" t="s">
        <v>592</v>
      </c>
      <c r="I60" s="71" t="s">
        <v>1203</v>
      </c>
      <c r="J60" s="71" t="s">
        <v>20</v>
      </c>
      <c r="K60" s="71" t="s">
        <v>1198</v>
      </c>
      <c r="L60" s="71" t="s">
        <v>35</v>
      </c>
      <c r="M60" s="71" t="s">
        <v>25</v>
      </c>
      <c r="N60" s="71" t="s">
        <v>1204</v>
      </c>
      <c r="O60" s="71">
        <v>190.00412631</v>
      </c>
      <c r="P60" s="71" t="s">
        <v>1200</v>
      </c>
      <c r="Q60" s="71" t="s">
        <v>132</v>
      </c>
      <c r="R60" s="71" t="s">
        <v>263</v>
      </c>
      <c r="S60" s="71"/>
      <c r="T60" s="71"/>
      <c r="U60" s="71"/>
      <c r="V60" s="71"/>
      <c r="W60" s="71"/>
      <c r="X60" s="71" t="s">
        <v>818</v>
      </c>
      <c r="Y60" s="71"/>
      <c r="Z60" s="71" t="s">
        <v>819</v>
      </c>
      <c r="AA60" s="71" t="s">
        <v>770</v>
      </c>
      <c r="AB60" s="71"/>
      <c r="AC60" s="71" t="s">
        <v>21</v>
      </c>
      <c r="AD60" s="71" t="s">
        <v>797</v>
      </c>
      <c r="AE60" s="71"/>
      <c r="AF60" s="71"/>
      <c r="AG60" s="71"/>
      <c r="AH60" s="71" t="s">
        <v>1205</v>
      </c>
      <c r="AI60" s="71" t="s">
        <v>772</v>
      </c>
      <c r="AJ60" s="71">
        <v>8898765</v>
      </c>
      <c r="AK60" s="71" t="s">
        <v>593</v>
      </c>
      <c r="AL60" s="71">
        <v>836741</v>
      </c>
      <c r="AM60" s="71" t="s">
        <v>984</v>
      </c>
      <c r="AN60" s="71"/>
      <c r="AO60" s="71" t="s">
        <v>786</v>
      </c>
      <c r="AP60" s="71" t="s">
        <v>774</v>
      </c>
      <c r="AQ60" s="71" t="s">
        <v>787</v>
      </c>
      <c r="AR60" s="71" t="s">
        <v>788</v>
      </c>
      <c r="AS60" s="71" t="s">
        <v>777</v>
      </c>
      <c r="AT60" s="71"/>
      <c r="AU60" s="71" t="s">
        <v>862</v>
      </c>
    </row>
    <row r="61" spans="1:48" ht="84" customHeight="1" x14ac:dyDescent="0.2">
      <c r="A61" s="71" t="s">
        <v>642</v>
      </c>
      <c r="B61" s="71">
        <v>2026</v>
      </c>
      <c r="C61" s="72" t="s">
        <v>1206</v>
      </c>
      <c r="D61" s="71" t="s">
        <v>1207</v>
      </c>
      <c r="E61" s="71" t="s">
        <v>643</v>
      </c>
      <c r="F61" s="71" t="s">
        <v>150</v>
      </c>
      <c r="G61" s="71">
        <v>2</v>
      </c>
      <c r="H61" s="71" t="s">
        <v>643</v>
      </c>
      <c r="I61" s="71" t="s">
        <v>1208</v>
      </c>
      <c r="J61" s="71" t="s">
        <v>211</v>
      </c>
      <c r="K61" s="71" t="s">
        <v>117</v>
      </c>
      <c r="L61" s="71" t="s">
        <v>44</v>
      </c>
      <c r="M61" s="71" t="s">
        <v>25</v>
      </c>
      <c r="N61" s="71" t="s">
        <v>1209</v>
      </c>
      <c r="O61" s="71">
        <v>190.02702851000001</v>
      </c>
      <c r="P61" s="71" t="s">
        <v>1210</v>
      </c>
      <c r="Q61" s="71" t="s">
        <v>36</v>
      </c>
      <c r="R61" s="71" t="s">
        <v>31</v>
      </c>
      <c r="S61" s="71"/>
      <c r="T61" s="71"/>
      <c r="U61" s="71"/>
      <c r="V61" s="71"/>
      <c r="W61" s="71"/>
      <c r="X61" s="71"/>
      <c r="Y61" s="71"/>
      <c r="Z61" s="71"/>
      <c r="AA61" s="71" t="s">
        <v>770</v>
      </c>
      <c r="AB61" s="71"/>
      <c r="AC61" s="71" t="s">
        <v>21</v>
      </c>
      <c r="AD61" s="71"/>
      <c r="AE61" s="71"/>
      <c r="AF61" s="71"/>
      <c r="AG61" s="71"/>
      <c r="AH61" s="71"/>
      <c r="AI61" s="71" t="s">
        <v>772</v>
      </c>
      <c r="AJ61" s="71">
        <v>8838426</v>
      </c>
      <c r="AK61" s="71" t="s">
        <v>572</v>
      </c>
      <c r="AL61" s="71">
        <v>936573</v>
      </c>
      <c r="AM61" s="71"/>
      <c r="AN61" s="71"/>
      <c r="AO61" s="71" t="s">
        <v>773</v>
      </c>
      <c r="AP61" s="71" t="s">
        <v>774</v>
      </c>
      <c r="AQ61" s="71" t="s">
        <v>1024</v>
      </c>
      <c r="AR61" s="71" t="s">
        <v>802</v>
      </c>
      <c r="AS61" s="71" t="s">
        <v>1024</v>
      </c>
      <c r="AT61" s="71"/>
      <c r="AU61" s="71"/>
    </row>
    <row r="62" spans="1:48" ht="84" customHeight="1" x14ac:dyDescent="0.2">
      <c r="A62" s="71" t="s">
        <v>644</v>
      </c>
      <c r="B62" s="71">
        <v>2026</v>
      </c>
      <c r="C62" s="72" t="s">
        <v>1211</v>
      </c>
      <c r="D62" s="71" t="s">
        <v>1212</v>
      </c>
      <c r="E62" s="71" t="s">
        <v>647</v>
      </c>
      <c r="F62" s="71" t="s">
        <v>645</v>
      </c>
      <c r="G62" s="71">
        <v>3</v>
      </c>
      <c r="H62" s="71" t="s">
        <v>646</v>
      </c>
      <c r="I62" s="71" t="s">
        <v>1213</v>
      </c>
      <c r="J62" s="71" t="s">
        <v>20</v>
      </c>
      <c r="K62" s="71" t="s">
        <v>1123</v>
      </c>
      <c r="L62" s="71" t="s">
        <v>35</v>
      </c>
      <c r="M62" s="71" t="s">
        <v>25</v>
      </c>
      <c r="N62" s="71" t="s">
        <v>1214</v>
      </c>
      <c r="O62" s="71">
        <v>190.00063377999999</v>
      </c>
      <c r="P62" s="71" t="s">
        <v>1215</v>
      </c>
      <c r="Q62" s="71" t="s">
        <v>45</v>
      </c>
      <c r="R62" s="71" t="s">
        <v>31</v>
      </c>
      <c r="S62" s="71"/>
      <c r="T62" s="71"/>
      <c r="U62" s="71"/>
      <c r="V62" s="71"/>
      <c r="W62" s="71"/>
      <c r="X62" s="71" t="s">
        <v>1216</v>
      </c>
      <c r="Y62" s="71"/>
      <c r="Z62" s="71" t="s">
        <v>873</v>
      </c>
      <c r="AA62" s="71" t="s">
        <v>770</v>
      </c>
      <c r="AB62" s="71"/>
      <c r="AC62" s="71" t="s">
        <v>21</v>
      </c>
      <c r="AD62" s="71" t="s">
        <v>797</v>
      </c>
      <c r="AE62" s="71"/>
      <c r="AF62" s="71"/>
      <c r="AG62" s="71"/>
      <c r="AH62" s="71" t="s">
        <v>1217</v>
      </c>
      <c r="AI62" s="71" t="s">
        <v>772</v>
      </c>
      <c r="AJ62" s="71">
        <v>8971402</v>
      </c>
      <c r="AK62" s="71" t="s">
        <v>169</v>
      </c>
      <c r="AL62" s="71">
        <v>835984</v>
      </c>
      <c r="AM62" s="71"/>
      <c r="AN62" s="71"/>
      <c r="AO62" s="71" t="s">
        <v>773</v>
      </c>
      <c r="AP62" s="71" t="s">
        <v>774</v>
      </c>
      <c r="AQ62" s="71" t="s">
        <v>775</v>
      </c>
      <c r="AR62" s="71" t="s">
        <v>788</v>
      </c>
      <c r="AS62" s="71" t="s">
        <v>777</v>
      </c>
      <c r="AT62" s="71"/>
      <c r="AU62" s="71"/>
    </row>
    <row r="63" spans="1:48" ht="84" customHeight="1" x14ac:dyDescent="0.2">
      <c r="A63" s="71" t="s">
        <v>229</v>
      </c>
      <c r="B63" s="71">
        <v>2025</v>
      </c>
      <c r="C63" s="71" t="s">
        <v>1218</v>
      </c>
      <c r="D63" s="71" t="s">
        <v>1219</v>
      </c>
      <c r="E63" s="71"/>
      <c r="F63" s="71" t="s">
        <v>230</v>
      </c>
      <c r="G63" s="71"/>
      <c r="H63" s="71" t="s">
        <v>231</v>
      </c>
      <c r="I63" s="71" t="s">
        <v>1220</v>
      </c>
      <c r="J63" s="71" t="s">
        <v>20</v>
      </c>
      <c r="K63" s="71" t="s">
        <v>842</v>
      </c>
      <c r="L63" s="71" t="s">
        <v>35</v>
      </c>
      <c r="M63" s="71" t="s">
        <v>25</v>
      </c>
      <c r="N63" s="71" t="s">
        <v>1221</v>
      </c>
      <c r="O63" s="71">
        <v>190.02737768</v>
      </c>
      <c r="P63" s="71" t="s">
        <v>767</v>
      </c>
      <c r="Q63" s="71" t="s">
        <v>26</v>
      </c>
      <c r="R63" s="71" t="s">
        <v>31</v>
      </c>
      <c r="S63" s="71"/>
      <c r="T63" s="71"/>
      <c r="U63" s="71"/>
      <c r="V63" s="71"/>
      <c r="W63" s="71"/>
      <c r="X63" s="71" t="s">
        <v>768</v>
      </c>
      <c r="Y63" s="71"/>
      <c r="Z63" s="71" t="s">
        <v>1222</v>
      </c>
      <c r="AA63" s="71" t="s">
        <v>770</v>
      </c>
      <c r="AB63" s="71"/>
      <c r="AC63" s="71" t="s">
        <v>21</v>
      </c>
      <c r="AD63" s="71"/>
      <c r="AE63" s="71"/>
      <c r="AF63" s="71"/>
      <c r="AG63" s="71"/>
      <c r="AH63" s="71" t="s">
        <v>1223</v>
      </c>
      <c r="AI63" s="71" t="s">
        <v>772</v>
      </c>
      <c r="AJ63" s="71">
        <v>8872709</v>
      </c>
      <c r="AK63" s="71" t="s">
        <v>65</v>
      </c>
      <c r="AL63" s="71">
        <v>791797</v>
      </c>
      <c r="AM63" s="71"/>
      <c r="AN63" s="71"/>
      <c r="AO63" s="71" t="s">
        <v>773</v>
      </c>
      <c r="AP63" s="71" t="s">
        <v>774</v>
      </c>
      <c r="AQ63" s="71" t="s">
        <v>876</v>
      </c>
      <c r="AR63" s="71" t="s">
        <v>802</v>
      </c>
      <c r="AS63" s="71" t="s">
        <v>876</v>
      </c>
      <c r="AT63" s="71"/>
      <c r="AU63" s="71"/>
    </row>
    <row r="64" spans="1:48" ht="409.5" customHeight="1" x14ac:dyDescent="0.2">
      <c r="A64" s="71" t="s">
        <v>540</v>
      </c>
      <c r="B64" s="71">
        <v>2026</v>
      </c>
      <c r="C64" s="72" t="s">
        <v>1224</v>
      </c>
      <c r="D64" s="71" t="s">
        <v>1225</v>
      </c>
      <c r="E64" s="71" t="s">
        <v>542</v>
      </c>
      <c r="F64" s="71" t="s">
        <v>282</v>
      </c>
      <c r="G64" s="71">
        <v>3</v>
      </c>
      <c r="H64" s="71" t="s">
        <v>541</v>
      </c>
      <c r="I64" s="71" t="s">
        <v>1226</v>
      </c>
      <c r="J64" s="71" t="s">
        <v>91</v>
      </c>
      <c r="K64" s="71" t="s">
        <v>1028</v>
      </c>
      <c r="L64" s="71" t="s">
        <v>44</v>
      </c>
      <c r="M64" s="71" t="s">
        <v>25</v>
      </c>
      <c r="N64" s="71" t="s">
        <v>1227</v>
      </c>
      <c r="O64" s="71">
        <v>190.02819804999999</v>
      </c>
      <c r="P64" s="71" t="s">
        <v>1228</v>
      </c>
      <c r="Q64" s="71" t="s">
        <v>45</v>
      </c>
      <c r="R64" s="71" t="s">
        <v>31</v>
      </c>
      <c r="S64" s="71"/>
      <c r="T64" s="71"/>
      <c r="U64" s="71"/>
      <c r="V64" s="71"/>
      <c r="W64" s="71"/>
      <c r="X64" s="71" t="s">
        <v>312</v>
      </c>
      <c r="Y64" s="71"/>
      <c r="Z64" s="71"/>
      <c r="AA64" s="71" t="s">
        <v>770</v>
      </c>
      <c r="AB64" s="71"/>
      <c r="AC64" s="71" t="s">
        <v>21</v>
      </c>
      <c r="AD64" s="71"/>
      <c r="AE64" s="71"/>
      <c r="AF64" s="71"/>
      <c r="AG64" s="71"/>
      <c r="AH64" s="71" t="s">
        <v>1229</v>
      </c>
      <c r="AI64" s="71" t="s">
        <v>772</v>
      </c>
      <c r="AJ64" s="71">
        <v>9275509</v>
      </c>
      <c r="AK64" s="71" t="s">
        <v>284</v>
      </c>
      <c r="AL64" s="71">
        <v>874475</v>
      </c>
      <c r="AM64" s="71"/>
      <c r="AN64" s="71"/>
      <c r="AO64" s="71" t="s">
        <v>773</v>
      </c>
      <c r="AP64" s="71" t="s">
        <v>908</v>
      </c>
      <c r="AQ64" s="71" t="s">
        <v>775</v>
      </c>
      <c r="AR64" s="71" t="s">
        <v>788</v>
      </c>
      <c r="AS64" s="71" t="s">
        <v>777</v>
      </c>
      <c r="AT64" s="71"/>
      <c r="AU64" s="71"/>
    </row>
    <row r="65" spans="1:54" ht="156" customHeight="1" x14ac:dyDescent="0.2">
      <c r="A65" s="71" t="s">
        <v>232</v>
      </c>
      <c r="B65" s="71">
        <v>2025</v>
      </c>
      <c r="C65" s="71" t="s">
        <v>1230</v>
      </c>
      <c r="D65" s="71" t="s">
        <v>1231</v>
      </c>
      <c r="E65" s="71" t="s">
        <v>235</v>
      </c>
      <c r="F65" s="71" t="s">
        <v>233</v>
      </c>
      <c r="G65" s="71">
        <v>2</v>
      </c>
      <c r="H65" s="71" t="s">
        <v>234</v>
      </c>
      <c r="I65" s="71" t="s">
        <v>1232</v>
      </c>
      <c r="J65" s="71" t="s">
        <v>20</v>
      </c>
      <c r="K65" s="71" t="s">
        <v>842</v>
      </c>
      <c r="L65" s="71" t="s">
        <v>35</v>
      </c>
      <c r="M65" s="71" t="s">
        <v>25</v>
      </c>
      <c r="N65" s="71" t="s">
        <v>1233</v>
      </c>
      <c r="O65" s="71">
        <v>190.02686068</v>
      </c>
      <c r="P65" s="71" t="s">
        <v>1234</v>
      </c>
      <c r="Q65" s="71" t="s">
        <v>26</v>
      </c>
      <c r="R65" s="71" t="s">
        <v>31</v>
      </c>
      <c r="S65" s="71"/>
      <c r="T65" s="71"/>
      <c r="U65" s="71"/>
      <c r="V65" s="71"/>
      <c r="W65" s="71"/>
      <c r="X65" s="71" t="s">
        <v>768</v>
      </c>
      <c r="Y65" s="71"/>
      <c r="Z65" s="71" t="s">
        <v>1235</v>
      </c>
      <c r="AA65" s="71" t="s">
        <v>770</v>
      </c>
      <c r="AB65" s="71"/>
      <c r="AC65" s="71" t="s">
        <v>21</v>
      </c>
      <c r="AD65" s="71"/>
      <c r="AE65" s="71"/>
      <c r="AF65" s="71"/>
      <c r="AG65" s="71"/>
      <c r="AH65" s="71" t="s">
        <v>1236</v>
      </c>
      <c r="AI65" s="71" t="s">
        <v>772</v>
      </c>
      <c r="AJ65" s="71">
        <v>8873137</v>
      </c>
      <c r="AK65" s="71" t="s">
        <v>65</v>
      </c>
      <c r="AL65" s="71">
        <v>792508</v>
      </c>
      <c r="AM65" s="71"/>
      <c r="AN65" s="71"/>
      <c r="AO65" s="71" t="s">
        <v>773</v>
      </c>
      <c r="AP65" s="71" t="s">
        <v>774</v>
      </c>
      <c r="AQ65" s="71" t="s">
        <v>876</v>
      </c>
      <c r="AR65" s="71" t="s">
        <v>802</v>
      </c>
      <c r="AS65" s="71" t="s">
        <v>876</v>
      </c>
      <c r="AT65" s="71"/>
      <c r="AU65" s="71"/>
    </row>
    <row r="66" spans="1:54" ht="192" customHeight="1" x14ac:dyDescent="0.2">
      <c r="A66" s="71" t="s">
        <v>582</v>
      </c>
      <c r="B66" s="71">
        <v>2026</v>
      </c>
      <c r="C66" s="72" t="s">
        <v>1237</v>
      </c>
      <c r="D66" s="71" t="s">
        <v>1238</v>
      </c>
      <c r="E66" s="71" t="s">
        <v>586</v>
      </c>
      <c r="F66" s="71" t="s">
        <v>583</v>
      </c>
      <c r="G66" s="71">
        <v>2</v>
      </c>
      <c r="H66" s="71" t="s">
        <v>584</v>
      </c>
      <c r="I66" s="71" t="s">
        <v>1239</v>
      </c>
      <c r="J66" s="71" t="s">
        <v>91</v>
      </c>
      <c r="K66" s="71" t="s">
        <v>1028</v>
      </c>
      <c r="L66" s="71" t="s">
        <v>44</v>
      </c>
      <c r="M66" s="71" t="s">
        <v>25</v>
      </c>
      <c r="N66" s="71" t="s">
        <v>1240</v>
      </c>
      <c r="O66" s="71">
        <v>190.01184126000001</v>
      </c>
      <c r="P66" s="71" t="s">
        <v>1241</v>
      </c>
      <c r="Q66" s="71" t="s">
        <v>45</v>
      </c>
      <c r="R66" s="71" t="s">
        <v>31</v>
      </c>
      <c r="S66" s="71"/>
      <c r="T66" s="71"/>
      <c r="U66" s="71"/>
      <c r="V66" s="71"/>
      <c r="W66" s="71"/>
      <c r="X66" s="71" t="s">
        <v>312</v>
      </c>
      <c r="Y66" s="71"/>
      <c r="Z66" s="71"/>
      <c r="AA66" s="71" t="s">
        <v>770</v>
      </c>
      <c r="AB66" s="71"/>
      <c r="AC66" s="71" t="s">
        <v>21</v>
      </c>
      <c r="AD66" s="71" t="s">
        <v>797</v>
      </c>
      <c r="AE66" s="71"/>
      <c r="AF66" s="71"/>
      <c r="AG66" s="71"/>
      <c r="AH66" s="71" t="s">
        <v>1242</v>
      </c>
      <c r="AI66" s="71" t="s">
        <v>772</v>
      </c>
      <c r="AJ66" s="71">
        <v>8830790</v>
      </c>
      <c r="AK66" s="71" t="s">
        <v>585</v>
      </c>
      <c r="AL66" s="71">
        <v>617420</v>
      </c>
      <c r="AM66" s="71"/>
      <c r="AN66" s="71"/>
      <c r="AO66" s="71" t="s">
        <v>773</v>
      </c>
      <c r="AP66" s="71" t="s">
        <v>908</v>
      </c>
      <c r="AQ66" s="71" t="s">
        <v>775</v>
      </c>
      <c r="AR66" s="71" t="s">
        <v>788</v>
      </c>
      <c r="AS66" s="71" t="s">
        <v>777</v>
      </c>
      <c r="AT66" s="71"/>
      <c r="AU66" s="71"/>
    </row>
    <row r="67" spans="1:54" ht="252" customHeight="1" x14ac:dyDescent="0.2">
      <c r="A67" s="71" t="s">
        <v>236</v>
      </c>
      <c r="B67" s="71">
        <v>2025</v>
      </c>
      <c r="C67" s="71" t="s">
        <v>1243</v>
      </c>
      <c r="D67" s="71" t="s">
        <v>1244</v>
      </c>
      <c r="E67" s="71" t="s">
        <v>239</v>
      </c>
      <c r="F67" s="71" t="s">
        <v>237</v>
      </c>
      <c r="G67" s="71">
        <v>3</v>
      </c>
      <c r="H67" s="71" t="s">
        <v>238</v>
      </c>
      <c r="I67" s="71" t="s">
        <v>1245</v>
      </c>
      <c r="J67" s="71" t="s">
        <v>20</v>
      </c>
      <c r="K67" s="71" t="s">
        <v>842</v>
      </c>
      <c r="L67" s="71" t="s">
        <v>35</v>
      </c>
      <c r="M67" s="71" t="s">
        <v>25</v>
      </c>
      <c r="N67" s="71" t="s">
        <v>1246</v>
      </c>
      <c r="O67" s="71">
        <v>190.02681387000001</v>
      </c>
      <c r="P67" s="71" t="s">
        <v>767</v>
      </c>
      <c r="Q67" s="71" t="s">
        <v>26</v>
      </c>
      <c r="R67" s="71" t="s">
        <v>31</v>
      </c>
      <c r="S67" s="71"/>
      <c r="T67" s="71"/>
      <c r="U67" s="71"/>
      <c r="V67" s="71"/>
      <c r="W67" s="71"/>
      <c r="X67" s="71" t="s">
        <v>768</v>
      </c>
      <c r="Y67" s="71"/>
      <c r="Z67" s="71" t="s">
        <v>1235</v>
      </c>
      <c r="AA67" s="71" t="s">
        <v>770</v>
      </c>
      <c r="AB67" s="71"/>
      <c r="AC67" s="71" t="s">
        <v>21</v>
      </c>
      <c r="AD67" s="71"/>
      <c r="AE67" s="71"/>
      <c r="AF67" s="71"/>
      <c r="AG67" s="71"/>
      <c r="AH67" s="71" t="s">
        <v>1247</v>
      </c>
      <c r="AI67" s="71" t="s">
        <v>772</v>
      </c>
      <c r="AJ67" s="71">
        <v>8876072</v>
      </c>
      <c r="AK67" s="71" t="s">
        <v>65</v>
      </c>
      <c r="AL67" s="71">
        <v>791229</v>
      </c>
      <c r="AM67" s="71"/>
      <c r="AN67" s="71"/>
      <c r="AO67" s="71" t="s">
        <v>773</v>
      </c>
      <c r="AP67" s="71" t="s">
        <v>774</v>
      </c>
      <c r="AQ67" s="71" t="s">
        <v>876</v>
      </c>
      <c r="AR67" s="71" t="s">
        <v>802</v>
      </c>
      <c r="AS67" s="71" t="s">
        <v>876</v>
      </c>
      <c r="AT67" s="71"/>
      <c r="AU67" s="71"/>
    </row>
    <row r="68" spans="1:54" ht="192" customHeight="1" x14ac:dyDescent="0.2">
      <c r="A68" s="71" t="s">
        <v>240</v>
      </c>
      <c r="B68" s="71">
        <v>2025</v>
      </c>
      <c r="C68" s="71" t="s">
        <v>1248</v>
      </c>
      <c r="D68" s="71" t="s">
        <v>1249</v>
      </c>
      <c r="E68" s="71" t="s">
        <v>243</v>
      </c>
      <c r="F68" s="71" t="s">
        <v>241</v>
      </c>
      <c r="G68" s="71">
        <v>2</v>
      </c>
      <c r="H68" s="71" t="s">
        <v>242</v>
      </c>
      <c r="I68" s="71" t="s">
        <v>1250</v>
      </c>
      <c r="J68" s="71" t="s">
        <v>20</v>
      </c>
      <c r="K68" s="71" t="s">
        <v>1135</v>
      </c>
      <c r="L68" s="71" t="s">
        <v>35</v>
      </c>
      <c r="M68" s="71" t="s">
        <v>25</v>
      </c>
      <c r="N68" s="71" t="s">
        <v>1251</v>
      </c>
      <c r="O68" s="71">
        <v>190.02684244</v>
      </c>
      <c r="P68" s="71" t="s">
        <v>1252</v>
      </c>
      <c r="Q68" s="71" t="s">
        <v>26</v>
      </c>
      <c r="R68" s="71" t="s">
        <v>31</v>
      </c>
      <c r="S68" s="71"/>
      <c r="T68" s="71"/>
      <c r="U68" s="71"/>
      <c r="V68" s="71"/>
      <c r="W68" s="71"/>
      <c r="X68" s="71" t="s">
        <v>768</v>
      </c>
      <c r="Y68" s="71"/>
      <c r="Z68" s="71" t="s">
        <v>1253</v>
      </c>
      <c r="AA68" s="71" t="s">
        <v>770</v>
      </c>
      <c r="AB68" s="71"/>
      <c r="AC68" s="71" t="s">
        <v>21</v>
      </c>
      <c r="AD68" s="71"/>
      <c r="AE68" s="71"/>
      <c r="AF68" s="71"/>
      <c r="AG68" s="71"/>
      <c r="AH68" s="71" t="s">
        <v>1254</v>
      </c>
      <c r="AI68" s="71" t="s">
        <v>772</v>
      </c>
      <c r="AJ68" s="71">
        <v>8870267</v>
      </c>
      <c r="AK68" s="71" t="s">
        <v>65</v>
      </c>
      <c r="AL68" s="71">
        <v>792537</v>
      </c>
      <c r="AM68" s="71"/>
      <c r="AN68" s="71"/>
      <c r="AO68" s="71" t="s">
        <v>773</v>
      </c>
      <c r="AP68" s="71" t="s">
        <v>774</v>
      </c>
      <c r="AQ68" s="71" t="s">
        <v>876</v>
      </c>
      <c r="AR68" s="71" t="s">
        <v>802</v>
      </c>
      <c r="AS68" s="71" t="s">
        <v>876</v>
      </c>
      <c r="AT68" s="71"/>
      <c r="AU68" s="71"/>
    </row>
    <row r="69" spans="1:54" ht="15" customHeight="1" x14ac:dyDescent="0.2">
      <c r="A69" s="97" t="s">
        <v>1255</v>
      </c>
      <c r="B69" s="97">
        <v>2026</v>
      </c>
      <c r="C69" s="98" t="s">
        <v>1256</v>
      </c>
      <c r="D69" s="97" t="s">
        <v>1257</v>
      </c>
      <c r="E69" s="97" t="s">
        <v>1258</v>
      </c>
      <c r="F69" s="97" t="s">
        <v>391</v>
      </c>
      <c r="G69" s="97">
        <v>3</v>
      </c>
      <c r="H69" s="97" t="s">
        <v>1259</v>
      </c>
      <c r="I69" s="97" t="s">
        <v>1260</v>
      </c>
      <c r="J69" s="97" t="s">
        <v>91</v>
      </c>
      <c r="K69" s="97" t="s">
        <v>1028</v>
      </c>
      <c r="L69" s="97" t="s">
        <v>44</v>
      </c>
      <c r="M69" s="97" t="s">
        <v>25</v>
      </c>
      <c r="N69" s="97" t="s">
        <v>1261</v>
      </c>
      <c r="O69" s="97">
        <v>190.02812230000001</v>
      </c>
      <c r="P69" s="97" t="s">
        <v>1262</v>
      </c>
      <c r="Q69" s="97" t="s">
        <v>45</v>
      </c>
      <c r="R69" s="97" t="s">
        <v>31</v>
      </c>
      <c r="S69" s="97"/>
      <c r="T69" s="97"/>
      <c r="U69" s="97"/>
      <c r="V69" s="97"/>
      <c r="W69" s="97"/>
      <c r="X69" s="97" t="s">
        <v>312</v>
      </c>
      <c r="Y69" s="97"/>
      <c r="Z69" s="97"/>
      <c r="AA69" s="97" t="s">
        <v>874</v>
      </c>
      <c r="AB69" s="97"/>
      <c r="AC69" s="97" t="s">
        <v>21</v>
      </c>
      <c r="AD69" s="97"/>
      <c r="AE69" s="97"/>
      <c r="AF69" s="97"/>
      <c r="AG69" s="97"/>
      <c r="AH69" s="97" t="s">
        <v>1263</v>
      </c>
      <c r="AI69" s="97" t="s">
        <v>772</v>
      </c>
      <c r="AJ69" s="97">
        <v>9172142</v>
      </c>
      <c r="AK69" s="97" t="s">
        <v>28</v>
      </c>
      <c r="AL69" s="97">
        <v>789404</v>
      </c>
      <c r="AM69" s="97"/>
      <c r="AN69" s="97"/>
      <c r="AO69" s="97" t="s">
        <v>773</v>
      </c>
      <c r="AP69" s="97" t="s">
        <v>908</v>
      </c>
      <c r="AQ69" s="97" t="s">
        <v>775</v>
      </c>
      <c r="AR69" s="97" t="s">
        <v>788</v>
      </c>
      <c r="AS69" s="97" t="s">
        <v>777</v>
      </c>
      <c r="AT69" s="97"/>
      <c r="AU69" s="97"/>
      <c r="AV69" s="99"/>
      <c r="AW69" s="99"/>
      <c r="AX69" s="99"/>
      <c r="AY69" s="99"/>
      <c r="AZ69" s="99"/>
      <c r="BA69" s="99"/>
      <c r="BB69" s="99"/>
    </row>
    <row r="70" spans="1:54" ht="348" customHeight="1" x14ac:dyDescent="0.2">
      <c r="A70" s="71" t="s">
        <v>251</v>
      </c>
      <c r="B70" s="71">
        <v>2025</v>
      </c>
      <c r="C70" s="72" t="s">
        <v>1264</v>
      </c>
      <c r="D70" s="71" t="s">
        <v>1265</v>
      </c>
      <c r="E70" s="71" t="s">
        <v>255</v>
      </c>
      <c r="F70" s="71" t="s">
        <v>253</v>
      </c>
      <c r="G70" s="71">
        <v>3</v>
      </c>
      <c r="H70" s="71" t="s">
        <v>254</v>
      </c>
      <c r="I70" s="71" t="s">
        <v>1266</v>
      </c>
      <c r="J70" s="71" t="s">
        <v>252</v>
      </c>
      <c r="K70" s="71" t="s">
        <v>459</v>
      </c>
      <c r="L70" s="71" t="s">
        <v>35</v>
      </c>
      <c r="M70" s="71" t="s">
        <v>25</v>
      </c>
      <c r="N70" s="71" t="s">
        <v>1267</v>
      </c>
      <c r="O70" s="71">
        <v>190.02743290000001</v>
      </c>
      <c r="P70" s="71" t="s">
        <v>767</v>
      </c>
      <c r="Q70" s="71" t="s">
        <v>26</v>
      </c>
      <c r="R70" s="71" t="s">
        <v>31</v>
      </c>
      <c r="S70" s="71"/>
      <c r="T70" s="71"/>
      <c r="U70" s="71"/>
      <c r="V70" s="71"/>
      <c r="W70" s="71"/>
      <c r="X70" s="71" t="s">
        <v>845</v>
      </c>
      <c r="Y70" s="71"/>
      <c r="Z70" s="71" t="s">
        <v>1235</v>
      </c>
      <c r="AA70" s="71" t="s">
        <v>874</v>
      </c>
      <c r="AB70" s="71"/>
      <c r="AC70" s="71" t="s">
        <v>21</v>
      </c>
      <c r="AD70" s="71"/>
      <c r="AE70" s="71"/>
      <c r="AF70" s="71"/>
      <c r="AG70" s="71"/>
      <c r="AH70" s="71"/>
      <c r="AI70" s="71" t="s">
        <v>772</v>
      </c>
      <c r="AJ70" s="71">
        <v>8873316</v>
      </c>
      <c r="AK70" s="71" t="s">
        <v>65</v>
      </c>
      <c r="AL70" s="71">
        <v>791164</v>
      </c>
      <c r="AM70" s="71"/>
      <c r="AN70" s="71"/>
      <c r="AO70" s="71" t="s">
        <v>773</v>
      </c>
      <c r="AP70" s="71" t="s">
        <v>774</v>
      </c>
      <c r="AQ70" s="71" t="s">
        <v>876</v>
      </c>
      <c r="AR70" s="71" t="s">
        <v>802</v>
      </c>
      <c r="AS70" s="71" t="s">
        <v>876</v>
      </c>
      <c r="AT70" s="71"/>
      <c r="AU70" s="71"/>
    </row>
    <row r="71" spans="1:54" ht="72" customHeight="1" x14ac:dyDescent="0.2">
      <c r="A71" s="71" t="s">
        <v>600</v>
      </c>
      <c r="B71" s="71">
        <v>2026</v>
      </c>
      <c r="C71" s="72" t="s">
        <v>1268</v>
      </c>
      <c r="D71" s="71" t="s">
        <v>1269</v>
      </c>
      <c r="E71" s="71" t="s">
        <v>602</v>
      </c>
      <c r="F71" s="71" t="s">
        <v>100</v>
      </c>
      <c r="G71" s="71">
        <v>1</v>
      </c>
      <c r="H71" s="71" t="s">
        <v>601</v>
      </c>
      <c r="I71" s="71" t="s">
        <v>1270</v>
      </c>
      <c r="J71" s="71" t="s">
        <v>20</v>
      </c>
      <c r="K71" s="71" t="s">
        <v>1271</v>
      </c>
      <c r="L71" s="71" t="s">
        <v>35</v>
      </c>
      <c r="M71" s="71" t="s">
        <v>25</v>
      </c>
      <c r="N71" s="71" t="s">
        <v>1272</v>
      </c>
      <c r="O71" s="71">
        <v>190.02614887999999</v>
      </c>
      <c r="P71" s="71" t="s">
        <v>1273</v>
      </c>
      <c r="Q71" s="71" t="s">
        <v>94</v>
      </c>
      <c r="R71" s="71" t="s">
        <v>31</v>
      </c>
      <c r="S71" s="71"/>
      <c r="T71" s="71"/>
      <c r="U71" s="71"/>
      <c r="V71" s="71"/>
      <c r="W71" s="71"/>
      <c r="X71" s="71" t="s">
        <v>1274</v>
      </c>
      <c r="Y71" s="71"/>
      <c r="Z71" s="71" t="s">
        <v>873</v>
      </c>
      <c r="AA71" s="71" t="s">
        <v>770</v>
      </c>
      <c r="AB71" s="71"/>
      <c r="AC71" s="71" t="s">
        <v>21</v>
      </c>
      <c r="AD71" s="71"/>
      <c r="AE71" s="71"/>
      <c r="AF71" s="71"/>
      <c r="AG71" s="71"/>
      <c r="AH71" s="71" t="s">
        <v>1275</v>
      </c>
      <c r="AI71" s="71" t="s">
        <v>772</v>
      </c>
      <c r="AJ71" s="71">
        <v>8870961</v>
      </c>
      <c r="AK71" s="71" t="s">
        <v>102</v>
      </c>
      <c r="AL71" s="71">
        <v>733022</v>
      </c>
      <c r="AM71" s="71"/>
      <c r="AN71" s="71"/>
      <c r="AO71" s="71" t="s">
        <v>773</v>
      </c>
      <c r="AP71" s="71" t="s">
        <v>908</v>
      </c>
      <c r="AQ71" s="71" t="s">
        <v>775</v>
      </c>
      <c r="AR71" s="71" t="s">
        <v>788</v>
      </c>
      <c r="AS71" s="71" t="s">
        <v>777</v>
      </c>
      <c r="AT71" s="71"/>
      <c r="AU71" s="71"/>
    </row>
    <row r="72" spans="1:54" ht="15" customHeight="1" x14ac:dyDescent="0.2">
      <c r="A72" s="71" t="s">
        <v>630</v>
      </c>
      <c r="B72" s="71">
        <v>2026</v>
      </c>
      <c r="C72" s="72" t="s">
        <v>1276</v>
      </c>
      <c r="D72" s="71" t="s">
        <v>1277</v>
      </c>
      <c r="E72" s="71" t="s">
        <v>632</v>
      </c>
      <c r="F72" s="71" t="s">
        <v>631</v>
      </c>
      <c r="G72" s="71">
        <v>3</v>
      </c>
      <c r="H72" s="71" t="s">
        <v>632</v>
      </c>
      <c r="I72" s="71" t="s">
        <v>964</v>
      </c>
      <c r="J72" s="71" t="s">
        <v>112</v>
      </c>
      <c r="K72" s="71" t="s">
        <v>30</v>
      </c>
      <c r="L72" s="71" t="s">
        <v>44</v>
      </c>
      <c r="M72" s="71" t="s">
        <v>25</v>
      </c>
      <c r="N72" s="71" t="s">
        <v>1278</v>
      </c>
      <c r="O72" s="71">
        <v>190.02203075</v>
      </c>
      <c r="P72" s="71" t="s">
        <v>966</v>
      </c>
      <c r="Q72" s="71" t="s">
        <v>36</v>
      </c>
      <c r="R72" s="71" t="s">
        <v>31</v>
      </c>
      <c r="S72" s="71"/>
      <c r="T72" s="71"/>
      <c r="U72" s="71"/>
      <c r="V72" s="71"/>
      <c r="W72" s="71"/>
      <c r="X72" s="71" t="s">
        <v>312</v>
      </c>
      <c r="Y72" s="71"/>
      <c r="Z72" s="71" t="s">
        <v>1279</v>
      </c>
      <c r="AA72" s="71" t="s">
        <v>770</v>
      </c>
      <c r="AB72" s="71"/>
      <c r="AC72" s="71" t="s">
        <v>21</v>
      </c>
      <c r="AD72" s="71"/>
      <c r="AE72" s="71"/>
      <c r="AF72" s="71"/>
      <c r="AG72" s="71"/>
      <c r="AH72" s="71" t="s">
        <v>1280</v>
      </c>
      <c r="AI72" s="71" t="s">
        <v>772</v>
      </c>
      <c r="AJ72" s="71">
        <v>8867765</v>
      </c>
      <c r="AK72" s="71" t="s">
        <v>102</v>
      </c>
      <c r="AL72" s="71">
        <v>718799</v>
      </c>
      <c r="AM72" s="71"/>
      <c r="AN72" s="71"/>
      <c r="AO72" s="71" t="s">
        <v>773</v>
      </c>
      <c r="AP72" s="71" t="s">
        <v>908</v>
      </c>
      <c r="AQ72" s="71" t="s">
        <v>775</v>
      </c>
      <c r="AR72" s="71" t="s">
        <v>788</v>
      </c>
      <c r="AS72" s="71" t="s">
        <v>777</v>
      </c>
      <c r="AT72" s="71"/>
      <c r="AU72" s="71" t="s">
        <v>862</v>
      </c>
      <c r="AV72" s="179"/>
    </row>
    <row r="73" spans="1:54" ht="120" customHeight="1" x14ac:dyDescent="0.2">
      <c r="A73" s="71" t="s">
        <v>244</v>
      </c>
      <c r="B73" s="71">
        <v>2025</v>
      </c>
      <c r="C73" s="71" t="s">
        <v>1281</v>
      </c>
      <c r="D73" s="71" t="s">
        <v>1282</v>
      </c>
      <c r="E73" s="71" t="s">
        <v>247</v>
      </c>
      <c r="F73" s="71" t="s">
        <v>245</v>
      </c>
      <c r="G73" s="71">
        <v>1</v>
      </c>
      <c r="H73" s="71" t="s">
        <v>246</v>
      </c>
      <c r="I73" s="71" t="s">
        <v>1283</v>
      </c>
      <c r="J73" s="71" t="s">
        <v>20</v>
      </c>
      <c r="K73" s="71" t="s">
        <v>842</v>
      </c>
      <c r="L73" s="71" t="s">
        <v>35</v>
      </c>
      <c r="M73" s="71" t="s">
        <v>25</v>
      </c>
      <c r="N73" s="71" t="s">
        <v>1284</v>
      </c>
      <c r="O73" s="71">
        <v>190.01217437</v>
      </c>
      <c r="P73" s="71" t="s">
        <v>767</v>
      </c>
      <c r="Q73" s="71" t="s">
        <v>45</v>
      </c>
      <c r="R73" s="71" t="s">
        <v>31</v>
      </c>
      <c r="S73" s="71"/>
      <c r="T73" s="71"/>
      <c r="U73" s="71"/>
      <c r="V73" s="71"/>
      <c r="W73" s="71"/>
      <c r="X73" s="71" t="s">
        <v>312</v>
      </c>
      <c r="Y73" s="71"/>
      <c r="Z73" s="71" t="s">
        <v>873</v>
      </c>
      <c r="AA73" s="71" t="s">
        <v>874</v>
      </c>
      <c r="AB73" s="71"/>
      <c r="AC73" s="71" t="s">
        <v>21</v>
      </c>
      <c r="AD73" s="71" t="s">
        <v>797</v>
      </c>
      <c r="AE73" s="71"/>
      <c r="AF73" s="71"/>
      <c r="AG73" s="71"/>
      <c r="AH73" s="71" t="s">
        <v>1285</v>
      </c>
      <c r="AI73" s="71" t="s">
        <v>772</v>
      </c>
      <c r="AJ73" s="71">
        <v>8867579</v>
      </c>
      <c r="AK73" s="71" t="s">
        <v>65</v>
      </c>
      <c r="AL73" s="71">
        <v>798247</v>
      </c>
      <c r="AM73" s="71"/>
      <c r="AN73" s="71"/>
      <c r="AO73" s="71" t="s">
        <v>773</v>
      </c>
      <c r="AP73" s="71" t="s">
        <v>774</v>
      </c>
      <c r="AQ73" s="71" t="s">
        <v>926</v>
      </c>
      <c r="AR73" s="71" t="s">
        <v>802</v>
      </c>
      <c r="AS73" s="71" t="s">
        <v>884</v>
      </c>
      <c r="AT73" s="71"/>
      <c r="AU73" s="71"/>
    </row>
    <row r="74" spans="1:54" ht="228" customHeight="1" x14ac:dyDescent="0.2">
      <c r="A74" s="71" t="s">
        <v>461</v>
      </c>
      <c r="B74" s="71">
        <v>2026</v>
      </c>
      <c r="C74" s="72" t="s">
        <v>1286</v>
      </c>
      <c r="D74" s="71" t="s">
        <v>1287</v>
      </c>
      <c r="E74" s="71" t="s">
        <v>465</v>
      </c>
      <c r="F74" s="71" t="s">
        <v>462</v>
      </c>
      <c r="G74" s="71">
        <v>2</v>
      </c>
      <c r="H74" s="71" t="s">
        <v>463</v>
      </c>
      <c r="I74" s="71" t="s">
        <v>1288</v>
      </c>
      <c r="J74" s="71" t="s">
        <v>20</v>
      </c>
      <c r="K74" s="71" t="s">
        <v>1160</v>
      </c>
      <c r="L74" s="71" t="s">
        <v>35</v>
      </c>
      <c r="M74" s="71" t="s">
        <v>25</v>
      </c>
      <c r="N74" s="71" t="s">
        <v>1289</v>
      </c>
      <c r="O74" s="71">
        <v>190.00282286000001</v>
      </c>
      <c r="P74" s="71" t="s">
        <v>782</v>
      </c>
      <c r="Q74" s="71" t="s">
        <v>45</v>
      </c>
      <c r="R74" s="71" t="s">
        <v>31</v>
      </c>
      <c r="S74" s="71"/>
      <c r="T74" s="71"/>
      <c r="U74" s="71"/>
      <c r="V74" s="71"/>
      <c r="W74" s="71"/>
      <c r="X74" s="71"/>
      <c r="Y74" s="71"/>
      <c r="Z74" s="71"/>
      <c r="AA74" s="71" t="s">
        <v>770</v>
      </c>
      <c r="AB74" s="71"/>
      <c r="AC74" s="71" t="s">
        <v>21</v>
      </c>
      <c r="AD74" s="71" t="s">
        <v>797</v>
      </c>
      <c r="AE74" s="71"/>
      <c r="AF74" s="71"/>
      <c r="AG74" s="71"/>
      <c r="AH74" s="71" t="s">
        <v>1290</v>
      </c>
      <c r="AI74" s="71" t="s">
        <v>772</v>
      </c>
      <c r="AJ74" s="71">
        <v>8657414</v>
      </c>
      <c r="AK74" s="71" t="s">
        <v>464</v>
      </c>
      <c r="AL74" s="71">
        <v>698555</v>
      </c>
      <c r="AM74" s="71"/>
      <c r="AN74" s="71"/>
      <c r="AO74" s="71" t="s">
        <v>773</v>
      </c>
      <c r="AP74" s="71" t="s">
        <v>774</v>
      </c>
      <c r="AQ74" s="71" t="s">
        <v>312</v>
      </c>
      <c r="AR74" s="71" t="s">
        <v>802</v>
      </c>
      <c r="AS74" s="71" t="s">
        <v>312</v>
      </c>
      <c r="AT74" s="71"/>
      <c r="AU74" s="71"/>
    </row>
    <row r="75" spans="1:54" ht="180" customHeight="1" x14ac:dyDescent="0.2">
      <c r="A75" s="71" t="s">
        <v>1291</v>
      </c>
      <c r="B75" s="71">
        <v>2026</v>
      </c>
      <c r="C75" s="100" t="s">
        <v>1292</v>
      </c>
      <c r="D75" s="71" t="s">
        <v>1293</v>
      </c>
      <c r="E75" s="71" t="s">
        <v>1294</v>
      </c>
      <c r="F75" s="71" t="s">
        <v>1295</v>
      </c>
      <c r="G75" s="71">
        <v>2</v>
      </c>
      <c r="H75" s="71" t="s">
        <v>1296</v>
      </c>
      <c r="I75" s="71" t="s">
        <v>1297</v>
      </c>
      <c r="J75" s="71" t="s">
        <v>20</v>
      </c>
      <c r="K75" s="71" t="s">
        <v>945</v>
      </c>
      <c r="L75" s="71" t="s">
        <v>35</v>
      </c>
      <c r="M75" s="71" t="s">
        <v>25</v>
      </c>
      <c r="N75" s="71" t="s">
        <v>1298</v>
      </c>
      <c r="O75" s="71">
        <v>190.02741470999999</v>
      </c>
      <c r="P75" s="71" t="s">
        <v>1299</v>
      </c>
      <c r="Q75" s="71" t="s">
        <v>45</v>
      </c>
      <c r="R75" s="71" t="s">
        <v>31</v>
      </c>
      <c r="S75" s="71"/>
      <c r="T75" s="71"/>
      <c r="U75" s="71"/>
      <c r="V75" s="71"/>
      <c r="W75" s="71"/>
      <c r="X75" s="71" t="s">
        <v>1300</v>
      </c>
      <c r="Y75" s="71"/>
      <c r="Z75" s="71" t="s">
        <v>873</v>
      </c>
      <c r="AA75" s="71" t="s">
        <v>770</v>
      </c>
      <c r="AB75" s="71"/>
      <c r="AC75" s="71" t="s">
        <v>21</v>
      </c>
      <c r="AD75" s="71"/>
      <c r="AE75" s="71"/>
      <c r="AF75" s="71"/>
      <c r="AG75" s="71"/>
      <c r="AH75" s="71" t="s">
        <v>1301</v>
      </c>
      <c r="AI75" s="71" t="s">
        <v>772</v>
      </c>
      <c r="AJ75" s="71">
        <v>9007081</v>
      </c>
      <c r="AK75" s="71" t="s">
        <v>169</v>
      </c>
      <c r="AL75" s="71">
        <v>810847</v>
      </c>
      <c r="AM75" s="71"/>
      <c r="AN75" s="71"/>
      <c r="AO75" s="71" t="s">
        <v>773</v>
      </c>
      <c r="AP75" s="71" t="s">
        <v>774</v>
      </c>
      <c r="AQ75" s="71" t="s">
        <v>312</v>
      </c>
      <c r="AR75" s="71" t="s">
        <v>802</v>
      </c>
      <c r="AS75" s="71" t="s">
        <v>312</v>
      </c>
      <c r="AT75" s="71"/>
      <c r="AU75" s="71"/>
      <c r="BB75">
        <v>1</v>
      </c>
    </row>
    <row r="76" spans="1:54" ht="372" customHeight="1" x14ac:dyDescent="0.2">
      <c r="A76" s="71" t="s">
        <v>67</v>
      </c>
      <c r="B76" s="71">
        <v>2025</v>
      </c>
      <c r="C76" s="72" t="s">
        <v>1302</v>
      </c>
      <c r="D76" s="71" t="s">
        <v>1303</v>
      </c>
      <c r="E76" s="71" t="s">
        <v>71</v>
      </c>
      <c r="F76" s="71" t="s">
        <v>68</v>
      </c>
      <c r="G76" s="71">
        <v>3</v>
      </c>
      <c r="H76" s="71" t="s">
        <v>69</v>
      </c>
      <c r="I76" s="71" t="s">
        <v>1304</v>
      </c>
      <c r="J76" s="71" t="s">
        <v>20</v>
      </c>
      <c r="K76" s="71" t="s">
        <v>1305</v>
      </c>
      <c r="L76" s="71" t="s">
        <v>35</v>
      </c>
      <c r="M76" s="71" t="s">
        <v>25</v>
      </c>
      <c r="N76" s="71" t="s">
        <v>1306</v>
      </c>
      <c r="O76" s="71">
        <v>190.02679441999999</v>
      </c>
      <c r="P76" s="71" t="s">
        <v>767</v>
      </c>
      <c r="Q76" s="71" t="s">
        <v>26</v>
      </c>
      <c r="R76" s="71" t="s">
        <v>31</v>
      </c>
      <c r="S76" s="71"/>
      <c r="T76" s="71"/>
      <c r="U76" s="71"/>
      <c r="V76" s="71"/>
      <c r="W76" s="71"/>
      <c r="X76" s="71" t="s">
        <v>845</v>
      </c>
      <c r="Y76" s="71"/>
      <c r="Z76" s="71" t="s">
        <v>873</v>
      </c>
      <c r="AA76" s="71" t="s">
        <v>770</v>
      </c>
      <c r="AB76" s="71"/>
      <c r="AC76" s="71" t="s">
        <v>21</v>
      </c>
      <c r="AD76" s="71"/>
      <c r="AE76" s="71"/>
      <c r="AF76" s="71"/>
      <c r="AG76" s="71"/>
      <c r="AH76" s="71" t="s">
        <v>1307</v>
      </c>
      <c r="AI76" s="71" t="s">
        <v>772</v>
      </c>
      <c r="AJ76" s="71">
        <v>8701914</v>
      </c>
      <c r="AK76" s="71" t="s">
        <v>38</v>
      </c>
      <c r="AL76" s="71">
        <v>711988</v>
      </c>
      <c r="AM76" s="71"/>
      <c r="AN76" s="71"/>
      <c r="AO76" s="71" t="s">
        <v>773</v>
      </c>
      <c r="AP76" s="71" t="s">
        <v>774</v>
      </c>
      <c r="AQ76" s="71" t="s">
        <v>1093</v>
      </c>
      <c r="AR76" s="71" t="s">
        <v>776</v>
      </c>
      <c r="AS76" s="71" t="s">
        <v>1094</v>
      </c>
      <c r="AT76" s="71" t="s">
        <v>67</v>
      </c>
      <c r="AU76" s="71"/>
    </row>
    <row r="77" spans="1:54" ht="180" customHeight="1" x14ac:dyDescent="0.2">
      <c r="A77" s="71" t="s">
        <v>456</v>
      </c>
      <c r="B77" s="71">
        <v>2026</v>
      </c>
      <c r="C77" s="72" t="s">
        <v>1308</v>
      </c>
      <c r="D77" s="71" t="s">
        <v>1309</v>
      </c>
      <c r="E77" s="71" t="s">
        <v>460</v>
      </c>
      <c r="F77" s="71" t="s">
        <v>457</v>
      </c>
      <c r="G77" s="71">
        <v>2</v>
      </c>
      <c r="H77" s="71" t="s">
        <v>458</v>
      </c>
      <c r="I77" s="71" t="s">
        <v>1310</v>
      </c>
      <c r="J77" s="71" t="s">
        <v>20</v>
      </c>
      <c r="K77" s="71" t="s">
        <v>815</v>
      </c>
      <c r="L77" s="71" t="s">
        <v>35</v>
      </c>
      <c r="M77" s="71" t="s">
        <v>25</v>
      </c>
      <c r="N77" s="71" t="s">
        <v>1311</v>
      </c>
      <c r="O77" s="71">
        <v>190.01316098999999</v>
      </c>
      <c r="P77" s="71" t="s">
        <v>1312</v>
      </c>
      <c r="Q77" s="71" t="s">
        <v>45</v>
      </c>
      <c r="R77" s="71" t="s">
        <v>31</v>
      </c>
      <c r="S77" s="71"/>
      <c r="T77" s="71"/>
      <c r="U77" s="71"/>
      <c r="V77" s="71"/>
      <c r="W77" s="71"/>
      <c r="X77" s="71" t="s">
        <v>1216</v>
      </c>
      <c r="Y77" s="71"/>
      <c r="Z77" s="71" t="s">
        <v>846</v>
      </c>
      <c r="AA77" s="71" t="s">
        <v>770</v>
      </c>
      <c r="AB77" s="71"/>
      <c r="AC77" s="71" t="s">
        <v>21</v>
      </c>
      <c r="AD77" s="71" t="s">
        <v>797</v>
      </c>
      <c r="AE77" s="71"/>
      <c r="AF77" s="71"/>
      <c r="AG77" s="71"/>
      <c r="AH77" s="71" t="s">
        <v>1313</v>
      </c>
      <c r="AI77" s="71" t="s">
        <v>772</v>
      </c>
      <c r="AJ77" s="71">
        <v>8855224</v>
      </c>
      <c r="AK77" s="71" t="s">
        <v>65</v>
      </c>
      <c r="AL77" s="71">
        <v>792195</v>
      </c>
      <c r="AM77" s="71"/>
      <c r="AN77" s="71"/>
      <c r="AO77" s="71" t="s">
        <v>773</v>
      </c>
      <c r="AP77" s="71" t="s">
        <v>774</v>
      </c>
      <c r="AQ77" s="71" t="s">
        <v>1314</v>
      </c>
      <c r="AR77" s="71" t="s">
        <v>802</v>
      </c>
      <c r="AS77" s="71" t="s">
        <v>312</v>
      </c>
      <c r="AT77" s="71"/>
      <c r="AU77" s="71"/>
    </row>
    <row r="78" spans="1:54" ht="409.5" customHeight="1" x14ac:dyDescent="0.2">
      <c r="A78" s="71" t="s">
        <v>85</v>
      </c>
      <c r="B78" s="71">
        <v>2024</v>
      </c>
      <c r="C78" s="72" t="s">
        <v>1315</v>
      </c>
      <c r="D78" s="71" t="s">
        <v>1316</v>
      </c>
      <c r="E78" s="71" t="s">
        <v>89</v>
      </c>
      <c r="F78" s="71" t="s">
        <v>86</v>
      </c>
      <c r="G78" s="71">
        <v>3</v>
      </c>
      <c r="H78" s="71" t="s">
        <v>87</v>
      </c>
      <c r="I78" s="71" t="s">
        <v>1317</v>
      </c>
      <c r="J78" s="71" t="s">
        <v>20</v>
      </c>
      <c r="K78" s="71" t="s">
        <v>815</v>
      </c>
      <c r="L78" s="71" t="s">
        <v>44</v>
      </c>
      <c r="M78" s="71" t="s">
        <v>25</v>
      </c>
      <c r="N78" s="71" t="s">
        <v>1318</v>
      </c>
      <c r="O78" s="71">
        <v>190.02679413000001</v>
      </c>
      <c r="P78" s="71" t="s">
        <v>767</v>
      </c>
      <c r="Q78" s="71" t="s">
        <v>26</v>
      </c>
      <c r="R78" s="71" t="s">
        <v>31</v>
      </c>
      <c r="S78" s="71"/>
      <c r="T78" s="71"/>
      <c r="U78" s="71"/>
      <c r="V78" s="71"/>
      <c r="W78" s="71"/>
      <c r="X78" s="71" t="s">
        <v>891</v>
      </c>
      <c r="Y78" s="71"/>
      <c r="Z78" s="71" t="s">
        <v>1253</v>
      </c>
      <c r="AA78" s="71" t="s">
        <v>874</v>
      </c>
      <c r="AB78" s="71"/>
      <c r="AC78" s="71" t="s">
        <v>21</v>
      </c>
      <c r="AD78" s="71"/>
      <c r="AE78" s="71"/>
      <c r="AF78" s="71"/>
      <c r="AG78" s="71"/>
      <c r="AH78" s="71" t="s">
        <v>1319</v>
      </c>
      <c r="AI78" s="71" t="s">
        <v>772</v>
      </c>
      <c r="AJ78" s="71">
        <v>8556741</v>
      </c>
      <c r="AK78" s="71" t="s">
        <v>88</v>
      </c>
      <c r="AL78" s="71">
        <v>781207</v>
      </c>
      <c r="AM78" s="71"/>
      <c r="AN78" s="71"/>
      <c r="AO78" s="71" t="s">
        <v>773</v>
      </c>
      <c r="AP78" s="71" t="s">
        <v>774</v>
      </c>
      <c r="AQ78" s="71" t="s">
        <v>876</v>
      </c>
      <c r="AR78" s="71" t="s">
        <v>802</v>
      </c>
      <c r="AS78" s="71" t="s">
        <v>876</v>
      </c>
      <c r="AT78" s="71"/>
      <c r="AU78" s="71"/>
    </row>
    <row r="79" spans="1:54" ht="48" customHeight="1" x14ac:dyDescent="0.2">
      <c r="A79" s="71" t="s">
        <v>1320</v>
      </c>
      <c r="B79" s="71">
        <v>2025</v>
      </c>
      <c r="C79" s="72" t="s">
        <v>1302</v>
      </c>
      <c r="D79" s="71" t="s">
        <v>1303</v>
      </c>
      <c r="E79" s="71"/>
      <c r="F79" s="71" t="s">
        <v>68</v>
      </c>
      <c r="G79" s="71"/>
      <c r="H79" s="71" t="s">
        <v>1321</v>
      </c>
      <c r="I79" s="71" t="s">
        <v>1322</v>
      </c>
      <c r="J79" s="71" t="s">
        <v>20</v>
      </c>
      <c r="K79" s="71" t="s">
        <v>1305</v>
      </c>
      <c r="L79" s="71" t="s">
        <v>35</v>
      </c>
      <c r="M79" s="71" t="s">
        <v>25</v>
      </c>
      <c r="N79" s="71" t="s">
        <v>1323</v>
      </c>
      <c r="O79" s="71">
        <v>190.02318027000001</v>
      </c>
      <c r="P79" s="71" t="s">
        <v>767</v>
      </c>
      <c r="Q79" s="71" t="s">
        <v>26</v>
      </c>
      <c r="R79" s="71" t="s">
        <v>31</v>
      </c>
      <c r="S79" s="71"/>
      <c r="T79" s="71"/>
      <c r="U79" s="71"/>
      <c r="V79" s="71"/>
      <c r="W79" s="71"/>
      <c r="X79" s="71" t="s">
        <v>845</v>
      </c>
      <c r="Y79" s="71"/>
      <c r="Z79" s="71" t="s">
        <v>873</v>
      </c>
      <c r="AA79" s="71" t="s">
        <v>770</v>
      </c>
      <c r="AB79" s="71"/>
      <c r="AC79" s="71" t="s">
        <v>21</v>
      </c>
      <c r="AD79" s="71"/>
      <c r="AE79" s="71"/>
      <c r="AF79" s="71"/>
      <c r="AG79" s="71"/>
      <c r="AH79" s="71" t="s">
        <v>1324</v>
      </c>
      <c r="AI79" s="71" t="s">
        <v>772</v>
      </c>
      <c r="AJ79" s="71">
        <v>8702115</v>
      </c>
      <c r="AK79" s="71" t="s">
        <v>38</v>
      </c>
      <c r="AL79" s="71">
        <v>711094</v>
      </c>
      <c r="AM79" s="71"/>
      <c r="AN79" s="71"/>
      <c r="AO79" s="71" t="s">
        <v>773</v>
      </c>
      <c r="AP79" s="71" t="s">
        <v>774</v>
      </c>
      <c r="AQ79" s="71" t="s">
        <v>1093</v>
      </c>
      <c r="AR79" s="71" t="s">
        <v>776</v>
      </c>
      <c r="AS79" s="71" t="s">
        <v>1094</v>
      </c>
      <c r="AT79" s="71" t="s">
        <v>67</v>
      </c>
      <c r="AU79" s="71"/>
    </row>
    <row r="80" spans="1:54" ht="312" customHeight="1" x14ac:dyDescent="0.2">
      <c r="A80" s="71" t="s">
        <v>466</v>
      </c>
      <c r="B80" s="71">
        <v>2026</v>
      </c>
      <c r="C80" s="72" t="s">
        <v>1325</v>
      </c>
      <c r="D80" s="71" t="s">
        <v>1326</v>
      </c>
      <c r="E80" s="71" t="s">
        <v>469</v>
      </c>
      <c r="F80" s="71" t="s">
        <v>467</v>
      </c>
      <c r="G80" s="71">
        <v>2</v>
      </c>
      <c r="H80" s="71" t="s">
        <v>468</v>
      </c>
      <c r="I80" s="71" t="s">
        <v>1327</v>
      </c>
      <c r="J80" s="71" t="s">
        <v>20</v>
      </c>
      <c r="K80" s="71" t="s">
        <v>1135</v>
      </c>
      <c r="L80" s="71" t="s">
        <v>35</v>
      </c>
      <c r="M80" s="71" t="s">
        <v>25</v>
      </c>
      <c r="N80" s="71" t="s">
        <v>1328</v>
      </c>
      <c r="O80" s="71">
        <v>190.01279167999999</v>
      </c>
      <c r="P80" s="71" t="s">
        <v>1329</v>
      </c>
      <c r="Q80" s="71" t="s">
        <v>45</v>
      </c>
      <c r="R80" s="71" t="s">
        <v>31</v>
      </c>
      <c r="S80" s="71"/>
      <c r="T80" s="71"/>
      <c r="U80" s="71"/>
      <c r="V80" s="71"/>
      <c r="W80" s="71"/>
      <c r="X80" s="71" t="s">
        <v>312</v>
      </c>
      <c r="Y80" s="71"/>
      <c r="Z80" s="71" t="s">
        <v>1138</v>
      </c>
      <c r="AA80" s="71" t="s">
        <v>770</v>
      </c>
      <c r="AB80" s="71"/>
      <c r="AC80" s="71" t="s">
        <v>21</v>
      </c>
      <c r="AD80" s="71" t="s">
        <v>797</v>
      </c>
      <c r="AE80" s="71"/>
      <c r="AF80" s="71"/>
      <c r="AG80" s="71"/>
      <c r="AH80" s="71" t="s">
        <v>1330</v>
      </c>
      <c r="AI80" s="71" t="s">
        <v>772</v>
      </c>
      <c r="AJ80" s="71">
        <v>8874945</v>
      </c>
      <c r="AK80" s="71" t="s">
        <v>65</v>
      </c>
      <c r="AL80" s="71">
        <v>793159</v>
      </c>
      <c r="AM80" s="71"/>
      <c r="AN80" s="71"/>
      <c r="AO80" s="71" t="s">
        <v>773</v>
      </c>
      <c r="AP80" s="71" t="s">
        <v>774</v>
      </c>
      <c r="AQ80" s="71" t="s">
        <v>1024</v>
      </c>
      <c r="AR80" s="71" t="s">
        <v>802</v>
      </c>
      <c r="AS80" s="71" t="s">
        <v>1024</v>
      </c>
      <c r="AT80" s="71"/>
      <c r="AU80" s="71"/>
    </row>
    <row r="81" spans="1:54" ht="81" customHeight="1" x14ac:dyDescent="0.2">
      <c r="A81" s="71" t="s">
        <v>82</v>
      </c>
      <c r="B81" s="71">
        <v>2025</v>
      </c>
      <c r="C81" s="72" t="s">
        <v>1331</v>
      </c>
      <c r="D81" s="71" t="s">
        <v>1332</v>
      </c>
      <c r="E81" s="71"/>
      <c r="F81" s="71" t="s">
        <v>83</v>
      </c>
      <c r="G81" s="71"/>
      <c r="H81" s="71" t="s">
        <v>84</v>
      </c>
      <c r="I81" s="71" t="s">
        <v>1333</v>
      </c>
      <c r="J81" s="71" t="s">
        <v>20</v>
      </c>
      <c r="K81" s="71" t="s">
        <v>1089</v>
      </c>
      <c r="L81" s="71" t="s">
        <v>44</v>
      </c>
      <c r="M81" s="71" t="s">
        <v>25</v>
      </c>
      <c r="N81" s="71" t="s">
        <v>1334</v>
      </c>
      <c r="O81" s="71">
        <v>190.02318045999999</v>
      </c>
      <c r="P81" s="71" t="s">
        <v>767</v>
      </c>
      <c r="Q81" s="71" t="s">
        <v>26</v>
      </c>
      <c r="R81" s="71" t="s">
        <v>31</v>
      </c>
      <c r="S81" s="71"/>
      <c r="T81" s="71"/>
      <c r="U81" s="71"/>
      <c r="V81" s="71"/>
      <c r="W81" s="71"/>
      <c r="X81" s="71" t="s">
        <v>845</v>
      </c>
      <c r="Y81" s="71"/>
      <c r="Z81" s="71" t="s">
        <v>1335</v>
      </c>
      <c r="AA81" s="71" t="s">
        <v>770</v>
      </c>
      <c r="AB81" s="71"/>
      <c r="AC81" s="71" t="s">
        <v>21</v>
      </c>
      <c r="AD81" s="71"/>
      <c r="AE81" s="71"/>
      <c r="AF81" s="71"/>
      <c r="AG81" s="71"/>
      <c r="AH81" s="71" t="s">
        <v>1336</v>
      </c>
      <c r="AI81" s="71" t="s">
        <v>772</v>
      </c>
      <c r="AJ81" s="71">
        <v>9204328</v>
      </c>
      <c r="AK81" s="71" t="s">
        <v>28</v>
      </c>
      <c r="AL81" s="71">
        <v>807159</v>
      </c>
      <c r="AM81" s="71"/>
      <c r="AN81" s="71"/>
      <c r="AO81" s="71" t="s">
        <v>773</v>
      </c>
      <c r="AP81" s="71" t="s">
        <v>774</v>
      </c>
      <c r="AQ81" s="71" t="s">
        <v>1093</v>
      </c>
      <c r="AR81" s="71" t="s">
        <v>776</v>
      </c>
      <c r="AS81" s="71" t="s">
        <v>1094</v>
      </c>
      <c r="AT81" s="71" t="s">
        <v>82</v>
      </c>
      <c r="AU81" s="71"/>
    </row>
    <row r="82" spans="1:54" s="99" customFormat="1" ht="409.5" customHeight="1" x14ac:dyDescent="0.2">
      <c r="A82" s="71" t="s">
        <v>336</v>
      </c>
      <c r="B82" s="71">
        <v>2026</v>
      </c>
      <c r="C82" s="72" t="s">
        <v>1337</v>
      </c>
      <c r="D82" s="71" t="s">
        <v>1338</v>
      </c>
      <c r="E82" s="71" t="s">
        <v>338</v>
      </c>
      <c r="F82" s="71" t="s">
        <v>337</v>
      </c>
      <c r="G82" s="71">
        <v>1</v>
      </c>
      <c r="H82" s="71" t="s">
        <v>338</v>
      </c>
      <c r="I82" s="71" t="s">
        <v>1339</v>
      </c>
      <c r="J82" s="71" t="s">
        <v>20</v>
      </c>
      <c r="K82" s="71" t="s">
        <v>1340</v>
      </c>
      <c r="L82" s="71" t="s">
        <v>44</v>
      </c>
      <c r="M82" s="71" t="s">
        <v>25</v>
      </c>
      <c r="N82" s="71" t="s">
        <v>1341</v>
      </c>
      <c r="O82" s="71">
        <v>190.02220069000001</v>
      </c>
      <c r="P82" s="71" t="s">
        <v>1342</v>
      </c>
      <c r="Q82" s="71" t="s">
        <v>36</v>
      </c>
      <c r="R82" s="71" t="s">
        <v>31</v>
      </c>
      <c r="S82" s="71"/>
      <c r="T82" s="71"/>
      <c r="U82" s="71"/>
      <c r="V82" s="71"/>
      <c r="W82" s="71"/>
      <c r="X82" s="71" t="s">
        <v>918</v>
      </c>
      <c r="Y82" s="71"/>
      <c r="Z82" s="71" t="s">
        <v>1343</v>
      </c>
      <c r="AA82" s="71" t="s">
        <v>770</v>
      </c>
      <c r="AB82" s="71"/>
      <c r="AC82" s="71" t="s">
        <v>21</v>
      </c>
      <c r="AD82" s="71"/>
      <c r="AE82" s="71"/>
      <c r="AF82" s="71"/>
      <c r="AG82" s="71"/>
      <c r="AH82" s="71" t="s">
        <v>1344</v>
      </c>
      <c r="AI82" s="71" t="s">
        <v>772</v>
      </c>
      <c r="AJ82" s="71">
        <v>8875436</v>
      </c>
      <c r="AK82" s="71" t="s">
        <v>102</v>
      </c>
      <c r="AL82" s="71">
        <v>731274</v>
      </c>
      <c r="AM82" s="71"/>
      <c r="AN82" s="71"/>
      <c r="AO82" s="71" t="s">
        <v>773</v>
      </c>
      <c r="AP82" s="71" t="s">
        <v>774</v>
      </c>
      <c r="AQ82" s="71" t="s">
        <v>312</v>
      </c>
      <c r="AR82" s="71" t="s">
        <v>802</v>
      </c>
      <c r="AS82" s="71" t="s">
        <v>312</v>
      </c>
      <c r="AT82" s="71"/>
      <c r="AU82" s="71"/>
      <c r="AV82"/>
      <c r="AW82"/>
      <c r="AX82"/>
      <c r="AY82"/>
      <c r="AZ82"/>
      <c r="BA82"/>
      <c r="BB82"/>
    </row>
    <row r="83" spans="1:54" ht="84" customHeight="1" x14ac:dyDescent="0.2">
      <c r="A83" s="71" t="s">
        <v>79</v>
      </c>
      <c r="B83" s="71">
        <v>2025</v>
      </c>
      <c r="C83" s="72" t="s">
        <v>1331</v>
      </c>
      <c r="D83" s="71" t="s">
        <v>1332</v>
      </c>
      <c r="E83" s="71"/>
      <c r="F83" s="71" t="s">
        <v>80</v>
      </c>
      <c r="G83" s="71"/>
      <c r="H83" s="71" t="s">
        <v>81</v>
      </c>
      <c r="I83" s="71" t="s">
        <v>1345</v>
      </c>
      <c r="J83" s="71" t="s">
        <v>20</v>
      </c>
      <c r="K83" s="71" t="s">
        <v>1089</v>
      </c>
      <c r="L83" s="71" t="s">
        <v>35</v>
      </c>
      <c r="M83" s="71" t="s">
        <v>25</v>
      </c>
      <c r="N83" s="71" t="s">
        <v>1346</v>
      </c>
      <c r="O83" s="71">
        <v>190.02318097</v>
      </c>
      <c r="P83" s="71" t="s">
        <v>767</v>
      </c>
      <c r="Q83" s="71" t="s">
        <v>26</v>
      </c>
      <c r="R83" s="71" t="s">
        <v>31</v>
      </c>
      <c r="S83" s="71"/>
      <c r="T83" s="71"/>
      <c r="U83" s="71"/>
      <c r="V83" s="71"/>
      <c r="W83" s="71"/>
      <c r="X83" s="71" t="s">
        <v>845</v>
      </c>
      <c r="Y83" s="71"/>
      <c r="Z83" s="71" t="s">
        <v>1335</v>
      </c>
      <c r="AA83" s="71" t="s">
        <v>770</v>
      </c>
      <c r="AB83" s="71"/>
      <c r="AC83" s="71" t="s">
        <v>21</v>
      </c>
      <c r="AD83" s="71"/>
      <c r="AE83" s="71"/>
      <c r="AF83" s="71"/>
      <c r="AG83" s="71"/>
      <c r="AH83" s="71" t="s">
        <v>1347</v>
      </c>
      <c r="AI83" s="71" t="s">
        <v>772</v>
      </c>
      <c r="AJ83" s="71">
        <v>9200598</v>
      </c>
      <c r="AK83" s="71" t="s">
        <v>28</v>
      </c>
      <c r="AL83" s="71">
        <v>803747</v>
      </c>
      <c r="AM83" s="71"/>
      <c r="AN83" s="71"/>
      <c r="AO83" s="71" t="s">
        <v>773</v>
      </c>
      <c r="AP83" s="71" t="s">
        <v>774</v>
      </c>
      <c r="AQ83" s="71" t="s">
        <v>1093</v>
      </c>
      <c r="AR83" s="71" t="s">
        <v>776</v>
      </c>
      <c r="AS83" s="71" t="s">
        <v>1094</v>
      </c>
      <c r="AT83" s="71" t="s">
        <v>82</v>
      </c>
      <c r="AU83" s="71"/>
    </row>
    <row r="84" spans="1:54" ht="204" customHeight="1" x14ac:dyDescent="0.2">
      <c r="A84" s="71" t="s">
        <v>1348</v>
      </c>
      <c r="B84" s="71">
        <v>2026</v>
      </c>
      <c r="C84" s="72" t="s">
        <v>1349</v>
      </c>
      <c r="D84" s="71" t="s">
        <v>1350</v>
      </c>
      <c r="E84" s="71" t="s">
        <v>1351</v>
      </c>
      <c r="F84" s="71" t="s">
        <v>422</v>
      </c>
      <c r="G84" s="71">
        <v>3</v>
      </c>
      <c r="H84" s="71" t="s">
        <v>1352</v>
      </c>
      <c r="I84" s="71" t="s">
        <v>1353</v>
      </c>
      <c r="J84" s="71" t="s">
        <v>211</v>
      </c>
      <c r="K84" s="71" t="s">
        <v>1354</v>
      </c>
      <c r="L84" s="71" t="s">
        <v>35</v>
      </c>
      <c r="M84" s="71" t="s">
        <v>25</v>
      </c>
      <c r="N84" s="71" t="s">
        <v>1355</v>
      </c>
      <c r="O84" s="71">
        <v>190.01290564000001</v>
      </c>
      <c r="P84" s="71" t="s">
        <v>1356</v>
      </c>
      <c r="Q84" s="71" t="s">
        <v>45</v>
      </c>
      <c r="R84" s="71" t="s">
        <v>31</v>
      </c>
      <c r="S84" s="71"/>
      <c r="T84" s="71"/>
      <c r="U84" s="71"/>
      <c r="V84" s="71"/>
      <c r="W84" s="71"/>
      <c r="X84" s="71" t="s">
        <v>312</v>
      </c>
      <c r="Y84" s="71"/>
      <c r="Z84" s="71" t="s">
        <v>873</v>
      </c>
      <c r="AA84" s="71" t="s">
        <v>770</v>
      </c>
      <c r="AB84" s="71"/>
      <c r="AC84" s="71" t="s">
        <v>21</v>
      </c>
      <c r="AD84" s="71" t="s">
        <v>797</v>
      </c>
      <c r="AE84" s="71"/>
      <c r="AF84" s="71"/>
      <c r="AG84" s="71"/>
      <c r="AH84" s="71" t="s">
        <v>1357</v>
      </c>
      <c r="AI84" s="71" t="s">
        <v>772</v>
      </c>
      <c r="AJ84" s="71">
        <v>8894217</v>
      </c>
      <c r="AK84" s="71" t="s">
        <v>116</v>
      </c>
      <c r="AL84" s="71">
        <v>765777</v>
      </c>
      <c r="AM84" s="71"/>
      <c r="AN84" s="71"/>
      <c r="AO84" s="71" t="s">
        <v>773</v>
      </c>
      <c r="AP84" s="71" t="s">
        <v>774</v>
      </c>
      <c r="AQ84" s="71" t="s">
        <v>1358</v>
      </c>
      <c r="AR84" s="71" t="s">
        <v>802</v>
      </c>
      <c r="AS84" s="71" t="s">
        <v>1359</v>
      </c>
      <c r="AT84" s="71"/>
      <c r="AU84" s="71"/>
    </row>
    <row r="85" spans="1:54" ht="120" customHeight="1" x14ac:dyDescent="0.2">
      <c r="A85" s="71" t="s">
        <v>105</v>
      </c>
      <c r="B85" s="71">
        <v>2026</v>
      </c>
      <c r="C85" s="72" t="s">
        <v>1360</v>
      </c>
      <c r="D85" s="71" t="s">
        <v>1361</v>
      </c>
      <c r="E85" s="71" t="s">
        <v>107</v>
      </c>
      <c r="F85" s="71" t="s">
        <v>106</v>
      </c>
      <c r="G85" s="71">
        <v>1</v>
      </c>
      <c r="H85" s="71" t="s">
        <v>107</v>
      </c>
      <c r="I85" s="71" t="s">
        <v>1362</v>
      </c>
      <c r="J85" s="71" t="s">
        <v>20</v>
      </c>
      <c r="K85" s="71" t="s">
        <v>1340</v>
      </c>
      <c r="L85" s="71" t="s">
        <v>35</v>
      </c>
      <c r="M85" s="71" t="s">
        <v>25</v>
      </c>
      <c r="N85" s="71" t="s">
        <v>1363</v>
      </c>
      <c r="O85" s="71">
        <v>190.02295942000001</v>
      </c>
      <c r="P85" s="71" t="s">
        <v>767</v>
      </c>
      <c r="Q85" s="71" t="s">
        <v>36</v>
      </c>
      <c r="R85" s="71" t="s">
        <v>31</v>
      </c>
      <c r="S85" s="71"/>
      <c r="T85" s="71"/>
      <c r="U85" s="71"/>
      <c r="V85" s="71"/>
      <c r="W85" s="71"/>
      <c r="X85" s="71" t="s">
        <v>312</v>
      </c>
      <c r="Y85" s="71"/>
      <c r="Z85" s="71" t="s">
        <v>1343</v>
      </c>
      <c r="AA85" s="71" t="s">
        <v>770</v>
      </c>
      <c r="AB85" s="71"/>
      <c r="AC85" s="71" t="s">
        <v>21</v>
      </c>
      <c r="AD85" s="71"/>
      <c r="AE85" s="71"/>
      <c r="AF85" s="71"/>
      <c r="AG85" s="71"/>
      <c r="AH85" s="71" t="s">
        <v>1364</v>
      </c>
      <c r="AI85" s="71" t="s">
        <v>772</v>
      </c>
      <c r="AJ85" s="71">
        <v>8845185</v>
      </c>
      <c r="AK85" s="71" t="s">
        <v>109</v>
      </c>
      <c r="AL85" s="71">
        <v>698568</v>
      </c>
      <c r="AM85" s="71"/>
      <c r="AN85" s="71"/>
      <c r="AO85" s="71" t="s">
        <v>773</v>
      </c>
      <c r="AP85" s="71" t="s">
        <v>908</v>
      </c>
      <c r="AQ85" s="71" t="s">
        <v>926</v>
      </c>
      <c r="AR85" s="71" t="s">
        <v>802</v>
      </c>
      <c r="AS85" s="71" t="s">
        <v>884</v>
      </c>
      <c r="AT85" s="71"/>
      <c r="AU85" s="71"/>
    </row>
    <row r="86" spans="1:54" ht="288" customHeight="1" x14ac:dyDescent="0.2">
      <c r="A86" s="71" t="s">
        <v>221</v>
      </c>
      <c r="B86" s="71">
        <v>2026</v>
      </c>
      <c r="C86" s="72" t="s">
        <v>1365</v>
      </c>
      <c r="D86" s="71" t="s">
        <v>1366</v>
      </c>
      <c r="E86" s="71" t="s">
        <v>226</v>
      </c>
      <c r="F86" s="71" t="s">
        <v>222</v>
      </c>
      <c r="G86" s="71">
        <v>2</v>
      </c>
      <c r="H86" s="71" t="s">
        <v>223</v>
      </c>
      <c r="I86" s="71" t="s">
        <v>1367</v>
      </c>
      <c r="J86" s="71" t="s">
        <v>20</v>
      </c>
      <c r="K86" s="71" t="s">
        <v>1305</v>
      </c>
      <c r="L86" s="71" t="s">
        <v>35</v>
      </c>
      <c r="M86" s="71" t="s">
        <v>25</v>
      </c>
      <c r="N86" s="71" t="s">
        <v>1368</v>
      </c>
      <c r="O86" s="71">
        <v>190.00130788000001</v>
      </c>
      <c r="P86" s="71" t="s">
        <v>767</v>
      </c>
      <c r="Q86" s="71" t="s">
        <v>45</v>
      </c>
      <c r="R86" s="71" t="s">
        <v>31</v>
      </c>
      <c r="S86" s="71"/>
      <c r="T86" s="71"/>
      <c r="U86" s="71"/>
      <c r="V86" s="71"/>
      <c r="W86" s="71"/>
      <c r="X86" s="71" t="s">
        <v>918</v>
      </c>
      <c r="Y86" s="71"/>
      <c r="Z86" s="71" t="s">
        <v>846</v>
      </c>
      <c r="AA86" s="71" t="s">
        <v>770</v>
      </c>
      <c r="AB86" s="71"/>
      <c r="AC86" s="71" t="s">
        <v>21</v>
      </c>
      <c r="AD86" s="71" t="s">
        <v>797</v>
      </c>
      <c r="AE86" s="71"/>
      <c r="AF86" s="71"/>
      <c r="AG86" s="71"/>
      <c r="AH86" s="71" t="s">
        <v>1369</v>
      </c>
      <c r="AI86" s="71" t="s">
        <v>772</v>
      </c>
      <c r="AJ86" s="71">
        <v>8773164</v>
      </c>
      <c r="AK86" s="71" t="s">
        <v>224</v>
      </c>
      <c r="AL86" s="71">
        <v>727212</v>
      </c>
      <c r="AM86" s="71"/>
      <c r="AN86" s="71"/>
      <c r="AO86" s="71" t="s">
        <v>773</v>
      </c>
      <c r="AP86" s="71" t="s">
        <v>774</v>
      </c>
      <c r="AQ86" s="71" t="s">
        <v>312</v>
      </c>
      <c r="AR86" s="71" t="s">
        <v>802</v>
      </c>
      <c r="AS86" s="71" t="s">
        <v>312</v>
      </c>
      <c r="AT86" s="71"/>
      <c r="AU86" s="71"/>
    </row>
    <row r="87" spans="1:54" ht="360" hidden="1" customHeight="1" x14ac:dyDescent="0.2">
      <c r="A87" s="71" t="s">
        <v>1370</v>
      </c>
      <c r="B87" s="71">
        <v>2025</v>
      </c>
      <c r="C87" s="71" t="s">
        <v>1057</v>
      </c>
      <c r="D87" s="71" t="s">
        <v>1058</v>
      </c>
      <c r="E87" s="71" t="s">
        <v>1059</v>
      </c>
      <c r="F87" s="71" t="s">
        <v>287</v>
      </c>
      <c r="G87" s="71">
        <v>3</v>
      </c>
      <c r="H87" s="71" t="s">
        <v>1059</v>
      </c>
      <c r="I87" s="71" t="s">
        <v>1371</v>
      </c>
      <c r="J87" s="71" t="s">
        <v>20</v>
      </c>
      <c r="K87" s="71" t="s">
        <v>1061</v>
      </c>
      <c r="L87" s="71" t="s">
        <v>131</v>
      </c>
      <c r="M87" s="71" t="s">
        <v>25</v>
      </c>
      <c r="N87" s="71" t="s">
        <v>1372</v>
      </c>
      <c r="O87" s="71">
        <v>190.00955461000001</v>
      </c>
      <c r="P87" s="71" t="s">
        <v>809</v>
      </c>
      <c r="Q87" s="71" t="s">
        <v>132</v>
      </c>
      <c r="R87" s="71" t="s">
        <v>148</v>
      </c>
      <c r="S87" s="71"/>
      <c r="T87" s="71"/>
      <c r="U87" s="71"/>
      <c r="V87" s="71"/>
      <c r="W87" s="71"/>
      <c r="X87" s="71" t="s">
        <v>795</v>
      </c>
      <c r="Y87" s="71"/>
      <c r="Z87" s="71" t="s">
        <v>796</v>
      </c>
      <c r="AA87" s="71" t="s">
        <v>770</v>
      </c>
      <c r="AB87" s="71"/>
      <c r="AC87" s="71" t="s">
        <v>21</v>
      </c>
      <c r="AD87" s="71" t="s">
        <v>797</v>
      </c>
      <c r="AE87" s="71"/>
      <c r="AF87" s="71"/>
      <c r="AG87" s="71"/>
      <c r="AH87" s="71" t="s">
        <v>1373</v>
      </c>
      <c r="AI87" s="71" t="s">
        <v>772</v>
      </c>
      <c r="AJ87" s="71">
        <v>9206052</v>
      </c>
      <c r="AK87" s="71" t="s">
        <v>28</v>
      </c>
      <c r="AL87" s="71">
        <v>804830</v>
      </c>
      <c r="AM87" s="71"/>
      <c r="AN87" s="71" t="s">
        <v>1374</v>
      </c>
      <c r="AO87" s="71" t="s">
        <v>800</v>
      </c>
      <c r="AP87" s="71" t="s">
        <v>774</v>
      </c>
      <c r="AQ87" s="71" t="s">
        <v>801</v>
      </c>
      <c r="AR87" s="71" t="s">
        <v>802</v>
      </c>
      <c r="AS87" s="71" t="s">
        <v>801</v>
      </c>
      <c r="AT87" s="71"/>
      <c r="AU87" s="71" t="s">
        <v>862</v>
      </c>
      <c r="AV87">
        <v>35</v>
      </c>
      <c r="AW87">
        <f>7*35</f>
        <v>245</v>
      </c>
    </row>
    <row r="88" spans="1:54" ht="15" customHeight="1" x14ac:dyDescent="0.2">
      <c r="A88" s="71" t="s">
        <v>563</v>
      </c>
      <c r="B88" s="71">
        <v>2026</v>
      </c>
      <c r="C88" s="72" t="s">
        <v>1375</v>
      </c>
      <c r="D88" s="71" t="s">
        <v>1376</v>
      </c>
      <c r="E88" s="71" t="s">
        <v>565</v>
      </c>
      <c r="F88" s="71" t="s">
        <v>564</v>
      </c>
      <c r="G88" s="71">
        <v>3</v>
      </c>
      <c r="H88" s="71" t="s">
        <v>565</v>
      </c>
      <c r="I88" s="71" t="s">
        <v>1377</v>
      </c>
      <c r="J88" s="71" t="s">
        <v>20</v>
      </c>
      <c r="K88" s="71" t="s">
        <v>1378</v>
      </c>
      <c r="L88" s="71" t="s">
        <v>35</v>
      </c>
      <c r="M88" s="71" t="s">
        <v>25</v>
      </c>
      <c r="N88" s="71" t="s">
        <v>1379</v>
      </c>
      <c r="O88" s="71">
        <v>190.01187643</v>
      </c>
      <c r="P88" s="71" t="s">
        <v>1380</v>
      </c>
      <c r="Q88" s="71" t="s">
        <v>312</v>
      </c>
      <c r="R88" s="71" t="s">
        <v>31</v>
      </c>
      <c r="S88" s="71"/>
      <c r="T88" s="71"/>
      <c r="U88" s="71"/>
      <c r="V88" s="71"/>
      <c r="W88" s="71"/>
      <c r="X88" s="71"/>
      <c r="Y88" s="71"/>
      <c r="Z88" s="71"/>
      <c r="AA88" s="71" t="s">
        <v>770</v>
      </c>
      <c r="AB88" s="71"/>
      <c r="AC88" s="71" t="s">
        <v>21</v>
      </c>
      <c r="AD88" s="71" t="s">
        <v>797</v>
      </c>
      <c r="AE88" s="71"/>
      <c r="AF88" s="71"/>
      <c r="AG88" s="71"/>
      <c r="AH88" s="71" t="s">
        <v>1381</v>
      </c>
      <c r="AI88" s="71" t="s">
        <v>772</v>
      </c>
      <c r="AJ88" s="71"/>
      <c r="AK88" s="71"/>
      <c r="AL88" s="71"/>
      <c r="AM88" s="71"/>
      <c r="AN88" s="71"/>
      <c r="AO88" s="71" t="s">
        <v>773</v>
      </c>
      <c r="AP88" s="71" t="s">
        <v>774</v>
      </c>
      <c r="AQ88" s="71" t="s">
        <v>918</v>
      </c>
      <c r="AR88" s="71" t="s">
        <v>802</v>
      </c>
      <c r="AS88" s="71" t="s">
        <v>918</v>
      </c>
      <c r="AT88" s="71"/>
      <c r="AU88" s="71"/>
    </row>
    <row r="89" spans="1:54" ht="192" hidden="1" customHeight="1" x14ac:dyDescent="0.2">
      <c r="A89" s="71" t="s">
        <v>154</v>
      </c>
      <c r="B89" s="71">
        <v>2025</v>
      </c>
      <c r="C89" s="72" t="s">
        <v>1382</v>
      </c>
      <c r="D89" s="71" t="s">
        <v>1383</v>
      </c>
      <c r="E89" s="71" t="s">
        <v>156</v>
      </c>
      <c r="F89" s="71" t="s">
        <v>155</v>
      </c>
      <c r="G89" s="71">
        <v>3</v>
      </c>
      <c r="H89" s="71" t="s">
        <v>156</v>
      </c>
      <c r="I89" s="71" t="s">
        <v>1384</v>
      </c>
      <c r="J89" s="71" t="s">
        <v>20</v>
      </c>
      <c r="K89" s="71" t="s">
        <v>1385</v>
      </c>
      <c r="L89" s="71" t="s">
        <v>35</v>
      </c>
      <c r="M89" s="71" t="s">
        <v>25</v>
      </c>
      <c r="N89" s="71" t="s">
        <v>1386</v>
      </c>
      <c r="O89" s="71">
        <v>190.01225135999999</v>
      </c>
      <c r="P89" s="71" t="s">
        <v>1387</v>
      </c>
      <c r="Q89" s="71" t="s">
        <v>132</v>
      </c>
      <c r="R89" s="71" t="s">
        <v>148</v>
      </c>
      <c r="S89" s="71"/>
      <c r="T89" s="71"/>
      <c r="U89" s="71"/>
      <c r="V89" s="71"/>
      <c r="W89" s="71"/>
      <c r="X89" s="71" t="s">
        <v>795</v>
      </c>
      <c r="Y89" s="71"/>
      <c r="Z89" s="71" t="s">
        <v>1388</v>
      </c>
      <c r="AA89" s="71" t="s">
        <v>770</v>
      </c>
      <c r="AB89" s="71"/>
      <c r="AC89" s="71" t="s">
        <v>21</v>
      </c>
      <c r="AD89" s="71" t="s">
        <v>797</v>
      </c>
      <c r="AE89" s="71"/>
      <c r="AF89" s="71"/>
      <c r="AG89" s="71"/>
      <c r="AH89" s="71" t="s">
        <v>1389</v>
      </c>
      <c r="AI89" s="71" t="s">
        <v>772</v>
      </c>
      <c r="AJ89" s="71">
        <v>9154452</v>
      </c>
      <c r="AK89" s="71" t="s">
        <v>157</v>
      </c>
      <c r="AL89" s="71">
        <v>785494</v>
      </c>
      <c r="AM89" s="71"/>
      <c r="AN89" s="71" t="s">
        <v>811</v>
      </c>
      <c r="AO89" s="71" t="s">
        <v>800</v>
      </c>
      <c r="AP89" s="71" t="s">
        <v>774</v>
      </c>
      <c r="AQ89" s="71" t="s">
        <v>801</v>
      </c>
      <c r="AR89" s="71" t="s">
        <v>802</v>
      </c>
      <c r="AS89" s="71" t="s">
        <v>801</v>
      </c>
      <c r="AT89" s="71"/>
      <c r="AU89" s="71" t="s">
        <v>862</v>
      </c>
      <c r="AV89">
        <v>70</v>
      </c>
      <c r="AW89" s="178" t="s">
        <v>1390</v>
      </c>
    </row>
    <row r="90" spans="1:54" ht="192" customHeight="1" x14ac:dyDescent="0.2">
      <c r="A90" s="71" t="s">
        <v>363</v>
      </c>
      <c r="B90" s="71">
        <v>2026</v>
      </c>
      <c r="C90" s="72" t="s">
        <v>1391</v>
      </c>
      <c r="D90" s="71" t="s">
        <v>1392</v>
      </c>
      <c r="E90" s="71" t="s">
        <v>367</v>
      </c>
      <c r="F90" s="71" t="s">
        <v>364</v>
      </c>
      <c r="G90" s="71">
        <v>2</v>
      </c>
      <c r="H90" s="71" t="s">
        <v>365</v>
      </c>
      <c r="I90" s="71" t="s">
        <v>1393</v>
      </c>
      <c r="J90" s="71" t="s">
        <v>211</v>
      </c>
      <c r="K90" s="71" t="s">
        <v>97</v>
      </c>
      <c r="L90" s="71" t="s">
        <v>24</v>
      </c>
      <c r="M90" s="71" t="s">
        <v>25</v>
      </c>
      <c r="N90" s="71" t="s">
        <v>1394</v>
      </c>
      <c r="O90" s="71">
        <v>190.00037128</v>
      </c>
      <c r="P90" s="71" t="s">
        <v>1395</v>
      </c>
      <c r="Q90" s="71" t="s">
        <v>45</v>
      </c>
      <c r="R90" s="71" t="s">
        <v>31</v>
      </c>
      <c r="S90" s="71"/>
      <c r="T90" s="71"/>
      <c r="U90" s="71"/>
      <c r="V90" s="71"/>
      <c r="W90" s="71"/>
      <c r="X90" s="71"/>
      <c r="Y90" s="71"/>
      <c r="Z90" s="71"/>
      <c r="AA90" s="71" t="s">
        <v>770</v>
      </c>
      <c r="AB90" s="71"/>
      <c r="AC90" s="71" t="s">
        <v>21</v>
      </c>
      <c r="AD90" s="71" t="s">
        <v>797</v>
      </c>
      <c r="AE90" s="71"/>
      <c r="AF90" s="71"/>
      <c r="AG90" s="71"/>
      <c r="AH90" s="71" t="s">
        <v>1396</v>
      </c>
      <c r="AI90" s="71" t="s">
        <v>772</v>
      </c>
      <c r="AJ90" s="71">
        <v>8589651</v>
      </c>
      <c r="AK90" s="71" t="s">
        <v>366</v>
      </c>
      <c r="AL90" s="71">
        <v>998978</v>
      </c>
      <c r="AM90" s="71"/>
      <c r="AN90" s="71"/>
      <c r="AO90" s="71" t="s">
        <v>773</v>
      </c>
      <c r="AP90" s="71" t="s">
        <v>774</v>
      </c>
      <c r="AQ90" s="71" t="s">
        <v>1397</v>
      </c>
      <c r="AR90" s="71" t="s">
        <v>802</v>
      </c>
      <c r="AS90" s="71" t="s">
        <v>312</v>
      </c>
      <c r="AT90" s="71"/>
      <c r="AU90" s="71"/>
    </row>
    <row r="91" spans="1:54" ht="408" hidden="1" customHeight="1" x14ac:dyDescent="0.2">
      <c r="A91" s="71" t="s">
        <v>158</v>
      </c>
      <c r="B91" s="71">
        <v>2025</v>
      </c>
      <c r="C91" s="72" t="s">
        <v>1398</v>
      </c>
      <c r="D91" s="71" t="s">
        <v>1399</v>
      </c>
      <c r="E91" s="71" t="s">
        <v>159</v>
      </c>
      <c r="F91" s="71" t="s">
        <v>155</v>
      </c>
      <c r="G91" s="71">
        <v>3</v>
      </c>
      <c r="H91" s="71" t="s">
        <v>159</v>
      </c>
      <c r="I91" s="71" t="s">
        <v>1400</v>
      </c>
      <c r="J91" s="71" t="s">
        <v>20</v>
      </c>
      <c r="K91" s="71" t="s">
        <v>1385</v>
      </c>
      <c r="L91" s="71" t="s">
        <v>35</v>
      </c>
      <c r="M91" s="71" t="s">
        <v>25</v>
      </c>
      <c r="N91" s="71" t="s">
        <v>1401</v>
      </c>
      <c r="O91" s="71">
        <v>190.01225066999999</v>
      </c>
      <c r="P91" s="71" t="s">
        <v>1402</v>
      </c>
      <c r="Q91" s="71" t="s">
        <v>132</v>
      </c>
      <c r="R91" s="71" t="s">
        <v>148</v>
      </c>
      <c r="S91" s="71"/>
      <c r="T91" s="71"/>
      <c r="U91" s="71"/>
      <c r="V91" s="71"/>
      <c r="W91" s="71"/>
      <c r="X91" s="71" t="s">
        <v>795</v>
      </c>
      <c r="Y91" s="71"/>
      <c r="Z91" s="71" t="s">
        <v>1388</v>
      </c>
      <c r="AA91" s="71" t="s">
        <v>770</v>
      </c>
      <c r="AB91" s="71"/>
      <c r="AC91" s="71" t="s">
        <v>21</v>
      </c>
      <c r="AD91" s="71" t="s">
        <v>797</v>
      </c>
      <c r="AE91" s="71"/>
      <c r="AF91" s="71"/>
      <c r="AG91" s="71"/>
      <c r="AH91" s="71" t="s">
        <v>1403</v>
      </c>
      <c r="AI91" s="71" t="s">
        <v>772</v>
      </c>
      <c r="AJ91" s="71">
        <v>9154627</v>
      </c>
      <c r="AK91" s="71" t="s">
        <v>157</v>
      </c>
      <c r="AL91" s="71">
        <v>785397</v>
      </c>
      <c r="AM91" s="71"/>
      <c r="AN91" s="71" t="s">
        <v>1374</v>
      </c>
      <c r="AO91" s="71" t="s">
        <v>800</v>
      </c>
      <c r="AP91" s="71" t="s">
        <v>774</v>
      </c>
      <c r="AQ91" s="71" t="s">
        <v>801</v>
      </c>
      <c r="AR91" s="71" t="s">
        <v>802</v>
      </c>
      <c r="AS91" s="71" t="s">
        <v>801</v>
      </c>
      <c r="AT91" s="71"/>
      <c r="AU91" s="71"/>
      <c r="AV91" s="178">
        <v>70</v>
      </c>
      <c r="AW91">
        <v>810</v>
      </c>
      <c r="AY91">
        <v>35</v>
      </c>
      <c r="AZ91">
        <v>230</v>
      </c>
      <c r="BA91" s="179"/>
    </row>
    <row r="92" spans="1:54" ht="84" customHeight="1" x14ac:dyDescent="0.2">
      <c r="A92" s="71" t="s">
        <v>1404</v>
      </c>
      <c r="B92" s="71">
        <v>2025</v>
      </c>
      <c r="C92" s="72" t="s">
        <v>1405</v>
      </c>
      <c r="D92" s="71" t="s">
        <v>1406</v>
      </c>
      <c r="E92" s="71" t="s">
        <v>1407</v>
      </c>
      <c r="F92" s="71" t="s">
        <v>328</v>
      </c>
      <c r="G92" s="71">
        <v>3</v>
      </c>
      <c r="H92" s="71" t="s">
        <v>1408</v>
      </c>
      <c r="I92" s="71" t="s">
        <v>1409</v>
      </c>
      <c r="J92" s="71" t="s">
        <v>252</v>
      </c>
      <c r="K92" s="71" t="s">
        <v>1410</v>
      </c>
      <c r="L92" s="71" t="s">
        <v>44</v>
      </c>
      <c r="M92" s="71" t="s">
        <v>25</v>
      </c>
      <c r="N92" s="71" t="s">
        <v>1411</v>
      </c>
      <c r="O92" s="71">
        <v>190.02734679</v>
      </c>
      <c r="P92" s="71" t="s">
        <v>1412</v>
      </c>
      <c r="Q92" s="71" t="s">
        <v>45</v>
      </c>
      <c r="R92" s="71" t="s">
        <v>40</v>
      </c>
      <c r="S92" s="71"/>
      <c r="T92" s="71"/>
      <c r="U92" s="71"/>
      <c r="V92" s="71"/>
      <c r="W92" s="71"/>
      <c r="X92" s="71" t="s">
        <v>312</v>
      </c>
      <c r="Y92" s="71"/>
      <c r="Z92" s="71" t="s">
        <v>846</v>
      </c>
      <c r="AA92" s="71" t="s">
        <v>770</v>
      </c>
      <c r="AB92" s="71"/>
      <c r="AC92" s="71" t="s">
        <v>21</v>
      </c>
      <c r="AD92" s="71"/>
      <c r="AE92" s="71"/>
      <c r="AF92" s="71"/>
      <c r="AG92" s="71"/>
      <c r="AH92" s="71" t="s">
        <v>1413</v>
      </c>
      <c r="AI92" s="71" t="s">
        <v>772</v>
      </c>
      <c r="AJ92" s="71">
        <v>8732887</v>
      </c>
      <c r="AK92" s="71" t="s">
        <v>539</v>
      </c>
      <c r="AL92" s="71">
        <v>816179</v>
      </c>
      <c r="AM92" s="71"/>
      <c r="AN92" s="71"/>
      <c r="AO92" s="71" t="s">
        <v>773</v>
      </c>
      <c r="AP92" s="71" t="s">
        <v>908</v>
      </c>
      <c r="AQ92" s="71" t="s">
        <v>775</v>
      </c>
      <c r="AR92" s="71" t="s">
        <v>788</v>
      </c>
      <c r="AS92" s="71" t="s">
        <v>777</v>
      </c>
      <c r="AT92" s="71"/>
      <c r="AU92" s="71"/>
    </row>
    <row r="93" spans="1:54" ht="270.75" hidden="1" customHeight="1" x14ac:dyDescent="0.2">
      <c r="A93" s="71" t="s">
        <v>218</v>
      </c>
      <c r="B93" s="71">
        <v>2025</v>
      </c>
      <c r="C93" s="72" t="s">
        <v>1414</v>
      </c>
      <c r="D93" s="71" t="s">
        <v>1415</v>
      </c>
      <c r="E93" s="71" t="s">
        <v>219</v>
      </c>
      <c r="F93" s="71" t="s">
        <v>155</v>
      </c>
      <c r="G93" s="71">
        <v>3</v>
      </c>
      <c r="H93" s="71" t="s">
        <v>219</v>
      </c>
      <c r="I93" s="71" t="s">
        <v>1416</v>
      </c>
      <c r="J93" s="71" t="s">
        <v>20</v>
      </c>
      <c r="K93" s="71" t="s">
        <v>1000</v>
      </c>
      <c r="L93" s="71" t="s">
        <v>24</v>
      </c>
      <c r="M93" s="71" t="s">
        <v>25</v>
      </c>
      <c r="N93" s="71" t="s">
        <v>1417</v>
      </c>
      <c r="O93" s="71">
        <v>190.00564147</v>
      </c>
      <c r="P93" s="71" t="s">
        <v>1418</v>
      </c>
      <c r="Q93" s="71" t="s">
        <v>132</v>
      </c>
      <c r="R93" s="71" t="s">
        <v>220</v>
      </c>
      <c r="S93" s="71"/>
      <c r="T93" s="71"/>
      <c r="U93" s="71"/>
      <c r="V93" s="71"/>
      <c r="W93" s="71"/>
      <c r="X93" s="71" t="s">
        <v>795</v>
      </c>
      <c r="Y93" s="71"/>
      <c r="Z93" s="71" t="s">
        <v>1419</v>
      </c>
      <c r="AA93" s="71" t="s">
        <v>770</v>
      </c>
      <c r="AB93" s="71"/>
      <c r="AC93" s="71" t="s">
        <v>21</v>
      </c>
      <c r="AD93" s="71" t="s">
        <v>797</v>
      </c>
      <c r="AE93" s="71"/>
      <c r="AF93" s="71"/>
      <c r="AG93" s="71"/>
      <c r="AH93" s="71" t="s">
        <v>1420</v>
      </c>
      <c r="AI93" s="71" t="s">
        <v>772</v>
      </c>
      <c r="AJ93" s="71">
        <v>9156432</v>
      </c>
      <c r="AK93" s="71" t="s">
        <v>157</v>
      </c>
      <c r="AL93" s="71">
        <v>784166</v>
      </c>
      <c r="AM93" s="71"/>
      <c r="AN93" s="71" t="s">
        <v>1374</v>
      </c>
      <c r="AO93" s="71" t="s">
        <v>800</v>
      </c>
      <c r="AP93" s="71" t="s">
        <v>774</v>
      </c>
      <c r="AQ93" s="71" t="s">
        <v>801</v>
      </c>
      <c r="AR93" s="71" t="s">
        <v>802</v>
      </c>
      <c r="AS93" s="71" t="s">
        <v>801</v>
      </c>
      <c r="AT93" s="71"/>
      <c r="AU93" s="71"/>
      <c r="AV93" t="s">
        <v>803</v>
      </c>
      <c r="AW93">
        <v>350</v>
      </c>
    </row>
    <row r="94" spans="1:54" ht="324" customHeight="1" x14ac:dyDescent="0.2">
      <c r="A94" s="71" t="s">
        <v>1421</v>
      </c>
      <c r="B94" s="71">
        <v>2025</v>
      </c>
      <c r="C94" s="71" t="s">
        <v>1422</v>
      </c>
      <c r="D94" s="71" t="s">
        <v>1423</v>
      </c>
      <c r="E94" s="71" t="s">
        <v>1424</v>
      </c>
      <c r="F94" s="71" t="s">
        <v>1425</v>
      </c>
      <c r="G94" s="71">
        <v>2</v>
      </c>
      <c r="H94" s="71" t="s">
        <v>1426</v>
      </c>
      <c r="I94" s="71" t="s">
        <v>1427</v>
      </c>
      <c r="J94" s="71" t="s">
        <v>20</v>
      </c>
      <c r="K94" s="71" t="s">
        <v>1428</v>
      </c>
      <c r="L94" s="71" t="s">
        <v>44</v>
      </c>
      <c r="M94" s="71" t="s">
        <v>25</v>
      </c>
      <c r="N94" s="71" t="s">
        <v>1429</v>
      </c>
      <c r="O94" s="71">
        <v>190.01303970999999</v>
      </c>
      <c r="P94" s="71" t="s">
        <v>1430</v>
      </c>
      <c r="Q94" s="71" t="s">
        <v>45</v>
      </c>
      <c r="R94" s="71" t="s">
        <v>31</v>
      </c>
      <c r="S94" s="71"/>
      <c r="T94" s="71" t="s">
        <v>1431</v>
      </c>
      <c r="U94" s="71" t="s">
        <v>1432</v>
      </c>
      <c r="V94" s="71"/>
      <c r="W94" s="71"/>
      <c r="X94" s="71" t="s">
        <v>1433</v>
      </c>
      <c r="Y94" s="71"/>
      <c r="Z94" s="71" t="s">
        <v>948</v>
      </c>
      <c r="AA94" s="71" t="s">
        <v>874</v>
      </c>
      <c r="AB94" s="71"/>
      <c r="AC94" s="71" t="s">
        <v>21</v>
      </c>
      <c r="AD94" s="71" t="s">
        <v>797</v>
      </c>
      <c r="AE94" s="71"/>
      <c r="AF94" s="71"/>
      <c r="AG94" s="71"/>
      <c r="AH94" s="71" t="s">
        <v>1434</v>
      </c>
      <c r="AI94" s="71" t="s">
        <v>772</v>
      </c>
      <c r="AJ94" s="71">
        <v>9297006</v>
      </c>
      <c r="AK94" s="71" t="s">
        <v>360</v>
      </c>
      <c r="AL94" s="71">
        <v>895699</v>
      </c>
      <c r="AM94" s="71"/>
      <c r="AN94" s="71"/>
      <c r="AO94" s="71" t="s">
        <v>773</v>
      </c>
      <c r="AP94" s="71" t="s">
        <v>774</v>
      </c>
      <c r="AQ94" s="71" t="s">
        <v>1435</v>
      </c>
      <c r="AR94" s="71" t="s">
        <v>802</v>
      </c>
      <c r="AS94" s="71" t="s">
        <v>1435</v>
      </c>
      <c r="AT94" s="71"/>
      <c r="AU94" s="71"/>
    </row>
    <row r="95" spans="1:54" ht="384" customHeight="1" x14ac:dyDescent="0.2">
      <c r="A95" s="71" t="s">
        <v>261</v>
      </c>
      <c r="B95" s="71">
        <v>2025</v>
      </c>
      <c r="C95" s="71" t="s">
        <v>1436</v>
      </c>
      <c r="D95" s="71" t="s">
        <v>1437</v>
      </c>
      <c r="E95" s="71" t="s">
        <v>264</v>
      </c>
      <c r="F95" s="71" t="s">
        <v>83</v>
      </c>
      <c r="G95" s="71">
        <v>3</v>
      </c>
      <c r="H95" s="71" t="s">
        <v>262</v>
      </c>
      <c r="I95" s="71" t="s">
        <v>1438</v>
      </c>
      <c r="J95" s="71" t="s">
        <v>20</v>
      </c>
      <c r="K95" s="71" t="s">
        <v>842</v>
      </c>
      <c r="L95" s="71" t="s">
        <v>35</v>
      </c>
      <c r="M95" s="71" t="s">
        <v>25</v>
      </c>
      <c r="N95" s="71" t="s">
        <v>1439</v>
      </c>
      <c r="O95" s="71">
        <v>190.02734641999999</v>
      </c>
      <c r="P95" s="71" t="s">
        <v>767</v>
      </c>
      <c r="Q95" s="71" t="s">
        <v>26</v>
      </c>
      <c r="R95" s="71" t="s">
        <v>263</v>
      </c>
      <c r="S95" s="71"/>
      <c r="T95" s="71"/>
      <c r="U95" s="71"/>
      <c r="V95" s="71"/>
      <c r="W95" s="71"/>
      <c r="X95" s="71" t="s">
        <v>768</v>
      </c>
      <c r="Y95" s="71"/>
      <c r="Z95" s="71" t="s">
        <v>1440</v>
      </c>
      <c r="AA95" s="71" t="s">
        <v>770</v>
      </c>
      <c r="AB95" s="71"/>
      <c r="AC95" s="71" t="s">
        <v>21</v>
      </c>
      <c r="AD95" s="71"/>
      <c r="AE95" s="71"/>
      <c r="AF95" s="71"/>
      <c r="AG95" s="71"/>
      <c r="AH95" s="71" t="s">
        <v>1441</v>
      </c>
      <c r="AI95" s="71" t="s">
        <v>772</v>
      </c>
      <c r="AJ95" s="71">
        <v>9204342</v>
      </c>
      <c r="AK95" s="71" t="s">
        <v>28</v>
      </c>
      <c r="AL95" s="71">
        <v>807636</v>
      </c>
      <c r="AM95" s="71"/>
      <c r="AN95" s="71"/>
      <c r="AO95" s="71" t="s">
        <v>773</v>
      </c>
      <c r="AP95" s="71" t="s">
        <v>774</v>
      </c>
      <c r="AQ95" s="71" t="s">
        <v>876</v>
      </c>
      <c r="AR95" s="71" t="s">
        <v>802</v>
      </c>
      <c r="AS95" s="71" t="s">
        <v>876</v>
      </c>
      <c r="AT95" s="71"/>
      <c r="AU95" s="71"/>
    </row>
    <row r="96" spans="1:54" ht="252" customHeight="1" x14ac:dyDescent="0.2">
      <c r="A96" s="71" t="s">
        <v>1442</v>
      </c>
      <c r="B96" s="71">
        <v>2025</v>
      </c>
      <c r="C96" s="72" t="s">
        <v>1331</v>
      </c>
      <c r="D96" s="71" t="s">
        <v>1332</v>
      </c>
      <c r="E96" s="71"/>
      <c r="F96" s="71" t="s">
        <v>287</v>
      </c>
      <c r="G96" s="71"/>
      <c r="H96" s="71" t="s">
        <v>1443</v>
      </c>
      <c r="I96" s="71" t="s">
        <v>1444</v>
      </c>
      <c r="J96" s="71" t="s">
        <v>20</v>
      </c>
      <c r="K96" s="71" t="s">
        <v>1089</v>
      </c>
      <c r="L96" s="71" t="s">
        <v>44</v>
      </c>
      <c r="M96" s="71" t="s">
        <v>25</v>
      </c>
      <c r="N96" s="71" t="s">
        <v>1445</v>
      </c>
      <c r="O96" s="71">
        <v>190.02318020000001</v>
      </c>
      <c r="P96" s="71" t="s">
        <v>767</v>
      </c>
      <c r="Q96" s="71" t="s">
        <v>26</v>
      </c>
      <c r="R96" s="71" t="s">
        <v>31</v>
      </c>
      <c r="S96" s="71"/>
      <c r="T96" s="71"/>
      <c r="U96" s="71"/>
      <c r="V96" s="71"/>
      <c r="W96" s="71"/>
      <c r="X96" s="71" t="s">
        <v>845</v>
      </c>
      <c r="Y96" s="71"/>
      <c r="Z96" s="71" t="s">
        <v>1335</v>
      </c>
      <c r="AA96" s="71" t="s">
        <v>770</v>
      </c>
      <c r="AB96" s="71"/>
      <c r="AC96" s="71" t="s">
        <v>21</v>
      </c>
      <c r="AD96" s="71"/>
      <c r="AE96" s="71"/>
      <c r="AF96" s="71"/>
      <c r="AG96" s="71"/>
      <c r="AH96" s="71" t="s">
        <v>1446</v>
      </c>
      <c r="AI96" s="71" t="s">
        <v>772</v>
      </c>
      <c r="AJ96" s="71">
        <v>9206735</v>
      </c>
      <c r="AK96" s="71" t="s">
        <v>28</v>
      </c>
      <c r="AL96" s="71">
        <v>807898</v>
      </c>
      <c r="AM96" s="71"/>
      <c r="AN96" s="71"/>
      <c r="AO96" s="71" t="s">
        <v>773</v>
      </c>
      <c r="AP96" s="71" t="s">
        <v>774</v>
      </c>
      <c r="AQ96" s="71" t="s">
        <v>1093</v>
      </c>
      <c r="AR96" s="71" t="s">
        <v>776</v>
      </c>
      <c r="AS96" s="71" t="s">
        <v>1094</v>
      </c>
      <c r="AT96" s="71" t="s">
        <v>82</v>
      </c>
      <c r="AU96" s="71"/>
    </row>
    <row r="97" spans="1:53" ht="360" customHeight="1" x14ac:dyDescent="0.2">
      <c r="A97" s="71" t="s">
        <v>198</v>
      </c>
      <c r="B97" s="71">
        <v>2025</v>
      </c>
      <c r="C97" s="72" t="s">
        <v>1447</v>
      </c>
      <c r="D97" s="71" t="s">
        <v>1448</v>
      </c>
      <c r="E97" s="71" t="s">
        <v>200</v>
      </c>
      <c r="F97" s="71" t="s">
        <v>199</v>
      </c>
      <c r="G97" s="71">
        <v>3</v>
      </c>
      <c r="H97" s="71" t="s">
        <v>200</v>
      </c>
      <c r="I97" s="71" t="s">
        <v>1449</v>
      </c>
      <c r="J97" s="71" t="s">
        <v>112</v>
      </c>
      <c r="K97" s="71" t="s">
        <v>1450</v>
      </c>
      <c r="L97" s="71" t="s">
        <v>44</v>
      </c>
      <c r="M97" s="71" t="s">
        <v>25</v>
      </c>
      <c r="N97" s="71" t="s">
        <v>1451</v>
      </c>
      <c r="O97" s="71">
        <v>190.02679989999999</v>
      </c>
      <c r="P97" s="71" t="s">
        <v>1452</v>
      </c>
      <c r="Q97" s="71" t="s">
        <v>36</v>
      </c>
      <c r="R97" s="71" t="s">
        <v>48</v>
      </c>
      <c r="S97" s="71"/>
      <c r="T97" s="71"/>
      <c r="U97" s="71"/>
      <c r="V97" s="71"/>
      <c r="W97" s="71"/>
      <c r="X97" s="71" t="s">
        <v>918</v>
      </c>
      <c r="Y97" s="71"/>
      <c r="Z97" s="71" t="s">
        <v>1125</v>
      </c>
      <c r="AA97" s="71" t="s">
        <v>770</v>
      </c>
      <c r="AB97" s="71"/>
      <c r="AC97" s="71" t="s">
        <v>21</v>
      </c>
      <c r="AD97" s="71"/>
      <c r="AE97" s="71"/>
      <c r="AF97" s="71"/>
      <c r="AG97" s="71"/>
      <c r="AH97" s="71" t="s">
        <v>1453</v>
      </c>
      <c r="AI97" s="71" t="s">
        <v>772</v>
      </c>
      <c r="AJ97" s="71">
        <v>9065613</v>
      </c>
      <c r="AK97" s="71" t="s">
        <v>201</v>
      </c>
      <c r="AL97" s="71">
        <v>800516</v>
      </c>
      <c r="AM97" s="71"/>
      <c r="AN97" s="71"/>
      <c r="AO97" s="71" t="s">
        <v>773</v>
      </c>
      <c r="AP97" s="71" t="s">
        <v>774</v>
      </c>
      <c r="AQ97" s="71" t="s">
        <v>1454</v>
      </c>
      <c r="AR97" s="71" t="s">
        <v>1454</v>
      </c>
      <c r="AS97" s="71" t="s">
        <v>1455</v>
      </c>
      <c r="AT97" s="71"/>
      <c r="AU97" s="71"/>
    </row>
    <row r="98" spans="1:53" ht="156" customHeight="1" x14ac:dyDescent="0.2">
      <c r="A98" s="71" t="s">
        <v>137</v>
      </c>
      <c r="B98" s="71">
        <v>2025</v>
      </c>
      <c r="C98" s="72" t="s">
        <v>1456</v>
      </c>
      <c r="D98" s="71" t="s">
        <v>1457</v>
      </c>
      <c r="E98" s="71" t="s">
        <v>142</v>
      </c>
      <c r="F98" s="71" t="s">
        <v>138</v>
      </c>
      <c r="G98" s="71">
        <v>3</v>
      </c>
      <c r="H98" s="71" t="s">
        <v>139</v>
      </c>
      <c r="I98" s="71" t="s">
        <v>1458</v>
      </c>
      <c r="J98" s="71" t="s">
        <v>20</v>
      </c>
      <c r="K98" s="71" t="s">
        <v>1080</v>
      </c>
      <c r="L98" s="71" t="s">
        <v>35</v>
      </c>
      <c r="M98" s="71" t="s">
        <v>25</v>
      </c>
      <c r="N98" s="71" t="s">
        <v>1459</v>
      </c>
      <c r="O98" s="71">
        <v>190.00061106999999</v>
      </c>
      <c r="P98" s="71" t="s">
        <v>1460</v>
      </c>
      <c r="Q98" s="71" t="s">
        <v>45</v>
      </c>
      <c r="R98" s="71" t="s">
        <v>141</v>
      </c>
      <c r="S98" s="71"/>
      <c r="T98" s="71"/>
      <c r="U98" s="71"/>
      <c r="V98" s="71"/>
      <c r="W98" s="71"/>
      <c r="X98" s="71"/>
      <c r="Y98" s="71"/>
      <c r="Z98" s="71"/>
      <c r="AA98" s="71" t="s">
        <v>770</v>
      </c>
      <c r="AB98" s="71"/>
      <c r="AC98" s="71" t="s">
        <v>21</v>
      </c>
      <c r="AD98" s="71" t="s">
        <v>797</v>
      </c>
      <c r="AE98" s="71"/>
      <c r="AF98" s="71"/>
      <c r="AG98" s="71"/>
      <c r="AH98" s="71" t="s">
        <v>1461</v>
      </c>
      <c r="AI98" s="71" t="s">
        <v>772</v>
      </c>
      <c r="AJ98" s="71">
        <v>9031806</v>
      </c>
      <c r="AK98" s="71" t="s">
        <v>140</v>
      </c>
      <c r="AL98" s="71">
        <v>913706</v>
      </c>
      <c r="AM98" s="71"/>
      <c r="AN98" s="71"/>
      <c r="AO98" s="71" t="s">
        <v>773</v>
      </c>
      <c r="AP98" s="71" t="s">
        <v>774</v>
      </c>
      <c r="AQ98" s="71" t="s">
        <v>312</v>
      </c>
      <c r="AR98" s="71" t="s">
        <v>802</v>
      </c>
      <c r="AS98" s="71" t="s">
        <v>312</v>
      </c>
      <c r="AT98" s="71"/>
      <c r="AU98" s="71"/>
    </row>
    <row r="99" spans="1:53" ht="144" customHeight="1" x14ac:dyDescent="0.2">
      <c r="A99" s="71" t="s">
        <v>265</v>
      </c>
      <c r="B99" s="71">
        <v>2025</v>
      </c>
      <c r="C99" s="71" t="s">
        <v>1462</v>
      </c>
      <c r="D99" s="71" t="s">
        <v>1463</v>
      </c>
      <c r="E99" s="71" t="s">
        <v>269</v>
      </c>
      <c r="F99" s="71" t="s">
        <v>266</v>
      </c>
      <c r="G99" s="71">
        <v>1</v>
      </c>
      <c r="H99" s="71" t="s">
        <v>267</v>
      </c>
      <c r="I99" s="71" t="s">
        <v>1464</v>
      </c>
      <c r="J99" s="71" t="s">
        <v>211</v>
      </c>
      <c r="K99" s="71" t="s">
        <v>97</v>
      </c>
      <c r="L99" s="71" t="s">
        <v>131</v>
      </c>
      <c r="M99" s="71" t="s">
        <v>25</v>
      </c>
      <c r="N99" s="71" t="s">
        <v>1465</v>
      </c>
      <c r="O99" s="71">
        <v>190.02746905000001</v>
      </c>
      <c r="P99" s="71" t="s">
        <v>1466</v>
      </c>
      <c r="Q99" s="71" t="s">
        <v>94</v>
      </c>
      <c r="R99" s="71" t="s">
        <v>135</v>
      </c>
      <c r="S99" s="71"/>
      <c r="T99" s="71"/>
      <c r="U99" s="71"/>
      <c r="V99" s="71"/>
      <c r="W99" s="71"/>
      <c r="X99" s="71"/>
      <c r="Y99" s="71"/>
      <c r="Z99" s="71"/>
      <c r="AA99" s="71" t="s">
        <v>770</v>
      </c>
      <c r="AB99" s="71"/>
      <c r="AC99" s="71" t="s">
        <v>21</v>
      </c>
      <c r="AD99" s="71"/>
      <c r="AE99" s="71"/>
      <c r="AF99" s="71"/>
      <c r="AG99" s="71"/>
      <c r="AH99" s="71"/>
      <c r="AI99" s="71" t="s">
        <v>772</v>
      </c>
      <c r="AJ99" s="71">
        <v>8640008</v>
      </c>
      <c r="AK99" s="71" t="s">
        <v>268</v>
      </c>
      <c r="AL99" s="71">
        <v>782530</v>
      </c>
      <c r="AM99" s="71"/>
      <c r="AN99" s="71"/>
      <c r="AO99" s="71" t="s">
        <v>773</v>
      </c>
      <c r="AP99" s="71" t="s">
        <v>774</v>
      </c>
      <c r="AQ99" s="71" t="s">
        <v>787</v>
      </c>
      <c r="AR99" s="71" t="s">
        <v>788</v>
      </c>
      <c r="AS99" s="71" t="s">
        <v>777</v>
      </c>
      <c r="AT99" s="71" t="s">
        <v>895</v>
      </c>
      <c r="AU99" s="71"/>
    </row>
    <row r="100" spans="1:53" ht="204" customHeight="1" x14ac:dyDescent="0.2">
      <c r="A100" s="71" t="s">
        <v>270</v>
      </c>
      <c r="B100" s="71">
        <v>2025</v>
      </c>
      <c r="C100" s="71" t="s">
        <v>1467</v>
      </c>
      <c r="D100" s="71" t="s">
        <v>1468</v>
      </c>
      <c r="E100" s="71"/>
      <c r="F100" s="71" t="s">
        <v>271</v>
      </c>
      <c r="G100" s="71"/>
      <c r="H100" s="71" t="s">
        <v>272</v>
      </c>
      <c r="I100" s="71" t="s">
        <v>1469</v>
      </c>
      <c r="J100" s="71" t="s">
        <v>211</v>
      </c>
      <c r="K100" s="71" t="s">
        <v>183</v>
      </c>
      <c r="L100" s="71" t="s">
        <v>44</v>
      </c>
      <c r="M100" s="71" t="s">
        <v>25</v>
      </c>
      <c r="N100" s="71" t="s">
        <v>1470</v>
      </c>
      <c r="O100" s="71">
        <v>190.02226124000001</v>
      </c>
      <c r="P100" s="71" t="s">
        <v>767</v>
      </c>
      <c r="Q100" s="71" t="s">
        <v>36</v>
      </c>
      <c r="R100" s="71" t="s">
        <v>31</v>
      </c>
      <c r="S100" s="71"/>
      <c r="T100" s="71"/>
      <c r="U100" s="71"/>
      <c r="V100" s="71"/>
      <c r="W100" s="71"/>
      <c r="X100" s="71" t="s">
        <v>891</v>
      </c>
      <c r="Y100" s="71"/>
      <c r="Z100" s="71"/>
      <c r="AA100" s="71" t="s">
        <v>874</v>
      </c>
      <c r="AB100" s="71"/>
      <c r="AC100" s="71" t="s">
        <v>21</v>
      </c>
      <c r="AD100" s="71"/>
      <c r="AE100" s="71"/>
      <c r="AF100" s="71"/>
      <c r="AG100" s="71"/>
      <c r="AH100" s="71"/>
      <c r="AI100" s="71" t="s">
        <v>772</v>
      </c>
      <c r="AJ100" s="71">
        <v>9250367</v>
      </c>
      <c r="AK100" s="71" t="s">
        <v>273</v>
      </c>
      <c r="AL100" s="71">
        <v>799329</v>
      </c>
      <c r="AM100" s="71"/>
      <c r="AN100" s="71"/>
      <c r="AO100" s="71" t="s">
        <v>773</v>
      </c>
      <c r="AP100" s="71" t="s">
        <v>774</v>
      </c>
      <c r="AQ100" s="71" t="s">
        <v>312</v>
      </c>
      <c r="AR100" s="71" t="s">
        <v>802</v>
      </c>
      <c r="AS100" s="71" t="s">
        <v>312</v>
      </c>
      <c r="AT100" s="71"/>
      <c r="AU100" s="71"/>
    </row>
    <row r="101" spans="1:53" ht="276" customHeight="1" x14ac:dyDescent="0.2">
      <c r="A101" s="71" t="s">
        <v>256</v>
      </c>
      <c r="B101" s="71">
        <v>2025</v>
      </c>
      <c r="C101" s="72" t="s">
        <v>1471</v>
      </c>
      <c r="D101" s="71" t="s">
        <v>1472</v>
      </c>
      <c r="E101" s="71" t="s">
        <v>260</v>
      </c>
      <c r="F101" s="71" t="s">
        <v>245</v>
      </c>
      <c r="G101" s="71">
        <v>3</v>
      </c>
      <c r="H101" s="71" t="s">
        <v>257</v>
      </c>
      <c r="I101" s="71" t="s">
        <v>1473</v>
      </c>
      <c r="J101" s="71" t="s">
        <v>20</v>
      </c>
      <c r="K101" s="71" t="s">
        <v>1474</v>
      </c>
      <c r="L101" s="71" t="s">
        <v>35</v>
      </c>
      <c r="M101" s="71" t="s">
        <v>25</v>
      </c>
      <c r="N101" s="71" t="s">
        <v>1475</v>
      </c>
      <c r="O101" s="71">
        <v>190.00097289000001</v>
      </c>
      <c r="P101" s="71" t="s">
        <v>1476</v>
      </c>
      <c r="Q101" s="71" t="s">
        <v>45</v>
      </c>
      <c r="R101" s="71" t="s">
        <v>31</v>
      </c>
      <c r="S101" s="71"/>
      <c r="T101" s="71"/>
      <c r="U101" s="71"/>
      <c r="V101" s="71"/>
      <c r="W101" s="71"/>
      <c r="X101" s="71" t="s">
        <v>312</v>
      </c>
      <c r="Y101" s="71"/>
      <c r="Z101" s="71" t="s">
        <v>948</v>
      </c>
      <c r="AA101" s="71" t="s">
        <v>770</v>
      </c>
      <c r="AB101" s="71"/>
      <c r="AC101" s="71" t="s">
        <v>21</v>
      </c>
      <c r="AD101" s="71" t="s">
        <v>797</v>
      </c>
      <c r="AE101" s="71"/>
      <c r="AF101" s="71"/>
      <c r="AG101" s="71"/>
      <c r="AH101" s="71" t="s">
        <v>1477</v>
      </c>
      <c r="AI101" s="71" t="s">
        <v>772</v>
      </c>
      <c r="AJ101" s="71">
        <v>8859703</v>
      </c>
      <c r="AK101" s="71" t="s">
        <v>258</v>
      </c>
      <c r="AL101" s="71">
        <v>876869</v>
      </c>
      <c r="AM101" s="71"/>
      <c r="AN101" s="71"/>
      <c r="AO101" s="71" t="s">
        <v>773</v>
      </c>
      <c r="AP101" s="71" t="s">
        <v>774</v>
      </c>
      <c r="AQ101" s="71" t="s">
        <v>1478</v>
      </c>
      <c r="AR101" s="71" t="s">
        <v>1454</v>
      </c>
      <c r="AS101" s="71" t="s">
        <v>312</v>
      </c>
      <c r="AT101" s="71"/>
      <c r="AU101" s="71"/>
    </row>
    <row r="102" spans="1:53" ht="60" customHeight="1" x14ac:dyDescent="0.2">
      <c r="A102" s="71" t="s">
        <v>192</v>
      </c>
      <c r="B102" s="71">
        <v>2025</v>
      </c>
      <c r="C102" s="72" t="s">
        <v>1479</v>
      </c>
      <c r="D102" s="71" t="s">
        <v>1480</v>
      </c>
      <c r="E102" s="71" t="s">
        <v>197</v>
      </c>
      <c r="F102" s="71" t="s">
        <v>193</v>
      </c>
      <c r="G102" s="71">
        <v>1</v>
      </c>
      <c r="H102" s="71">
        <v>5855606027</v>
      </c>
      <c r="I102" s="71" t="s">
        <v>1481</v>
      </c>
      <c r="J102" s="71" t="s">
        <v>91</v>
      </c>
      <c r="K102" s="71" t="s">
        <v>903</v>
      </c>
      <c r="L102" s="71" t="s">
        <v>44</v>
      </c>
      <c r="M102" s="71" t="s">
        <v>25</v>
      </c>
      <c r="N102" s="71" t="s">
        <v>1482</v>
      </c>
      <c r="O102" s="71">
        <v>190.02317944000001</v>
      </c>
      <c r="P102" s="71" t="s">
        <v>1483</v>
      </c>
      <c r="Q102" s="71" t="s">
        <v>94</v>
      </c>
      <c r="R102" s="71" t="s">
        <v>40</v>
      </c>
      <c r="S102" s="71"/>
      <c r="T102" s="71"/>
      <c r="U102" s="71"/>
      <c r="V102" s="71"/>
      <c r="W102" s="71"/>
      <c r="X102" s="71" t="s">
        <v>906</v>
      </c>
      <c r="Y102" s="71"/>
      <c r="Z102" s="71"/>
      <c r="AA102" s="71" t="s">
        <v>770</v>
      </c>
      <c r="AB102" s="71"/>
      <c r="AC102" s="71" t="s">
        <v>21</v>
      </c>
      <c r="AD102" s="71"/>
      <c r="AE102" s="71"/>
      <c r="AF102" s="71"/>
      <c r="AG102" s="71"/>
      <c r="AH102" s="71" t="s">
        <v>1484</v>
      </c>
      <c r="AI102" s="71" t="s">
        <v>772</v>
      </c>
      <c r="AJ102" s="71">
        <v>8661388</v>
      </c>
      <c r="AK102" s="71" t="s">
        <v>195</v>
      </c>
      <c r="AL102" s="71">
        <v>990668</v>
      </c>
      <c r="AM102" s="71"/>
      <c r="AN102" s="71"/>
      <c r="AO102" s="71" t="s">
        <v>773</v>
      </c>
      <c r="AP102" s="71" t="s">
        <v>774</v>
      </c>
      <c r="AQ102" s="71" t="s">
        <v>775</v>
      </c>
      <c r="AR102" s="71" t="s">
        <v>788</v>
      </c>
      <c r="AS102" s="71" t="s">
        <v>777</v>
      </c>
      <c r="AT102" s="71"/>
      <c r="AU102" s="71"/>
      <c r="BA102" t="s">
        <v>1485</v>
      </c>
    </row>
    <row r="103" spans="1:53" ht="409.5" customHeight="1" x14ac:dyDescent="0.2">
      <c r="A103" s="71" t="s">
        <v>297</v>
      </c>
      <c r="B103" s="71">
        <v>2025</v>
      </c>
      <c r="C103" s="71" t="s">
        <v>1486</v>
      </c>
      <c r="D103" s="71" t="s">
        <v>1487</v>
      </c>
      <c r="E103" s="71"/>
      <c r="F103" s="71" t="s">
        <v>119</v>
      </c>
      <c r="G103" s="71"/>
      <c r="H103" s="71" t="s">
        <v>298</v>
      </c>
      <c r="I103" s="71" t="s">
        <v>1488</v>
      </c>
      <c r="J103" s="71" t="s">
        <v>20</v>
      </c>
      <c r="K103" s="71" t="s">
        <v>842</v>
      </c>
      <c r="L103" s="71" t="s">
        <v>35</v>
      </c>
      <c r="M103" s="71" t="s">
        <v>25</v>
      </c>
      <c r="N103" s="71" t="s">
        <v>1489</v>
      </c>
      <c r="O103" s="71">
        <v>190.02642509</v>
      </c>
      <c r="P103" s="71" t="s">
        <v>767</v>
      </c>
      <c r="Q103" s="71" t="s">
        <v>26</v>
      </c>
      <c r="R103" s="71" t="s">
        <v>263</v>
      </c>
      <c r="S103" s="71"/>
      <c r="T103" s="71"/>
      <c r="U103" s="71"/>
      <c r="V103" s="71"/>
      <c r="W103" s="71"/>
      <c r="X103" s="71" t="s">
        <v>768</v>
      </c>
      <c r="Y103" s="71"/>
      <c r="Z103" s="71" t="s">
        <v>1253</v>
      </c>
      <c r="AA103" s="71" t="s">
        <v>770</v>
      </c>
      <c r="AB103" s="71"/>
      <c r="AC103" s="71" t="s">
        <v>21</v>
      </c>
      <c r="AD103" s="71"/>
      <c r="AE103" s="71"/>
      <c r="AF103" s="71"/>
      <c r="AG103" s="71"/>
      <c r="AH103" s="71" t="s">
        <v>1490</v>
      </c>
      <c r="AI103" s="71" t="s">
        <v>772</v>
      </c>
      <c r="AJ103" s="71">
        <v>8773030</v>
      </c>
      <c r="AK103" s="71" t="s">
        <v>122</v>
      </c>
      <c r="AL103" s="71">
        <v>761870</v>
      </c>
      <c r="AM103" s="71"/>
      <c r="AN103" s="71"/>
      <c r="AO103" s="71" t="s">
        <v>773</v>
      </c>
      <c r="AP103" s="71" t="s">
        <v>774</v>
      </c>
      <c r="AQ103" s="71" t="s">
        <v>297</v>
      </c>
      <c r="AR103" s="71" t="s">
        <v>776</v>
      </c>
      <c r="AS103" s="71" t="s">
        <v>777</v>
      </c>
      <c r="AT103" s="71"/>
      <c r="AU103" s="71"/>
    </row>
    <row r="104" spans="1:53" ht="120" customHeight="1" x14ac:dyDescent="0.2">
      <c r="A104" s="71" t="s">
        <v>294</v>
      </c>
      <c r="B104" s="71">
        <v>2025</v>
      </c>
      <c r="C104" s="71" t="s">
        <v>1486</v>
      </c>
      <c r="D104" s="71" t="s">
        <v>1487</v>
      </c>
      <c r="E104" s="71"/>
      <c r="F104" s="71" t="s">
        <v>119</v>
      </c>
      <c r="G104" s="71"/>
      <c r="H104" s="71" t="s">
        <v>295</v>
      </c>
      <c r="I104" s="71" t="s">
        <v>1491</v>
      </c>
      <c r="J104" s="71" t="s">
        <v>20</v>
      </c>
      <c r="K104" s="71" t="s">
        <v>842</v>
      </c>
      <c r="L104" s="71" t="s">
        <v>35</v>
      </c>
      <c r="M104" s="71" t="s">
        <v>25</v>
      </c>
      <c r="N104" s="71" t="s">
        <v>1492</v>
      </c>
      <c r="O104" s="71">
        <v>190.02678453999999</v>
      </c>
      <c r="P104" s="71" t="s">
        <v>767</v>
      </c>
      <c r="Q104" s="71" t="s">
        <v>26</v>
      </c>
      <c r="R104" s="71" t="s">
        <v>263</v>
      </c>
      <c r="S104" s="71"/>
      <c r="T104" s="71"/>
      <c r="U104" s="71"/>
      <c r="V104" s="71"/>
      <c r="W104" s="71"/>
      <c r="X104" s="71"/>
      <c r="Y104" s="71"/>
      <c r="Z104" s="71"/>
      <c r="AA104" s="71" t="s">
        <v>770</v>
      </c>
      <c r="AB104" s="71"/>
      <c r="AC104" s="71" t="s">
        <v>21</v>
      </c>
      <c r="AD104" s="71"/>
      <c r="AE104" s="71"/>
      <c r="AF104" s="71"/>
      <c r="AG104" s="71"/>
      <c r="AH104" s="71" t="s">
        <v>1493</v>
      </c>
      <c r="AI104" s="71" t="s">
        <v>772</v>
      </c>
      <c r="AJ104" s="71">
        <v>8772814</v>
      </c>
      <c r="AK104" s="71" t="s">
        <v>122</v>
      </c>
      <c r="AL104" s="71">
        <v>761815</v>
      </c>
      <c r="AM104" s="71"/>
      <c r="AN104" s="71"/>
      <c r="AO104" s="71" t="s">
        <v>773</v>
      </c>
      <c r="AP104" s="71" t="s">
        <v>774</v>
      </c>
      <c r="AQ104" s="71" t="s">
        <v>297</v>
      </c>
      <c r="AR104" s="71" t="s">
        <v>776</v>
      </c>
      <c r="AS104" s="71" t="s">
        <v>777</v>
      </c>
      <c r="AT104" s="71"/>
      <c r="AU104" s="71"/>
    </row>
    <row r="105" spans="1:53" ht="288" customHeight="1" x14ac:dyDescent="0.2">
      <c r="A105" s="71" t="s">
        <v>179</v>
      </c>
      <c r="B105" s="71">
        <v>2025</v>
      </c>
      <c r="C105" s="72" t="s">
        <v>1494</v>
      </c>
      <c r="D105" s="71" t="s">
        <v>1495</v>
      </c>
      <c r="E105" s="71" t="s">
        <v>185</v>
      </c>
      <c r="F105" s="71" t="s">
        <v>180</v>
      </c>
      <c r="G105" s="71">
        <v>1</v>
      </c>
      <c r="H105" s="71" t="s">
        <v>181</v>
      </c>
      <c r="I105" s="71" t="s">
        <v>1496</v>
      </c>
      <c r="J105" s="71" t="s">
        <v>91</v>
      </c>
      <c r="K105" s="71" t="s">
        <v>903</v>
      </c>
      <c r="L105" s="71" t="s">
        <v>44</v>
      </c>
      <c r="M105" s="71" t="s">
        <v>25</v>
      </c>
      <c r="N105" s="71" t="s">
        <v>1497</v>
      </c>
      <c r="O105" s="71">
        <v>190.02770941</v>
      </c>
      <c r="P105" s="71" t="s">
        <v>1498</v>
      </c>
      <c r="Q105" s="71" t="s">
        <v>94</v>
      </c>
      <c r="R105" s="71" t="s">
        <v>184</v>
      </c>
      <c r="S105" s="71"/>
      <c r="T105" s="71"/>
      <c r="U105" s="71"/>
      <c r="V105" s="71"/>
      <c r="W105" s="71"/>
      <c r="X105" s="71" t="s">
        <v>906</v>
      </c>
      <c r="Y105" s="71"/>
      <c r="Z105" s="71"/>
      <c r="AA105" s="71" t="s">
        <v>770</v>
      </c>
      <c r="AB105" s="71"/>
      <c r="AC105" s="71" t="s">
        <v>21</v>
      </c>
      <c r="AD105" s="71"/>
      <c r="AE105" s="71"/>
      <c r="AF105" s="71"/>
      <c r="AG105" s="71"/>
      <c r="AH105" s="71" t="s">
        <v>1499</v>
      </c>
      <c r="AI105" s="71" t="s">
        <v>772</v>
      </c>
      <c r="AJ105" s="71">
        <v>9150284</v>
      </c>
      <c r="AK105" s="71" t="s">
        <v>182</v>
      </c>
      <c r="AL105" s="71">
        <v>719553</v>
      </c>
      <c r="AM105" s="71"/>
      <c r="AN105" s="71"/>
      <c r="AO105" s="71" t="s">
        <v>773</v>
      </c>
      <c r="AP105" s="71" t="s">
        <v>908</v>
      </c>
      <c r="AQ105" s="71" t="s">
        <v>775</v>
      </c>
      <c r="AR105" s="71" t="s">
        <v>788</v>
      </c>
      <c r="AS105" s="71" t="s">
        <v>777</v>
      </c>
      <c r="AT105" s="71"/>
      <c r="AU105" s="71"/>
    </row>
    <row r="106" spans="1:53" ht="240" customHeight="1" x14ac:dyDescent="0.2">
      <c r="A106" s="71" t="s">
        <v>318</v>
      </c>
      <c r="B106" s="71">
        <v>2025</v>
      </c>
      <c r="C106" s="71" t="s">
        <v>1500</v>
      </c>
      <c r="D106" s="71" t="s">
        <v>1501</v>
      </c>
      <c r="E106" s="71" t="s">
        <v>320</v>
      </c>
      <c r="F106" s="71" t="s">
        <v>319</v>
      </c>
      <c r="G106" s="71">
        <v>1</v>
      </c>
      <c r="H106" s="71" t="s">
        <v>320</v>
      </c>
      <c r="I106" s="71" t="s">
        <v>1502</v>
      </c>
      <c r="J106" s="71" t="s">
        <v>211</v>
      </c>
      <c r="K106" s="71" t="s">
        <v>183</v>
      </c>
      <c r="L106" s="71" t="s">
        <v>24</v>
      </c>
      <c r="M106" s="71" t="s">
        <v>25</v>
      </c>
      <c r="N106" s="71" t="s">
        <v>1503</v>
      </c>
      <c r="O106" s="71">
        <v>190.02204546999999</v>
      </c>
      <c r="P106" s="71" t="s">
        <v>1504</v>
      </c>
      <c r="Q106" s="71" t="s">
        <v>36</v>
      </c>
      <c r="R106" s="71" t="s">
        <v>135</v>
      </c>
      <c r="S106" s="71"/>
      <c r="T106" s="71"/>
      <c r="U106" s="71"/>
      <c r="V106" s="71"/>
      <c r="W106" s="71"/>
      <c r="X106" s="71" t="s">
        <v>1505</v>
      </c>
      <c r="Y106" s="71"/>
      <c r="Z106" s="71"/>
      <c r="AA106" s="71" t="s">
        <v>770</v>
      </c>
      <c r="AB106" s="71"/>
      <c r="AC106" s="71" t="s">
        <v>21</v>
      </c>
      <c r="AD106" s="71"/>
      <c r="AE106" s="71"/>
      <c r="AF106" s="71"/>
      <c r="AG106" s="71"/>
      <c r="AH106" s="71"/>
      <c r="AI106" s="71" t="s">
        <v>772</v>
      </c>
      <c r="AJ106" s="71">
        <v>9051258</v>
      </c>
      <c r="AK106" s="71" t="s">
        <v>322</v>
      </c>
      <c r="AL106" s="71">
        <v>753599</v>
      </c>
      <c r="AM106" s="71"/>
      <c r="AN106" s="71"/>
      <c r="AO106" s="71" t="s">
        <v>773</v>
      </c>
      <c r="AP106" s="71" t="s">
        <v>774</v>
      </c>
      <c r="AQ106" s="71" t="s">
        <v>312</v>
      </c>
      <c r="AR106" s="71" t="s">
        <v>802</v>
      </c>
      <c r="AS106" s="71" t="s">
        <v>312</v>
      </c>
      <c r="AT106" s="71"/>
      <c r="AU106" s="71"/>
    </row>
    <row r="107" spans="1:53" ht="192" customHeight="1" x14ac:dyDescent="0.2">
      <c r="A107" s="71" t="s">
        <v>323</v>
      </c>
      <c r="B107" s="71">
        <v>2025</v>
      </c>
      <c r="C107" s="72" t="s">
        <v>1506</v>
      </c>
      <c r="D107" s="71" t="s">
        <v>1507</v>
      </c>
      <c r="E107" s="71" t="s">
        <v>325</v>
      </c>
      <c r="F107" s="71" t="s">
        <v>324</v>
      </c>
      <c r="G107" s="71">
        <v>1</v>
      </c>
      <c r="H107" s="71" t="s">
        <v>325</v>
      </c>
      <c r="I107" s="71" t="s">
        <v>1508</v>
      </c>
      <c r="J107" s="71" t="s">
        <v>211</v>
      </c>
      <c r="K107" s="71" t="s">
        <v>183</v>
      </c>
      <c r="L107" s="71" t="s">
        <v>24</v>
      </c>
      <c r="M107" s="71" t="s">
        <v>25</v>
      </c>
      <c r="N107" s="71" t="s">
        <v>1509</v>
      </c>
      <c r="O107" s="71">
        <v>190.02260161000001</v>
      </c>
      <c r="P107" s="71" t="s">
        <v>1510</v>
      </c>
      <c r="Q107" s="71" t="s">
        <v>36</v>
      </c>
      <c r="R107" s="71" t="s">
        <v>135</v>
      </c>
      <c r="S107" s="71"/>
      <c r="T107" s="71"/>
      <c r="U107" s="71"/>
      <c r="V107" s="71"/>
      <c r="W107" s="71"/>
      <c r="X107" s="71" t="s">
        <v>1505</v>
      </c>
      <c r="Y107" s="71"/>
      <c r="Z107" s="71"/>
      <c r="AA107" s="71" t="s">
        <v>770</v>
      </c>
      <c r="AB107" s="71"/>
      <c r="AC107" s="71" t="s">
        <v>21</v>
      </c>
      <c r="AD107" s="71"/>
      <c r="AE107" s="71"/>
      <c r="AF107" s="71"/>
      <c r="AG107" s="71"/>
      <c r="AH107" s="71"/>
      <c r="AI107" s="71" t="s">
        <v>772</v>
      </c>
      <c r="AJ107" s="71">
        <v>8568529</v>
      </c>
      <c r="AK107" s="71" t="s">
        <v>326</v>
      </c>
      <c r="AL107" s="71">
        <v>628539</v>
      </c>
      <c r="AM107" s="71"/>
      <c r="AN107" s="71"/>
      <c r="AO107" s="71" t="s">
        <v>773</v>
      </c>
      <c r="AP107" s="71" t="s">
        <v>774</v>
      </c>
      <c r="AQ107" s="71" t="s">
        <v>312</v>
      </c>
      <c r="AR107" s="71" t="s">
        <v>802</v>
      </c>
      <c r="AS107" s="71" t="s">
        <v>312</v>
      </c>
      <c r="AT107" s="71"/>
      <c r="AU107" s="71"/>
    </row>
    <row r="108" spans="1:53" ht="228" customHeight="1" x14ac:dyDescent="0.2">
      <c r="A108" s="71" t="s">
        <v>111</v>
      </c>
      <c r="B108" s="71">
        <v>2025</v>
      </c>
      <c r="C108" s="72" t="s">
        <v>1511</v>
      </c>
      <c r="D108" s="71" t="s">
        <v>1512</v>
      </c>
      <c r="E108" s="71" t="s">
        <v>114</v>
      </c>
      <c r="F108" s="71" t="s">
        <v>113</v>
      </c>
      <c r="G108" s="71">
        <v>2</v>
      </c>
      <c r="H108" s="71" t="s">
        <v>114</v>
      </c>
      <c r="I108" s="71" t="s">
        <v>1513</v>
      </c>
      <c r="J108" s="71" t="s">
        <v>112</v>
      </c>
      <c r="K108" s="71" t="s">
        <v>1450</v>
      </c>
      <c r="L108" s="71" t="s">
        <v>44</v>
      </c>
      <c r="M108" s="71" t="s">
        <v>25</v>
      </c>
      <c r="N108" s="71" t="s">
        <v>1514</v>
      </c>
      <c r="O108" s="71">
        <v>190.02218235000001</v>
      </c>
      <c r="P108" s="71" t="s">
        <v>1515</v>
      </c>
      <c r="Q108" s="71" t="s">
        <v>36</v>
      </c>
      <c r="R108" s="71" t="s">
        <v>48</v>
      </c>
      <c r="S108" s="71"/>
      <c r="T108" s="71"/>
      <c r="U108" s="71"/>
      <c r="V108" s="71"/>
      <c r="W108" s="71"/>
      <c r="X108" s="71" t="s">
        <v>918</v>
      </c>
      <c r="Y108" s="71"/>
      <c r="Z108" s="71" t="s">
        <v>1279</v>
      </c>
      <c r="AA108" s="71" t="s">
        <v>770</v>
      </c>
      <c r="AB108" s="71"/>
      <c r="AC108" s="71" t="s">
        <v>21</v>
      </c>
      <c r="AD108" s="71"/>
      <c r="AE108" s="71"/>
      <c r="AF108" s="71"/>
      <c r="AG108" s="71"/>
      <c r="AH108" s="71" t="s">
        <v>1516</v>
      </c>
      <c r="AI108" s="71" t="s">
        <v>772</v>
      </c>
      <c r="AJ108" s="71">
        <v>8941395</v>
      </c>
      <c r="AK108" s="71" t="s">
        <v>116</v>
      </c>
      <c r="AL108" s="71">
        <v>786403</v>
      </c>
      <c r="AM108" s="71"/>
      <c r="AN108" s="71"/>
      <c r="AO108" s="71" t="s">
        <v>773</v>
      </c>
      <c r="AP108" s="71" t="s">
        <v>908</v>
      </c>
      <c r="AQ108" s="71" t="s">
        <v>775</v>
      </c>
      <c r="AR108" s="71" t="s">
        <v>788</v>
      </c>
      <c r="AS108" s="71" t="s">
        <v>777</v>
      </c>
      <c r="AT108" s="71"/>
      <c r="AU108" s="71"/>
    </row>
    <row r="109" spans="1:53" ht="324" customHeight="1" x14ac:dyDescent="0.2">
      <c r="A109" s="71" t="s">
        <v>281</v>
      </c>
      <c r="B109" s="71">
        <v>2025</v>
      </c>
      <c r="C109" s="72" t="s">
        <v>1517</v>
      </c>
      <c r="D109" s="71" t="s">
        <v>1518</v>
      </c>
      <c r="E109" s="71" t="s">
        <v>285</v>
      </c>
      <c r="F109" s="71" t="s">
        <v>282</v>
      </c>
      <c r="G109" s="71">
        <v>3</v>
      </c>
      <c r="H109" s="71" t="s">
        <v>283</v>
      </c>
      <c r="I109" s="71" t="s">
        <v>1519</v>
      </c>
      <c r="J109" s="71" t="s">
        <v>20</v>
      </c>
      <c r="K109" s="71" t="s">
        <v>1305</v>
      </c>
      <c r="L109" s="71" t="s">
        <v>35</v>
      </c>
      <c r="M109" s="71" t="s">
        <v>25</v>
      </c>
      <c r="N109" s="71" t="s">
        <v>1520</v>
      </c>
      <c r="O109" s="71">
        <v>190.00028685000001</v>
      </c>
      <c r="P109" s="71" t="s">
        <v>1521</v>
      </c>
      <c r="Q109" s="71" t="s">
        <v>45</v>
      </c>
      <c r="R109" s="71" t="s">
        <v>31</v>
      </c>
      <c r="S109" s="71"/>
      <c r="T109" s="71"/>
      <c r="U109" s="71"/>
      <c r="V109" s="71"/>
      <c r="W109" s="71"/>
      <c r="X109" s="71" t="s">
        <v>918</v>
      </c>
      <c r="Y109" s="71"/>
      <c r="Z109" s="71" t="s">
        <v>846</v>
      </c>
      <c r="AA109" s="71" t="s">
        <v>874</v>
      </c>
      <c r="AB109" s="71"/>
      <c r="AC109" s="71" t="s">
        <v>21</v>
      </c>
      <c r="AD109" s="71" t="s">
        <v>797</v>
      </c>
      <c r="AE109" s="71"/>
      <c r="AF109" s="71"/>
      <c r="AG109" s="71"/>
      <c r="AH109" s="71" t="s">
        <v>1522</v>
      </c>
      <c r="AI109" s="71" t="s">
        <v>772</v>
      </c>
      <c r="AJ109" s="71">
        <v>9268477</v>
      </c>
      <c r="AK109" s="71" t="s">
        <v>284</v>
      </c>
      <c r="AL109" s="71">
        <v>881575</v>
      </c>
      <c r="AM109" s="71"/>
      <c r="AN109" s="71"/>
      <c r="AO109" s="71" t="s">
        <v>773</v>
      </c>
      <c r="AP109" s="71" t="s">
        <v>908</v>
      </c>
      <c r="AQ109" s="71" t="s">
        <v>312</v>
      </c>
      <c r="AR109" s="71" t="s">
        <v>802</v>
      </c>
      <c r="AS109" s="71" t="s">
        <v>312</v>
      </c>
      <c r="AT109" s="71"/>
      <c r="AU109" s="71"/>
    </row>
    <row r="110" spans="1:53" ht="180" customHeight="1" x14ac:dyDescent="0.2">
      <c r="A110" s="71" t="s">
        <v>173</v>
      </c>
      <c r="B110" s="71">
        <v>2025</v>
      </c>
      <c r="C110" s="71" t="s">
        <v>1523</v>
      </c>
      <c r="D110" s="71" t="s">
        <v>1524</v>
      </c>
      <c r="E110" s="71" t="s">
        <v>178</v>
      </c>
      <c r="F110" s="71" t="s">
        <v>174</v>
      </c>
      <c r="G110" s="71">
        <v>3</v>
      </c>
      <c r="H110" s="71" t="s">
        <v>175</v>
      </c>
      <c r="I110" s="71" t="s">
        <v>1525</v>
      </c>
      <c r="J110" s="71" t="s">
        <v>91</v>
      </c>
      <c r="K110" s="71" t="s">
        <v>903</v>
      </c>
      <c r="L110" s="71" t="s">
        <v>44</v>
      </c>
      <c r="M110" s="71" t="s">
        <v>25</v>
      </c>
      <c r="N110" s="71" t="s">
        <v>1526</v>
      </c>
      <c r="O110" s="71">
        <v>190.02774396999999</v>
      </c>
      <c r="P110" s="71" t="s">
        <v>1527</v>
      </c>
      <c r="Q110" s="71" t="s">
        <v>94</v>
      </c>
      <c r="R110" s="71" t="s">
        <v>31</v>
      </c>
      <c r="S110" s="71"/>
      <c r="T110" s="71"/>
      <c r="U110" s="71"/>
      <c r="V110" s="71"/>
      <c r="W110" s="71"/>
      <c r="X110" s="71" t="s">
        <v>906</v>
      </c>
      <c r="Y110" s="71"/>
      <c r="Z110" s="71"/>
      <c r="AA110" s="71" t="s">
        <v>770</v>
      </c>
      <c r="AB110" s="71"/>
      <c r="AC110" s="71" t="s">
        <v>21</v>
      </c>
      <c r="AD110" s="71"/>
      <c r="AE110" s="71"/>
      <c r="AF110" s="71"/>
      <c r="AG110" s="71"/>
      <c r="AH110" s="71" t="s">
        <v>1528</v>
      </c>
      <c r="AI110" s="71" t="s">
        <v>772</v>
      </c>
      <c r="AJ110" s="71">
        <v>9339297</v>
      </c>
      <c r="AK110" s="71" t="s">
        <v>176</v>
      </c>
      <c r="AL110" s="71">
        <v>845266</v>
      </c>
      <c r="AM110" s="71"/>
      <c r="AN110" s="71"/>
      <c r="AO110" s="71" t="s">
        <v>773</v>
      </c>
      <c r="AP110" s="71" t="s">
        <v>774</v>
      </c>
      <c r="AQ110" s="71" t="s">
        <v>1529</v>
      </c>
      <c r="AR110" s="71" t="s">
        <v>802</v>
      </c>
      <c r="AS110" s="71" t="s">
        <v>876</v>
      </c>
      <c r="AT110" s="71"/>
      <c r="AU110" s="71"/>
    </row>
    <row r="111" spans="1:53" ht="168" hidden="1" customHeight="1" x14ac:dyDescent="0.2">
      <c r="A111" s="71" t="s">
        <v>1530</v>
      </c>
      <c r="B111" s="71">
        <v>2025</v>
      </c>
      <c r="C111" s="72" t="s">
        <v>1531</v>
      </c>
      <c r="D111" s="71" t="s">
        <v>1532</v>
      </c>
      <c r="E111" s="71" t="s">
        <v>300</v>
      </c>
      <c r="F111" s="71" t="s">
        <v>165</v>
      </c>
      <c r="G111" s="71">
        <v>3</v>
      </c>
      <c r="H111" s="71" t="s">
        <v>300</v>
      </c>
      <c r="I111" s="71" t="s">
        <v>1533</v>
      </c>
      <c r="J111" s="71" t="s">
        <v>20</v>
      </c>
      <c r="K111" s="71" t="s">
        <v>1166</v>
      </c>
      <c r="L111" s="71" t="s">
        <v>24</v>
      </c>
      <c r="M111" s="71" t="s">
        <v>25</v>
      </c>
      <c r="N111" s="71" t="s">
        <v>1534</v>
      </c>
      <c r="O111" s="71">
        <v>190.0067401</v>
      </c>
      <c r="P111" s="71" t="s">
        <v>1535</v>
      </c>
      <c r="Q111" s="71" t="s">
        <v>132</v>
      </c>
      <c r="R111" s="71" t="s">
        <v>303</v>
      </c>
      <c r="S111" s="71"/>
      <c r="T111" s="71"/>
      <c r="U111" s="71"/>
      <c r="V111" s="71"/>
      <c r="W111" s="71"/>
      <c r="X111" s="71" t="s">
        <v>795</v>
      </c>
      <c r="Y111" s="71"/>
      <c r="Z111" s="71" t="s">
        <v>796</v>
      </c>
      <c r="AA111" s="71" t="s">
        <v>770</v>
      </c>
      <c r="AB111" s="71"/>
      <c r="AC111" s="71" t="s">
        <v>21</v>
      </c>
      <c r="AD111" s="71" t="s">
        <v>797</v>
      </c>
      <c r="AE111" s="71"/>
      <c r="AF111" s="71"/>
      <c r="AG111" s="71"/>
      <c r="AH111" s="71" t="s">
        <v>1536</v>
      </c>
      <c r="AI111" s="71" t="s">
        <v>772</v>
      </c>
      <c r="AJ111" s="71">
        <v>9006009</v>
      </c>
      <c r="AK111" s="71" t="s">
        <v>301</v>
      </c>
      <c r="AL111" s="71">
        <v>809231</v>
      </c>
      <c r="AM111" s="71"/>
      <c r="AN111" s="71" t="s">
        <v>811</v>
      </c>
      <c r="AO111" s="71" t="s">
        <v>800</v>
      </c>
      <c r="AP111" s="71" t="s">
        <v>774</v>
      </c>
      <c r="AQ111" s="71" t="s">
        <v>801</v>
      </c>
      <c r="AR111" s="71" t="s">
        <v>802</v>
      </c>
      <c r="AS111" s="71" t="s">
        <v>801</v>
      </c>
      <c r="AT111" s="71"/>
      <c r="AU111" s="71" t="s">
        <v>862</v>
      </c>
    </row>
    <row r="112" spans="1:53" ht="168" customHeight="1" x14ac:dyDescent="0.2">
      <c r="A112" s="71" t="s">
        <v>1537</v>
      </c>
      <c r="B112" s="71">
        <v>2024</v>
      </c>
      <c r="C112" s="72" t="s">
        <v>1538</v>
      </c>
      <c r="D112" s="71" t="s">
        <v>1539</v>
      </c>
      <c r="E112" s="71" t="s">
        <v>1540</v>
      </c>
      <c r="F112" s="71" t="s">
        <v>1541</v>
      </c>
      <c r="G112" s="71">
        <v>2</v>
      </c>
      <c r="H112" s="71" t="s">
        <v>1542</v>
      </c>
      <c r="I112" s="71" t="s">
        <v>1543</v>
      </c>
      <c r="J112" s="71" t="s">
        <v>91</v>
      </c>
      <c r="K112" s="71" t="s">
        <v>903</v>
      </c>
      <c r="L112" s="71" t="s">
        <v>44</v>
      </c>
      <c r="M112" s="71" t="s">
        <v>25</v>
      </c>
      <c r="N112" s="71" t="s">
        <v>1544</v>
      </c>
      <c r="O112" s="71">
        <v>190.02734659999999</v>
      </c>
      <c r="P112" s="71" t="s">
        <v>1545</v>
      </c>
      <c r="Q112" s="71" t="s">
        <v>45</v>
      </c>
      <c r="R112" s="71" t="s">
        <v>40</v>
      </c>
      <c r="S112" s="71"/>
      <c r="T112" s="71"/>
      <c r="U112" s="71"/>
      <c r="V112" s="71"/>
      <c r="W112" s="71"/>
      <c r="X112" s="71" t="s">
        <v>312</v>
      </c>
      <c r="Y112" s="71"/>
      <c r="Z112" s="71"/>
      <c r="AA112" s="71" t="s">
        <v>770</v>
      </c>
      <c r="AB112" s="71"/>
      <c r="AC112" s="71" t="s">
        <v>21</v>
      </c>
      <c r="AD112" s="71"/>
      <c r="AE112" s="71"/>
      <c r="AF112" s="71"/>
      <c r="AG112" s="71"/>
      <c r="AH112" s="71" t="s">
        <v>1546</v>
      </c>
      <c r="AI112" s="71" t="s">
        <v>772</v>
      </c>
      <c r="AJ112" s="71">
        <v>9205591</v>
      </c>
      <c r="AK112" s="71" t="s">
        <v>28</v>
      </c>
      <c r="AL112" s="71">
        <v>808265</v>
      </c>
      <c r="AM112" s="71"/>
      <c r="AN112" s="71"/>
      <c r="AO112" s="71" t="s">
        <v>773</v>
      </c>
      <c r="AP112" s="71" t="s">
        <v>908</v>
      </c>
      <c r="AQ112" s="71" t="s">
        <v>775</v>
      </c>
      <c r="AR112" s="71" t="s">
        <v>788</v>
      </c>
      <c r="AS112" s="71" t="s">
        <v>777</v>
      </c>
      <c r="AT112" s="71"/>
      <c r="AU112" s="71"/>
    </row>
    <row r="113" spans="1:53" ht="240" hidden="1" customHeight="1" x14ac:dyDescent="0.2">
      <c r="A113" s="71" t="s">
        <v>1547</v>
      </c>
      <c r="B113" s="71">
        <v>2025</v>
      </c>
      <c r="C113" s="72" t="s">
        <v>1531</v>
      </c>
      <c r="D113" s="71" t="s">
        <v>1532</v>
      </c>
      <c r="E113" s="71" t="s">
        <v>300</v>
      </c>
      <c r="F113" s="71" t="s">
        <v>165</v>
      </c>
      <c r="G113" s="71">
        <v>3</v>
      </c>
      <c r="H113" s="71" t="s">
        <v>300</v>
      </c>
      <c r="I113" s="71" t="s">
        <v>1548</v>
      </c>
      <c r="J113" s="71" t="s">
        <v>20</v>
      </c>
      <c r="K113" s="71" t="s">
        <v>1166</v>
      </c>
      <c r="L113" s="71" t="s">
        <v>24</v>
      </c>
      <c r="M113" s="71" t="s">
        <v>25</v>
      </c>
      <c r="N113" s="71" t="s">
        <v>1549</v>
      </c>
      <c r="O113" s="71">
        <v>190.00674017</v>
      </c>
      <c r="P113" s="71" t="s">
        <v>1535</v>
      </c>
      <c r="Q113" s="71" t="s">
        <v>132</v>
      </c>
      <c r="R113" s="71" t="s">
        <v>303</v>
      </c>
      <c r="S113" s="71"/>
      <c r="T113" s="71"/>
      <c r="U113" s="71"/>
      <c r="V113" s="71"/>
      <c r="W113" s="71"/>
      <c r="X113" s="71" t="s">
        <v>795</v>
      </c>
      <c r="Y113" s="71"/>
      <c r="Z113" s="71" t="s">
        <v>796</v>
      </c>
      <c r="AA113" s="71" t="s">
        <v>770</v>
      </c>
      <c r="AB113" s="71"/>
      <c r="AC113" s="71" t="s">
        <v>21</v>
      </c>
      <c r="AD113" s="71" t="s">
        <v>797</v>
      </c>
      <c r="AE113" s="71"/>
      <c r="AF113" s="71"/>
      <c r="AG113" s="71"/>
      <c r="AH113" s="71" t="s">
        <v>1550</v>
      </c>
      <c r="AI113" s="71" t="s">
        <v>772</v>
      </c>
      <c r="AJ113" s="71">
        <v>9006026</v>
      </c>
      <c r="AK113" s="71" t="s">
        <v>301</v>
      </c>
      <c r="AL113" s="71">
        <v>809348</v>
      </c>
      <c r="AM113" s="71"/>
      <c r="AN113" s="71" t="s">
        <v>1374</v>
      </c>
      <c r="AO113" s="71" t="s">
        <v>800</v>
      </c>
      <c r="AP113" s="71" t="s">
        <v>774</v>
      </c>
      <c r="AQ113" s="71" t="s">
        <v>801</v>
      </c>
      <c r="AR113" s="71" t="s">
        <v>802</v>
      </c>
      <c r="AS113" s="71" t="s">
        <v>801</v>
      </c>
      <c r="AT113" s="71"/>
      <c r="AU113" s="71" t="s">
        <v>862</v>
      </c>
      <c r="AV113">
        <v>0</v>
      </c>
      <c r="AW113">
        <v>0</v>
      </c>
    </row>
    <row r="114" spans="1:53" ht="409.5" customHeight="1" x14ac:dyDescent="0.2">
      <c r="A114" s="71" t="s">
        <v>1551</v>
      </c>
      <c r="B114" s="71">
        <v>2024</v>
      </c>
      <c r="C114" s="72" t="s">
        <v>1552</v>
      </c>
      <c r="D114" s="71" t="s">
        <v>1553</v>
      </c>
      <c r="E114" s="71" t="s">
        <v>1554</v>
      </c>
      <c r="F114" s="71" t="s">
        <v>150</v>
      </c>
      <c r="G114" s="71">
        <v>2</v>
      </c>
      <c r="H114" s="71" t="s">
        <v>1555</v>
      </c>
      <c r="I114" s="71" t="s">
        <v>1556</v>
      </c>
      <c r="J114" s="71" t="s">
        <v>20</v>
      </c>
      <c r="K114" s="71" t="s">
        <v>1557</v>
      </c>
      <c r="L114" s="71" t="s">
        <v>35</v>
      </c>
      <c r="M114" s="71" t="s">
        <v>25</v>
      </c>
      <c r="N114" s="71" t="s">
        <v>1558</v>
      </c>
      <c r="O114" s="71">
        <v>190.02702855000001</v>
      </c>
      <c r="P114" s="71" t="s">
        <v>924</v>
      </c>
      <c r="Q114" s="71" t="s">
        <v>94</v>
      </c>
      <c r="R114" s="71" t="s">
        <v>148</v>
      </c>
      <c r="S114" s="71"/>
      <c r="T114" s="71"/>
      <c r="U114" s="71"/>
      <c r="V114" s="71"/>
      <c r="W114" s="71"/>
      <c r="X114" s="71" t="s">
        <v>906</v>
      </c>
      <c r="Y114" s="71"/>
      <c r="Z114" s="71" t="s">
        <v>1559</v>
      </c>
      <c r="AA114" s="71" t="s">
        <v>874</v>
      </c>
      <c r="AB114" s="71"/>
      <c r="AC114" s="71" t="s">
        <v>21</v>
      </c>
      <c r="AD114" s="71"/>
      <c r="AE114" s="71"/>
      <c r="AF114" s="71"/>
      <c r="AG114" s="71"/>
      <c r="AH114" s="71" t="s">
        <v>1560</v>
      </c>
      <c r="AI114" s="71" t="s">
        <v>772</v>
      </c>
      <c r="AJ114" s="71">
        <v>8845516</v>
      </c>
      <c r="AK114" s="71" t="s">
        <v>523</v>
      </c>
      <c r="AL114" s="71">
        <v>924939</v>
      </c>
      <c r="AM114" s="71"/>
      <c r="AN114" s="71"/>
      <c r="AO114" s="71" t="s">
        <v>773</v>
      </c>
      <c r="AP114" s="71" t="s">
        <v>774</v>
      </c>
      <c r="AQ114" s="71" t="s">
        <v>775</v>
      </c>
      <c r="AR114" s="71" t="s">
        <v>788</v>
      </c>
      <c r="AS114" s="71" t="s">
        <v>777</v>
      </c>
      <c r="AT114" s="71"/>
      <c r="AU114" s="71"/>
    </row>
    <row r="115" spans="1:53" ht="96" hidden="1" customHeight="1" x14ac:dyDescent="0.2">
      <c r="A115" s="71" t="s">
        <v>1561</v>
      </c>
      <c r="B115" s="71">
        <v>2025</v>
      </c>
      <c r="C115" s="72" t="s">
        <v>1531</v>
      </c>
      <c r="D115" s="71" t="s">
        <v>1532</v>
      </c>
      <c r="E115" s="71" t="s">
        <v>300</v>
      </c>
      <c r="F115" s="71" t="s">
        <v>165</v>
      </c>
      <c r="G115" s="71">
        <v>3</v>
      </c>
      <c r="H115" s="71" t="s">
        <v>300</v>
      </c>
      <c r="I115" s="71" t="s">
        <v>1562</v>
      </c>
      <c r="J115" s="71" t="s">
        <v>20</v>
      </c>
      <c r="K115" s="71" t="s">
        <v>1166</v>
      </c>
      <c r="L115" s="71" t="s">
        <v>24</v>
      </c>
      <c r="M115" s="71" t="s">
        <v>25</v>
      </c>
      <c r="N115" s="71" t="s">
        <v>1563</v>
      </c>
      <c r="O115" s="71">
        <v>190.00674028</v>
      </c>
      <c r="P115" s="71" t="s">
        <v>1535</v>
      </c>
      <c r="Q115" s="71" t="s">
        <v>132</v>
      </c>
      <c r="R115" s="71" t="s">
        <v>303</v>
      </c>
      <c r="S115" s="71"/>
      <c r="T115" s="71"/>
      <c r="U115" s="71"/>
      <c r="V115" s="71"/>
      <c r="W115" s="71"/>
      <c r="X115" s="71" t="s">
        <v>795</v>
      </c>
      <c r="Y115" s="71"/>
      <c r="Z115" s="71" t="s">
        <v>796</v>
      </c>
      <c r="AA115" s="71" t="s">
        <v>770</v>
      </c>
      <c r="AB115" s="71"/>
      <c r="AC115" s="71" t="s">
        <v>21</v>
      </c>
      <c r="AD115" s="71" t="s">
        <v>797</v>
      </c>
      <c r="AE115" s="71"/>
      <c r="AF115" s="71"/>
      <c r="AG115" s="71"/>
      <c r="AH115" s="71" t="s">
        <v>1564</v>
      </c>
      <c r="AI115" s="71" t="s">
        <v>772</v>
      </c>
      <c r="AJ115" s="71">
        <v>9005994</v>
      </c>
      <c r="AK115" s="71" t="s">
        <v>301</v>
      </c>
      <c r="AL115" s="71">
        <v>809347</v>
      </c>
      <c r="AM115" s="71"/>
      <c r="AN115" s="71" t="s">
        <v>1374</v>
      </c>
      <c r="AO115" s="71" t="s">
        <v>800</v>
      </c>
      <c r="AP115" s="71" t="s">
        <v>774</v>
      </c>
      <c r="AQ115" s="71" t="s">
        <v>801</v>
      </c>
      <c r="AR115" s="71" t="s">
        <v>802</v>
      </c>
      <c r="AS115" s="71" t="s">
        <v>801</v>
      </c>
      <c r="AT115" s="71"/>
      <c r="AU115" s="71" t="s">
        <v>862</v>
      </c>
      <c r="AV115">
        <v>0</v>
      </c>
    </row>
    <row r="116" spans="1:53" ht="60" hidden="1" customHeight="1" x14ac:dyDescent="0.2">
      <c r="A116" s="71" t="s">
        <v>1565</v>
      </c>
      <c r="B116" s="71">
        <v>2025</v>
      </c>
      <c r="C116" s="72" t="s">
        <v>1531</v>
      </c>
      <c r="D116" s="71" t="s">
        <v>1532</v>
      </c>
      <c r="E116" s="71" t="s">
        <v>300</v>
      </c>
      <c r="F116" s="71" t="s">
        <v>165</v>
      </c>
      <c r="G116" s="71">
        <v>3</v>
      </c>
      <c r="H116" s="71" t="s">
        <v>300</v>
      </c>
      <c r="I116" s="71" t="s">
        <v>1566</v>
      </c>
      <c r="J116" s="71" t="s">
        <v>20</v>
      </c>
      <c r="K116" s="71" t="s">
        <v>1166</v>
      </c>
      <c r="L116" s="71" t="s">
        <v>24</v>
      </c>
      <c r="M116" s="71" t="s">
        <v>25</v>
      </c>
      <c r="N116" s="71" t="s">
        <v>1567</v>
      </c>
      <c r="O116" s="71">
        <v>190.00674029999999</v>
      </c>
      <c r="P116" s="71" t="s">
        <v>1535</v>
      </c>
      <c r="Q116" s="71" t="s">
        <v>132</v>
      </c>
      <c r="R116" s="71" t="s">
        <v>303</v>
      </c>
      <c r="S116" s="71"/>
      <c r="T116" s="71"/>
      <c r="U116" s="71"/>
      <c r="V116" s="71"/>
      <c r="W116" s="71"/>
      <c r="X116" s="71" t="s">
        <v>795</v>
      </c>
      <c r="Y116" s="71"/>
      <c r="Z116" s="71" t="s">
        <v>796</v>
      </c>
      <c r="AA116" s="71" t="s">
        <v>770</v>
      </c>
      <c r="AB116" s="71"/>
      <c r="AC116" s="71" t="s">
        <v>21</v>
      </c>
      <c r="AD116" s="71" t="s">
        <v>797</v>
      </c>
      <c r="AE116" s="71"/>
      <c r="AF116" s="71"/>
      <c r="AG116" s="71"/>
      <c r="AH116" s="71" t="s">
        <v>1568</v>
      </c>
      <c r="AI116" s="71" t="s">
        <v>772</v>
      </c>
      <c r="AJ116" s="71">
        <v>9005963</v>
      </c>
      <c r="AK116" s="71" t="s">
        <v>301</v>
      </c>
      <c r="AL116" s="71">
        <v>809346</v>
      </c>
      <c r="AM116" s="71"/>
      <c r="AN116" s="71" t="s">
        <v>1569</v>
      </c>
      <c r="AO116" s="71" t="s">
        <v>800</v>
      </c>
      <c r="AP116" s="71" t="s">
        <v>774</v>
      </c>
      <c r="AQ116" s="71" t="s">
        <v>801</v>
      </c>
      <c r="AR116" s="71" t="s">
        <v>802</v>
      </c>
      <c r="AS116" s="71" t="s">
        <v>801</v>
      </c>
      <c r="AT116" s="71"/>
      <c r="AU116" s="71" t="s">
        <v>862</v>
      </c>
      <c r="AV116">
        <v>0</v>
      </c>
    </row>
    <row r="117" spans="1:53" ht="204" hidden="1" customHeight="1" x14ac:dyDescent="0.2">
      <c r="A117" s="71" t="s">
        <v>1570</v>
      </c>
      <c r="B117" s="71">
        <v>2025</v>
      </c>
      <c r="C117" s="72" t="s">
        <v>1531</v>
      </c>
      <c r="D117" s="71" t="s">
        <v>1532</v>
      </c>
      <c r="E117" s="71" t="s">
        <v>300</v>
      </c>
      <c r="F117" s="71" t="s">
        <v>165</v>
      </c>
      <c r="G117" s="71">
        <v>3</v>
      </c>
      <c r="H117" s="71" t="s">
        <v>300</v>
      </c>
      <c r="I117" s="71" t="s">
        <v>1571</v>
      </c>
      <c r="J117" s="71" t="s">
        <v>20</v>
      </c>
      <c r="K117" s="71" t="s">
        <v>1166</v>
      </c>
      <c r="L117" s="71" t="s">
        <v>24</v>
      </c>
      <c r="M117" s="71" t="s">
        <v>25</v>
      </c>
      <c r="N117" s="71" t="s">
        <v>1572</v>
      </c>
      <c r="O117" s="71">
        <v>190.00674015999999</v>
      </c>
      <c r="P117" s="71" t="s">
        <v>1535</v>
      </c>
      <c r="Q117" s="71" t="s">
        <v>132</v>
      </c>
      <c r="R117" s="71" t="s">
        <v>303</v>
      </c>
      <c r="S117" s="71"/>
      <c r="T117" s="71"/>
      <c r="U117" s="71"/>
      <c r="V117" s="71"/>
      <c r="W117" s="71"/>
      <c r="X117" s="71" t="s">
        <v>795</v>
      </c>
      <c r="Y117" s="71"/>
      <c r="Z117" s="71" t="s">
        <v>796</v>
      </c>
      <c r="AA117" s="71" t="s">
        <v>770</v>
      </c>
      <c r="AB117" s="71"/>
      <c r="AC117" s="71" t="s">
        <v>21</v>
      </c>
      <c r="AD117" s="71" t="s">
        <v>797</v>
      </c>
      <c r="AE117" s="71"/>
      <c r="AF117" s="71"/>
      <c r="AG117" s="71"/>
      <c r="AH117" s="71" t="s">
        <v>1573</v>
      </c>
      <c r="AI117" s="71" t="s">
        <v>772</v>
      </c>
      <c r="AJ117" s="71">
        <v>9006060</v>
      </c>
      <c r="AK117" s="71" t="s">
        <v>301</v>
      </c>
      <c r="AL117" s="71">
        <v>809349</v>
      </c>
      <c r="AM117" s="71"/>
      <c r="AN117" s="71" t="s">
        <v>811</v>
      </c>
      <c r="AO117" s="71" t="s">
        <v>800</v>
      </c>
      <c r="AP117" s="71" t="s">
        <v>774</v>
      </c>
      <c r="AQ117" s="71" t="s">
        <v>801</v>
      </c>
      <c r="AR117" s="71" t="s">
        <v>802</v>
      </c>
      <c r="AS117" s="71" t="s">
        <v>801</v>
      </c>
      <c r="AT117" s="71"/>
      <c r="AU117" s="71" t="s">
        <v>862</v>
      </c>
      <c r="AV117">
        <v>0</v>
      </c>
      <c r="AW117">
        <v>0</v>
      </c>
    </row>
    <row r="118" spans="1:53" ht="72" hidden="1" customHeight="1" x14ac:dyDescent="0.2">
      <c r="A118" s="71" t="s">
        <v>1574</v>
      </c>
      <c r="B118" s="71">
        <v>2025</v>
      </c>
      <c r="C118" s="72" t="s">
        <v>1531</v>
      </c>
      <c r="D118" s="71" t="s">
        <v>1532</v>
      </c>
      <c r="E118" s="71" t="s">
        <v>300</v>
      </c>
      <c r="F118" s="71" t="s">
        <v>165</v>
      </c>
      <c r="G118" s="71">
        <v>3</v>
      </c>
      <c r="H118" s="71" t="s">
        <v>300</v>
      </c>
      <c r="I118" s="71" t="s">
        <v>1575</v>
      </c>
      <c r="J118" s="71" t="s">
        <v>20</v>
      </c>
      <c r="K118" s="71" t="s">
        <v>1166</v>
      </c>
      <c r="L118" s="71" t="s">
        <v>24</v>
      </c>
      <c r="M118" s="71" t="s">
        <v>25</v>
      </c>
      <c r="N118" s="71" t="s">
        <v>1576</v>
      </c>
      <c r="O118" s="71">
        <v>190.00674011000001</v>
      </c>
      <c r="P118" s="71" t="s">
        <v>1535</v>
      </c>
      <c r="Q118" s="71" t="s">
        <v>132</v>
      </c>
      <c r="R118" s="71" t="s">
        <v>303</v>
      </c>
      <c r="S118" s="71"/>
      <c r="T118" s="71"/>
      <c r="U118" s="71"/>
      <c r="V118" s="71"/>
      <c r="W118" s="71"/>
      <c r="X118" s="71" t="s">
        <v>795</v>
      </c>
      <c r="Y118" s="71"/>
      <c r="Z118" s="71" t="s">
        <v>796</v>
      </c>
      <c r="AA118" s="71" t="s">
        <v>770</v>
      </c>
      <c r="AB118" s="71"/>
      <c r="AC118" s="71" t="s">
        <v>21</v>
      </c>
      <c r="AD118" s="71" t="s">
        <v>797</v>
      </c>
      <c r="AE118" s="71"/>
      <c r="AF118" s="71"/>
      <c r="AG118" s="71"/>
      <c r="AH118" s="71" t="s">
        <v>1577</v>
      </c>
      <c r="AI118" s="71" t="s">
        <v>772</v>
      </c>
      <c r="AJ118" s="71">
        <v>9006026</v>
      </c>
      <c r="AK118" s="71" t="s">
        <v>301</v>
      </c>
      <c r="AL118" s="71">
        <v>809277</v>
      </c>
      <c r="AM118" s="71"/>
      <c r="AN118" s="71" t="s">
        <v>1374</v>
      </c>
      <c r="AO118" s="71" t="s">
        <v>800</v>
      </c>
      <c r="AP118" s="71" t="s">
        <v>774</v>
      </c>
      <c r="AQ118" s="71" t="s">
        <v>801</v>
      </c>
      <c r="AR118" s="71" t="s">
        <v>802</v>
      </c>
      <c r="AS118" s="71" t="s">
        <v>801</v>
      </c>
      <c r="AT118" s="71"/>
      <c r="AU118" s="71" t="s">
        <v>862</v>
      </c>
      <c r="AV118" s="178">
        <v>0</v>
      </c>
      <c r="AW118">
        <v>0</v>
      </c>
    </row>
    <row r="119" spans="1:53" ht="168" hidden="1" customHeight="1" x14ac:dyDescent="0.2">
      <c r="A119" s="71" t="s">
        <v>1578</v>
      </c>
      <c r="B119" s="71">
        <v>2025</v>
      </c>
      <c r="C119" s="72" t="s">
        <v>1531</v>
      </c>
      <c r="D119" s="71" t="s">
        <v>1532</v>
      </c>
      <c r="E119" s="71" t="s">
        <v>300</v>
      </c>
      <c r="F119" s="71" t="s">
        <v>165</v>
      </c>
      <c r="G119" s="71">
        <v>3</v>
      </c>
      <c r="H119" s="71" t="s">
        <v>300</v>
      </c>
      <c r="I119" s="71" t="s">
        <v>1579</v>
      </c>
      <c r="J119" s="71" t="s">
        <v>20</v>
      </c>
      <c r="K119" s="71" t="s">
        <v>1166</v>
      </c>
      <c r="L119" s="71" t="s">
        <v>24</v>
      </c>
      <c r="M119" s="71" t="s">
        <v>25</v>
      </c>
      <c r="N119" s="71" t="s">
        <v>1580</v>
      </c>
      <c r="O119" s="71">
        <v>190.01259702999999</v>
      </c>
      <c r="P119" s="71" t="s">
        <v>1535</v>
      </c>
      <c r="Q119" s="71" t="s">
        <v>132</v>
      </c>
      <c r="R119" s="71" t="s">
        <v>303</v>
      </c>
      <c r="S119" s="71"/>
      <c r="T119" s="71"/>
      <c r="U119" s="71"/>
      <c r="V119" s="71"/>
      <c r="W119" s="71"/>
      <c r="X119" s="71" t="s">
        <v>795</v>
      </c>
      <c r="Y119" s="71"/>
      <c r="Z119" s="71" t="s">
        <v>796</v>
      </c>
      <c r="AA119" s="71" t="s">
        <v>770</v>
      </c>
      <c r="AB119" s="71"/>
      <c r="AC119" s="71" t="s">
        <v>21</v>
      </c>
      <c r="AD119" s="71" t="s">
        <v>797</v>
      </c>
      <c r="AE119" s="71"/>
      <c r="AF119" s="71"/>
      <c r="AG119" s="71"/>
      <c r="AH119" s="71" t="s">
        <v>1581</v>
      </c>
      <c r="AI119" s="71" t="s">
        <v>772</v>
      </c>
      <c r="AJ119" s="71">
        <v>9005930</v>
      </c>
      <c r="AK119" s="71" t="s">
        <v>301</v>
      </c>
      <c r="AL119" s="71">
        <v>809345</v>
      </c>
      <c r="AM119" s="71"/>
      <c r="AN119" s="71" t="s">
        <v>1374</v>
      </c>
      <c r="AO119" s="71" t="s">
        <v>800</v>
      </c>
      <c r="AP119" s="71" t="s">
        <v>774</v>
      </c>
      <c r="AQ119" s="71" t="s">
        <v>801</v>
      </c>
      <c r="AR119" s="71" t="s">
        <v>802</v>
      </c>
      <c r="AS119" s="71" t="s">
        <v>801</v>
      </c>
      <c r="AT119" s="71"/>
      <c r="AU119" s="71" t="s">
        <v>862</v>
      </c>
      <c r="AV119">
        <v>0</v>
      </c>
    </row>
    <row r="120" spans="1:53" ht="192" hidden="1" customHeight="1" x14ac:dyDescent="0.2">
      <c r="A120" s="71" t="s">
        <v>299</v>
      </c>
      <c r="B120" s="71">
        <v>2025</v>
      </c>
      <c r="C120" s="72" t="s">
        <v>1531</v>
      </c>
      <c r="D120" s="71" t="s">
        <v>1532</v>
      </c>
      <c r="E120" s="71" t="s">
        <v>300</v>
      </c>
      <c r="F120" s="71" t="s">
        <v>165</v>
      </c>
      <c r="G120" s="71">
        <v>3</v>
      </c>
      <c r="H120" s="71" t="s">
        <v>300</v>
      </c>
      <c r="I120" s="71" t="s">
        <v>1582</v>
      </c>
      <c r="J120" s="71" t="s">
        <v>20</v>
      </c>
      <c r="K120" s="71" t="s">
        <v>1166</v>
      </c>
      <c r="L120" s="71" t="s">
        <v>24</v>
      </c>
      <c r="M120" s="71" t="s">
        <v>25</v>
      </c>
      <c r="N120" s="71" t="s">
        <v>1583</v>
      </c>
      <c r="O120" s="71">
        <v>190.00674013</v>
      </c>
      <c r="P120" s="71" t="s">
        <v>1535</v>
      </c>
      <c r="Q120" s="71" t="s">
        <v>132</v>
      </c>
      <c r="R120" s="71" t="s">
        <v>303</v>
      </c>
      <c r="S120" s="71"/>
      <c r="T120" s="71"/>
      <c r="U120" s="71"/>
      <c r="V120" s="71"/>
      <c r="W120" s="71"/>
      <c r="X120" s="71" t="s">
        <v>795</v>
      </c>
      <c r="Y120" s="71"/>
      <c r="Z120" s="71" t="s">
        <v>796</v>
      </c>
      <c r="AA120" s="71" t="s">
        <v>770</v>
      </c>
      <c r="AB120" s="71"/>
      <c r="AC120" s="71" t="s">
        <v>21</v>
      </c>
      <c r="AD120" s="71" t="s">
        <v>797</v>
      </c>
      <c r="AE120" s="71"/>
      <c r="AF120" s="71"/>
      <c r="AG120" s="71"/>
      <c r="AH120" s="71" t="s">
        <v>1584</v>
      </c>
      <c r="AI120" s="71" t="s">
        <v>772</v>
      </c>
      <c r="AJ120" s="71">
        <v>9006042</v>
      </c>
      <c r="AK120" s="71" t="s">
        <v>301</v>
      </c>
      <c r="AL120" s="71">
        <v>809319</v>
      </c>
      <c r="AM120" s="71"/>
      <c r="AN120" s="71" t="s">
        <v>1374</v>
      </c>
      <c r="AO120" s="71" t="s">
        <v>800</v>
      </c>
      <c r="AP120" s="71" t="s">
        <v>774</v>
      </c>
      <c r="AQ120" s="71" t="s">
        <v>801</v>
      </c>
      <c r="AR120" s="71" t="s">
        <v>802</v>
      </c>
      <c r="AS120" s="71" t="s">
        <v>801</v>
      </c>
      <c r="AT120" s="71"/>
      <c r="AU120" s="71" t="s">
        <v>862</v>
      </c>
      <c r="AV120">
        <v>0</v>
      </c>
      <c r="AW120">
        <v>0</v>
      </c>
    </row>
    <row r="121" spans="1:53" ht="99.75" hidden="1" customHeight="1" x14ac:dyDescent="0.2">
      <c r="A121" s="71" t="s">
        <v>1585</v>
      </c>
      <c r="B121" s="71">
        <v>2025</v>
      </c>
      <c r="C121" s="72" t="s">
        <v>1586</v>
      </c>
      <c r="D121" s="71" t="s">
        <v>1587</v>
      </c>
      <c r="E121" s="71" t="s">
        <v>1588</v>
      </c>
      <c r="F121" s="71" t="s">
        <v>1541</v>
      </c>
      <c r="G121" s="71">
        <v>2</v>
      </c>
      <c r="H121" s="71" t="s">
        <v>1588</v>
      </c>
      <c r="I121" s="71" t="s">
        <v>1589</v>
      </c>
      <c r="J121" s="71" t="s">
        <v>20</v>
      </c>
      <c r="K121" s="71" t="s">
        <v>1428</v>
      </c>
      <c r="L121" s="71" t="s">
        <v>131</v>
      </c>
      <c r="M121" s="71" t="s">
        <v>25</v>
      </c>
      <c r="N121" s="71" t="s">
        <v>1590</v>
      </c>
      <c r="O121" s="71">
        <v>190.02397877000001</v>
      </c>
      <c r="P121" s="71" t="s">
        <v>1591</v>
      </c>
      <c r="Q121" s="71" t="s">
        <v>58</v>
      </c>
      <c r="R121" s="71" t="s">
        <v>148</v>
      </c>
      <c r="S121" s="71"/>
      <c r="T121" s="71"/>
      <c r="U121" s="71"/>
      <c r="V121" s="71"/>
      <c r="W121" s="71"/>
      <c r="X121" s="71" t="s">
        <v>1592</v>
      </c>
      <c r="Y121" s="71"/>
      <c r="Z121" s="71" t="s">
        <v>1004</v>
      </c>
      <c r="AA121" s="71" t="s">
        <v>770</v>
      </c>
      <c r="AB121" s="71"/>
      <c r="AC121" s="71" t="s">
        <v>21</v>
      </c>
      <c r="AD121" s="71"/>
      <c r="AE121" s="71"/>
      <c r="AF121" s="71"/>
      <c r="AG121" s="71"/>
      <c r="AH121" s="71" t="s">
        <v>1593</v>
      </c>
      <c r="AI121" s="71" t="s">
        <v>772</v>
      </c>
      <c r="AJ121" s="71">
        <v>9205760</v>
      </c>
      <c r="AK121" s="71" t="s">
        <v>28</v>
      </c>
      <c r="AL121" s="71">
        <v>807050</v>
      </c>
      <c r="AM121" s="71"/>
      <c r="AN121" s="71"/>
      <c r="AO121" s="71" t="s">
        <v>800</v>
      </c>
      <c r="AP121" s="71" t="s">
        <v>774</v>
      </c>
      <c r="AQ121" s="71" t="s">
        <v>801</v>
      </c>
      <c r="AR121" s="71" t="s">
        <v>802</v>
      </c>
      <c r="AS121" s="71" t="s">
        <v>801</v>
      </c>
      <c r="AT121" s="71"/>
      <c r="AU121" s="71"/>
      <c r="AV121" t="s">
        <v>803</v>
      </c>
      <c r="AW121">
        <f>35*3</f>
        <v>105</v>
      </c>
      <c r="AX121" t="s">
        <v>758</v>
      </c>
      <c r="BA121" t="s">
        <v>1594</v>
      </c>
    </row>
    <row r="122" spans="1:53" ht="84" hidden="1" customHeight="1" x14ac:dyDescent="0.2">
      <c r="A122" s="71" t="s">
        <v>143</v>
      </c>
      <c r="B122" s="71">
        <v>2025</v>
      </c>
      <c r="C122" s="71" t="s">
        <v>1595</v>
      </c>
      <c r="D122" s="71" t="s">
        <v>1596</v>
      </c>
      <c r="E122" s="71" t="s">
        <v>146</v>
      </c>
      <c r="F122" s="71" t="s">
        <v>145</v>
      </c>
      <c r="G122" s="71">
        <v>3</v>
      </c>
      <c r="H122" s="71" t="s">
        <v>146</v>
      </c>
      <c r="I122" s="71" t="s">
        <v>1597</v>
      </c>
      <c r="J122" s="71" t="s">
        <v>144</v>
      </c>
      <c r="K122" s="71" t="s">
        <v>792</v>
      </c>
      <c r="L122" s="71" t="s">
        <v>131</v>
      </c>
      <c r="M122" s="71" t="s">
        <v>25</v>
      </c>
      <c r="N122" s="71" t="s">
        <v>1598</v>
      </c>
      <c r="O122" s="71">
        <v>190.00897506999999</v>
      </c>
      <c r="P122" s="71" t="s">
        <v>1599</v>
      </c>
      <c r="Q122" s="71" t="s">
        <v>132</v>
      </c>
      <c r="R122" s="71" t="s">
        <v>148</v>
      </c>
      <c r="S122" s="71"/>
      <c r="T122" s="71"/>
      <c r="U122" s="71"/>
      <c r="V122" s="71"/>
      <c r="W122" s="71"/>
      <c r="X122" s="71" t="s">
        <v>795</v>
      </c>
      <c r="Y122" s="71"/>
      <c r="Z122" s="71" t="s">
        <v>796</v>
      </c>
      <c r="AA122" s="71" t="s">
        <v>770</v>
      </c>
      <c r="AB122" s="71"/>
      <c r="AC122" s="71" t="s">
        <v>21</v>
      </c>
      <c r="AD122" s="71" t="s">
        <v>797</v>
      </c>
      <c r="AE122" s="71"/>
      <c r="AF122" s="71"/>
      <c r="AG122" s="71"/>
      <c r="AH122" s="71" t="s">
        <v>1600</v>
      </c>
      <c r="AI122" s="71" t="s">
        <v>772</v>
      </c>
      <c r="AJ122" s="71">
        <v>9208561</v>
      </c>
      <c r="AK122" s="71" t="s">
        <v>147</v>
      </c>
      <c r="AL122" s="71">
        <v>763848</v>
      </c>
      <c r="AM122" s="71"/>
      <c r="AN122" s="71" t="s">
        <v>831</v>
      </c>
      <c r="AO122" s="71" t="s">
        <v>800</v>
      </c>
      <c r="AP122" s="71" t="s">
        <v>774</v>
      </c>
      <c r="AQ122" s="71" t="s">
        <v>801</v>
      </c>
      <c r="AR122" s="71" t="s">
        <v>802</v>
      </c>
      <c r="AS122" s="71" t="s">
        <v>801</v>
      </c>
      <c r="AT122" s="71"/>
      <c r="AU122" s="71"/>
      <c r="AV122">
        <v>35</v>
      </c>
      <c r="AW122">
        <v>200</v>
      </c>
    </row>
    <row r="123" spans="1:53" hidden="1" x14ac:dyDescent="0.2">
      <c r="A123" s="71" t="s">
        <v>216</v>
      </c>
      <c r="B123" s="71">
        <v>2025</v>
      </c>
      <c r="C123" s="71" t="s">
        <v>1601</v>
      </c>
      <c r="D123" s="71" t="s">
        <v>1602</v>
      </c>
      <c r="E123" s="71" t="s">
        <v>217</v>
      </c>
      <c r="F123" s="71" t="s">
        <v>203</v>
      </c>
      <c r="G123" s="71">
        <v>3</v>
      </c>
      <c r="H123" s="71" t="s">
        <v>217</v>
      </c>
      <c r="I123" s="71" t="s">
        <v>1603</v>
      </c>
      <c r="J123" s="71" t="s">
        <v>144</v>
      </c>
      <c r="K123" s="71" t="s">
        <v>792</v>
      </c>
      <c r="L123" s="71" t="s">
        <v>131</v>
      </c>
      <c r="M123" s="71" t="s">
        <v>25</v>
      </c>
      <c r="N123" s="71" t="s">
        <v>1604</v>
      </c>
      <c r="O123" s="71">
        <v>190.00494674000001</v>
      </c>
      <c r="P123" s="71" t="s">
        <v>1605</v>
      </c>
      <c r="Q123" s="71" t="s">
        <v>132</v>
      </c>
      <c r="R123" s="71" t="s">
        <v>148</v>
      </c>
      <c r="S123" s="71"/>
      <c r="T123" s="71"/>
      <c r="U123" s="71"/>
      <c r="V123" s="71"/>
      <c r="W123" s="71"/>
      <c r="X123" s="71" t="s">
        <v>795</v>
      </c>
      <c r="Y123" s="71"/>
      <c r="Z123" s="71" t="s">
        <v>796</v>
      </c>
      <c r="AA123" s="71" t="s">
        <v>770</v>
      </c>
      <c r="AB123" s="71"/>
      <c r="AC123" s="71" t="s">
        <v>21</v>
      </c>
      <c r="AD123" s="71" t="s">
        <v>797</v>
      </c>
      <c r="AE123" s="71"/>
      <c r="AF123" s="71"/>
      <c r="AG123" s="71"/>
      <c r="AH123" s="71" t="s">
        <v>1606</v>
      </c>
      <c r="AI123" s="71" t="s">
        <v>772</v>
      </c>
      <c r="AJ123" s="71">
        <v>9198735</v>
      </c>
      <c r="AK123" s="71" t="s">
        <v>28</v>
      </c>
      <c r="AL123" s="71">
        <v>805568</v>
      </c>
      <c r="AM123" s="71"/>
      <c r="AN123" s="71" t="s">
        <v>1374</v>
      </c>
      <c r="AO123" s="71" t="s">
        <v>800</v>
      </c>
      <c r="AP123" s="71" t="s">
        <v>774</v>
      </c>
      <c r="AQ123" s="71" t="s">
        <v>801</v>
      </c>
      <c r="AR123" s="71" t="s">
        <v>802</v>
      </c>
      <c r="AS123" s="71" t="s">
        <v>801</v>
      </c>
      <c r="AT123" s="71"/>
      <c r="AU123" s="71"/>
      <c r="AV123">
        <v>35</v>
      </c>
      <c r="AW123">
        <v>200</v>
      </c>
    </row>
    <row r="124" spans="1:53" ht="228" hidden="1" customHeight="1" x14ac:dyDescent="0.2">
      <c r="A124" s="71" t="s">
        <v>286</v>
      </c>
      <c r="B124" s="71">
        <v>2025</v>
      </c>
      <c r="C124" s="72" t="s">
        <v>1607</v>
      </c>
      <c r="D124" s="71" t="s">
        <v>1608</v>
      </c>
      <c r="E124" s="71" t="s">
        <v>289</v>
      </c>
      <c r="F124" s="71" t="s">
        <v>287</v>
      </c>
      <c r="G124" s="71">
        <v>2</v>
      </c>
      <c r="H124" s="71" t="s">
        <v>288</v>
      </c>
      <c r="I124" s="71" t="s">
        <v>1609</v>
      </c>
      <c r="J124" s="71" t="s">
        <v>20</v>
      </c>
      <c r="K124" s="71" t="s">
        <v>1385</v>
      </c>
      <c r="L124" s="71" t="s">
        <v>35</v>
      </c>
      <c r="M124" s="71" t="s">
        <v>25</v>
      </c>
      <c r="N124" s="71" t="s">
        <v>1610</v>
      </c>
      <c r="O124" s="71">
        <v>190.00955467</v>
      </c>
      <c r="P124" s="71" t="s">
        <v>1611</v>
      </c>
      <c r="Q124" s="71" t="s">
        <v>132</v>
      </c>
      <c r="R124" s="71" t="s">
        <v>148</v>
      </c>
      <c r="S124" s="71"/>
      <c r="T124" s="71"/>
      <c r="U124" s="71"/>
      <c r="V124" s="71"/>
      <c r="W124" s="71"/>
      <c r="X124" s="71" t="s">
        <v>795</v>
      </c>
      <c r="Y124" s="71"/>
      <c r="Z124" s="71" t="s">
        <v>796</v>
      </c>
      <c r="AA124" s="71" t="s">
        <v>770</v>
      </c>
      <c r="AB124" s="71"/>
      <c r="AC124" s="71" t="s">
        <v>21</v>
      </c>
      <c r="AD124" s="71" t="s">
        <v>797</v>
      </c>
      <c r="AE124" s="71"/>
      <c r="AF124" s="71"/>
      <c r="AG124" s="71"/>
      <c r="AH124" s="71" t="s">
        <v>1612</v>
      </c>
      <c r="AI124" s="71" t="s">
        <v>772</v>
      </c>
      <c r="AJ124" s="71">
        <v>9206122</v>
      </c>
      <c r="AK124" s="71" t="s">
        <v>28</v>
      </c>
      <c r="AL124" s="71">
        <v>804880</v>
      </c>
      <c r="AM124" s="71" t="s">
        <v>984</v>
      </c>
      <c r="AN124" s="71" t="s">
        <v>1374</v>
      </c>
      <c r="AO124" s="71" t="s">
        <v>800</v>
      </c>
      <c r="AP124" s="71" t="s">
        <v>774</v>
      </c>
      <c r="AQ124" s="71" t="s">
        <v>801</v>
      </c>
      <c r="AR124" s="71" t="s">
        <v>802</v>
      </c>
      <c r="AS124" s="71" t="s">
        <v>801</v>
      </c>
      <c r="AT124" s="71"/>
      <c r="AU124" s="71"/>
      <c r="AV124">
        <v>35</v>
      </c>
      <c r="AW124">
        <v>290</v>
      </c>
    </row>
    <row r="125" spans="1:53" ht="216" hidden="1" customHeight="1" x14ac:dyDescent="0.2">
      <c r="A125" s="71" t="s">
        <v>160</v>
      </c>
      <c r="B125" s="71">
        <v>2025</v>
      </c>
      <c r="C125" s="71" t="s">
        <v>1613</v>
      </c>
      <c r="D125" s="71" t="s">
        <v>1614</v>
      </c>
      <c r="E125" s="71" t="s">
        <v>162</v>
      </c>
      <c r="F125" s="71" t="s">
        <v>161</v>
      </c>
      <c r="G125" s="71">
        <v>3</v>
      </c>
      <c r="H125" s="71" t="s">
        <v>162</v>
      </c>
      <c r="I125" s="71" t="s">
        <v>1615</v>
      </c>
      <c r="J125" s="71" t="s">
        <v>144</v>
      </c>
      <c r="K125" s="71" t="s">
        <v>792</v>
      </c>
      <c r="L125" s="71" t="s">
        <v>131</v>
      </c>
      <c r="M125" s="71" t="s">
        <v>25</v>
      </c>
      <c r="N125" s="71" t="s">
        <v>1616</v>
      </c>
      <c r="O125" s="71">
        <v>190.01223167000001</v>
      </c>
      <c r="P125" s="71" t="s">
        <v>1617</v>
      </c>
      <c r="Q125" s="71" t="s">
        <v>132</v>
      </c>
      <c r="R125" s="71" t="s">
        <v>148</v>
      </c>
      <c r="S125" s="71"/>
      <c r="T125" s="71"/>
      <c r="U125" s="71"/>
      <c r="V125" s="71"/>
      <c r="W125" s="71"/>
      <c r="X125" s="71" t="s">
        <v>795</v>
      </c>
      <c r="Y125" s="71"/>
      <c r="Z125" s="71" t="s">
        <v>796</v>
      </c>
      <c r="AA125" s="71" t="s">
        <v>770</v>
      </c>
      <c r="AB125" s="71"/>
      <c r="AC125" s="71" t="s">
        <v>21</v>
      </c>
      <c r="AD125" s="71" t="s">
        <v>797</v>
      </c>
      <c r="AE125" s="71"/>
      <c r="AF125" s="71"/>
      <c r="AG125" s="71"/>
      <c r="AH125" s="71" t="s">
        <v>1618</v>
      </c>
      <c r="AI125" s="71" t="s">
        <v>772</v>
      </c>
      <c r="AJ125" s="71">
        <v>9206314</v>
      </c>
      <c r="AK125" s="71" t="s">
        <v>28</v>
      </c>
      <c r="AL125" s="71">
        <v>811367</v>
      </c>
      <c r="AM125" s="71"/>
      <c r="AN125" s="71" t="s">
        <v>1374</v>
      </c>
      <c r="AO125" s="71" t="s">
        <v>800</v>
      </c>
      <c r="AP125" s="71" t="s">
        <v>774</v>
      </c>
      <c r="AQ125" s="71" t="s">
        <v>801</v>
      </c>
      <c r="AR125" s="71" t="s">
        <v>802</v>
      </c>
      <c r="AS125" s="71" t="s">
        <v>801</v>
      </c>
      <c r="AT125" s="71"/>
      <c r="AU125" s="71"/>
      <c r="AV125" s="178" t="s">
        <v>803</v>
      </c>
      <c r="AW125">
        <v>250</v>
      </c>
    </row>
    <row r="126" spans="1:53" ht="108" hidden="1" customHeight="1" x14ac:dyDescent="0.2">
      <c r="A126" s="97" t="s">
        <v>1619</v>
      </c>
      <c r="B126" s="71">
        <v>2025</v>
      </c>
      <c r="C126" s="100" t="s">
        <v>1620</v>
      </c>
      <c r="D126" s="71" t="s">
        <v>1621</v>
      </c>
      <c r="E126" s="71" t="s">
        <v>1622</v>
      </c>
      <c r="F126" s="71" t="s">
        <v>129</v>
      </c>
      <c r="G126" s="71">
        <v>3</v>
      </c>
      <c r="H126" s="71" t="s">
        <v>1622</v>
      </c>
      <c r="I126" s="71" t="s">
        <v>1623</v>
      </c>
      <c r="J126" s="71" t="s">
        <v>20</v>
      </c>
      <c r="K126" s="71" t="s">
        <v>1116</v>
      </c>
      <c r="L126" s="71" t="s">
        <v>131</v>
      </c>
      <c r="M126" s="71" t="s">
        <v>25</v>
      </c>
      <c r="N126" s="71" t="s">
        <v>1624</v>
      </c>
      <c r="O126" s="71">
        <v>190.0087642</v>
      </c>
      <c r="P126" s="71" t="s">
        <v>1625</v>
      </c>
      <c r="Q126" s="71" t="s">
        <v>132</v>
      </c>
      <c r="R126" s="71" t="s">
        <v>135</v>
      </c>
      <c r="S126" s="71"/>
      <c r="T126" s="71"/>
      <c r="U126" s="71"/>
      <c r="V126" s="71"/>
      <c r="W126" s="71"/>
      <c r="X126" s="71" t="s">
        <v>795</v>
      </c>
      <c r="Y126" s="71"/>
      <c r="Z126" s="71" t="s">
        <v>796</v>
      </c>
      <c r="AA126" s="71" t="s">
        <v>770</v>
      </c>
      <c r="AB126" s="71"/>
      <c r="AC126" s="71" t="s">
        <v>21</v>
      </c>
      <c r="AD126" s="71" t="s">
        <v>797</v>
      </c>
      <c r="AE126" s="71"/>
      <c r="AF126" s="71"/>
      <c r="AG126" s="71"/>
      <c r="AH126" s="71" t="s">
        <v>1626</v>
      </c>
      <c r="AI126" s="71" t="s">
        <v>772</v>
      </c>
      <c r="AJ126" s="71">
        <v>9145689</v>
      </c>
      <c r="AK126" s="71" t="s">
        <v>134</v>
      </c>
      <c r="AL126" s="71">
        <v>906400</v>
      </c>
      <c r="AM126" s="71" t="s">
        <v>984</v>
      </c>
      <c r="AN126" s="71" t="s">
        <v>799</v>
      </c>
      <c r="AO126" s="71" t="s">
        <v>800</v>
      </c>
      <c r="AP126" s="71" t="s">
        <v>774</v>
      </c>
      <c r="AQ126" s="71" t="s">
        <v>801</v>
      </c>
      <c r="AR126" s="71" t="s">
        <v>802</v>
      </c>
      <c r="AS126" s="71" t="s">
        <v>801</v>
      </c>
      <c r="AT126" s="71"/>
      <c r="AU126" s="71"/>
      <c r="AV126" s="178" t="s">
        <v>1627</v>
      </c>
    </row>
    <row r="127" spans="1:53" ht="252" hidden="1" customHeight="1" x14ac:dyDescent="0.2">
      <c r="A127" s="97" t="s">
        <v>128</v>
      </c>
      <c r="B127" s="71">
        <v>2025</v>
      </c>
      <c r="C127" s="72" t="s">
        <v>1628</v>
      </c>
      <c r="D127" s="71" t="s">
        <v>1629</v>
      </c>
      <c r="E127" s="71" t="s">
        <v>136</v>
      </c>
      <c r="F127" s="71" t="s">
        <v>129</v>
      </c>
      <c r="G127" s="71">
        <v>3</v>
      </c>
      <c r="H127" s="71" t="s">
        <v>130</v>
      </c>
      <c r="I127" s="71" t="s">
        <v>1630</v>
      </c>
      <c r="J127" s="71" t="s">
        <v>20</v>
      </c>
      <c r="K127" s="71" t="s">
        <v>1000</v>
      </c>
      <c r="L127" s="71" t="s">
        <v>131</v>
      </c>
      <c r="M127" s="71" t="s">
        <v>25</v>
      </c>
      <c r="N127" s="71" t="s">
        <v>1631</v>
      </c>
      <c r="O127" s="71">
        <v>190.00883784999999</v>
      </c>
      <c r="P127" s="71" t="s">
        <v>1632</v>
      </c>
      <c r="Q127" s="71" t="s">
        <v>132</v>
      </c>
      <c r="R127" s="71" t="s">
        <v>135</v>
      </c>
      <c r="S127" s="71"/>
      <c r="T127" s="71"/>
      <c r="U127" s="71"/>
      <c r="V127" s="71"/>
      <c r="W127" s="71"/>
      <c r="X127" s="71" t="s">
        <v>795</v>
      </c>
      <c r="Y127" s="71"/>
      <c r="Z127" s="71" t="s">
        <v>1419</v>
      </c>
      <c r="AA127" s="71" t="s">
        <v>770</v>
      </c>
      <c r="AB127" s="71"/>
      <c r="AC127" s="71" t="s">
        <v>21</v>
      </c>
      <c r="AD127" s="71" t="s">
        <v>797</v>
      </c>
      <c r="AE127" s="71"/>
      <c r="AF127" s="71"/>
      <c r="AG127" s="71"/>
      <c r="AH127" s="71" t="s">
        <v>1633</v>
      </c>
      <c r="AI127" s="71" t="s">
        <v>772</v>
      </c>
      <c r="AJ127" s="71">
        <v>9145974</v>
      </c>
      <c r="AK127" s="71" t="s">
        <v>134</v>
      </c>
      <c r="AL127" s="71">
        <v>906520</v>
      </c>
      <c r="AM127" s="71"/>
      <c r="AN127" s="71" t="s">
        <v>831</v>
      </c>
      <c r="AO127" s="71" t="s">
        <v>800</v>
      </c>
      <c r="AP127" s="71" t="s">
        <v>774</v>
      </c>
      <c r="AQ127" s="71" t="s">
        <v>801</v>
      </c>
      <c r="AR127" s="71" t="s">
        <v>802</v>
      </c>
      <c r="AS127" s="71" t="s">
        <v>801</v>
      </c>
      <c r="AT127" s="71"/>
      <c r="AU127" s="71"/>
      <c r="AV127" t="s">
        <v>803</v>
      </c>
      <c r="AW127">
        <v>300</v>
      </c>
    </row>
    <row r="128" spans="1:53" ht="108" customHeight="1" x14ac:dyDescent="0.2">
      <c r="A128" s="71" t="s">
        <v>344</v>
      </c>
      <c r="B128" s="71">
        <v>2025</v>
      </c>
      <c r="C128" s="71" t="s">
        <v>1634</v>
      </c>
      <c r="D128" s="71" t="s">
        <v>1635</v>
      </c>
      <c r="E128" s="71" t="s">
        <v>347</v>
      </c>
      <c r="F128" s="71" t="s">
        <v>266</v>
      </c>
      <c r="G128" s="71">
        <v>2</v>
      </c>
      <c r="H128" s="71" t="s">
        <v>345</v>
      </c>
      <c r="I128" s="71" t="s">
        <v>1636</v>
      </c>
      <c r="J128" s="71" t="s">
        <v>211</v>
      </c>
      <c r="K128" s="71" t="s">
        <v>97</v>
      </c>
      <c r="L128" s="71" t="s">
        <v>44</v>
      </c>
      <c r="M128" s="71" t="s">
        <v>25</v>
      </c>
      <c r="N128" s="71" t="s">
        <v>1637</v>
      </c>
      <c r="O128" s="71">
        <v>190.01267318999999</v>
      </c>
      <c r="P128" s="71" t="s">
        <v>1638</v>
      </c>
      <c r="Q128" s="71" t="s">
        <v>45</v>
      </c>
      <c r="R128" s="71" t="s">
        <v>31</v>
      </c>
      <c r="S128" s="71"/>
      <c r="T128" s="71"/>
      <c r="U128" s="71"/>
      <c r="V128" s="71"/>
      <c r="W128" s="71"/>
      <c r="X128" s="71" t="s">
        <v>312</v>
      </c>
      <c r="Y128" s="71"/>
      <c r="Z128" s="71" t="s">
        <v>1343</v>
      </c>
      <c r="AA128" s="71" t="s">
        <v>874</v>
      </c>
      <c r="AB128" s="71"/>
      <c r="AC128" s="71" t="s">
        <v>21</v>
      </c>
      <c r="AD128" s="71" t="s">
        <v>797</v>
      </c>
      <c r="AE128" s="71"/>
      <c r="AF128" s="71"/>
      <c r="AG128" s="71"/>
      <c r="AH128" s="71"/>
      <c r="AI128" s="71" t="s">
        <v>772</v>
      </c>
      <c r="AJ128" s="71">
        <v>8603487</v>
      </c>
      <c r="AK128" s="71" t="s">
        <v>346</v>
      </c>
      <c r="AL128" s="71">
        <v>794701</v>
      </c>
      <c r="AM128" s="71"/>
      <c r="AN128" s="71"/>
      <c r="AO128" s="71" t="s">
        <v>773</v>
      </c>
      <c r="AP128" s="71" t="s">
        <v>774</v>
      </c>
      <c r="AQ128" s="71" t="s">
        <v>926</v>
      </c>
      <c r="AR128" s="71" t="s">
        <v>802</v>
      </c>
      <c r="AS128" s="71" t="s">
        <v>884</v>
      </c>
      <c r="AT128" s="71"/>
      <c r="AU128" s="71"/>
    </row>
    <row r="129" spans="1:53" ht="96" customHeight="1" x14ac:dyDescent="0.2">
      <c r="A129" s="71" t="s">
        <v>348</v>
      </c>
      <c r="B129" s="71">
        <v>2025</v>
      </c>
      <c r="C129" s="72" t="s">
        <v>1639</v>
      </c>
      <c r="D129" s="71" t="s">
        <v>1640</v>
      </c>
      <c r="E129" s="71" t="s">
        <v>352</v>
      </c>
      <c r="F129" s="71" t="s">
        <v>349</v>
      </c>
      <c r="G129" s="71">
        <v>3</v>
      </c>
      <c r="H129" s="71" t="s">
        <v>350</v>
      </c>
      <c r="I129" s="71" t="s">
        <v>1641</v>
      </c>
      <c r="J129" s="71" t="s">
        <v>20</v>
      </c>
      <c r="K129" s="71" t="s">
        <v>1642</v>
      </c>
      <c r="L129" s="71" t="s">
        <v>35</v>
      </c>
      <c r="M129" s="71" t="s">
        <v>25</v>
      </c>
      <c r="N129" s="71" t="s">
        <v>1643</v>
      </c>
      <c r="O129" s="71">
        <v>190.02720393999999</v>
      </c>
      <c r="P129" s="71" t="s">
        <v>767</v>
      </c>
      <c r="Q129" s="71" t="s">
        <v>26</v>
      </c>
      <c r="R129" s="71" t="s">
        <v>148</v>
      </c>
      <c r="S129" s="71"/>
      <c r="T129" s="71"/>
      <c r="U129" s="71"/>
      <c r="V129" s="71"/>
      <c r="W129" s="71"/>
      <c r="X129" s="71" t="s">
        <v>768</v>
      </c>
      <c r="Y129" s="71"/>
      <c r="Z129" s="71" t="s">
        <v>1222</v>
      </c>
      <c r="AA129" s="71" t="s">
        <v>770</v>
      </c>
      <c r="AB129" s="71"/>
      <c r="AC129" s="71" t="s">
        <v>21</v>
      </c>
      <c r="AD129" s="71"/>
      <c r="AE129" s="71"/>
      <c r="AF129" s="71"/>
      <c r="AG129" s="71"/>
      <c r="AH129" s="71" t="s">
        <v>1644</v>
      </c>
      <c r="AI129" s="71" t="s">
        <v>772</v>
      </c>
      <c r="AJ129" s="71">
        <v>8694336</v>
      </c>
      <c r="AK129" s="71" t="s">
        <v>351</v>
      </c>
      <c r="AL129" s="71">
        <v>659925</v>
      </c>
      <c r="AM129" s="71"/>
      <c r="AN129" s="71"/>
      <c r="AO129" s="71" t="s">
        <v>773</v>
      </c>
      <c r="AP129" s="71" t="s">
        <v>774</v>
      </c>
      <c r="AQ129" s="71" t="s">
        <v>1093</v>
      </c>
      <c r="AR129" s="71" t="s">
        <v>776</v>
      </c>
      <c r="AS129" s="71" t="s">
        <v>1094</v>
      </c>
      <c r="AT129" s="71" t="s">
        <v>348</v>
      </c>
      <c r="AU129" s="71"/>
      <c r="AV129" s="179"/>
    </row>
    <row r="130" spans="1:53" ht="384" customHeight="1" x14ac:dyDescent="0.2">
      <c r="A130" s="71" t="s">
        <v>309</v>
      </c>
      <c r="B130" s="71">
        <v>2025</v>
      </c>
      <c r="C130" s="72" t="s">
        <v>1645</v>
      </c>
      <c r="D130" s="71" t="s">
        <v>1646</v>
      </c>
      <c r="E130" s="71"/>
      <c r="F130" s="71" t="s">
        <v>1647</v>
      </c>
      <c r="G130" s="71"/>
      <c r="H130" s="71" t="s">
        <v>311</v>
      </c>
      <c r="I130" s="71" t="s">
        <v>1648</v>
      </c>
      <c r="J130" s="71" t="s">
        <v>20</v>
      </c>
      <c r="K130" s="71" t="s">
        <v>1340</v>
      </c>
      <c r="L130" s="71" t="s">
        <v>35</v>
      </c>
      <c r="M130" s="71" t="s">
        <v>25</v>
      </c>
      <c r="N130" s="71" t="s">
        <v>1649</v>
      </c>
      <c r="O130" s="71">
        <v>190.01224223</v>
      </c>
      <c r="P130" s="71" t="s">
        <v>767</v>
      </c>
      <c r="Q130" s="71" t="s">
        <v>312</v>
      </c>
      <c r="R130" s="71" t="s">
        <v>31</v>
      </c>
      <c r="S130" s="71"/>
      <c r="T130" s="71"/>
      <c r="U130" s="71"/>
      <c r="V130" s="71"/>
      <c r="W130" s="71"/>
      <c r="X130" s="71" t="s">
        <v>312</v>
      </c>
      <c r="Y130" s="71"/>
      <c r="Z130" s="71" t="s">
        <v>1343</v>
      </c>
      <c r="AA130" s="71" t="s">
        <v>874</v>
      </c>
      <c r="AB130" s="71"/>
      <c r="AC130" s="71" t="s">
        <v>21</v>
      </c>
      <c r="AD130" s="71"/>
      <c r="AE130" s="71"/>
      <c r="AF130" s="71"/>
      <c r="AG130" s="71"/>
      <c r="AH130" s="71" t="s">
        <v>1650</v>
      </c>
      <c r="AI130" s="71" t="s">
        <v>772</v>
      </c>
      <c r="AJ130" s="71"/>
      <c r="AK130" s="71"/>
      <c r="AL130" s="71"/>
      <c r="AM130" s="71"/>
      <c r="AN130" s="71"/>
      <c r="AO130" s="71" t="s">
        <v>773</v>
      </c>
      <c r="AP130" s="71" t="s">
        <v>908</v>
      </c>
      <c r="AQ130" s="71" t="s">
        <v>775</v>
      </c>
      <c r="AR130" s="71" t="s">
        <v>788</v>
      </c>
      <c r="AS130" s="71" t="s">
        <v>777</v>
      </c>
      <c r="AT130" s="71"/>
      <c r="AU130" s="71"/>
    </row>
    <row r="131" spans="1:53" ht="276" customHeight="1" x14ac:dyDescent="0.2">
      <c r="A131" s="71" t="s">
        <v>327</v>
      </c>
      <c r="B131" s="71">
        <v>2025</v>
      </c>
      <c r="C131" s="72" t="s">
        <v>1651</v>
      </c>
      <c r="D131" s="71" t="s">
        <v>1652</v>
      </c>
      <c r="E131" s="71" t="s">
        <v>331</v>
      </c>
      <c r="F131" s="71" t="s">
        <v>328</v>
      </c>
      <c r="G131" s="71">
        <v>2</v>
      </c>
      <c r="H131" s="71" t="s">
        <v>329</v>
      </c>
      <c r="I131" s="71" t="s">
        <v>1653</v>
      </c>
      <c r="J131" s="71" t="s">
        <v>20</v>
      </c>
      <c r="K131" s="71" t="s">
        <v>1135</v>
      </c>
      <c r="L131" s="71" t="s">
        <v>35</v>
      </c>
      <c r="M131" s="71" t="s">
        <v>25</v>
      </c>
      <c r="N131" s="71" t="s">
        <v>1654</v>
      </c>
      <c r="O131" s="71">
        <v>190.01274538999999</v>
      </c>
      <c r="P131" s="71" t="s">
        <v>1655</v>
      </c>
      <c r="Q131" s="71" t="s">
        <v>45</v>
      </c>
      <c r="R131" s="71" t="s">
        <v>31</v>
      </c>
      <c r="S131" s="71"/>
      <c r="T131" s="71"/>
      <c r="U131" s="71"/>
      <c r="V131" s="71"/>
      <c r="W131" s="71"/>
      <c r="X131" s="71" t="s">
        <v>918</v>
      </c>
      <c r="Y131" s="71"/>
      <c r="Z131" s="71" t="s">
        <v>1343</v>
      </c>
      <c r="AA131" s="71" t="s">
        <v>874</v>
      </c>
      <c r="AB131" s="71"/>
      <c r="AC131" s="71" t="s">
        <v>21</v>
      </c>
      <c r="AD131" s="71" t="s">
        <v>797</v>
      </c>
      <c r="AE131" s="71"/>
      <c r="AF131" s="71"/>
      <c r="AG131" s="71"/>
      <c r="AH131" s="71" t="s">
        <v>1656</v>
      </c>
      <c r="AI131" s="71" t="s">
        <v>772</v>
      </c>
      <c r="AJ131" s="71">
        <v>8790506</v>
      </c>
      <c r="AK131" s="71" t="s">
        <v>330</v>
      </c>
      <c r="AL131" s="71">
        <v>792922</v>
      </c>
      <c r="AM131" s="71"/>
      <c r="AN131" s="71"/>
      <c r="AO131" s="71" t="s">
        <v>773</v>
      </c>
      <c r="AP131" s="71" t="s">
        <v>774</v>
      </c>
      <c r="AQ131" s="71" t="s">
        <v>312</v>
      </c>
      <c r="AR131" s="71" t="s">
        <v>802</v>
      </c>
      <c r="AS131" s="71" t="s">
        <v>312</v>
      </c>
      <c r="AT131" s="71"/>
      <c r="AU131" s="71"/>
    </row>
    <row r="132" spans="1:53" ht="409.5" hidden="1" customHeight="1" x14ac:dyDescent="0.2">
      <c r="A132" s="71" t="s">
        <v>227</v>
      </c>
      <c r="B132" s="71">
        <v>2025</v>
      </c>
      <c r="C132" s="72" t="s">
        <v>1657</v>
      </c>
      <c r="D132" s="71" t="s">
        <v>1658</v>
      </c>
      <c r="E132" s="71" t="s">
        <v>228</v>
      </c>
      <c r="F132" s="71" t="s">
        <v>161</v>
      </c>
      <c r="G132" s="71">
        <v>3</v>
      </c>
      <c r="H132" s="71" t="s">
        <v>228</v>
      </c>
      <c r="I132" s="71" t="s">
        <v>1659</v>
      </c>
      <c r="J132" s="71" t="s">
        <v>211</v>
      </c>
      <c r="K132" s="71" t="s">
        <v>807</v>
      </c>
      <c r="L132" s="71" t="s">
        <v>44</v>
      </c>
      <c r="M132" s="71" t="s">
        <v>25</v>
      </c>
      <c r="N132" s="71" t="s">
        <v>1660</v>
      </c>
      <c r="O132" s="71">
        <v>190.00997036999999</v>
      </c>
      <c r="P132" s="71" t="s">
        <v>1661</v>
      </c>
      <c r="Q132" s="71" t="s">
        <v>132</v>
      </c>
      <c r="R132" s="71" t="s">
        <v>148</v>
      </c>
      <c r="S132" s="71"/>
      <c r="T132" s="71"/>
      <c r="U132" s="71"/>
      <c r="V132" s="71"/>
      <c r="W132" s="71"/>
      <c r="X132" s="71" t="s">
        <v>795</v>
      </c>
      <c r="Y132" s="71"/>
      <c r="Z132" s="71" t="s">
        <v>796</v>
      </c>
      <c r="AA132" s="71" t="s">
        <v>770</v>
      </c>
      <c r="AB132" s="71"/>
      <c r="AC132" s="71" t="s">
        <v>21</v>
      </c>
      <c r="AD132" s="71" t="s">
        <v>797</v>
      </c>
      <c r="AE132" s="71"/>
      <c r="AF132" s="71"/>
      <c r="AG132" s="71"/>
      <c r="AH132" s="71" t="s">
        <v>1662</v>
      </c>
      <c r="AI132" s="71" t="s">
        <v>772</v>
      </c>
      <c r="AJ132" s="71">
        <v>9206681</v>
      </c>
      <c r="AK132" s="71" t="s">
        <v>28</v>
      </c>
      <c r="AL132" s="71">
        <v>811057</v>
      </c>
      <c r="AM132" s="71" t="s">
        <v>1663</v>
      </c>
      <c r="AN132" s="71" t="s">
        <v>811</v>
      </c>
      <c r="AO132" s="71" t="s">
        <v>800</v>
      </c>
      <c r="AP132" s="71" t="s">
        <v>774</v>
      </c>
      <c r="AQ132" s="71" t="s">
        <v>801</v>
      </c>
      <c r="AR132" s="71" t="s">
        <v>802</v>
      </c>
      <c r="AS132" s="71" t="s">
        <v>801</v>
      </c>
      <c r="AT132" s="71"/>
      <c r="AU132" s="71"/>
      <c r="AV132">
        <v>35</v>
      </c>
      <c r="AW132">
        <v>300</v>
      </c>
    </row>
    <row r="133" spans="1:53" ht="96" customHeight="1" x14ac:dyDescent="0.2">
      <c r="A133" s="71" t="s">
        <v>99</v>
      </c>
      <c r="B133" s="71">
        <v>2024</v>
      </c>
      <c r="C133" s="72" t="s">
        <v>1664</v>
      </c>
      <c r="D133" s="71" t="s">
        <v>1665</v>
      </c>
      <c r="E133" s="71" t="s">
        <v>104</v>
      </c>
      <c r="F133" s="71" t="s">
        <v>100</v>
      </c>
      <c r="G133" s="71">
        <v>3</v>
      </c>
      <c r="H133" s="71" t="s">
        <v>101</v>
      </c>
      <c r="I133" s="71" t="s">
        <v>1666</v>
      </c>
      <c r="J133" s="71" t="s">
        <v>20</v>
      </c>
      <c r="K133" s="71" t="s">
        <v>1135</v>
      </c>
      <c r="L133" s="71" t="s">
        <v>44</v>
      </c>
      <c r="M133" s="71" t="s">
        <v>25</v>
      </c>
      <c r="N133" s="71" t="s">
        <v>1667</v>
      </c>
      <c r="O133" s="71">
        <v>190.02720438</v>
      </c>
      <c r="P133" s="71" t="s">
        <v>767</v>
      </c>
      <c r="Q133" s="71" t="s">
        <v>26</v>
      </c>
      <c r="R133" s="71" t="s">
        <v>31</v>
      </c>
      <c r="S133" s="71"/>
      <c r="T133" s="71"/>
      <c r="U133" s="71"/>
      <c r="V133" s="71"/>
      <c r="W133" s="71"/>
      <c r="X133" s="71" t="s">
        <v>768</v>
      </c>
      <c r="Y133" s="71"/>
      <c r="Z133" s="71" t="s">
        <v>769</v>
      </c>
      <c r="AA133" s="71" t="s">
        <v>874</v>
      </c>
      <c r="AB133" s="71"/>
      <c r="AC133" s="71" t="s">
        <v>21</v>
      </c>
      <c r="AD133" s="71"/>
      <c r="AE133" s="71"/>
      <c r="AF133" s="71"/>
      <c r="AG133" s="71"/>
      <c r="AH133" s="71" t="s">
        <v>1668</v>
      </c>
      <c r="AI133" s="71" t="s">
        <v>772</v>
      </c>
      <c r="AJ133" s="71">
        <v>8871701</v>
      </c>
      <c r="AK133" s="71" t="s">
        <v>102</v>
      </c>
      <c r="AL133" s="71">
        <v>732800</v>
      </c>
      <c r="AM133" s="71"/>
      <c r="AN133" s="71"/>
      <c r="AO133" s="71" t="s">
        <v>773</v>
      </c>
      <c r="AP133" s="71" t="s">
        <v>774</v>
      </c>
      <c r="AQ133" s="71" t="s">
        <v>876</v>
      </c>
      <c r="AR133" s="71" t="s">
        <v>802</v>
      </c>
      <c r="AS133" s="71" t="s">
        <v>876</v>
      </c>
      <c r="AT133" s="71"/>
      <c r="AU133" s="71"/>
    </row>
    <row r="134" spans="1:53" ht="180" hidden="1" customHeight="1" x14ac:dyDescent="0.2">
      <c r="A134" s="71" t="s">
        <v>202</v>
      </c>
      <c r="B134" s="71">
        <v>2025</v>
      </c>
      <c r="C134" s="72" t="s">
        <v>1669</v>
      </c>
      <c r="D134" s="71" t="s">
        <v>1670</v>
      </c>
      <c r="E134" s="71" t="s">
        <v>204</v>
      </c>
      <c r="F134" s="71" t="s">
        <v>203</v>
      </c>
      <c r="G134" s="71">
        <v>3</v>
      </c>
      <c r="H134" s="71" t="s">
        <v>204</v>
      </c>
      <c r="I134" s="71" t="s">
        <v>1671</v>
      </c>
      <c r="J134" s="71" t="s">
        <v>20</v>
      </c>
      <c r="K134" s="71" t="s">
        <v>1672</v>
      </c>
      <c r="L134" s="71" t="s">
        <v>44</v>
      </c>
      <c r="M134" s="71" t="s">
        <v>25</v>
      </c>
      <c r="N134" s="71" t="s">
        <v>1673</v>
      </c>
      <c r="O134" s="71">
        <v>190.00494685999999</v>
      </c>
      <c r="P134" s="71" t="s">
        <v>1674</v>
      </c>
      <c r="Q134" s="71" t="s">
        <v>132</v>
      </c>
      <c r="R134" s="71" t="s">
        <v>148</v>
      </c>
      <c r="S134" s="71"/>
      <c r="T134" s="71"/>
      <c r="U134" s="71"/>
      <c r="V134" s="71"/>
      <c r="W134" s="71"/>
      <c r="X134" s="71" t="s">
        <v>795</v>
      </c>
      <c r="Y134" s="71"/>
      <c r="Z134" s="71" t="s">
        <v>796</v>
      </c>
      <c r="AA134" s="71" t="s">
        <v>770</v>
      </c>
      <c r="AB134" s="71"/>
      <c r="AC134" s="71" t="s">
        <v>21</v>
      </c>
      <c r="AD134" s="71" t="s">
        <v>797</v>
      </c>
      <c r="AE134" s="71"/>
      <c r="AF134" s="71"/>
      <c r="AG134" s="71"/>
      <c r="AH134" s="71" t="s">
        <v>1675</v>
      </c>
      <c r="AI134" s="71" t="s">
        <v>772</v>
      </c>
      <c r="AJ134" s="71">
        <v>9198706</v>
      </c>
      <c r="AK134" s="71" t="s">
        <v>28</v>
      </c>
      <c r="AL134" s="71">
        <v>805779</v>
      </c>
      <c r="AM134" s="71"/>
      <c r="AN134" s="71" t="s">
        <v>1374</v>
      </c>
      <c r="AO134" s="71" t="s">
        <v>800</v>
      </c>
      <c r="AP134" s="71" t="s">
        <v>774</v>
      </c>
      <c r="AQ134" s="71" t="s">
        <v>801</v>
      </c>
      <c r="AR134" s="71" t="s">
        <v>802</v>
      </c>
      <c r="AS134" s="71" t="s">
        <v>801</v>
      </c>
      <c r="AT134" s="71"/>
      <c r="AU134" s="71"/>
      <c r="AV134" s="178" t="s">
        <v>803</v>
      </c>
      <c r="AW134">
        <f>6*35</f>
        <v>210</v>
      </c>
    </row>
    <row r="135" spans="1:53" ht="108" hidden="1" customHeight="1" x14ac:dyDescent="0.2">
      <c r="A135" s="71" t="s">
        <v>248</v>
      </c>
      <c r="B135" s="71">
        <v>2025</v>
      </c>
      <c r="C135" s="72" t="s">
        <v>1676</v>
      </c>
      <c r="D135" s="71" t="s">
        <v>1677</v>
      </c>
      <c r="E135" s="71" t="s">
        <v>250</v>
      </c>
      <c r="F135" s="71" t="s">
        <v>249</v>
      </c>
      <c r="G135" s="71">
        <v>3</v>
      </c>
      <c r="H135" s="71" t="s">
        <v>250</v>
      </c>
      <c r="I135" s="71" t="s">
        <v>1678</v>
      </c>
      <c r="J135" s="71" t="s">
        <v>20</v>
      </c>
      <c r="K135" s="71" t="s">
        <v>1672</v>
      </c>
      <c r="L135" s="71" t="s">
        <v>44</v>
      </c>
      <c r="M135" s="71" t="s">
        <v>25</v>
      </c>
      <c r="N135" s="71" t="s">
        <v>1679</v>
      </c>
      <c r="O135" s="71">
        <v>190.00957471999999</v>
      </c>
      <c r="P135" s="71" t="s">
        <v>1680</v>
      </c>
      <c r="Q135" s="71" t="s">
        <v>132</v>
      </c>
      <c r="R135" s="71" t="s">
        <v>148</v>
      </c>
      <c r="S135" s="71"/>
      <c r="T135" s="71"/>
      <c r="U135" s="71"/>
      <c r="V135" s="71"/>
      <c r="W135" s="71"/>
      <c r="X135" s="71" t="s">
        <v>795</v>
      </c>
      <c r="Y135" s="71"/>
      <c r="Z135" s="71" t="s">
        <v>796</v>
      </c>
      <c r="AA135" s="71" t="s">
        <v>770</v>
      </c>
      <c r="AB135" s="71"/>
      <c r="AC135" s="71" t="s">
        <v>21</v>
      </c>
      <c r="AD135" s="71" t="s">
        <v>797</v>
      </c>
      <c r="AE135" s="71"/>
      <c r="AF135" s="71"/>
      <c r="AG135" s="71"/>
      <c r="AH135" s="71" t="s">
        <v>1681</v>
      </c>
      <c r="AI135" s="71" t="s">
        <v>772</v>
      </c>
      <c r="AJ135" s="71">
        <v>9210594</v>
      </c>
      <c r="AK135" s="71" t="s">
        <v>28</v>
      </c>
      <c r="AL135" s="71">
        <v>810418</v>
      </c>
      <c r="AM135" s="71"/>
      <c r="AN135" s="71" t="s">
        <v>1374</v>
      </c>
      <c r="AO135" s="71" t="s">
        <v>800</v>
      </c>
      <c r="AP135" s="71" t="s">
        <v>774</v>
      </c>
      <c r="AQ135" s="71" t="s">
        <v>801</v>
      </c>
      <c r="AR135" s="71" t="s">
        <v>802</v>
      </c>
      <c r="AS135" s="71" t="s">
        <v>801</v>
      </c>
      <c r="AT135" s="71"/>
      <c r="AU135" s="71"/>
      <c r="AV135" s="178" t="s">
        <v>803</v>
      </c>
      <c r="AW135">
        <v>10</v>
      </c>
    </row>
    <row r="136" spans="1:53" ht="96.75" hidden="1" customHeight="1" x14ac:dyDescent="0.2">
      <c r="A136" s="71" t="s">
        <v>55</v>
      </c>
      <c r="B136" s="71">
        <v>2025</v>
      </c>
      <c r="C136" s="72" t="s">
        <v>1682</v>
      </c>
      <c r="D136" s="71" t="s">
        <v>1683</v>
      </c>
      <c r="E136" s="71" t="s">
        <v>57</v>
      </c>
      <c r="F136" s="71" t="s">
        <v>56</v>
      </c>
      <c r="G136" s="71">
        <v>3</v>
      </c>
      <c r="H136" s="71" t="s">
        <v>57</v>
      </c>
      <c r="I136" s="71" t="s">
        <v>1684</v>
      </c>
      <c r="J136" s="71" t="s">
        <v>20</v>
      </c>
      <c r="K136" s="71" t="s">
        <v>1089</v>
      </c>
      <c r="L136" s="71" t="s">
        <v>44</v>
      </c>
      <c r="M136" s="71" t="s">
        <v>25</v>
      </c>
      <c r="N136" s="71" t="s">
        <v>1685</v>
      </c>
      <c r="O136" s="71">
        <v>190.02677835</v>
      </c>
      <c r="P136" s="71" t="s">
        <v>1591</v>
      </c>
      <c r="Q136" s="71" t="s">
        <v>58</v>
      </c>
      <c r="R136" s="71" t="s">
        <v>61</v>
      </c>
      <c r="S136" s="71"/>
      <c r="T136" s="71"/>
      <c r="U136" s="71"/>
      <c r="V136" s="71"/>
      <c r="W136" s="71"/>
      <c r="X136" s="71" t="s">
        <v>1003</v>
      </c>
      <c r="Y136" s="71"/>
      <c r="Z136" s="71" t="s">
        <v>1686</v>
      </c>
      <c r="AA136" s="71" t="s">
        <v>770</v>
      </c>
      <c r="AB136" s="71"/>
      <c r="AC136" s="71" t="s">
        <v>21</v>
      </c>
      <c r="AD136" s="71"/>
      <c r="AE136" s="71"/>
      <c r="AF136" s="71"/>
      <c r="AG136" s="71"/>
      <c r="AH136" s="71" t="s">
        <v>1687</v>
      </c>
      <c r="AI136" s="71" t="s">
        <v>772</v>
      </c>
      <c r="AJ136" s="71">
        <v>9205667</v>
      </c>
      <c r="AK136" s="71" t="s">
        <v>28</v>
      </c>
      <c r="AL136" s="71">
        <v>804739</v>
      </c>
      <c r="AM136" s="71"/>
      <c r="AN136" s="71"/>
      <c r="AO136" s="71" t="s">
        <v>800</v>
      </c>
      <c r="AP136" s="71" t="s">
        <v>774</v>
      </c>
      <c r="AQ136" s="71" t="s">
        <v>801</v>
      </c>
      <c r="AR136" s="71" t="s">
        <v>802</v>
      </c>
      <c r="AS136" s="71" t="s">
        <v>801</v>
      </c>
      <c r="AT136" s="71"/>
      <c r="AU136" s="71"/>
      <c r="AV136" s="178">
        <v>35</v>
      </c>
      <c r="AW136">
        <v>800</v>
      </c>
    </row>
    <row r="137" spans="1:53" ht="116.25" customHeight="1" x14ac:dyDescent="0.2">
      <c r="A137" s="71" t="s">
        <v>353</v>
      </c>
      <c r="B137" s="71">
        <v>2025</v>
      </c>
      <c r="C137" s="71" t="s">
        <v>1688</v>
      </c>
      <c r="D137" s="71" t="s">
        <v>1689</v>
      </c>
      <c r="E137" s="71" t="s">
        <v>356</v>
      </c>
      <c r="F137" s="71" t="s">
        <v>305</v>
      </c>
      <c r="G137" s="71">
        <v>3</v>
      </c>
      <c r="H137" s="71" t="s">
        <v>354</v>
      </c>
      <c r="I137" s="71" t="s">
        <v>1690</v>
      </c>
      <c r="J137" s="71" t="s">
        <v>20</v>
      </c>
      <c r="K137" s="71" t="s">
        <v>1080</v>
      </c>
      <c r="L137" s="71" t="s">
        <v>35</v>
      </c>
      <c r="M137" s="71" t="s">
        <v>25</v>
      </c>
      <c r="N137" s="71" t="s">
        <v>1691</v>
      </c>
      <c r="O137" s="71">
        <v>190.02744575</v>
      </c>
      <c r="P137" s="71" t="s">
        <v>767</v>
      </c>
      <c r="Q137" s="71" t="s">
        <v>45</v>
      </c>
      <c r="R137" s="71" t="s">
        <v>31</v>
      </c>
      <c r="S137" s="71"/>
      <c r="T137" s="71"/>
      <c r="U137" s="71"/>
      <c r="V137" s="71"/>
      <c r="W137" s="71"/>
      <c r="X137" s="71"/>
      <c r="Y137" s="71"/>
      <c r="Z137" s="71"/>
      <c r="AA137" s="71" t="s">
        <v>874</v>
      </c>
      <c r="AB137" s="71"/>
      <c r="AC137" s="71" t="s">
        <v>21</v>
      </c>
      <c r="AD137" s="71"/>
      <c r="AE137" s="71"/>
      <c r="AF137" s="71"/>
      <c r="AG137" s="71"/>
      <c r="AH137" s="71"/>
      <c r="AI137" s="71" t="s">
        <v>772</v>
      </c>
      <c r="AJ137" s="71">
        <v>8713185</v>
      </c>
      <c r="AK137" s="71" t="s">
        <v>355</v>
      </c>
      <c r="AL137" s="71">
        <v>854311</v>
      </c>
      <c r="AM137" s="71"/>
      <c r="AN137" s="71"/>
      <c r="AO137" s="71" t="s">
        <v>773</v>
      </c>
      <c r="AP137" s="71" t="s">
        <v>774</v>
      </c>
      <c r="AQ137" s="71" t="s">
        <v>1024</v>
      </c>
      <c r="AR137" s="71" t="s">
        <v>802</v>
      </c>
      <c r="AS137" s="71" t="s">
        <v>1024</v>
      </c>
      <c r="AT137" s="71"/>
      <c r="AU137" s="71"/>
    </row>
    <row r="138" spans="1:53" ht="98.25" customHeight="1" x14ac:dyDescent="0.2">
      <c r="A138" s="71" t="s">
        <v>332</v>
      </c>
      <c r="B138" s="71">
        <v>2025</v>
      </c>
      <c r="C138" s="71" t="s">
        <v>1692</v>
      </c>
      <c r="D138" s="71" t="s">
        <v>1693</v>
      </c>
      <c r="E138" s="71" t="s">
        <v>335</v>
      </c>
      <c r="F138" s="71" t="s">
        <v>333</v>
      </c>
      <c r="G138" s="71">
        <v>3</v>
      </c>
      <c r="H138" s="71" t="s">
        <v>334</v>
      </c>
      <c r="I138" s="71" t="s">
        <v>1694</v>
      </c>
      <c r="J138" s="71" t="s">
        <v>20</v>
      </c>
      <c r="K138" s="71" t="s">
        <v>842</v>
      </c>
      <c r="L138" s="71" t="s">
        <v>35</v>
      </c>
      <c r="M138" s="71" t="s">
        <v>25</v>
      </c>
      <c r="N138" s="71" t="s">
        <v>1695</v>
      </c>
      <c r="O138" s="71">
        <v>190.01267856999999</v>
      </c>
      <c r="P138" s="71" t="s">
        <v>767</v>
      </c>
      <c r="Q138" s="71" t="s">
        <v>45</v>
      </c>
      <c r="R138" s="71" t="s">
        <v>31</v>
      </c>
      <c r="S138" s="71"/>
      <c r="T138" s="71"/>
      <c r="U138" s="71"/>
      <c r="V138" s="71"/>
      <c r="W138" s="71"/>
      <c r="X138" s="71" t="s">
        <v>312</v>
      </c>
      <c r="Y138" s="71"/>
      <c r="Z138" s="71" t="s">
        <v>846</v>
      </c>
      <c r="AA138" s="71" t="s">
        <v>874</v>
      </c>
      <c r="AB138" s="71"/>
      <c r="AC138" s="71" t="s">
        <v>21</v>
      </c>
      <c r="AD138" s="71" t="s">
        <v>797</v>
      </c>
      <c r="AE138" s="71"/>
      <c r="AF138" s="71"/>
      <c r="AG138" s="71"/>
      <c r="AH138" s="71" t="s">
        <v>1696</v>
      </c>
      <c r="AI138" s="71" t="s">
        <v>772</v>
      </c>
      <c r="AJ138" s="71">
        <v>8842597</v>
      </c>
      <c r="AK138" s="71" t="s">
        <v>330</v>
      </c>
      <c r="AL138" s="71">
        <v>793770</v>
      </c>
      <c r="AM138" s="71"/>
      <c r="AN138" s="71"/>
      <c r="AO138" s="71" t="s">
        <v>773</v>
      </c>
      <c r="AP138" s="71" t="s">
        <v>774</v>
      </c>
      <c r="AQ138" s="71" t="s">
        <v>860</v>
      </c>
      <c r="AR138" s="71" t="s">
        <v>776</v>
      </c>
      <c r="AS138" s="71" t="s">
        <v>861</v>
      </c>
      <c r="AT138" s="71"/>
      <c r="AU138" s="71"/>
    </row>
    <row r="139" spans="1:53" ht="74.25" customHeight="1" x14ac:dyDescent="0.2">
      <c r="A139" s="71" t="s">
        <v>1697</v>
      </c>
      <c r="B139" s="71">
        <v>2024</v>
      </c>
      <c r="C139" s="72" t="s">
        <v>1698</v>
      </c>
      <c r="D139" s="71" t="s">
        <v>1699</v>
      </c>
      <c r="E139" s="71" t="s">
        <v>1700</v>
      </c>
      <c r="F139" s="71" t="s">
        <v>222</v>
      </c>
      <c r="G139" s="71">
        <v>3</v>
      </c>
      <c r="H139" s="71" t="s">
        <v>1701</v>
      </c>
      <c r="I139" s="71" t="s">
        <v>1702</v>
      </c>
      <c r="J139" s="71" t="s">
        <v>91</v>
      </c>
      <c r="K139" s="71" t="s">
        <v>903</v>
      </c>
      <c r="L139" s="71" t="s">
        <v>44</v>
      </c>
      <c r="M139" s="71" t="s">
        <v>25</v>
      </c>
      <c r="N139" s="71" t="s">
        <v>1703</v>
      </c>
      <c r="O139" s="71">
        <v>190.02742775999999</v>
      </c>
      <c r="P139" s="71" t="s">
        <v>1704</v>
      </c>
      <c r="Q139" s="71" t="s">
        <v>45</v>
      </c>
      <c r="R139" s="71" t="s">
        <v>40</v>
      </c>
      <c r="S139" s="71"/>
      <c r="T139" s="71"/>
      <c r="U139" s="71"/>
      <c r="V139" s="71"/>
      <c r="W139" s="71"/>
      <c r="X139" s="71" t="s">
        <v>312</v>
      </c>
      <c r="Y139" s="71"/>
      <c r="Z139" s="71"/>
      <c r="AA139" s="71" t="s">
        <v>770</v>
      </c>
      <c r="AB139" s="71"/>
      <c r="AC139" s="71" t="s">
        <v>21</v>
      </c>
      <c r="AD139" s="71"/>
      <c r="AE139" s="71"/>
      <c r="AF139" s="71"/>
      <c r="AG139" s="71"/>
      <c r="AH139" s="71" t="s">
        <v>1705</v>
      </c>
      <c r="AI139" s="71" t="s">
        <v>772</v>
      </c>
      <c r="AJ139" s="71">
        <v>8734324</v>
      </c>
      <c r="AK139" s="71" t="s">
        <v>1706</v>
      </c>
      <c r="AL139" s="71">
        <v>719563</v>
      </c>
      <c r="AM139" s="71"/>
      <c r="AN139" s="71"/>
      <c r="AO139" s="71" t="s">
        <v>773</v>
      </c>
      <c r="AP139" s="71" t="s">
        <v>908</v>
      </c>
      <c r="AQ139" s="71" t="s">
        <v>775</v>
      </c>
      <c r="AR139" s="71" t="s">
        <v>788</v>
      </c>
      <c r="AS139" s="71" t="s">
        <v>777</v>
      </c>
      <c r="AT139" s="71"/>
      <c r="AU139" s="71"/>
      <c r="BA139" s="87" t="s">
        <v>1707</v>
      </c>
    </row>
    <row r="140" spans="1:53" ht="15" customHeight="1" x14ac:dyDescent="0.2">
      <c r="A140" s="71" t="s">
        <v>1708</v>
      </c>
      <c r="B140" s="71">
        <v>2025</v>
      </c>
      <c r="C140" s="72" t="s">
        <v>1709</v>
      </c>
      <c r="D140" s="71" t="s">
        <v>1710</v>
      </c>
      <c r="E140" s="71" t="s">
        <v>1711</v>
      </c>
      <c r="F140" s="71" t="s">
        <v>1712</v>
      </c>
      <c r="G140" s="71">
        <v>3</v>
      </c>
      <c r="H140" s="71" t="s">
        <v>1713</v>
      </c>
      <c r="I140" s="71" t="s">
        <v>1714</v>
      </c>
      <c r="J140" s="71" t="s">
        <v>91</v>
      </c>
      <c r="K140" s="71" t="s">
        <v>903</v>
      </c>
      <c r="L140" s="71" t="s">
        <v>44</v>
      </c>
      <c r="M140" s="71" t="s">
        <v>25</v>
      </c>
      <c r="N140" s="71" t="s">
        <v>1715</v>
      </c>
      <c r="O140" s="71">
        <v>190.02769065999999</v>
      </c>
      <c r="P140" s="71" t="s">
        <v>1716</v>
      </c>
      <c r="Q140" s="71" t="s">
        <v>45</v>
      </c>
      <c r="R140" s="71" t="s">
        <v>184</v>
      </c>
      <c r="S140" s="71"/>
      <c r="T140" s="71"/>
      <c r="U140" s="71"/>
      <c r="V140" s="71"/>
      <c r="W140" s="71"/>
      <c r="X140" s="71" t="s">
        <v>312</v>
      </c>
      <c r="Y140" s="71"/>
      <c r="Z140" s="71"/>
      <c r="AA140" s="71" t="s">
        <v>770</v>
      </c>
      <c r="AB140" s="71"/>
      <c r="AC140" s="71" t="s">
        <v>21</v>
      </c>
      <c r="AD140" s="71"/>
      <c r="AE140" s="71"/>
      <c r="AF140" s="71"/>
      <c r="AG140" s="71"/>
      <c r="AH140" s="71" t="s">
        <v>1717</v>
      </c>
      <c r="AI140" s="71" t="s">
        <v>772</v>
      </c>
      <c r="AJ140" s="71">
        <v>8873646</v>
      </c>
      <c r="AK140" s="71" t="s">
        <v>102</v>
      </c>
      <c r="AL140" s="71">
        <v>729075</v>
      </c>
      <c r="AM140" s="71"/>
      <c r="AN140" s="71"/>
      <c r="AO140" s="71" t="s">
        <v>773</v>
      </c>
      <c r="AP140" s="71" t="s">
        <v>774</v>
      </c>
      <c r="AQ140" s="71" t="s">
        <v>775</v>
      </c>
      <c r="AR140" s="71" t="s">
        <v>788</v>
      </c>
      <c r="AS140" s="71" t="s">
        <v>777</v>
      </c>
      <c r="AT140" s="71"/>
      <c r="AU140" s="71"/>
      <c r="AV140" s="179"/>
    </row>
    <row r="141" spans="1:53" ht="160.5" customHeight="1" x14ac:dyDescent="0.2">
      <c r="A141" s="71" t="s">
        <v>290</v>
      </c>
      <c r="B141" s="71">
        <v>2025</v>
      </c>
      <c r="C141" s="72" t="s">
        <v>1718</v>
      </c>
      <c r="D141" s="71" t="s">
        <v>1719</v>
      </c>
      <c r="E141" s="71" t="s">
        <v>292</v>
      </c>
      <c r="F141" s="71" t="s">
        <v>291</v>
      </c>
      <c r="G141" s="71">
        <v>1</v>
      </c>
      <c r="H141" s="71" t="s">
        <v>292</v>
      </c>
      <c r="I141" s="71" t="s">
        <v>1720</v>
      </c>
      <c r="J141" s="71" t="s">
        <v>20</v>
      </c>
      <c r="K141" s="71" t="s">
        <v>259</v>
      </c>
      <c r="L141" s="71" t="s">
        <v>35</v>
      </c>
      <c r="M141" s="71" t="s">
        <v>25</v>
      </c>
      <c r="N141" s="71" t="s">
        <v>1721</v>
      </c>
      <c r="O141" s="71">
        <v>190.02739432000001</v>
      </c>
      <c r="P141" s="71" t="s">
        <v>1722</v>
      </c>
      <c r="Q141" s="71" t="s">
        <v>36</v>
      </c>
      <c r="R141" s="71" t="s">
        <v>31</v>
      </c>
      <c r="S141" s="71"/>
      <c r="T141" s="71"/>
      <c r="U141" s="71"/>
      <c r="V141" s="71"/>
      <c r="W141" s="71"/>
      <c r="X141" s="71"/>
      <c r="Y141" s="71"/>
      <c r="Z141" s="71"/>
      <c r="AA141" s="71" t="s">
        <v>874</v>
      </c>
      <c r="AB141" s="71"/>
      <c r="AC141" s="71" t="s">
        <v>21</v>
      </c>
      <c r="AD141" s="71"/>
      <c r="AE141" s="71"/>
      <c r="AF141" s="71"/>
      <c r="AG141" s="71"/>
      <c r="AH141" s="71" t="s">
        <v>1723</v>
      </c>
      <c r="AI141" s="71" t="s">
        <v>772</v>
      </c>
      <c r="AJ141" s="71">
        <v>8893131</v>
      </c>
      <c r="AK141" s="71" t="s">
        <v>293</v>
      </c>
      <c r="AL141" s="71">
        <v>720258</v>
      </c>
      <c r="AM141" s="71"/>
      <c r="AN141" s="71"/>
      <c r="AO141" s="71" t="s">
        <v>773</v>
      </c>
      <c r="AP141" s="71" t="s">
        <v>774</v>
      </c>
      <c r="AQ141" s="71" t="s">
        <v>1724</v>
      </c>
      <c r="AR141" s="71" t="s">
        <v>776</v>
      </c>
      <c r="AS141" s="71" t="s">
        <v>918</v>
      </c>
      <c r="AT141" s="71"/>
      <c r="AU141" s="71"/>
    </row>
    <row r="142" spans="1:53" ht="15" customHeight="1" x14ac:dyDescent="0.2">
      <c r="A142" s="71" t="s">
        <v>1725</v>
      </c>
      <c r="B142" s="71">
        <v>2024</v>
      </c>
      <c r="C142" s="72" t="s">
        <v>1726</v>
      </c>
      <c r="D142" s="71" t="s">
        <v>1727</v>
      </c>
      <c r="E142" s="71" t="s">
        <v>1728</v>
      </c>
      <c r="F142" s="71" t="s">
        <v>1729</v>
      </c>
      <c r="G142" s="71">
        <v>3</v>
      </c>
      <c r="H142" s="71" t="s">
        <v>1730</v>
      </c>
      <c r="I142" s="71" t="s">
        <v>1731</v>
      </c>
      <c r="J142" s="71" t="s">
        <v>91</v>
      </c>
      <c r="K142" s="71" t="s">
        <v>903</v>
      </c>
      <c r="L142" s="71" t="s">
        <v>44</v>
      </c>
      <c r="M142" s="71" t="s">
        <v>25</v>
      </c>
      <c r="N142" s="71" t="s">
        <v>1732</v>
      </c>
      <c r="O142" s="71">
        <v>190.02744453</v>
      </c>
      <c r="P142" s="71" t="s">
        <v>1733</v>
      </c>
      <c r="Q142" s="71" t="s">
        <v>45</v>
      </c>
      <c r="R142" s="71" t="s">
        <v>40</v>
      </c>
      <c r="S142" s="71"/>
      <c r="T142" s="71"/>
      <c r="U142" s="71"/>
      <c r="V142" s="71"/>
      <c r="W142" s="71"/>
      <c r="X142" s="71" t="s">
        <v>312</v>
      </c>
      <c r="Y142" s="71"/>
      <c r="Z142" s="71"/>
      <c r="AA142" s="71" t="s">
        <v>770</v>
      </c>
      <c r="AB142" s="71"/>
      <c r="AC142" s="71" t="s">
        <v>21</v>
      </c>
      <c r="AD142" s="71"/>
      <c r="AE142" s="71"/>
      <c r="AF142" s="71"/>
      <c r="AG142" s="71"/>
      <c r="AH142" s="71" t="s">
        <v>1734</v>
      </c>
      <c r="AI142" s="71" t="s">
        <v>772</v>
      </c>
      <c r="AJ142" s="71">
        <v>8569276</v>
      </c>
      <c r="AK142" s="71" t="s">
        <v>1735</v>
      </c>
      <c r="AL142" s="71">
        <v>939067</v>
      </c>
      <c r="AM142" s="71"/>
      <c r="AN142" s="71"/>
      <c r="AO142" s="71" t="s">
        <v>773</v>
      </c>
      <c r="AP142" s="71" t="s">
        <v>908</v>
      </c>
      <c r="AQ142" s="71" t="s">
        <v>775</v>
      </c>
      <c r="AR142" s="71" t="s">
        <v>788</v>
      </c>
      <c r="AS142" s="71" t="s">
        <v>777</v>
      </c>
      <c r="AT142" s="71"/>
      <c r="AU142" s="71"/>
    </row>
    <row r="143" spans="1:53" ht="15" customHeight="1" x14ac:dyDescent="0.2">
      <c r="A143" s="71" t="s">
        <v>149</v>
      </c>
      <c r="B143" s="71">
        <v>2025</v>
      </c>
      <c r="C143" s="72" t="s">
        <v>1736</v>
      </c>
      <c r="D143" s="71" t="s">
        <v>1737</v>
      </c>
      <c r="E143" s="71" t="s">
        <v>153</v>
      </c>
      <c r="F143" s="71" t="s">
        <v>150</v>
      </c>
      <c r="G143" s="71">
        <v>2</v>
      </c>
      <c r="H143" s="71" t="s">
        <v>151</v>
      </c>
      <c r="I143" s="71" t="s">
        <v>1738</v>
      </c>
      <c r="J143" s="71" t="s">
        <v>20</v>
      </c>
      <c r="K143" s="71" t="s">
        <v>1739</v>
      </c>
      <c r="L143" s="71" t="s">
        <v>35</v>
      </c>
      <c r="M143" s="71" t="s">
        <v>25</v>
      </c>
      <c r="N143" s="71" t="s">
        <v>1740</v>
      </c>
      <c r="O143" s="71">
        <v>190.02653573000001</v>
      </c>
      <c r="P143" s="71" t="s">
        <v>1741</v>
      </c>
      <c r="Q143" s="71" t="s">
        <v>45</v>
      </c>
      <c r="R143" s="71" t="s">
        <v>31</v>
      </c>
      <c r="S143" s="71"/>
      <c r="T143" s="71"/>
      <c r="U143" s="71"/>
      <c r="V143" s="71"/>
      <c r="W143" s="71"/>
      <c r="X143" s="71" t="s">
        <v>918</v>
      </c>
      <c r="Y143" s="71"/>
      <c r="Z143" s="71" t="s">
        <v>873</v>
      </c>
      <c r="AA143" s="71" t="s">
        <v>874</v>
      </c>
      <c r="AB143" s="71"/>
      <c r="AC143" s="71" t="s">
        <v>21</v>
      </c>
      <c r="AD143" s="71"/>
      <c r="AE143" s="71"/>
      <c r="AF143" s="71"/>
      <c r="AG143" s="71"/>
      <c r="AH143" s="71" t="s">
        <v>1742</v>
      </c>
      <c r="AI143" s="71" t="s">
        <v>772</v>
      </c>
      <c r="AJ143" s="71">
        <v>8743808</v>
      </c>
      <c r="AK143" s="71" t="s">
        <v>152</v>
      </c>
      <c r="AL143" s="71">
        <v>870890</v>
      </c>
      <c r="AM143" s="71"/>
      <c r="AN143" s="71"/>
      <c r="AO143" s="71" t="s">
        <v>773</v>
      </c>
      <c r="AP143" s="71" t="s">
        <v>774</v>
      </c>
      <c r="AQ143" s="71" t="s">
        <v>926</v>
      </c>
      <c r="AR143" s="71" t="s">
        <v>802</v>
      </c>
      <c r="AS143" s="71" t="s">
        <v>884</v>
      </c>
      <c r="AT143" s="71"/>
      <c r="AU143" s="71"/>
    </row>
    <row r="144" spans="1:53" ht="15" customHeight="1" x14ac:dyDescent="0.2">
      <c r="A144" s="71" t="s">
        <v>379</v>
      </c>
      <c r="B144" s="71">
        <v>2025</v>
      </c>
      <c r="C144" s="72" t="s">
        <v>1743</v>
      </c>
      <c r="D144" s="71" t="s">
        <v>1744</v>
      </c>
      <c r="E144" s="71"/>
      <c r="F144" s="71" t="s">
        <v>328</v>
      </c>
      <c r="G144" s="71"/>
      <c r="H144" s="71" t="s">
        <v>380</v>
      </c>
      <c r="I144" s="71" t="s">
        <v>1745</v>
      </c>
      <c r="J144" s="71" t="s">
        <v>20</v>
      </c>
      <c r="K144" s="71" t="s">
        <v>1746</v>
      </c>
      <c r="L144" s="71" t="s">
        <v>35</v>
      </c>
      <c r="M144" s="71" t="s">
        <v>25</v>
      </c>
      <c r="N144" s="71" t="s">
        <v>1747</v>
      </c>
      <c r="O144" s="71">
        <v>190.02317804</v>
      </c>
      <c r="P144" s="71" t="s">
        <v>767</v>
      </c>
      <c r="Q144" s="71" t="s">
        <v>94</v>
      </c>
      <c r="R144" s="71" t="s">
        <v>31</v>
      </c>
      <c r="S144" s="71"/>
      <c r="T144" s="71"/>
      <c r="U144" s="71"/>
      <c r="V144" s="71"/>
      <c r="W144" s="71"/>
      <c r="X144" s="71" t="s">
        <v>906</v>
      </c>
      <c r="Y144" s="71"/>
      <c r="Z144" s="71" t="s">
        <v>873</v>
      </c>
      <c r="AA144" s="71" t="s">
        <v>874</v>
      </c>
      <c r="AB144" s="71"/>
      <c r="AC144" s="71" t="s">
        <v>21</v>
      </c>
      <c r="AD144" s="71"/>
      <c r="AE144" s="71"/>
      <c r="AF144" s="71"/>
      <c r="AG144" s="71"/>
      <c r="AH144" s="71" t="s">
        <v>1748</v>
      </c>
      <c r="AI144" s="71" t="s">
        <v>772</v>
      </c>
      <c r="AJ144" s="71">
        <v>8767918</v>
      </c>
      <c r="AK144" s="71" t="s">
        <v>381</v>
      </c>
      <c r="AL144" s="71">
        <v>807104</v>
      </c>
      <c r="AM144" s="71"/>
      <c r="AN144" s="71"/>
      <c r="AO144" s="71" t="s">
        <v>773</v>
      </c>
      <c r="AP144" s="71" t="s">
        <v>774</v>
      </c>
      <c r="AQ144" s="71" t="s">
        <v>906</v>
      </c>
      <c r="AR144" s="71" t="s">
        <v>802</v>
      </c>
      <c r="AS144" s="71" t="s">
        <v>906</v>
      </c>
      <c r="AT144" s="71"/>
      <c r="AU144" s="71"/>
    </row>
    <row r="145" spans="1:53" ht="15" customHeight="1" x14ac:dyDescent="0.2">
      <c r="A145" s="95" t="s">
        <v>125</v>
      </c>
      <c r="B145" s="71">
        <v>2024</v>
      </c>
      <c r="C145" s="72" t="s">
        <v>1749</v>
      </c>
      <c r="D145" s="71" t="s">
        <v>1750</v>
      </c>
      <c r="E145" s="71" t="s">
        <v>127</v>
      </c>
      <c r="F145" s="71" t="s">
        <v>51</v>
      </c>
      <c r="G145" s="71">
        <v>2</v>
      </c>
      <c r="H145" s="71" t="s">
        <v>126</v>
      </c>
      <c r="I145" s="71" t="s">
        <v>1751</v>
      </c>
      <c r="J145" s="71" t="s">
        <v>20</v>
      </c>
      <c r="K145" s="71" t="s">
        <v>994</v>
      </c>
      <c r="L145" s="71" t="s">
        <v>35</v>
      </c>
      <c r="M145" s="71" t="s">
        <v>25</v>
      </c>
      <c r="N145" s="71" t="s">
        <v>1752</v>
      </c>
      <c r="O145" s="71">
        <v>190.01289392000001</v>
      </c>
      <c r="P145" s="71" t="s">
        <v>1753</v>
      </c>
      <c r="Q145" s="71" t="s">
        <v>45</v>
      </c>
      <c r="R145" s="71" t="s">
        <v>40</v>
      </c>
      <c r="S145" s="71"/>
      <c r="T145" s="71"/>
      <c r="U145" s="71"/>
      <c r="V145" s="71"/>
      <c r="W145" s="71"/>
      <c r="X145" s="71" t="s">
        <v>312</v>
      </c>
      <c r="Y145" s="71"/>
      <c r="Z145" s="71" t="s">
        <v>873</v>
      </c>
      <c r="AA145" s="71" t="s">
        <v>770</v>
      </c>
      <c r="AB145" s="71"/>
      <c r="AC145" s="71" t="s">
        <v>21</v>
      </c>
      <c r="AD145" s="71" t="s">
        <v>797</v>
      </c>
      <c r="AE145" s="71"/>
      <c r="AF145" s="71"/>
      <c r="AG145" s="71"/>
      <c r="AH145" s="71" t="s">
        <v>1754</v>
      </c>
      <c r="AI145" s="71" t="s">
        <v>772</v>
      </c>
      <c r="AJ145" s="71">
        <v>8600122</v>
      </c>
      <c r="AK145" s="71" t="s">
        <v>53</v>
      </c>
      <c r="AL145" s="71">
        <v>709727</v>
      </c>
      <c r="AM145" s="71"/>
      <c r="AN145" s="71"/>
      <c r="AO145" s="71" t="s">
        <v>773</v>
      </c>
      <c r="AP145" s="71" t="s">
        <v>774</v>
      </c>
      <c r="AQ145" s="71" t="s">
        <v>1755</v>
      </c>
      <c r="AR145" s="71" t="s">
        <v>802</v>
      </c>
      <c r="AS145" s="71" t="s">
        <v>312</v>
      </c>
      <c r="AT145" s="71"/>
      <c r="AU145" s="71"/>
      <c r="AV145" s="179"/>
    </row>
    <row r="146" spans="1:53" ht="15" customHeight="1" x14ac:dyDescent="0.2">
      <c r="A146" s="71" t="s">
        <v>278</v>
      </c>
      <c r="B146" s="71">
        <v>2025</v>
      </c>
      <c r="C146" s="72" t="s">
        <v>1756</v>
      </c>
      <c r="D146" s="71" t="s">
        <v>1757</v>
      </c>
      <c r="E146" s="71" t="s">
        <v>280</v>
      </c>
      <c r="F146" s="71" t="s">
        <v>279</v>
      </c>
      <c r="G146" s="71">
        <v>1</v>
      </c>
      <c r="H146" s="71" t="s">
        <v>280</v>
      </c>
      <c r="I146" s="71" t="s">
        <v>1758</v>
      </c>
      <c r="J146" s="71" t="s">
        <v>211</v>
      </c>
      <c r="K146" s="71" t="s">
        <v>183</v>
      </c>
      <c r="L146" s="71" t="s">
        <v>44</v>
      </c>
      <c r="M146" s="71" t="s">
        <v>25</v>
      </c>
      <c r="N146" s="71" t="s">
        <v>1759</v>
      </c>
      <c r="O146" s="71">
        <v>190.02209920000001</v>
      </c>
      <c r="P146" s="71" t="s">
        <v>767</v>
      </c>
      <c r="Q146" s="71" t="s">
        <v>36</v>
      </c>
      <c r="R146" s="71" t="s">
        <v>31</v>
      </c>
      <c r="S146" s="71"/>
      <c r="T146" s="71"/>
      <c r="U146" s="71"/>
      <c r="V146" s="71"/>
      <c r="W146" s="71"/>
      <c r="X146" s="71" t="s">
        <v>312</v>
      </c>
      <c r="Y146" s="71"/>
      <c r="Z146" s="71"/>
      <c r="AA146" s="71" t="s">
        <v>874</v>
      </c>
      <c r="AB146" s="71"/>
      <c r="AC146" s="71" t="s">
        <v>21</v>
      </c>
      <c r="AD146" s="71"/>
      <c r="AE146" s="71"/>
      <c r="AF146" s="71"/>
      <c r="AG146" s="71"/>
      <c r="AH146" s="71" t="s">
        <v>1760</v>
      </c>
      <c r="AI146" s="71" t="s">
        <v>772</v>
      </c>
      <c r="AJ146" s="71">
        <v>9381653</v>
      </c>
      <c r="AK146" s="71" t="s">
        <v>277</v>
      </c>
      <c r="AL146" s="71">
        <v>825557</v>
      </c>
      <c r="AM146" s="71"/>
      <c r="AN146" s="71"/>
      <c r="AO146" s="71" t="s">
        <v>773</v>
      </c>
      <c r="AP146" s="71" t="s">
        <v>774</v>
      </c>
      <c r="AQ146" s="71" t="s">
        <v>1761</v>
      </c>
      <c r="AR146" s="71" t="s">
        <v>802</v>
      </c>
      <c r="AS146" s="71" t="s">
        <v>312</v>
      </c>
      <c r="AT146" s="71"/>
      <c r="AU146" s="71"/>
    </row>
    <row r="147" spans="1:53" ht="15" customHeight="1" x14ac:dyDescent="0.2">
      <c r="A147" s="71" t="s">
        <v>314</v>
      </c>
      <c r="B147" s="71">
        <v>2025</v>
      </c>
      <c r="C147" s="72" t="s">
        <v>1762</v>
      </c>
      <c r="D147" s="71" t="s">
        <v>1763</v>
      </c>
      <c r="E147" s="71" t="s">
        <v>317</v>
      </c>
      <c r="F147" s="71" t="s">
        <v>138</v>
      </c>
      <c r="G147" s="71">
        <v>3</v>
      </c>
      <c r="H147" s="71" t="s">
        <v>315</v>
      </c>
      <c r="I147" s="71" t="s">
        <v>1764</v>
      </c>
      <c r="J147" s="71" t="s">
        <v>20</v>
      </c>
      <c r="K147" s="71" t="s">
        <v>1739</v>
      </c>
      <c r="L147" s="71" t="s">
        <v>35</v>
      </c>
      <c r="M147" s="71" t="s">
        <v>25</v>
      </c>
      <c r="N147" s="71" t="s">
        <v>1765</v>
      </c>
      <c r="O147" s="71">
        <v>190.01280862999999</v>
      </c>
      <c r="P147" s="71" t="s">
        <v>1766</v>
      </c>
      <c r="Q147" s="71" t="s">
        <v>45</v>
      </c>
      <c r="R147" s="71" t="s">
        <v>48</v>
      </c>
      <c r="S147" s="71"/>
      <c r="T147" s="71"/>
      <c r="U147" s="71"/>
      <c r="V147" s="71"/>
      <c r="W147" s="71"/>
      <c r="X147" s="71" t="s">
        <v>312</v>
      </c>
      <c r="Y147" s="71"/>
      <c r="Z147" s="71" t="s">
        <v>948</v>
      </c>
      <c r="AA147" s="71" t="s">
        <v>770</v>
      </c>
      <c r="AB147" s="71"/>
      <c r="AC147" s="71" t="s">
        <v>21</v>
      </c>
      <c r="AD147" s="71" t="s">
        <v>797</v>
      </c>
      <c r="AE147" s="71"/>
      <c r="AF147" s="71"/>
      <c r="AG147" s="71"/>
      <c r="AH147" s="71" t="s">
        <v>1767</v>
      </c>
      <c r="AI147" s="71" t="s">
        <v>772</v>
      </c>
      <c r="AJ147" s="71">
        <v>9047058</v>
      </c>
      <c r="AK147" s="71" t="s">
        <v>316</v>
      </c>
      <c r="AL147" s="71">
        <v>857972</v>
      </c>
      <c r="AM147" s="71"/>
      <c r="AN147" s="71"/>
      <c r="AO147" s="71" t="s">
        <v>773</v>
      </c>
      <c r="AP147" s="71" t="s">
        <v>774</v>
      </c>
      <c r="AQ147" s="71" t="s">
        <v>1359</v>
      </c>
      <c r="AR147" s="71" t="s">
        <v>802</v>
      </c>
      <c r="AS147" s="71" t="s">
        <v>1359</v>
      </c>
      <c r="AT147" s="71"/>
      <c r="AU147" s="71"/>
    </row>
    <row r="148" spans="1:53" ht="15" customHeight="1" x14ac:dyDescent="0.2">
      <c r="A148" s="71" t="s">
        <v>390</v>
      </c>
      <c r="B148" s="71">
        <v>2025</v>
      </c>
      <c r="C148" s="72" t="s">
        <v>1768</v>
      </c>
      <c r="D148" s="71" t="s">
        <v>1769</v>
      </c>
      <c r="E148" s="71" t="s">
        <v>393</v>
      </c>
      <c r="F148" s="71" t="s">
        <v>391</v>
      </c>
      <c r="G148" s="71">
        <v>3</v>
      </c>
      <c r="H148" s="71" t="s">
        <v>392</v>
      </c>
      <c r="I148" s="71" t="s">
        <v>1770</v>
      </c>
      <c r="J148" s="71" t="s">
        <v>20</v>
      </c>
      <c r="K148" s="71" t="s">
        <v>1771</v>
      </c>
      <c r="L148" s="71" t="s">
        <v>35</v>
      </c>
      <c r="M148" s="71" t="s">
        <v>25</v>
      </c>
      <c r="N148" s="71" t="s">
        <v>1772</v>
      </c>
      <c r="O148" s="71">
        <v>190.02680096</v>
      </c>
      <c r="P148" s="71" t="s">
        <v>1773</v>
      </c>
      <c r="Q148" s="71" t="s">
        <v>94</v>
      </c>
      <c r="R148" s="71" t="s">
        <v>31</v>
      </c>
      <c r="S148" s="71"/>
      <c r="T148" s="71"/>
      <c r="U148" s="71"/>
      <c r="V148" s="71"/>
      <c r="W148" s="71"/>
      <c r="X148" s="71"/>
      <c r="Y148" s="71"/>
      <c r="Z148" s="71"/>
      <c r="AA148" s="71" t="s">
        <v>874</v>
      </c>
      <c r="AB148" s="71"/>
      <c r="AC148" s="71" t="s">
        <v>21</v>
      </c>
      <c r="AD148" s="71"/>
      <c r="AE148" s="71"/>
      <c r="AF148" s="71"/>
      <c r="AG148" s="71"/>
      <c r="AH148" s="71" t="s">
        <v>1774</v>
      </c>
      <c r="AI148" s="71" t="s">
        <v>772</v>
      </c>
      <c r="AJ148" s="71">
        <v>9144437</v>
      </c>
      <c r="AK148" s="71" t="s">
        <v>157</v>
      </c>
      <c r="AL148" s="71">
        <v>792803</v>
      </c>
      <c r="AM148" s="71"/>
      <c r="AN148" s="71"/>
      <c r="AO148" s="71" t="s">
        <v>773</v>
      </c>
      <c r="AP148" s="71" t="s">
        <v>774</v>
      </c>
      <c r="AQ148" s="71" t="s">
        <v>906</v>
      </c>
      <c r="AR148" s="71" t="s">
        <v>802</v>
      </c>
      <c r="AS148" s="71" t="s">
        <v>906</v>
      </c>
      <c r="AT148" s="71"/>
      <c r="AU148" s="71"/>
    </row>
    <row r="149" spans="1:53" ht="174.75" customHeight="1" x14ac:dyDescent="0.2">
      <c r="A149" s="71" t="s">
        <v>1775</v>
      </c>
      <c r="B149" s="71">
        <v>2025</v>
      </c>
      <c r="C149" s="72" t="s">
        <v>1776</v>
      </c>
      <c r="D149" s="71" t="s">
        <v>1777</v>
      </c>
      <c r="E149" s="71" t="s">
        <v>1778</v>
      </c>
      <c r="F149" s="71" t="s">
        <v>462</v>
      </c>
      <c r="G149" s="71">
        <v>3</v>
      </c>
      <c r="H149" s="71" t="s">
        <v>1779</v>
      </c>
      <c r="I149" s="71" t="s">
        <v>1780</v>
      </c>
      <c r="J149" s="71" t="s">
        <v>20</v>
      </c>
      <c r="K149" s="71" t="s">
        <v>1781</v>
      </c>
      <c r="L149" s="71" t="s">
        <v>35</v>
      </c>
      <c r="M149" s="71" t="s">
        <v>25</v>
      </c>
      <c r="N149" s="71" t="s">
        <v>1782</v>
      </c>
      <c r="O149" s="71">
        <v>190.00282286999999</v>
      </c>
      <c r="P149" s="71" t="s">
        <v>1783</v>
      </c>
      <c r="Q149" s="71" t="s">
        <v>45</v>
      </c>
      <c r="R149" s="71" t="s">
        <v>31</v>
      </c>
      <c r="S149" s="71"/>
      <c r="T149" s="71"/>
      <c r="U149" s="71"/>
      <c r="V149" s="71"/>
      <c r="W149" s="71"/>
      <c r="X149" s="71" t="s">
        <v>312</v>
      </c>
      <c r="Y149" s="71"/>
      <c r="Z149" s="71" t="s">
        <v>948</v>
      </c>
      <c r="AA149" s="71" t="s">
        <v>874</v>
      </c>
      <c r="AB149" s="71"/>
      <c r="AC149" s="71" t="s">
        <v>21</v>
      </c>
      <c r="AD149" s="71" t="s">
        <v>797</v>
      </c>
      <c r="AE149" s="71"/>
      <c r="AF149" s="71"/>
      <c r="AG149" s="71"/>
      <c r="AH149" s="71" t="s">
        <v>1784</v>
      </c>
      <c r="AI149" s="71" t="s">
        <v>772</v>
      </c>
      <c r="AJ149" s="71">
        <v>8657287</v>
      </c>
      <c r="AK149" s="71" t="s">
        <v>464</v>
      </c>
      <c r="AL149" s="71">
        <v>698485</v>
      </c>
      <c r="AM149" s="71"/>
      <c r="AN149" s="71"/>
      <c r="AO149" s="71" t="s">
        <v>773</v>
      </c>
      <c r="AP149" s="71" t="s">
        <v>774</v>
      </c>
      <c r="AQ149" s="71" t="s">
        <v>312</v>
      </c>
      <c r="AR149" s="71" t="s">
        <v>776</v>
      </c>
      <c r="AS149" s="71" t="s">
        <v>312</v>
      </c>
      <c r="AT149" s="71" t="s">
        <v>1785</v>
      </c>
      <c r="AU149" s="71" t="s">
        <v>862</v>
      </c>
      <c r="BA149" s="87" t="s">
        <v>1786</v>
      </c>
    </row>
    <row r="150" spans="1:53" ht="186.75" customHeight="1" x14ac:dyDescent="0.2">
      <c r="A150" s="71" t="s">
        <v>1787</v>
      </c>
      <c r="B150" s="71">
        <v>2024</v>
      </c>
      <c r="C150" s="72" t="s">
        <v>1788</v>
      </c>
      <c r="D150" s="71" t="s">
        <v>1789</v>
      </c>
      <c r="E150" s="71" t="s">
        <v>488</v>
      </c>
      <c r="F150" s="71" t="s">
        <v>485</v>
      </c>
      <c r="G150" s="71">
        <v>3</v>
      </c>
      <c r="H150" s="71" t="s">
        <v>1790</v>
      </c>
      <c r="I150" s="71" t="s">
        <v>1791</v>
      </c>
      <c r="J150" s="71" t="s">
        <v>91</v>
      </c>
      <c r="K150" s="71" t="s">
        <v>903</v>
      </c>
      <c r="L150" s="71" t="s">
        <v>44</v>
      </c>
      <c r="M150" s="71" t="s">
        <v>25</v>
      </c>
      <c r="N150" s="71" t="s">
        <v>1792</v>
      </c>
      <c r="O150" s="71">
        <v>190.02738065</v>
      </c>
      <c r="P150" s="71" t="s">
        <v>1793</v>
      </c>
      <c r="Q150" s="71" t="s">
        <v>45</v>
      </c>
      <c r="R150" s="71" t="s">
        <v>40</v>
      </c>
      <c r="S150" s="71"/>
      <c r="T150" s="71"/>
      <c r="U150" s="71"/>
      <c r="V150" s="71"/>
      <c r="W150" s="71"/>
      <c r="X150" s="71" t="s">
        <v>312</v>
      </c>
      <c r="Y150" s="71"/>
      <c r="Z150" s="71"/>
      <c r="AA150" s="71" t="s">
        <v>770</v>
      </c>
      <c r="AB150" s="71"/>
      <c r="AC150" s="71" t="s">
        <v>21</v>
      </c>
      <c r="AD150" s="71"/>
      <c r="AE150" s="71"/>
      <c r="AF150" s="71"/>
      <c r="AG150" s="71"/>
      <c r="AH150" s="71" t="s">
        <v>1794</v>
      </c>
      <c r="AI150" s="71" t="s">
        <v>772</v>
      </c>
      <c r="AJ150" s="71">
        <v>8957865</v>
      </c>
      <c r="AK150" s="71" t="s">
        <v>487</v>
      </c>
      <c r="AL150" s="71">
        <v>849610</v>
      </c>
      <c r="AM150" s="71"/>
      <c r="AN150" s="71"/>
      <c r="AO150" s="71" t="s">
        <v>773</v>
      </c>
      <c r="AP150" s="71" t="s">
        <v>908</v>
      </c>
      <c r="AQ150" s="71" t="s">
        <v>775</v>
      </c>
      <c r="AR150" s="71" t="s">
        <v>788</v>
      </c>
      <c r="AS150" s="71" t="s">
        <v>777</v>
      </c>
      <c r="AT150" s="71"/>
      <c r="AU150" s="71"/>
    </row>
    <row r="151" spans="1:53" ht="81" customHeight="1" x14ac:dyDescent="0.2">
      <c r="A151" s="71" t="s">
        <v>340</v>
      </c>
      <c r="B151" s="71">
        <v>2025</v>
      </c>
      <c r="C151" s="72" t="s">
        <v>1795</v>
      </c>
      <c r="D151" s="71" t="s">
        <v>1796</v>
      </c>
      <c r="E151" s="71" t="s">
        <v>343</v>
      </c>
      <c r="F151" s="71" t="s">
        <v>341</v>
      </c>
      <c r="G151" s="71">
        <v>2</v>
      </c>
      <c r="H151" s="71" t="s">
        <v>342</v>
      </c>
      <c r="I151" s="71" t="s">
        <v>1797</v>
      </c>
      <c r="J151" s="71" t="s">
        <v>91</v>
      </c>
      <c r="K151" s="71" t="s">
        <v>1028</v>
      </c>
      <c r="L151" s="71" t="s">
        <v>44</v>
      </c>
      <c r="M151" s="71" t="s">
        <v>25</v>
      </c>
      <c r="N151" s="71" t="s">
        <v>1798</v>
      </c>
      <c r="O151" s="71">
        <v>190.02790285</v>
      </c>
      <c r="P151" s="71" t="s">
        <v>1799</v>
      </c>
      <c r="Q151" s="71" t="s">
        <v>94</v>
      </c>
      <c r="R151" s="71" t="s">
        <v>184</v>
      </c>
      <c r="S151" s="71"/>
      <c r="T151" s="71"/>
      <c r="U151" s="71"/>
      <c r="V151" s="71"/>
      <c r="W151" s="71"/>
      <c r="X151" s="71" t="s">
        <v>906</v>
      </c>
      <c r="Y151" s="71"/>
      <c r="Z151" s="71"/>
      <c r="AA151" s="71" t="s">
        <v>770</v>
      </c>
      <c r="AB151" s="71"/>
      <c r="AC151" s="71" t="s">
        <v>21</v>
      </c>
      <c r="AD151" s="71"/>
      <c r="AE151" s="71"/>
      <c r="AF151" s="71"/>
      <c r="AG151" s="71"/>
      <c r="AH151" s="71" t="s">
        <v>1800</v>
      </c>
      <c r="AI151" s="71" t="s">
        <v>772</v>
      </c>
      <c r="AJ151" s="71">
        <v>9107696</v>
      </c>
      <c r="AK151" s="71" t="s">
        <v>189</v>
      </c>
      <c r="AL151" s="71">
        <v>800395</v>
      </c>
      <c r="AM151" s="71"/>
      <c r="AN151" s="71"/>
      <c r="AO151" s="71" t="s">
        <v>773</v>
      </c>
      <c r="AP151" s="71" t="s">
        <v>908</v>
      </c>
      <c r="AQ151" s="71" t="s">
        <v>775</v>
      </c>
      <c r="AR151" s="71" t="s">
        <v>788</v>
      </c>
      <c r="AS151" s="71" t="s">
        <v>777</v>
      </c>
      <c r="AT151" s="71"/>
      <c r="AU151" s="71"/>
    </row>
    <row r="152" spans="1:53" ht="198" customHeight="1" x14ac:dyDescent="0.2">
      <c r="A152" s="71" t="s">
        <v>376</v>
      </c>
      <c r="B152" s="71">
        <v>2025</v>
      </c>
      <c r="C152" s="72" t="s">
        <v>1801</v>
      </c>
      <c r="D152" s="71" t="s">
        <v>1802</v>
      </c>
      <c r="E152" s="71" t="s">
        <v>378</v>
      </c>
      <c r="F152" s="71" t="s">
        <v>305</v>
      </c>
      <c r="G152" s="71">
        <v>2</v>
      </c>
      <c r="H152" s="71" t="s">
        <v>377</v>
      </c>
      <c r="I152" s="71" t="s">
        <v>1803</v>
      </c>
      <c r="J152" s="71" t="s">
        <v>20</v>
      </c>
      <c r="K152" s="71" t="s">
        <v>1340</v>
      </c>
      <c r="L152" s="71" t="s">
        <v>35</v>
      </c>
      <c r="M152" s="71" t="s">
        <v>25</v>
      </c>
      <c r="N152" s="71" t="s">
        <v>1804</v>
      </c>
      <c r="O152" s="71">
        <v>190.0268246</v>
      </c>
      <c r="P152" s="71" t="s">
        <v>1805</v>
      </c>
      <c r="Q152" s="71" t="s">
        <v>94</v>
      </c>
      <c r="R152" s="71" t="s">
        <v>31</v>
      </c>
      <c r="S152" s="71"/>
      <c r="T152" s="71"/>
      <c r="U152" s="71"/>
      <c r="V152" s="71"/>
      <c r="W152" s="71"/>
      <c r="X152" s="71" t="s">
        <v>906</v>
      </c>
      <c r="Y152" s="71"/>
      <c r="Z152" s="71" t="s">
        <v>1343</v>
      </c>
      <c r="AA152" s="71" t="s">
        <v>770</v>
      </c>
      <c r="AB152" s="71"/>
      <c r="AC152" s="71" t="s">
        <v>21</v>
      </c>
      <c r="AD152" s="71"/>
      <c r="AE152" s="71"/>
      <c r="AF152" s="71"/>
      <c r="AG152" s="71"/>
      <c r="AH152" s="71" t="s">
        <v>1806</v>
      </c>
      <c r="AI152" s="71" t="s">
        <v>772</v>
      </c>
      <c r="AJ152" s="71">
        <v>8711174</v>
      </c>
      <c r="AK152" s="71" t="s">
        <v>355</v>
      </c>
      <c r="AL152" s="71">
        <v>859820</v>
      </c>
      <c r="AM152" s="71"/>
      <c r="AN152" s="71"/>
      <c r="AO152" s="71" t="s">
        <v>773</v>
      </c>
      <c r="AP152" s="71" t="s">
        <v>774</v>
      </c>
      <c r="AQ152" s="71" t="s">
        <v>906</v>
      </c>
      <c r="AR152" s="71" t="s">
        <v>802</v>
      </c>
      <c r="AS152" s="71" t="s">
        <v>906</v>
      </c>
      <c r="AT152" s="71"/>
      <c r="AU152" s="71"/>
    </row>
    <row r="153" spans="1:53" ht="15" customHeight="1" x14ac:dyDescent="0.2">
      <c r="A153" s="71" t="s">
        <v>394</v>
      </c>
      <c r="B153" s="71">
        <v>2025</v>
      </c>
      <c r="C153" s="72" t="s">
        <v>1807</v>
      </c>
      <c r="D153" s="71" t="s">
        <v>1808</v>
      </c>
      <c r="E153" s="71" t="s">
        <v>396</v>
      </c>
      <c r="F153" s="71" t="s">
        <v>395</v>
      </c>
      <c r="G153" s="71">
        <v>3</v>
      </c>
      <c r="H153" s="71" t="s">
        <v>396</v>
      </c>
      <c r="I153" s="71" t="s">
        <v>1809</v>
      </c>
      <c r="J153" s="71" t="s">
        <v>20</v>
      </c>
      <c r="K153" s="71" t="s">
        <v>945</v>
      </c>
      <c r="L153" s="71" t="s">
        <v>35</v>
      </c>
      <c r="M153" s="71" t="s">
        <v>25</v>
      </c>
      <c r="N153" s="71" t="s">
        <v>1810</v>
      </c>
      <c r="O153" s="71">
        <v>190.02259282</v>
      </c>
      <c r="P153" s="71" t="s">
        <v>1811</v>
      </c>
      <c r="Q153" s="71" t="s">
        <v>36</v>
      </c>
      <c r="R153" s="71" t="s">
        <v>31</v>
      </c>
      <c r="S153" s="71"/>
      <c r="T153" s="71"/>
      <c r="U153" s="71"/>
      <c r="V153" s="71"/>
      <c r="W153" s="71"/>
      <c r="X153" s="71" t="s">
        <v>918</v>
      </c>
      <c r="Y153" s="71"/>
      <c r="Z153" s="71" t="s">
        <v>1812</v>
      </c>
      <c r="AA153" s="71" t="s">
        <v>874</v>
      </c>
      <c r="AB153" s="71"/>
      <c r="AC153" s="71" t="s">
        <v>21</v>
      </c>
      <c r="AD153" s="71"/>
      <c r="AE153" s="71"/>
      <c r="AF153" s="71"/>
      <c r="AG153" s="71"/>
      <c r="AH153" s="71" t="s">
        <v>1813</v>
      </c>
      <c r="AI153" s="71" t="s">
        <v>772</v>
      </c>
      <c r="AJ153" s="71">
        <v>9212030</v>
      </c>
      <c r="AK153" s="71" t="s">
        <v>397</v>
      </c>
      <c r="AL153" s="71">
        <v>750473</v>
      </c>
      <c r="AM153" s="71"/>
      <c r="AN153" s="71"/>
      <c r="AO153" s="71" t="s">
        <v>773</v>
      </c>
      <c r="AP153" s="71" t="s">
        <v>774</v>
      </c>
      <c r="AQ153" s="71" t="s">
        <v>312</v>
      </c>
      <c r="AR153" s="71" t="s">
        <v>802</v>
      </c>
      <c r="AS153" s="71" t="s">
        <v>312</v>
      </c>
      <c r="AT153" s="71"/>
      <c r="AU153" s="71"/>
    </row>
    <row r="154" spans="1:53" ht="15" customHeight="1" x14ac:dyDescent="0.2">
      <c r="A154" s="71" t="s">
        <v>357</v>
      </c>
      <c r="B154" s="71">
        <v>2025</v>
      </c>
      <c r="C154" s="72" t="s">
        <v>1814</v>
      </c>
      <c r="D154" s="71" t="s">
        <v>1815</v>
      </c>
      <c r="E154" s="71" t="s">
        <v>362</v>
      </c>
      <c r="F154" s="71" t="s">
        <v>358</v>
      </c>
      <c r="G154" s="71">
        <v>3</v>
      </c>
      <c r="H154" s="71" t="s">
        <v>359</v>
      </c>
      <c r="I154" s="71" t="s">
        <v>1816</v>
      </c>
      <c r="J154" s="71" t="s">
        <v>20</v>
      </c>
      <c r="K154" s="71" t="s">
        <v>1428</v>
      </c>
      <c r="L154" s="71" t="s">
        <v>131</v>
      </c>
      <c r="M154" s="71" t="s">
        <v>25</v>
      </c>
      <c r="N154" s="71" t="s">
        <v>1817</v>
      </c>
      <c r="O154" s="71">
        <v>190.02720223</v>
      </c>
      <c r="P154" s="71" t="s">
        <v>767</v>
      </c>
      <c r="Q154" s="71" t="s">
        <v>26</v>
      </c>
      <c r="R154" s="71" t="s">
        <v>148</v>
      </c>
      <c r="S154" s="71"/>
      <c r="T154" s="71"/>
      <c r="U154" s="71"/>
      <c r="V154" s="71"/>
      <c r="W154" s="71"/>
      <c r="X154" s="71" t="s">
        <v>768</v>
      </c>
      <c r="Y154" s="71"/>
      <c r="Z154" s="71" t="s">
        <v>873</v>
      </c>
      <c r="AA154" s="71" t="s">
        <v>770</v>
      </c>
      <c r="AB154" s="71"/>
      <c r="AC154" s="71" t="s">
        <v>21</v>
      </c>
      <c r="AD154" s="71"/>
      <c r="AE154" s="71"/>
      <c r="AF154" s="71"/>
      <c r="AG154" s="71"/>
      <c r="AH154" s="71" t="s">
        <v>1818</v>
      </c>
      <c r="AI154" s="71" t="s">
        <v>772</v>
      </c>
      <c r="AJ154" s="71">
        <v>9299458</v>
      </c>
      <c r="AK154" s="71" t="s">
        <v>360</v>
      </c>
      <c r="AL154" s="71">
        <v>895622</v>
      </c>
      <c r="AM154" s="71"/>
      <c r="AN154" s="71"/>
      <c r="AO154" s="71" t="s">
        <v>773</v>
      </c>
      <c r="AP154" s="71" t="s">
        <v>774</v>
      </c>
      <c r="AQ154" s="71" t="s">
        <v>1093</v>
      </c>
      <c r="AR154" s="71" t="s">
        <v>776</v>
      </c>
      <c r="AS154" s="71" t="s">
        <v>1094</v>
      </c>
      <c r="AT154" s="71" t="s">
        <v>348</v>
      </c>
      <c r="AU154" s="71"/>
    </row>
    <row r="155" spans="1:53" ht="178.5" customHeight="1" x14ac:dyDescent="0.2">
      <c r="A155" s="71" t="s">
        <v>368</v>
      </c>
      <c r="B155" s="71">
        <v>2025</v>
      </c>
      <c r="C155" s="72" t="s">
        <v>1819</v>
      </c>
      <c r="D155" s="71" t="s">
        <v>1820</v>
      </c>
      <c r="E155" s="71" t="s">
        <v>372</v>
      </c>
      <c r="F155" s="71" t="s">
        <v>369</v>
      </c>
      <c r="G155" s="71">
        <v>3</v>
      </c>
      <c r="H155" s="71" t="s">
        <v>370</v>
      </c>
      <c r="I155" s="71" t="s">
        <v>1821</v>
      </c>
      <c r="J155" s="71" t="s">
        <v>91</v>
      </c>
      <c r="K155" s="71" t="s">
        <v>1028</v>
      </c>
      <c r="L155" s="71" t="s">
        <v>44</v>
      </c>
      <c r="M155" s="71" t="s">
        <v>25</v>
      </c>
      <c r="N155" s="71" t="s">
        <v>1822</v>
      </c>
      <c r="O155" s="71">
        <v>190.02787634000001</v>
      </c>
      <c r="P155" s="71" t="s">
        <v>1823</v>
      </c>
      <c r="Q155" s="71" t="s">
        <v>94</v>
      </c>
      <c r="R155" s="71" t="s">
        <v>184</v>
      </c>
      <c r="S155" s="71"/>
      <c r="T155" s="71"/>
      <c r="U155" s="71"/>
      <c r="V155" s="71"/>
      <c r="W155" s="71"/>
      <c r="X155" s="71" t="s">
        <v>906</v>
      </c>
      <c r="Y155" s="71"/>
      <c r="Z155" s="71"/>
      <c r="AA155" s="71" t="s">
        <v>770</v>
      </c>
      <c r="AB155" s="71"/>
      <c r="AC155" s="71" t="s">
        <v>21</v>
      </c>
      <c r="AD155" s="71"/>
      <c r="AE155" s="71"/>
      <c r="AF155" s="71"/>
      <c r="AG155" s="71"/>
      <c r="AH155" s="71" t="s">
        <v>1824</v>
      </c>
      <c r="AI155" s="71" t="s">
        <v>772</v>
      </c>
      <c r="AJ155" s="71">
        <v>9010985</v>
      </c>
      <c r="AK155" s="71" t="s">
        <v>371</v>
      </c>
      <c r="AL155" s="71">
        <v>777571</v>
      </c>
      <c r="AM155" s="71"/>
      <c r="AN155" s="71"/>
      <c r="AO155" s="71" t="s">
        <v>773</v>
      </c>
      <c r="AP155" s="71" t="s">
        <v>774</v>
      </c>
      <c r="AQ155" s="71" t="s">
        <v>1825</v>
      </c>
      <c r="AR155" s="71" t="s">
        <v>802</v>
      </c>
      <c r="AS155" s="71" t="s">
        <v>918</v>
      </c>
      <c r="AT155" s="71" t="s">
        <v>1826</v>
      </c>
      <c r="AU155" s="71"/>
    </row>
    <row r="156" spans="1:53" ht="15" customHeight="1" x14ac:dyDescent="0.2">
      <c r="A156" s="71" t="s">
        <v>1827</v>
      </c>
      <c r="B156" s="71">
        <v>2025</v>
      </c>
      <c r="C156" s="72" t="s">
        <v>1828</v>
      </c>
      <c r="D156" s="71" t="s">
        <v>1829</v>
      </c>
      <c r="E156" s="71" t="s">
        <v>1830</v>
      </c>
      <c r="F156" s="71" t="s">
        <v>145</v>
      </c>
      <c r="G156" s="71">
        <v>2</v>
      </c>
      <c r="H156" s="71" t="s">
        <v>1831</v>
      </c>
      <c r="I156" s="71" t="s">
        <v>1832</v>
      </c>
      <c r="J156" s="71" t="s">
        <v>20</v>
      </c>
      <c r="K156" s="71" t="s">
        <v>1116</v>
      </c>
      <c r="L156" s="71" t="s">
        <v>35</v>
      </c>
      <c r="M156" s="71" t="s">
        <v>25</v>
      </c>
      <c r="N156" s="71" t="s">
        <v>1833</v>
      </c>
      <c r="O156" s="71">
        <v>190.01225986</v>
      </c>
      <c r="P156" s="71" t="s">
        <v>1834</v>
      </c>
      <c r="Q156" s="71" t="s">
        <v>45</v>
      </c>
      <c r="R156" s="71" t="s">
        <v>31</v>
      </c>
      <c r="S156" s="71"/>
      <c r="T156" s="71"/>
      <c r="U156" s="71"/>
      <c r="V156" s="71"/>
      <c r="W156" s="71"/>
      <c r="X156" s="71" t="s">
        <v>918</v>
      </c>
      <c r="Y156" s="71"/>
      <c r="Z156" s="71" t="s">
        <v>948</v>
      </c>
      <c r="AA156" s="71" t="s">
        <v>874</v>
      </c>
      <c r="AB156" s="71"/>
      <c r="AC156" s="71" t="s">
        <v>21</v>
      </c>
      <c r="AD156" s="71" t="s">
        <v>797</v>
      </c>
      <c r="AE156" s="71"/>
      <c r="AF156" s="71"/>
      <c r="AG156" s="71"/>
      <c r="AH156" s="71" t="s">
        <v>1835</v>
      </c>
      <c r="AI156" s="71" t="s">
        <v>772</v>
      </c>
      <c r="AJ156" s="71">
        <v>9204913</v>
      </c>
      <c r="AK156" s="71" t="s">
        <v>28</v>
      </c>
      <c r="AL156" s="71">
        <v>793354</v>
      </c>
      <c r="AM156" s="71"/>
      <c r="AN156" s="71"/>
      <c r="AO156" s="71" t="s">
        <v>773</v>
      </c>
      <c r="AP156" s="71" t="s">
        <v>774</v>
      </c>
      <c r="AQ156" s="71" t="s">
        <v>312</v>
      </c>
      <c r="AR156" s="71" t="s">
        <v>802</v>
      </c>
      <c r="AS156" s="71" t="s">
        <v>312</v>
      </c>
      <c r="AT156" s="71"/>
      <c r="AU156" s="71"/>
    </row>
    <row r="157" spans="1:53" ht="123" customHeight="1" x14ac:dyDescent="0.2">
      <c r="A157" s="71" t="s">
        <v>274</v>
      </c>
      <c r="B157" s="71">
        <v>2025</v>
      </c>
      <c r="C157" s="72" t="s">
        <v>1836</v>
      </c>
      <c r="D157" s="71" t="s">
        <v>1837</v>
      </c>
      <c r="E157" s="71" t="s">
        <v>276</v>
      </c>
      <c r="F157" s="71" t="s">
        <v>275</v>
      </c>
      <c r="G157" s="71">
        <v>3</v>
      </c>
      <c r="H157" s="71" t="s">
        <v>276</v>
      </c>
      <c r="I157" s="71" t="s">
        <v>1838</v>
      </c>
      <c r="J157" s="71" t="s">
        <v>211</v>
      </c>
      <c r="K157" s="71" t="s">
        <v>183</v>
      </c>
      <c r="L157" s="71" t="s">
        <v>24</v>
      </c>
      <c r="M157" s="71" t="s">
        <v>25</v>
      </c>
      <c r="N157" s="71" t="s">
        <v>1839</v>
      </c>
      <c r="O157" s="71">
        <v>190.02203206999999</v>
      </c>
      <c r="P157" s="71" t="s">
        <v>1840</v>
      </c>
      <c r="Q157" s="71" t="s">
        <v>36</v>
      </c>
      <c r="R157" s="71" t="s">
        <v>31</v>
      </c>
      <c r="S157" s="71"/>
      <c r="T157" s="71"/>
      <c r="U157" s="71"/>
      <c r="V157" s="71"/>
      <c r="W157" s="71"/>
      <c r="X157" s="71" t="s">
        <v>312</v>
      </c>
      <c r="Y157" s="71"/>
      <c r="Z157" s="71"/>
      <c r="AA157" s="71" t="s">
        <v>874</v>
      </c>
      <c r="AB157" s="71"/>
      <c r="AC157" s="71" t="s">
        <v>21</v>
      </c>
      <c r="AD157" s="71"/>
      <c r="AE157" s="71"/>
      <c r="AF157" s="71"/>
      <c r="AG157" s="71"/>
      <c r="AH157" s="71" t="s">
        <v>1841</v>
      </c>
      <c r="AI157" s="71" t="s">
        <v>772</v>
      </c>
      <c r="AJ157" s="71">
        <v>9355539</v>
      </c>
      <c r="AK157" s="71" t="s">
        <v>277</v>
      </c>
      <c r="AL157" s="71">
        <v>811927</v>
      </c>
      <c r="AM157" s="71"/>
      <c r="AN157" s="71"/>
      <c r="AO157" s="71" t="s">
        <v>773</v>
      </c>
      <c r="AP157" s="71" t="s">
        <v>774</v>
      </c>
      <c r="AQ157" s="71" t="s">
        <v>1842</v>
      </c>
      <c r="AR157" s="71" t="s">
        <v>802</v>
      </c>
      <c r="AS157" s="71" t="s">
        <v>312</v>
      </c>
      <c r="AT157" s="71"/>
      <c r="AU157" s="71"/>
    </row>
    <row r="158" spans="1:53" ht="15" customHeight="1" x14ac:dyDescent="0.2">
      <c r="A158" s="71" t="s">
        <v>398</v>
      </c>
      <c r="B158" s="71">
        <v>2025</v>
      </c>
      <c r="C158" s="72" t="s">
        <v>1843</v>
      </c>
      <c r="D158" s="71" t="s">
        <v>1844</v>
      </c>
      <c r="E158" s="71" t="s">
        <v>399</v>
      </c>
      <c r="F158" s="71" t="s">
        <v>399</v>
      </c>
      <c r="G158" s="71">
        <v>1</v>
      </c>
      <c r="H158" s="71" t="s">
        <v>400</v>
      </c>
      <c r="I158" s="71" t="s">
        <v>1845</v>
      </c>
      <c r="J158" s="71" t="s">
        <v>20</v>
      </c>
      <c r="K158" s="71" t="s">
        <v>1116</v>
      </c>
      <c r="L158" s="71" t="s">
        <v>35</v>
      </c>
      <c r="M158" s="71" t="s">
        <v>25</v>
      </c>
      <c r="N158" s="71" t="s">
        <v>1846</v>
      </c>
      <c r="O158" s="71">
        <v>190.02643979000001</v>
      </c>
      <c r="P158" s="71" t="s">
        <v>1847</v>
      </c>
      <c r="Q158" s="71" t="s">
        <v>94</v>
      </c>
      <c r="R158" s="71" t="s">
        <v>31</v>
      </c>
      <c r="S158" s="71"/>
      <c r="T158" s="71"/>
      <c r="U158" s="71"/>
      <c r="V158" s="71"/>
      <c r="W158" s="71"/>
      <c r="X158" s="71" t="s">
        <v>845</v>
      </c>
      <c r="Y158" s="71"/>
      <c r="Z158" s="71" t="s">
        <v>1848</v>
      </c>
      <c r="AA158" s="71" t="s">
        <v>770</v>
      </c>
      <c r="AB158" s="71"/>
      <c r="AC158" s="71" t="s">
        <v>21</v>
      </c>
      <c r="AD158" s="71"/>
      <c r="AE158" s="71"/>
      <c r="AF158" s="71"/>
      <c r="AG158" s="71"/>
      <c r="AH158" s="71" t="s">
        <v>1849</v>
      </c>
      <c r="AI158" s="71" t="s">
        <v>772</v>
      </c>
      <c r="AJ158" s="71">
        <v>9023715</v>
      </c>
      <c r="AK158" s="71" t="s">
        <v>371</v>
      </c>
      <c r="AL158" s="71">
        <v>775230</v>
      </c>
      <c r="AM158" s="71"/>
      <c r="AN158" s="71"/>
      <c r="AO158" s="71" t="s">
        <v>773</v>
      </c>
      <c r="AP158" s="71" t="s">
        <v>774</v>
      </c>
      <c r="AQ158" s="71" t="s">
        <v>906</v>
      </c>
      <c r="AR158" s="71" t="s">
        <v>802</v>
      </c>
      <c r="AS158" s="71" t="s">
        <v>906</v>
      </c>
      <c r="AT158" s="71"/>
      <c r="AU158" s="71"/>
    </row>
    <row r="159" spans="1:53" ht="15" customHeight="1" x14ac:dyDescent="0.2">
      <c r="A159" s="71" t="s">
        <v>1850</v>
      </c>
      <c r="B159" s="71">
        <v>2025</v>
      </c>
      <c r="C159" s="72" t="s">
        <v>1851</v>
      </c>
      <c r="D159" s="71" t="s">
        <v>1852</v>
      </c>
      <c r="E159" s="71" t="s">
        <v>1853</v>
      </c>
      <c r="F159" s="71" t="s">
        <v>279</v>
      </c>
      <c r="G159" s="71">
        <v>3</v>
      </c>
      <c r="H159" s="71" t="s">
        <v>1853</v>
      </c>
      <c r="I159" s="71" t="s">
        <v>1854</v>
      </c>
      <c r="J159" s="71" t="s">
        <v>211</v>
      </c>
      <c r="K159" s="71" t="s">
        <v>183</v>
      </c>
      <c r="L159" s="71" t="s">
        <v>24</v>
      </c>
      <c r="M159" s="71" t="s">
        <v>25</v>
      </c>
      <c r="N159" s="71" t="s">
        <v>1855</v>
      </c>
      <c r="O159" s="71">
        <v>190.02212406000001</v>
      </c>
      <c r="P159" s="71" t="s">
        <v>767</v>
      </c>
      <c r="Q159" s="71" t="s">
        <v>36</v>
      </c>
      <c r="R159" s="71" t="s">
        <v>31</v>
      </c>
      <c r="S159" s="71"/>
      <c r="T159" s="71" t="s">
        <v>1856</v>
      </c>
      <c r="U159" s="71" t="s">
        <v>1432</v>
      </c>
      <c r="V159" s="71"/>
      <c r="W159" s="71"/>
      <c r="X159" s="71" t="s">
        <v>312</v>
      </c>
      <c r="Y159" s="71"/>
      <c r="Z159" s="71"/>
      <c r="AA159" s="71" t="s">
        <v>874</v>
      </c>
      <c r="AB159" s="71"/>
      <c r="AC159" s="71" t="s">
        <v>21</v>
      </c>
      <c r="AD159" s="71"/>
      <c r="AE159" s="71"/>
      <c r="AF159" s="71"/>
      <c r="AG159" s="71"/>
      <c r="AH159" s="71" t="s">
        <v>1857</v>
      </c>
      <c r="AI159" s="71" t="s">
        <v>772</v>
      </c>
      <c r="AJ159" s="71">
        <v>9405003</v>
      </c>
      <c r="AK159" s="71" t="s">
        <v>1858</v>
      </c>
      <c r="AL159" s="71">
        <v>777483</v>
      </c>
      <c r="AM159" s="71"/>
      <c r="AN159" s="71"/>
      <c r="AO159" s="71" t="s">
        <v>773</v>
      </c>
      <c r="AP159" s="71" t="s">
        <v>774</v>
      </c>
      <c r="AQ159" s="71" t="s">
        <v>1859</v>
      </c>
      <c r="AR159" s="71" t="s">
        <v>802</v>
      </c>
      <c r="AS159" s="71" t="s">
        <v>312</v>
      </c>
      <c r="AT159" s="71"/>
      <c r="AU159" s="71"/>
    </row>
    <row r="160" spans="1:53" ht="15" customHeight="1" x14ac:dyDescent="0.2">
      <c r="A160" s="71" t="s">
        <v>401</v>
      </c>
      <c r="B160" s="71">
        <v>2025</v>
      </c>
      <c r="C160" s="72" t="s">
        <v>1860</v>
      </c>
      <c r="D160" s="71" t="s">
        <v>1861</v>
      </c>
      <c r="E160" s="71" t="s">
        <v>404</v>
      </c>
      <c r="F160" s="71" t="s">
        <v>402</v>
      </c>
      <c r="G160" s="71">
        <v>1</v>
      </c>
      <c r="H160" s="71" t="s">
        <v>403</v>
      </c>
      <c r="I160" s="71" t="s">
        <v>1862</v>
      </c>
      <c r="J160" s="71"/>
      <c r="K160" s="71" t="s">
        <v>930</v>
      </c>
      <c r="L160" s="71" t="s">
        <v>35</v>
      </c>
      <c r="M160" s="71" t="s">
        <v>25</v>
      </c>
      <c r="N160" s="71" t="s">
        <v>1863</v>
      </c>
      <c r="O160" s="71">
        <v>190.02742121</v>
      </c>
      <c r="P160" s="71" t="s">
        <v>1864</v>
      </c>
      <c r="Q160" s="71" t="s">
        <v>94</v>
      </c>
      <c r="R160" s="71" t="s">
        <v>48</v>
      </c>
      <c r="S160" s="71"/>
      <c r="T160" s="71"/>
      <c r="U160" s="71"/>
      <c r="V160" s="71"/>
      <c r="W160" s="71"/>
      <c r="X160" s="71" t="s">
        <v>906</v>
      </c>
      <c r="Y160" s="71"/>
      <c r="Z160" s="71" t="s">
        <v>1848</v>
      </c>
      <c r="AA160" s="71" t="s">
        <v>770</v>
      </c>
      <c r="AB160" s="71"/>
      <c r="AC160" s="71" t="s">
        <v>21</v>
      </c>
      <c r="AD160" s="71"/>
      <c r="AE160" s="71"/>
      <c r="AF160" s="71"/>
      <c r="AG160" s="71"/>
      <c r="AH160" s="71" t="s">
        <v>1865</v>
      </c>
      <c r="AI160" s="71" t="s">
        <v>772</v>
      </c>
      <c r="AJ160" s="71">
        <v>8683357</v>
      </c>
      <c r="AK160" s="71" t="s">
        <v>351</v>
      </c>
      <c r="AL160" s="71">
        <v>655774</v>
      </c>
      <c r="AM160" s="71"/>
      <c r="AN160" s="71"/>
      <c r="AO160" s="71" t="s">
        <v>773</v>
      </c>
      <c r="AP160" s="71" t="s">
        <v>774</v>
      </c>
      <c r="AQ160" s="71" t="s">
        <v>787</v>
      </c>
      <c r="AR160" s="71" t="s">
        <v>788</v>
      </c>
      <c r="AS160" s="71" t="s">
        <v>777</v>
      </c>
      <c r="AT160" s="71"/>
      <c r="AU160" s="71"/>
    </row>
    <row r="161" spans="1:53" ht="61.5" customHeight="1" x14ac:dyDescent="0.2">
      <c r="A161" s="71" t="s">
        <v>426</v>
      </c>
      <c r="B161" s="71">
        <v>2025</v>
      </c>
      <c r="C161" s="71" t="s">
        <v>1866</v>
      </c>
      <c r="D161" s="71" t="s">
        <v>1867</v>
      </c>
      <c r="E161" s="71" t="s">
        <v>428</v>
      </c>
      <c r="F161" s="71" t="s">
        <v>427</v>
      </c>
      <c r="G161" s="71">
        <v>2</v>
      </c>
      <c r="H161" s="71" t="s">
        <v>428</v>
      </c>
      <c r="I161" s="71" t="s">
        <v>1868</v>
      </c>
      <c r="J161" s="71" t="s">
        <v>211</v>
      </c>
      <c r="K161" s="71" t="s">
        <v>183</v>
      </c>
      <c r="L161" s="71" t="s">
        <v>24</v>
      </c>
      <c r="M161" s="71" t="s">
        <v>25</v>
      </c>
      <c r="N161" s="71" t="s">
        <v>1869</v>
      </c>
      <c r="O161" s="71">
        <v>190.02210083</v>
      </c>
      <c r="P161" s="71" t="s">
        <v>1870</v>
      </c>
      <c r="Q161" s="71" t="s">
        <v>36</v>
      </c>
      <c r="R161" s="71" t="s">
        <v>31</v>
      </c>
      <c r="S161" s="71"/>
      <c r="T161" s="71"/>
      <c r="U161" s="71"/>
      <c r="V161" s="71"/>
      <c r="W161" s="71"/>
      <c r="X161" s="71"/>
      <c r="Y161" s="71"/>
      <c r="Z161" s="71"/>
      <c r="AA161" s="71" t="s">
        <v>874</v>
      </c>
      <c r="AB161" s="71"/>
      <c r="AC161" s="71" t="s">
        <v>21</v>
      </c>
      <c r="AD161" s="71"/>
      <c r="AE161" s="71"/>
      <c r="AF161" s="71"/>
      <c r="AG161" s="71"/>
      <c r="AH161" s="71" t="s">
        <v>1871</v>
      </c>
      <c r="AI161" s="71" t="s">
        <v>772</v>
      </c>
      <c r="AJ161" s="71">
        <v>9189383</v>
      </c>
      <c r="AK161" s="71" t="s">
        <v>28</v>
      </c>
      <c r="AL161" s="71">
        <v>823110</v>
      </c>
      <c r="AM161" s="71"/>
      <c r="AN161" s="71"/>
      <c r="AO161" s="71" t="s">
        <v>773</v>
      </c>
      <c r="AP161" s="71" t="s">
        <v>774</v>
      </c>
      <c r="AQ161" s="71" t="s">
        <v>312</v>
      </c>
      <c r="AR161" s="71" t="s">
        <v>802</v>
      </c>
      <c r="AS161" s="71" t="s">
        <v>312</v>
      </c>
      <c r="AT161" s="71"/>
      <c r="AU161" s="71"/>
    </row>
    <row r="162" spans="1:53" ht="15" customHeight="1" x14ac:dyDescent="0.2">
      <c r="A162" s="71" t="s">
        <v>410</v>
      </c>
      <c r="B162" s="71">
        <v>2025</v>
      </c>
      <c r="C162" s="72" t="s">
        <v>1872</v>
      </c>
      <c r="D162" s="71" t="s">
        <v>1873</v>
      </c>
      <c r="E162" s="71" t="s">
        <v>412</v>
      </c>
      <c r="F162" s="71" t="s">
        <v>180</v>
      </c>
      <c r="G162" s="71">
        <v>2</v>
      </c>
      <c r="H162" s="71" t="s">
        <v>411</v>
      </c>
      <c r="I162" s="71" t="s">
        <v>1874</v>
      </c>
      <c r="J162" s="71" t="s">
        <v>20</v>
      </c>
      <c r="K162" s="71" t="s">
        <v>1340</v>
      </c>
      <c r="L162" s="71" t="s">
        <v>35</v>
      </c>
      <c r="M162" s="71" t="s">
        <v>25</v>
      </c>
      <c r="N162" s="71" t="s">
        <v>1875</v>
      </c>
      <c r="O162" s="71">
        <v>190.02317712000001</v>
      </c>
      <c r="P162" s="71" t="s">
        <v>1876</v>
      </c>
      <c r="Q162" s="71" t="s">
        <v>94</v>
      </c>
      <c r="R162" s="71" t="s">
        <v>31</v>
      </c>
      <c r="S162" s="71"/>
      <c r="T162" s="71"/>
      <c r="U162" s="71"/>
      <c r="V162" s="71"/>
      <c r="W162" s="71"/>
      <c r="X162" s="71" t="s">
        <v>906</v>
      </c>
      <c r="Y162" s="71"/>
      <c r="Z162" s="71" t="s">
        <v>1343</v>
      </c>
      <c r="AA162" s="71" t="s">
        <v>770</v>
      </c>
      <c r="AB162" s="71"/>
      <c r="AC162" s="71" t="s">
        <v>21</v>
      </c>
      <c r="AD162" s="71"/>
      <c r="AE162" s="71"/>
      <c r="AF162" s="71"/>
      <c r="AG162" s="71"/>
      <c r="AH162" s="71" t="s">
        <v>1877</v>
      </c>
      <c r="AI162" s="71" t="s">
        <v>772</v>
      </c>
      <c r="AJ162" s="71">
        <v>9152942</v>
      </c>
      <c r="AK162" s="71" t="s">
        <v>182</v>
      </c>
      <c r="AL162" s="71">
        <v>714151</v>
      </c>
      <c r="AM162" s="71"/>
      <c r="AN162" s="71"/>
      <c r="AO162" s="71" t="s">
        <v>773</v>
      </c>
      <c r="AP162" s="71" t="s">
        <v>774</v>
      </c>
      <c r="AQ162" s="71" t="s">
        <v>1878</v>
      </c>
      <c r="AR162" s="71" t="s">
        <v>802</v>
      </c>
      <c r="AS162" s="71" t="s">
        <v>918</v>
      </c>
      <c r="AT162" s="71"/>
      <c r="AU162" s="71"/>
    </row>
    <row r="163" spans="1:53" ht="56.25" customHeight="1" x14ac:dyDescent="0.2">
      <c r="A163" s="71" t="s">
        <v>1879</v>
      </c>
      <c r="B163" s="71">
        <v>2025</v>
      </c>
      <c r="C163" s="72" t="s">
        <v>1880</v>
      </c>
      <c r="D163" s="71" t="s">
        <v>1881</v>
      </c>
      <c r="E163" s="71" t="s">
        <v>1882</v>
      </c>
      <c r="F163" s="71" t="s">
        <v>1883</v>
      </c>
      <c r="G163" s="71">
        <v>1</v>
      </c>
      <c r="H163" s="71" t="s">
        <v>1882</v>
      </c>
      <c r="I163" s="71" t="s">
        <v>1884</v>
      </c>
      <c r="J163" s="71" t="s">
        <v>20</v>
      </c>
      <c r="K163" s="71" t="s">
        <v>1135</v>
      </c>
      <c r="L163" s="71" t="s">
        <v>35</v>
      </c>
      <c r="M163" s="71" t="s">
        <v>25</v>
      </c>
      <c r="N163" s="71" t="s">
        <v>1885</v>
      </c>
      <c r="O163" s="71">
        <v>190.02260967000001</v>
      </c>
      <c r="P163" s="71" t="s">
        <v>1886</v>
      </c>
      <c r="Q163" s="71" t="s">
        <v>36</v>
      </c>
      <c r="R163" s="71" t="s">
        <v>454</v>
      </c>
      <c r="S163" s="71"/>
      <c r="T163" s="71"/>
      <c r="U163" s="71"/>
      <c r="V163" s="71"/>
      <c r="W163" s="71"/>
      <c r="X163" s="71" t="s">
        <v>918</v>
      </c>
      <c r="Y163" s="71"/>
      <c r="Z163" s="71" t="s">
        <v>1887</v>
      </c>
      <c r="AA163" s="71" t="s">
        <v>770</v>
      </c>
      <c r="AB163" s="71"/>
      <c r="AC163" s="71" t="s">
        <v>21</v>
      </c>
      <c r="AD163" s="71"/>
      <c r="AE163" s="71"/>
      <c r="AF163" s="71"/>
      <c r="AG163" s="71"/>
      <c r="AH163" s="71" t="s">
        <v>1888</v>
      </c>
      <c r="AI163" s="71" t="s">
        <v>772</v>
      </c>
      <c r="AJ163" s="71">
        <v>8865229</v>
      </c>
      <c r="AK163" s="71" t="s">
        <v>65</v>
      </c>
      <c r="AL163" s="71">
        <v>793135</v>
      </c>
      <c r="AM163" s="71"/>
      <c r="AN163" s="71"/>
      <c r="AO163" s="71" t="s">
        <v>773</v>
      </c>
      <c r="AP163" s="71" t="s">
        <v>908</v>
      </c>
      <c r="AQ163" s="71" t="s">
        <v>775</v>
      </c>
      <c r="AR163" s="71" t="s">
        <v>788</v>
      </c>
      <c r="AS163" s="71" t="s">
        <v>777</v>
      </c>
      <c r="AT163" s="71"/>
      <c r="AU163" s="71"/>
    </row>
    <row r="164" spans="1:53" ht="15" customHeight="1" x14ac:dyDescent="0.2">
      <c r="A164" s="71" t="s">
        <v>382</v>
      </c>
      <c r="B164" s="71">
        <v>2025</v>
      </c>
      <c r="C164" s="72" t="s">
        <v>1889</v>
      </c>
      <c r="D164" s="71" t="s">
        <v>1890</v>
      </c>
      <c r="E164" s="71" t="s">
        <v>383</v>
      </c>
      <c r="F164" s="71" t="s">
        <v>199</v>
      </c>
      <c r="G164" s="71">
        <v>1</v>
      </c>
      <c r="H164" s="71" t="s">
        <v>383</v>
      </c>
      <c r="I164" s="71" t="s">
        <v>1891</v>
      </c>
      <c r="J164" s="71" t="s">
        <v>211</v>
      </c>
      <c r="K164" s="71" t="s">
        <v>183</v>
      </c>
      <c r="L164" s="71" t="s">
        <v>24</v>
      </c>
      <c r="M164" s="71" t="s">
        <v>25</v>
      </c>
      <c r="N164" s="71" t="s">
        <v>1892</v>
      </c>
      <c r="O164" s="71">
        <v>190.02205368</v>
      </c>
      <c r="P164" s="71" t="s">
        <v>767</v>
      </c>
      <c r="Q164" s="71" t="s">
        <v>36</v>
      </c>
      <c r="R164" s="71" t="s">
        <v>48</v>
      </c>
      <c r="S164" s="71"/>
      <c r="T164" s="71"/>
      <c r="U164" s="71"/>
      <c r="V164" s="71"/>
      <c r="W164" s="71"/>
      <c r="X164" s="71" t="s">
        <v>312</v>
      </c>
      <c r="Y164" s="71"/>
      <c r="Z164" s="71"/>
      <c r="AA164" s="71" t="s">
        <v>770</v>
      </c>
      <c r="AB164" s="71"/>
      <c r="AC164" s="71" t="s">
        <v>21</v>
      </c>
      <c r="AD164" s="71"/>
      <c r="AE164" s="71"/>
      <c r="AF164" s="71"/>
      <c r="AG164" s="71"/>
      <c r="AH164" s="71" t="s">
        <v>1893</v>
      </c>
      <c r="AI164" s="71" t="s">
        <v>772</v>
      </c>
      <c r="AJ164" s="71">
        <v>9070139</v>
      </c>
      <c r="AK164" s="71" t="s">
        <v>385</v>
      </c>
      <c r="AL164" s="71">
        <v>820336</v>
      </c>
      <c r="AM164" s="71"/>
      <c r="AN164" s="71"/>
      <c r="AO164" s="71" t="s">
        <v>773</v>
      </c>
      <c r="AP164" s="71" t="s">
        <v>774</v>
      </c>
      <c r="AQ164" s="71" t="s">
        <v>926</v>
      </c>
      <c r="AR164" s="71" t="s">
        <v>802</v>
      </c>
      <c r="AS164" s="71" t="s">
        <v>884</v>
      </c>
      <c r="AT164" s="71"/>
      <c r="AU164" s="71"/>
    </row>
    <row r="165" spans="1:53" ht="59.25" hidden="1" customHeight="1" x14ac:dyDescent="0.2">
      <c r="A165" s="71" t="s">
        <v>418</v>
      </c>
      <c r="B165" s="71">
        <v>2025</v>
      </c>
      <c r="C165" s="71" t="s">
        <v>1894</v>
      </c>
      <c r="D165" s="71" t="s">
        <v>1895</v>
      </c>
      <c r="E165" s="71" t="s">
        <v>419</v>
      </c>
      <c r="F165" s="71" t="s">
        <v>56</v>
      </c>
      <c r="G165" s="71">
        <v>3</v>
      </c>
      <c r="H165" s="71" t="s">
        <v>419</v>
      </c>
      <c r="I165" s="71" t="s">
        <v>1896</v>
      </c>
      <c r="J165" s="71" t="s">
        <v>144</v>
      </c>
      <c r="K165" s="71" t="s">
        <v>792</v>
      </c>
      <c r="L165" s="71" t="s">
        <v>35</v>
      </c>
      <c r="M165" s="71" t="s">
        <v>25</v>
      </c>
      <c r="N165" s="71" t="s">
        <v>1897</v>
      </c>
      <c r="O165" s="71">
        <v>190.0122805</v>
      </c>
      <c r="P165" s="71" t="s">
        <v>1898</v>
      </c>
      <c r="Q165" s="71" t="s">
        <v>132</v>
      </c>
      <c r="R165" s="71" t="s">
        <v>420</v>
      </c>
      <c r="S165" s="71"/>
      <c r="T165" s="71"/>
      <c r="U165" s="71"/>
      <c r="V165" s="71"/>
      <c r="W165" s="71"/>
      <c r="X165" s="71" t="s">
        <v>795</v>
      </c>
      <c r="Y165" s="71"/>
      <c r="Z165" s="71" t="s">
        <v>796</v>
      </c>
      <c r="AA165" s="71" t="s">
        <v>770</v>
      </c>
      <c r="AB165" s="71"/>
      <c r="AC165" s="71" t="s">
        <v>21</v>
      </c>
      <c r="AD165" s="71" t="s">
        <v>797</v>
      </c>
      <c r="AE165" s="71"/>
      <c r="AF165" s="71"/>
      <c r="AG165" s="71"/>
      <c r="AH165" s="71" t="s">
        <v>1899</v>
      </c>
      <c r="AI165" s="71" t="s">
        <v>772</v>
      </c>
      <c r="AJ165" s="71">
        <v>9205606</v>
      </c>
      <c r="AK165" s="71" t="s">
        <v>28</v>
      </c>
      <c r="AL165" s="71">
        <v>804384</v>
      </c>
      <c r="AM165" s="71"/>
      <c r="AN165" s="71" t="s">
        <v>1374</v>
      </c>
      <c r="AO165" s="71" t="s">
        <v>800</v>
      </c>
      <c r="AP165" s="71" t="s">
        <v>774</v>
      </c>
      <c r="AQ165" s="71" t="s">
        <v>801</v>
      </c>
      <c r="AR165" s="71" t="s">
        <v>802</v>
      </c>
      <c r="AS165" s="71" t="s">
        <v>801</v>
      </c>
      <c r="AT165" s="71"/>
      <c r="AU165" s="71"/>
      <c r="AV165" s="178" t="s">
        <v>803</v>
      </c>
      <c r="AW165">
        <v>400</v>
      </c>
    </row>
    <row r="166" spans="1:53" ht="201.75" hidden="1" customHeight="1" x14ac:dyDescent="0.2">
      <c r="A166" s="71" t="s">
        <v>409</v>
      </c>
      <c r="B166" s="71">
        <v>2025</v>
      </c>
      <c r="C166" s="72" t="s">
        <v>1900</v>
      </c>
      <c r="D166" s="71" t="s">
        <v>1901</v>
      </c>
      <c r="E166" s="71" t="s">
        <v>156</v>
      </c>
      <c r="F166" s="71" t="s">
        <v>155</v>
      </c>
      <c r="G166" s="71">
        <v>3</v>
      </c>
      <c r="H166" s="71" t="s">
        <v>156</v>
      </c>
      <c r="I166" s="71" t="s">
        <v>1902</v>
      </c>
      <c r="J166" s="71" t="s">
        <v>20</v>
      </c>
      <c r="K166" s="71" t="s">
        <v>1000</v>
      </c>
      <c r="L166" s="71" t="s">
        <v>24</v>
      </c>
      <c r="M166" s="71" t="s">
        <v>25</v>
      </c>
      <c r="N166" s="71" t="s">
        <v>1903</v>
      </c>
      <c r="O166" s="71">
        <v>190.01225079</v>
      </c>
      <c r="P166" s="71" t="s">
        <v>1387</v>
      </c>
      <c r="Q166" s="71" t="s">
        <v>132</v>
      </c>
      <c r="R166" s="71" t="s">
        <v>148</v>
      </c>
      <c r="S166" s="71"/>
      <c r="T166" s="71"/>
      <c r="U166" s="71"/>
      <c r="V166" s="71"/>
      <c r="W166" s="71"/>
      <c r="X166" s="71" t="s">
        <v>795</v>
      </c>
      <c r="Y166" s="71"/>
      <c r="Z166" s="71" t="s">
        <v>1419</v>
      </c>
      <c r="AA166" s="71" t="s">
        <v>770</v>
      </c>
      <c r="AB166" s="71"/>
      <c r="AC166" s="71" t="s">
        <v>21</v>
      </c>
      <c r="AD166" s="71" t="s">
        <v>797</v>
      </c>
      <c r="AE166" s="71"/>
      <c r="AF166" s="71"/>
      <c r="AG166" s="71"/>
      <c r="AH166" s="71" t="s">
        <v>1904</v>
      </c>
      <c r="AI166" s="71" t="s">
        <v>772</v>
      </c>
      <c r="AJ166" s="71">
        <v>9154369</v>
      </c>
      <c r="AK166" s="71" t="s">
        <v>157</v>
      </c>
      <c r="AL166" s="71">
        <v>785381</v>
      </c>
      <c r="AM166" s="71"/>
      <c r="AN166" s="71" t="s">
        <v>1374</v>
      </c>
      <c r="AO166" s="71" t="s">
        <v>800</v>
      </c>
      <c r="AP166" s="71" t="s">
        <v>774</v>
      </c>
      <c r="AQ166" s="71" t="s">
        <v>801</v>
      </c>
      <c r="AR166" s="71" t="s">
        <v>802</v>
      </c>
      <c r="AS166" s="71" t="s">
        <v>801</v>
      </c>
      <c r="AT166" s="71"/>
      <c r="AU166" s="71" t="s">
        <v>862</v>
      </c>
      <c r="AV166">
        <v>35</v>
      </c>
      <c r="AW166">
        <v>10</v>
      </c>
    </row>
    <row r="167" spans="1:53" ht="15" customHeight="1" x14ac:dyDescent="0.2">
      <c r="A167" s="71" t="s">
        <v>435</v>
      </c>
      <c r="B167" s="71">
        <v>2025</v>
      </c>
      <c r="C167" s="72" t="s">
        <v>1905</v>
      </c>
      <c r="D167" s="71" t="s">
        <v>1906</v>
      </c>
      <c r="E167" s="71" t="s">
        <v>438</v>
      </c>
      <c r="F167" s="71" t="s">
        <v>436</v>
      </c>
      <c r="G167" s="71">
        <v>3</v>
      </c>
      <c r="H167" s="71" t="s">
        <v>437</v>
      </c>
      <c r="I167" s="71" t="s">
        <v>1907</v>
      </c>
      <c r="J167" s="71" t="s">
        <v>91</v>
      </c>
      <c r="K167" s="71" t="s">
        <v>1028</v>
      </c>
      <c r="L167" s="71" t="s">
        <v>44</v>
      </c>
      <c r="M167" s="71" t="s">
        <v>25</v>
      </c>
      <c r="N167" s="71" t="s">
        <v>1908</v>
      </c>
      <c r="O167" s="71">
        <v>190.02400771000001</v>
      </c>
      <c r="P167" s="71" t="s">
        <v>1909</v>
      </c>
      <c r="Q167" s="71" t="s">
        <v>94</v>
      </c>
      <c r="R167" s="71" t="s">
        <v>184</v>
      </c>
      <c r="S167" s="71"/>
      <c r="T167" s="71"/>
      <c r="U167" s="71"/>
      <c r="V167" s="71"/>
      <c r="W167" s="71"/>
      <c r="X167" s="71" t="s">
        <v>906</v>
      </c>
      <c r="Y167" s="71"/>
      <c r="Z167" s="71"/>
      <c r="AA167" s="71" t="s">
        <v>770</v>
      </c>
      <c r="AB167" s="71"/>
      <c r="AC167" s="71" t="s">
        <v>21</v>
      </c>
      <c r="AD167" s="71"/>
      <c r="AE167" s="71"/>
      <c r="AF167" s="71"/>
      <c r="AG167" s="71"/>
      <c r="AH167" s="71" t="s">
        <v>1910</v>
      </c>
      <c r="AI167" s="71" t="s">
        <v>772</v>
      </c>
      <c r="AJ167" s="71">
        <v>8821051</v>
      </c>
      <c r="AK167" s="71" t="s">
        <v>330</v>
      </c>
      <c r="AL167" s="71">
        <v>790054</v>
      </c>
      <c r="AM167" s="71"/>
      <c r="AN167" s="71"/>
      <c r="AO167" s="71" t="s">
        <v>773</v>
      </c>
      <c r="AP167" s="71" t="s">
        <v>908</v>
      </c>
      <c r="AQ167" s="71" t="s">
        <v>775</v>
      </c>
      <c r="AR167" s="71" t="s">
        <v>788</v>
      </c>
      <c r="AS167" s="71" t="s">
        <v>777</v>
      </c>
      <c r="AT167" s="71"/>
      <c r="AU167" s="71"/>
    </row>
    <row r="168" spans="1:53" ht="15" customHeight="1" x14ac:dyDescent="0.2">
      <c r="A168" s="71" t="s">
        <v>421</v>
      </c>
      <c r="B168" s="71">
        <v>2025</v>
      </c>
      <c r="C168" s="72" t="s">
        <v>1911</v>
      </c>
      <c r="D168" s="71" t="s">
        <v>1912</v>
      </c>
      <c r="E168" s="71" t="s">
        <v>425</v>
      </c>
      <c r="F168" s="71" t="s">
        <v>422</v>
      </c>
      <c r="G168" s="71">
        <v>3</v>
      </c>
      <c r="H168" s="71" t="s">
        <v>423</v>
      </c>
      <c r="I168" s="71" t="s">
        <v>1913</v>
      </c>
      <c r="J168" s="71" t="s">
        <v>20</v>
      </c>
      <c r="K168" s="71" t="s">
        <v>259</v>
      </c>
      <c r="L168" s="71" t="s">
        <v>35</v>
      </c>
      <c r="M168" s="71" t="s">
        <v>25</v>
      </c>
      <c r="N168" s="71" t="s">
        <v>1914</v>
      </c>
      <c r="O168" s="71">
        <v>190.02735202</v>
      </c>
      <c r="P168" s="71" t="s">
        <v>1915</v>
      </c>
      <c r="Q168" s="71" t="s">
        <v>94</v>
      </c>
      <c r="R168" s="71" t="s">
        <v>31</v>
      </c>
      <c r="S168" s="71"/>
      <c r="T168" s="71"/>
      <c r="U168" s="71"/>
      <c r="V168" s="71"/>
      <c r="W168" s="71"/>
      <c r="X168" s="71"/>
      <c r="Y168" s="71"/>
      <c r="Z168" s="71"/>
      <c r="AA168" s="71" t="s">
        <v>874</v>
      </c>
      <c r="AB168" s="71"/>
      <c r="AC168" s="71" t="s">
        <v>21</v>
      </c>
      <c r="AD168" s="71"/>
      <c r="AE168" s="71"/>
      <c r="AF168" s="71"/>
      <c r="AG168" s="71"/>
      <c r="AH168" s="71" t="s">
        <v>1916</v>
      </c>
      <c r="AI168" s="71" t="s">
        <v>772</v>
      </c>
      <c r="AJ168" s="71">
        <v>8906531</v>
      </c>
      <c r="AK168" s="71" t="s">
        <v>424</v>
      </c>
      <c r="AL168" s="71">
        <v>754714</v>
      </c>
      <c r="AM168" s="71"/>
      <c r="AN168" s="71"/>
      <c r="AO168" s="71" t="s">
        <v>773</v>
      </c>
      <c r="AP168" s="71" t="s">
        <v>774</v>
      </c>
      <c r="AQ168" s="71" t="s">
        <v>1917</v>
      </c>
      <c r="AR168" s="71" t="s">
        <v>802</v>
      </c>
      <c r="AS168" s="71" t="s">
        <v>1435</v>
      </c>
      <c r="AT168" s="71"/>
      <c r="AU168" s="71"/>
    </row>
    <row r="169" spans="1:53" ht="69.75" hidden="1" customHeight="1" x14ac:dyDescent="0.2">
      <c r="A169" s="71" t="s">
        <v>386</v>
      </c>
      <c r="B169" s="71">
        <v>2025</v>
      </c>
      <c r="C169" s="72" t="s">
        <v>1918</v>
      </c>
      <c r="D169" s="71" t="s">
        <v>1919</v>
      </c>
      <c r="E169" s="71" t="s">
        <v>389</v>
      </c>
      <c r="F169" s="71" t="s">
        <v>387</v>
      </c>
      <c r="G169" s="71">
        <v>3</v>
      </c>
      <c r="H169" s="71" t="s">
        <v>388</v>
      </c>
      <c r="I169" s="71" t="s">
        <v>1920</v>
      </c>
      <c r="J169" s="71" t="s">
        <v>20</v>
      </c>
      <c r="K169" s="71" t="s">
        <v>1000</v>
      </c>
      <c r="L169" s="71" t="s">
        <v>24</v>
      </c>
      <c r="M169" s="71" t="s">
        <v>25</v>
      </c>
      <c r="N169" s="71" t="s">
        <v>1921</v>
      </c>
      <c r="O169" s="71">
        <v>190.02385462000001</v>
      </c>
      <c r="P169" s="71" t="s">
        <v>1674</v>
      </c>
      <c r="Q169" s="71" t="s">
        <v>167</v>
      </c>
      <c r="R169" s="71" t="s">
        <v>135</v>
      </c>
      <c r="S169" s="71"/>
      <c r="T169" s="71"/>
      <c r="U169" s="71"/>
      <c r="V169" s="71"/>
      <c r="W169" s="71"/>
      <c r="X169" s="71" t="s">
        <v>1003</v>
      </c>
      <c r="Y169" s="71"/>
      <c r="Z169" s="71" t="s">
        <v>1922</v>
      </c>
      <c r="AA169" s="71" t="s">
        <v>770</v>
      </c>
      <c r="AB169" s="71"/>
      <c r="AC169" s="71" t="s">
        <v>21</v>
      </c>
      <c r="AD169" s="71"/>
      <c r="AE169" s="71"/>
      <c r="AF169" s="71"/>
      <c r="AG169" s="71"/>
      <c r="AH169" s="71" t="s">
        <v>1923</v>
      </c>
      <c r="AI169" s="71" t="s">
        <v>772</v>
      </c>
      <c r="AJ169" s="71">
        <v>9152991</v>
      </c>
      <c r="AK169" s="71" t="s">
        <v>182</v>
      </c>
      <c r="AL169" s="71">
        <v>712840</v>
      </c>
      <c r="AM169" s="71"/>
      <c r="AN169" s="71"/>
      <c r="AO169" s="71" t="s">
        <v>800</v>
      </c>
      <c r="AP169" s="71" t="s">
        <v>774</v>
      </c>
      <c r="AQ169" s="71" t="s">
        <v>801</v>
      </c>
      <c r="AR169" s="71" t="s">
        <v>802</v>
      </c>
      <c r="AS169" s="71" t="s">
        <v>801</v>
      </c>
      <c r="AT169" s="71"/>
      <c r="AU169" s="71"/>
      <c r="AV169" s="178" t="s">
        <v>803</v>
      </c>
      <c r="AW169">
        <v>450</v>
      </c>
    </row>
    <row r="170" spans="1:53" ht="15" customHeight="1" x14ac:dyDescent="0.2">
      <c r="A170" s="71" t="s">
        <v>1924</v>
      </c>
      <c r="B170" s="71">
        <v>2025</v>
      </c>
      <c r="C170" s="72" t="s">
        <v>1925</v>
      </c>
      <c r="D170" s="71" t="s">
        <v>1926</v>
      </c>
      <c r="E170" s="71" t="s">
        <v>1927</v>
      </c>
      <c r="F170" s="71" t="s">
        <v>1928</v>
      </c>
      <c r="G170" s="71">
        <v>3</v>
      </c>
      <c r="H170" s="71" t="s">
        <v>1927</v>
      </c>
      <c r="I170" s="71" t="s">
        <v>1929</v>
      </c>
      <c r="J170" s="71" t="s">
        <v>20</v>
      </c>
      <c r="K170" s="71" t="s">
        <v>1930</v>
      </c>
      <c r="L170" s="71" t="s">
        <v>35</v>
      </c>
      <c r="M170" s="71" t="s">
        <v>25</v>
      </c>
      <c r="N170" s="71" t="s">
        <v>1931</v>
      </c>
      <c r="O170" s="71">
        <v>190.02260801</v>
      </c>
      <c r="P170" s="71" t="s">
        <v>1932</v>
      </c>
      <c r="Q170" s="71" t="s">
        <v>36</v>
      </c>
      <c r="R170" s="71" t="s">
        <v>31</v>
      </c>
      <c r="S170" s="71"/>
      <c r="T170" s="71"/>
      <c r="U170" s="71"/>
      <c r="V170" s="71"/>
      <c r="W170" s="71"/>
      <c r="X170" s="71" t="s">
        <v>312</v>
      </c>
      <c r="Y170" s="71"/>
      <c r="Z170" s="71" t="s">
        <v>845</v>
      </c>
      <c r="AA170" s="71" t="s">
        <v>874</v>
      </c>
      <c r="AB170" s="71"/>
      <c r="AC170" s="71" t="s">
        <v>21</v>
      </c>
      <c r="AD170" s="71"/>
      <c r="AE170" s="71"/>
      <c r="AF170" s="71"/>
      <c r="AG170" s="71"/>
      <c r="AH170" s="71" t="s">
        <v>1933</v>
      </c>
      <c r="AI170" s="71" t="s">
        <v>772</v>
      </c>
      <c r="AJ170" s="71">
        <v>8963861</v>
      </c>
      <c r="AK170" s="71" t="s">
        <v>622</v>
      </c>
      <c r="AL170" s="71">
        <v>622133</v>
      </c>
      <c r="AM170" s="71"/>
      <c r="AN170" s="71"/>
      <c r="AO170" s="71" t="s">
        <v>773</v>
      </c>
      <c r="AP170" s="71" t="s">
        <v>774</v>
      </c>
      <c r="AQ170" s="71" t="s">
        <v>1024</v>
      </c>
      <c r="AR170" s="71" t="s">
        <v>802</v>
      </c>
      <c r="AS170" s="71" t="s">
        <v>1024</v>
      </c>
      <c r="AT170" s="71"/>
      <c r="AU170" s="71"/>
    </row>
    <row r="171" spans="1:53" ht="15" hidden="1" customHeight="1" x14ac:dyDescent="0.2">
      <c r="A171" s="71" t="s">
        <v>452</v>
      </c>
      <c r="B171" s="71">
        <v>2025</v>
      </c>
      <c r="C171" s="72" t="s">
        <v>1934</v>
      </c>
      <c r="D171" s="71" t="s">
        <v>1935</v>
      </c>
      <c r="E171" s="71" t="s">
        <v>455</v>
      </c>
      <c r="F171" s="71" t="s">
        <v>206</v>
      </c>
      <c r="G171" s="71">
        <v>1</v>
      </c>
      <c r="H171" s="71" t="s">
        <v>453</v>
      </c>
      <c r="I171" s="71" t="s">
        <v>1936</v>
      </c>
      <c r="J171" s="71" t="s">
        <v>20</v>
      </c>
      <c r="K171" s="71" t="s">
        <v>1557</v>
      </c>
      <c r="L171" s="71" t="s">
        <v>35</v>
      </c>
      <c r="M171" s="71" t="s">
        <v>25</v>
      </c>
      <c r="N171" s="71" t="s">
        <v>1937</v>
      </c>
      <c r="O171" s="71">
        <v>190.02317747000001</v>
      </c>
      <c r="P171" s="71" t="s">
        <v>1030</v>
      </c>
      <c r="Q171" s="71" t="s">
        <v>94</v>
      </c>
      <c r="R171" s="71" t="s">
        <v>454</v>
      </c>
      <c r="S171" s="71"/>
      <c r="T171" s="71"/>
      <c r="U171" s="71"/>
      <c r="V171" s="71"/>
      <c r="W171" s="71"/>
      <c r="X171" s="71" t="s">
        <v>906</v>
      </c>
      <c r="Y171" s="71"/>
      <c r="Z171" s="71" t="s">
        <v>892</v>
      </c>
      <c r="AA171" s="71" t="s">
        <v>770</v>
      </c>
      <c r="AB171" s="71"/>
      <c r="AC171" s="71" t="s">
        <v>21</v>
      </c>
      <c r="AD171" s="71"/>
      <c r="AE171" s="71"/>
      <c r="AF171" s="71"/>
      <c r="AG171" s="71"/>
      <c r="AH171" s="71" t="s">
        <v>1938</v>
      </c>
      <c r="AI171" s="71" t="s">
        <v>772</v>
      </c>
      <c r="AJ171" s="71">
        <v>9277666</v>
      </c>
      <c r="AK171" s="71" t="s">
        <v>208</v>
      </c>
      <c r="AL171" s="71">
        <v>891719</v>
      </c>
      <c r="AM171" s="71"/>
      <c r="AN171" s="71"/>
      <c r="AO171" s="71" t="s">
        <v>786</v>
      </c>
      <c r="AP171" s="71" t="s">
        <v>774</v>
      </c>
      <c r="AQ171" s="71" t="s">
        <v>860</v>
      </c>
      <c r="AR171" s="71" t="s">
        <v>776</v>
      </c>
      <c r="AS171" s="71" t="s">
        <v>861</v>
      </c>
      <c r="AT171" s="71"/>
      <c r="AU171" s="71"/>
    </row>
    <row r="172" spans="1:53" ht="15" customHeight="1" x14ac:dyDescent="0.2">
      <c r="A172" s="71" t="s">
        <v>405</v>
      </c>
      <c r="B172" s="71">
        <v>2025</v>
      </c>
      <c r="C172" s="72" t="s">
        <v>1939</v>
      </c>
      <c r="D172" s="71" t="s">
        <v>1940</v>
      </c>
      <c r="E172" s="71" t="s">
        <v>407</v>
      </c>
      <c r="F172" s="71" t="s">
        <v>406</v>
      </c>
      <c r="G172" s="71">
        <v>3</v>
      </c>
      <c r="H172" s="71" t="s">
        <v>407</v>
      </c>
      <c r="I172" s="71" t="s">
        <v>1941</v>
      </c>
      <c r="J172" s="71" t="s">
        <v>20</v>
      </c>
      <c r="K172" s="71" t="s">
        <v>1930</v>
      </c>
      <c r="L172" s="71" t="s">
        <v>35</v>
      </c>
      <c r="M172" s="71" t="s">
        <v>25</v>
      </c>
      <c r="N172" s="71" t="s">
        <v>1942</v>
      </c>
      <c r="O172" s="71">
        <v>190.02738006000001</v>
      </c>
      <c r="P172" s="71" t="s">
        <v>1262</v>
      </c>
      <c r="Q172" s="71" t="s">
        <v>36</v>
      </c>
      <c r="R172" s="71" t="s">
        <v>31</v>
      </c>
      <c r="S172" s="71"/>
      <c r="T172" s="71"/>
      <c r="U172" s="71"/>
      <c r="V172" s="71"/>
      <c r="W172" s="71"/>
      <c r="X172" s="71" t="s">
        <v>312</v>
      </c>
      <c r="Y172" s="71"/>
      <c r="Z172" s="71" t="s">
        <v>845</v>
      </c>
      <c r="AA172" s="71" t="s">
        <v>874</v>
      </c>
      <c r="AB172" s="71"/>
      <c r="AC172" s="71" t="s">
        <v>21</v>
      </c>
      <c r="AD172" s="71"/>
      <c r="AE172" s="71"/>
      <c r="AF172" s="71"/>
      <c r="AG172" s="71"/>
      <c r="AH172" s="71" t="s">
        <v>1943</v>
      </c>
      <c r="AI172" s="71" t="s">
        <v>772</v>
      </c>
      <c r="AJ172" s="71">
        <v>8977629</v>
      </c>
      <c r="AK172" s="71" t="s">
        <v>408</v>
      </c>
      <c r="AL172" s="71">
        <v>736962</v>
      </c>
      <c r="AM172" s="71"/>
      <c r="AN172" s="71"/>
      <c r="AO172" s="71" t="s">
        <v>773</v>
      </c>
      <c r="AP172" s="71" t="s">
        <v>774</v>
      </c>
      <c r="AQ172" s="71" t="s">
        <v>312</v>
      </c>
      <c r="AR172" s="71" t="s">
        <v>802</v>
      </c>
      <c r="AS172" s="71" t="s">
        <v>312</v>
      </c>
      <c r="AT172" s="71"/>
      <c r="AU172" s="71"/>
    </row>
    <row r="173" spans="1:53" ht="15" customHeight="1" x14ac:dyDescent="0.2">
      <c r="A173" s="71" t="s">
        <v>1944</v>
      </c>
      <c r="B173" s="71">
        <v>2025</v>
      </c>
      <c r="C173" s="72" t="s">
        <v>1945</v>
      </c>
      <c r="D173" s="71" t="s">
        <v>1946</v>
      </c>
      <c r="E173" s="71" t="s">
        <v>1947</v>
      </c>
      <c r="F173" s="71" t="s">
        <v>150</v>
      </c>
      <c r="G173" s="71">
        <v>2</v>
      </c>
      <c r="H173" s="71" t="s">
        <v>652</v>
      </c>
      <c r="I173" s="71" t="s">
        <v>1948</v>
      </c>
      <c r="J173" s="71" t="s">
        <v>20</v>
      </c>
      <c r="K173" s="71" t="s">
        <v>938</v>
      </c>
      <c r="L173" s="71" t="s">
        <v>35</v>
      </c>
      <c r="M173" s="71" t="s">
        <v>25</v>
      </c>
      <c r="N173" s="71" t="s">
        <v>1949</v>
      </c>
      <c r="O173" s="71">
        <v>190.0010331</v>
      </c>
      <c r="P173" s="71" t="s">
        <v>1950</v>
      </c>
      <c r="Q173" s="71" t="s">
        <v>45</v>
      </c>
      <c r="R173" s="71" t="s">
        <v>48</v>
      </c>
      <c r="S173" s="71"/>
      <c r="T173" s="71"/>
      <c r="U173" s="71"/>
      <c r="V173" s="71"/>
      <c r="W173" s="71"/>
      <c r="X173" s="71" t="s">
        <v>846</v>
      </c>
      <c r="Y173" s="71"/>
      <c r="Z173" s="71" t="s">
        <v>846</v>
      </c>
      <c r="AA173" s="71" t="s">
        <v>770</v>
      </c>
      <c r="AB173" s="71"/>
      <c r="AC173" s="71" t="s">
        <v>21</v>
      </c>
      <c r="AD173" s="71" t="s">
        <v>797</v>
      </c>
      <c r="AE173" s="71"/>
      <c r="AF173" s="71"/>
      <c r="AG173" s="71"/>
      <c r="AH173" s="71" t="s">
        <v>1951</v>
      </c>
      <c r="AI173" s="71" t="s">
        <v>772</v>
      </c>
      <c r="AJ173" s="71">
        <v>8809524</v>
      </c>
      <c r="AK173" s="71" t="s">
        <v>523</v>
      </c>
      <c r="AL173" s="71">
        <v>879287</v>
      </c>
      <c r="AM173" s="71"/>
      <c r="AN173" s="71"/>
      <c r="AO173" s="71" t="s">
        <v>773</v>
      </c>
      <c r="AP173" s="71" t="s">
        <v>774</v>
      </c>
      <c r="AQ173" s="71" t="s">
        <v>1952</v>
      </c>
      <c r="AR173" s="71" t="s">
        <v>802</v>
      </c>
      <c r="AS173" s="71" t="s">
        <v>918</v>
      </c>
      <c r="AT173" s="71"/>
      <c r="AU173" s="71"/>
    </row>
    <row r="174" spans="1:53" ht="24" hidden="1" customHeight="1" x14ac:dyDescent="0.2">
      <c r="A174" s="71" t="s">
        <v>1953</v>
      </c>
      <c r="B174" s="71">
        <v>2025</v>
      </c>
      <c r="C174" s="72" t="s">
        <v>1954</v>
      </c>
      <c r="D174" s="71" t="s">
        <v>1955</v>
      </c>
      <c r="E174" s="71" t="s">
        <v>1956</v>
      </c>
      <c r="F174" s="71" t="s">
        <v>1957</v>
      </c>
      <c r="G174" s="71">
        <v>3</v>
      </c>
      <c r="H174" s="71" t="s">
        <v>1958</v>
      </c>
      <c r="I174" s="71" t="s">
        <v>1959</v>
      </c>
      <c r="J174" s="71" t="s">
        <v>112</v>
      </c>
      <c r="K174" s="71" t="s">
        <v>827</v>
      </c>
      <c r="L174" s="71" t="s">
        <v>44</v>
      </c>
      <c r="M174" s="71" t="s">
        <v>25</v>
      </c>
      <c r="N174" s="71" t="s">
        <v>1960</v>
      </c>
      <c r="O174" s="71">
        <v>190.00110354</v>
      </c>
      <c r="P174" s="71" t="s">
        <v>1030</v>
      </c>
      <c r="Q174" s="71" t="s">
        <v>857</v>
      </c>
      <c r="R174" s="71" t="s">
        <v>135</v>
      </c>
      <c r="S174" s="71"/>
      <c r="T174" s="71"/>
      <c r="U174" s="71"/>
      <c r="V174" s="71"/>
      <c r="W174" s="71"/>
      <c r="X174" s="71" t="s">
        <v>1961</v>
      </c>
      <c r="Y174" s="71"/>
      <c r="Z174" s="71"/>
      <c r="AA174" s="71" t="s">
        <v>770</v>
      </c>
      <c r="AB174" s="71"/>
      <c r="AC174" s="71" t="s">
        <v>21</v>
      </c>
      <c r="AD174" s="71" t="s">
        <v>797</v>
      </c>
      <c r="AE174" s="71"/>
      <c r="AF174" s="71"/>
      <c r="AG174" s="71"/>
      <c r="AH174" s="71" t="s">
        <v>1962</v>
      </c>
      <c r="AI174" s="71" t="s">
        <v>772</v>
      </c>
      <c r="AJ174" s="71">
        <v>8869434</v>
      </c>
      <c r="AK174" s="71" t="s">
        <v>330</v>
      </c>
      <c r="AL174" s="71">
        <v>781124</v>
      </c>
      <c r="AM174" s="71"/>
      <c r="AN174" s="71"/>
      <c r="AO174" s="71" t="s">
        <v>1177</v>
      </c>
      <c r="AP174" s="71" t="s">
        <v>774</v>
      </c>
      <c r="AQ174" s="71" t="s">
        <v>1963</v>
      </c>
      <c r="AR174" s="71" t="s">
        <v>776</v>
      </c>
      <c r="AS174" s="71" t="s">
        <v>845</v>
      </c>
      <c r="AT174" s="71" t="s">
        <v>1179</v>
      </c>
      <c r="AU174" s="71"/>
    </row>
    <row r="175" spans="1:53" ht="15" customHeight="1" x14ac:dyDescent="0.2">
      <c r="A175" s="71" t="s">
        <v>1964</v>
      </c>
      <c r="B175" s="71">
        <v>2025</v>
      </c>
      <c r="C175" s="100" t="s">
        <v>1965</v>
      </c>
      <c r="D175" s="71" t="s">
        <v>1966</v>
      </c>
      <c r="E175" s="71" t="s">
        <v>1778</v>
      </c>
      <c r="F175" s="71" t="s">
        <v>462</v>
      </c>
      <c r="G175" s="71">
        <v>3</v>
      </c>
      <c r="H175" s="71" t="s">
        <v>1779</v>
      </c>
      <c r="I175" s="71" t="s">
        <v>1780</v>
      </c>
      <c r="J175" s="71" t="s">
        <v>91</v>
      </c>
      <c r="K175" s="71" t="s">
        <v>1028</v>
      </c>
      <c r="L175" s="71" t="s">
        <v>44</v>
      </c>
      <c r="M175" s="71" t="s">
        <v>25</v>
      </c>
      <c r="N175" s="71" t="s">
        <v>1967</v>
      </c>
      <c r="O175" s="71">
        <v>190.00282286999999</v>
      </c>
      <c r="P175" s="71" t="s">
        <v>1783</v>
      </c>
      <c r="Q175" s="71" t="s">
        <v>45</v>
      </c>
      <c r="R175" s="71" t="s">
        <v>184</v>
      </c>
      <c r="S175" s="71"/>
      <c r="T175" s="71"/>
      <c r="U175" s="71"/>
      <c r="V175" s="71"/>
      <c r="W175" s="71"/>
      <c r="X175" s="71" t="s">
        <v>312</v>
      </c>
      <c r="Y175" s="71"/>
      <c r="Z175" s="71"/>
      <c r="AA175" s="71" t="s">
        <v>770</v>
      </c>
      <c r="AB175" s="71"/>
      <c r="AC175" s="71" t="s">
        <v>21</v>
      </c>
      <c r="AD175" s="71" t="s">
        <v>797</v>
      </c>
      <c r="AE175" s="71"/>
      <c r="AF175" s="71"/>
      <c r="AG175" s="71"/>
      <c r="AH175" s="71" t="s">
        <v>1968</v>
      </c>
      <c r="AI175" s="71" t="s">
        <v>772</v>
      </c>
      <c r="AJ175" s="71">
        <v>8657287</v>
      </c>
      <c r="AK175" s="71" t="s">
        <v>464</v>
      </c>
      <c r="AL175" s="71">
        <v>698485</v>
      </c>
      <c r="AM175" s="71"/>
      <c r="AN175" s="71"/>
      <c r="AO175" s="71" t="s">
        <v>773</v>
      </c>
      <c r="AP175" s="71" t="s">
        <v>774</v>
      </c>
      <c r="AQ175" s="71" t="s">
        <v>1969</v>
      </c>
      <c r="AR175" s="71" t="s">
        <v>776</v>
      </c>
      <c r="AS175" s="71" t="s">
        <v>312</v>
      </c>
      <c r="AT175" s="71" t="s">
        <v>1785</v>
      </c>
      <c r="AU175" s="71" t="s">
        <v>862</v>
      </c>
      <c r="BA175" s="87" t="s">
        <v>1970</v>
      </c>
    </row>
    <row r="176" spans="1:53" ht="27.75" customHeight="1" x14ac:dyDescent="0.2">
      <c r="A176" s="71" t="s">
        <v>413</v>
      </c>
      <c r="B176" s="71">
        <v>2025</v>
      </c>
      <c r="C176" s="72" t="s">
        <v>1971</v>
      </c>
      <c r="D176" s="71" t="s">
        <v>1972</v>
      </c>
      <c r="E176" s="71" t="s">
        <v>417</v>
      </c>
      <c r="F176" s="71" t="s">
        <v>414</v>
      </c>
      <c r="G176" s="71">
        <v>1</v>
      </c>
      <c r="H176" s="71" t="s">
        <v>415</v>
      </c>
      <c r="I176" s="71" t="s">
        <v>1973</v>
      </c>
      <c r="J176" s="71" t="s">
        <v>211</v>
      </c>
      <c r="K176" s="71" t="s">
        <v>117</v>
      </c>
      <c r="L176" s="71" t="s">
        <v>44</v>
      </c>
      <c r="M176" s="71" t="s">
        <v>25</v>
      </c>
      <c r="N176" s="71" t="s">
        <v>1974</v>
      </c>
      <c r="O176" s="71">
        <v>190.02317894999999</v>
      </c>
      <c r="P176" s="71" t="s">
        <v>1975</v>
      </c>
      <c r="Q176" s="71" t="s">
        <v>94</v>
      </c>
      <c r="R176" s="71" t="s">
        <v>31</v>
      </c>
      <c r="S176" s="71"/>
      <c r="T176" s="71"/>
      <c r="U176" s="71"/>
      <c r="V176" s="71"/>
      <c r="W176" s="71"/>
      <c r="X176" s="71" t="s">
        <v>845</v>
      </c>
      <c r="Y176" s="71"/>
      <c r="Z176" s="71"/>
      <c r="AA176" s="71" t="s">
        <v>770</v>
      </c>
      <c r="AB176" s="71"/>
      <c r="AC176" s="71" t="s">
        <v>21</v>
      </c>
      <c r="AD176" s="71"/>
      <c r="AE176" s="71"/>
      <c r="AF176" s="71"/>
      <c r="AG176" s="71"/>
      <c r="AH176" s="71"/>
      <c r="AI176" s="71" t="s">
        <v>772</v>
      </c>
      <c r="AJ176" s="71">
        <v>8847453</v>
      </c>
      <c r="AK176" s="71" t="s">
        <v>416</v>
      </c>
      <c r="AL176" s="71">
        <v>730120</v>
      </c>
      <c r="AM176" s="71"/>
      <c r="AN176" s="71"/>
      <c r="AO176" s="71" t="s">
        <v>773</v>
      </c>
      <c r="AP176" s="71" t="s">
        <v>1976</v>
      </c>
      <c r="AQ176" s="72" t="s">
        <v>1977</v>
      </c>
      <c r="AR176" s="71" t="s">
        <v>802</v>
      </c>
      <c r="AS176" s="71" t="s">
        <v>895</v>
      </c>
      <c r="AT176" s="71"/>
      <c r="AU176" s="71"/>
    </row>
    <row r="177" spans="1:53" ht="52.5" customHeight="1" x14ac:dyDescent="0.2">
      <c r="A177" s="71" t="s">
        <v>472</v>
      </c>
      <c r="B177" s="71">
        <v>2025</v>
      </c>
      <c r="C177" s="72" t="s">
        <v>1978</v>
      </c>
      <c r="D177" s="71" t="s">
        <v>1979</v>
      </c>
      <c r="E177" s="71" t="s">
        <v>476</v>
      </c>
      <c r="F177" s="71" t="s">
        <v>473</v>
      </c>
      <c r="G177" s="71">
        <v>2</v>
      </c>
      <c r="H177" s="71" t="s">
        <v>474</v>
      </c>
      <c r="I177" s="71" t="s">
        <v>1980</v>
      </c>
      <c r="J177" s="71" t="s">
        <v>211</v>
      </c>
      <c r="K177" s="71" t="s">
        <v>183</v>
      </c>
      <c r="L177" s="71" t="s">
        <v>24</v>
      </c>
      <c r="M177" s="71" t="s">
        <v>25</v>
      </c>
      <c r="N177" s="71" t="s">
        <v>1981</v>
      </c>
      <c r="O177" s="71">
        <v>190.02795033000001</v>
      </c>
      <c r="P177" s="71" t="s">
        <v>1982</v>
      </c>
      <c r="Q177" s="71" t="s">
        <v>94</v>
      </c>
      <c r="R177" s="71" t="s">
        <v>40</v>
      </c>
      <c r="S177" s="71"/>
      <c r="T177" s="71"/>
      <c r="U177" s="71"/>
      <c r="V177" s="71"/>
      <c r="W177" s="71"/>
      <c r="X177" s="71" t="s">
        <v>906</v>
      </c>
      <c r="Y177" s="71"/>
      <c r="Z177" s="71"/>
      <c r="AA177" s="71" t="s">
        <v>770</v>
      </c>
      <c r="AB177" s="71"/>
      <c r="AC177" s="71" t="s">
        <v>21</v>
      </c>
      <c r="AD177" s="71"/>
      <c r="AE177" s="71"/>
      <c r="AF177" s="71"/>
      <c r="AG177" s="71"/>
      <c r="AH177" s="71" t="s">
        <v>1983</v>
      </c>
      <c r="AI177" s="71" t="s">
        <v>772</v>
      </c>
      <c r="AJ177" s="71">
        <v>9112829</v>
      </c>
      <c r="AK177" s="71" t="s">
        <v>475</v>
      </c>
      <c r="AL177" s="71">
        <v>775888</v>
      </c>
      <c r="AM177" s="71"/>
      <c r="AN177" s="71"/>
      <c r="AO177" s="71" t="s">
        <v>773</v>
      </c>
      <c r="AP177" s="71" t="s">
        <v>908</v>
      </c>
      <c r="AQ177" s="71" t="s">
        <v>775</v>
      </c>
      <c r="AR177" s="71" t="s">
        <v>788</v>
      </c>
      <c r="AS177" s="71" t="s">
        <v>777</v>
      </c>
      <c r="AT177" s="71"/>
      <c r="AU177" s="71"/>
    </row>
    <row r="178" spans="1:53" ht="85.5" hidden="1" customHeight="1" x14ac:dyDescent="0.2">
      <c r="A178" s="71" t="s">
        <v>477</v>
      </c>
      <c r="B178" s="71">
        <v>2025</v>
      </c>
      <c r="C178" s="72" t="s">
        <v>1984</v>
      </c>
      <c r="D178" s="71" t="s">
        <v>1985</v>
      </c>
      <c r="E178" s="71" t="s">
        <v>478</v>
      </c>
      <c r="F178" s="71" t="s">
        <v>449</v>
      </c>
      <c r="G178" s="71">
        <v>2</v>
      </c>
      <c r="H178" s="71" t="s">
        <v>478</v>
      </c>
      <c r="I178" s="71" t="s">
        <v>1986</v>
      </c>
      <c r="J178" s="71" t="s">
        <v>112</v>
      </c>
      <c r="K178" s="71" t="s">
        <v>1987</v>
      </c>
      <c r="L178" s="71" t="s">
        <v>44</v>
      </c>
      <c r="M178" s="71" t="s">
        <v>25</v>
      </c>
      <c r="N178" s="71" t="s">
        <v>1988</v>
      </c>
      <c r="O178" s="71">
        <v>190.02298902999999</v>
      </c>
      <c r="P178" s="71" t="s">
        <v>767</v>
      </c>
      <c r="Q178" s="71" t="s">
        <v>479</v>
      </c>
      <c r="R178" s="71" t="s">
        <v>135</v>
      </c>
      <c r="S178" s="71"/>
      <c r="T178" s="71"/>
      <c r="U178" s="71"/>
      <c r="V178" s="71"/>
      <c r="W178" s="71"/>
      <c r="X178" s="71" t="s">
        <v>1989</v>
      </c>
      <c r="Y178" s="71"/>
      <c r="Z178" s="71" t="s">
        <v>784</v>
      </c>
      <c r="AA178" s="71" t="s">
        <v>770</v>
      </c>
      <c r="AB178" s="71"/>
      <c r="AC178" s="71" t="s">
        <v>21</v>
      </c>
      <c r="AD178" s="71"/>
      <c r="AE178" s="71"/>
      <c r="AF178" s="71"/>
      <c r="AG178" s="71"/>
      <c r="AH178" s="71" t="s">
        <v>1990</v>
      </c>
      <c r="AI178" s="71" t="s">
        <v>772</v>
      </c>
      <c r="AJ178" s="71">
        <v>8869375</v>
      </c>
      <c r="AK178" s="71" t="s">
        <v>65</v>
      </c>
      <c r="AL178" s="71">
        <v>791764</v>
      </c>
      <c r="AM178" s="71"/>
      <c r="AN178" s="71"/>
      <c r="AO178" s="71" t="s">
        <v>786</v>
      </c>
      <c r="AP178" s="71" t="s">
        <v>774</v>
      </c>
      <c r="AQ178" s="71" t="s">
        <v>787</v>
      </c>
      <c r="AR178" s="71" t="s">
        <v>788</v>
      </c>
      <c r="AS178" s="71" t="s">
        <v>777</v>
      </c>
      <c r="AT178" s="71"/>
      <c r="AU178" s="71" t="s">
        <v>862</v>
      </c>
    </row>
    <row r="179" spans="1:53" ht="15" customHeight="1" x14ac:dyDescent="0.2">
      <c r="A179" s="71" t="s">
        <v>489</v>
      </c>
      <c r="B179" s="71">
        <v>2025</v>
      </c>
      <c r="C179" s="71" t="s">
        <v>1991</v>
      </c>
      <c r="D179" s="71" t="s">
        <v>1992</v>
      </c>
      <c r="E179" s="71" t="s">
        <v>491</v>
      </c>
      <c r="F179" s="71" t="s">
        <v>490</v>
      </c>
      <c r="G179" s="71">
        <v>3</v>
      </c>
      <c r="H179" s="71" t="s">
        <v>491</v>
      </c>
      <c r="I179" s="71" t="s">
        <v>1993</v>
      </c>
      <c r="J179" s="71" t="s">
        <v>211</v>
      </c>
      <c r="K179" s="71" t="s">
        <v>880</v>
      </c>
      <c r="L179" s="71" t="s">
        <v>24</v>
      </c>
      <c r="M179" s="71" t="s">
        <v>25</v>
      </c>
      <c r="N179" s="71" t="s">
        <v>1994</v>
      </c>
      <c r="O179" s="71">
        <v>190.02207480000001</v>
      </c>
      <c r="P179" s="71" t="s">
        <v>767</v>
      </c>
      <c r="Q179" s="71" t="s">
        <v>36</v>
      </c>
      <c r="R179" s="71" t="s">
        <v>31</v>
      </c>
      <c r="S179" s="71"/>
      <c r="T179" s="71"/>
      <c r="U179" s="71"/>
      <c r="V179" s="71"/>
      <c r="W179" s="71"/>
      <c r="X179" s="71"/>
      <c r="Y179" s="71"/>
      <c r="Z179" s="71"/>
      <c r="AA179" s="71" t="s">
        <v>770</v>
      </c>
      <c r="AB179" s="71"/>
      <c r="AC179" s="71" t="s">
        <v>21</v>
      </c>
      <c r="AD179" s="71"/>
      <c r="AE179" s="71"/>
      <c r="AF179" s="71"/>
      <c r="AG179" s="71"/>
      <c r="AH179" s="71"/>
      <c r="AI179" s="71" t="s">
        <v>772</v>
      </c>
      <c r="AJ179" s="71">
        <v>8603359</v>
      </c>
      <c r="AK179" s="71" t="s">
        <v>346</v>
      </c>
      <c r="AL179" s="71">
        <v>794667</v>
      </c>
      <c r="AM179" s="71"/>
      <c r="AN179" s="71"/>
      <c r="AO179" s="71" t="s">
        <v>773</v>
      </c>
      <c r="AP179" s="71" t="s">
        <v>774</v>
      </c>
      <c r="AQ179" s="71" t="s">
        <v>884</v>
      </c>
      <c r="AR179" s="71" t="s">
        <v>802</v>
      </c>
      <c r="AS179" s="71" t="s">
        <v>884</v>
      </c>
      <c r="AT179" s="71"/>
      <c r="AU179" s="71"/>
    </row>
    <row r="180" spans="1:53" ht="15" customHeight="1" x14ac:dyDescent="0.2">
      <c r="A180" s="71" t="s">
        <v>492</v>
      </c>
      <c r="B180" s="71">
        <v>2025</v>
      </c>
      <c r="C180" s="72" t="s">
        <v>1995</v>
      </c>
      <c r="D180" s="71" t="s">
        <v>1996</v>
      </c>
      <c r="E180" s="71" t="s">
        <v>496</v>
      </c>
      <c r="F180" s="71" t="s">
        <v>494</v>
      </c>
      <c r="G180" s="71">
        <v>1</v>
      </c>
      <c r="H180" s="71" t="s">
        <v>495</v>
      </c>
      <c r="I180" s="71" t="s">
        <v>1997</v>
      </c>
      <c r="J180" s="71" t="s">
        <v>493</v>
      </c>
      <c r="K180" s="71" t="s">
        <v>880</v>
      </c>
      <c r="L180" s="71" t="s">
        <v>24</v>
      </c>
      <c r="M180" s="71" t="s">
        <v>25</v>
      </c>
      <c r="N180" s="71" t="s">
        <v>1998</v>
      </c>
      <c r="O180" s="71">
        <v>190.02317832</v>
      </c>
      <c r="P180" s="71" t="s">
        <v>1999</v>
      </c>
      <c r="Q180" s="71" t="s">
        <v>94</v>
      </c>
      <c r="R180" s="71" t="s">
        <v>31</v>
      </c>
      <c r="S180" s="71"/>
      <c r="T180" s="71"/>
      <c r="U180" s="71"/>
      <c r="V180" s="71"/>
      <c r="W180" s="71"/>
      <c r="X180" s="71"/>
      <c r="Y180" s="71"/>
      <c r="Z180" s="71"/>
      <c r="AA180" s="71" t="s">
        <v>770</v>
      </c>
      <c r="AB180" s="71"/>
      <c r="AC180" s="71" t="s">
        <v>21</v>
      </c>
      <c r="AD180" s="71"/>
      <c r="AE180" s="71"/>
      <c r="AF180" s="71"/>
      <c r="AG180" s="71"/>
      <c r="AH180" s="71"/>
      <c r="AI180" s="71" t="s">
        <v>772</v>
      </c>
      <c r="AJ180" s="71">
        <v>8714400</v>
      </c>
      <c r="AK180" s="71" t="s">
        <v>214</v>
      </c>
      <c r="AL180" s="71">
        <v>971526</v>
      </c>
      <c r="AM180" s="71"/>
      <c r="AN180" s="71"/>
      <c r="AO180" s="71" t="s">
        <v>773</v>
      </c>
      <c r="AP180" s="71" t="s">
        <v>774</v>
      </c>
      <c r="AQ180" s="71" t="s">
        <v>2000</v>
      </c>
      <c r="AR180" s="71" t="s">
        <v>802</v>
      </c>
      <c r="AS180" s="71" t="s">
        <v>895</v>
      </c>
      <c r="AT180" s="71"/>
      <c r="AU180" s="71"/>
    </row>
    <row r="181" spans="1:53" ht="15" customHeight="1" x14ac:dyDescent="0.2">
      <c r="A181" s="71" t="s">
        <v>501</v>
      </c>
      <c r="B181" s="71">
        <v>2025</v>
      </c>
      <c r="C181" s="71" t="s">
        <v>2001</v>
      </c>
      <c r="D181" s="71" t="s">
        <v>2002</v>
      </c>
      <c r="E181" s="71" t="s">
        <v>503</v>
      </c>
      <c r="F181" s="71" t="s">
        <v>502</v>
      </c>
      <c r="G181" s="71">
        <v>1</v>
      </c>
      <c r="H181" s="71" t="s">
        <v>503</v>
      </c>
      <c r="I181" s="71" t="s">
        <v>2003</v>
      </c>
      <c r="J181" s="71" t="s">
        <v>493</v>
      </c>
      <c r="K181" s="71" t="s">
        <v>880</v>
      </c>
      <c r="L181" s="71" t="s">
        <v>24</v>
      </c>
      <c r="M181" s="71" t="s">
        <v>25</v>
      </c>
      <c r="N181" s="71" t="s">
        <v>2004</v>
      </c>
      <c r="O181" s="71">
        <v>190.02220188000001</v>
      </c>
      <c r="P181" s="71" t="s">
        <v>2005</v>
      </c>
      <c r="Q181" s="71" t="s">
        <v>36</v>
      </c>
      <c r="R181" s="71" t="s">
        <v>31</v>
      </c>
      <c r="S181" s="71"/>
      <c r="T181" s="71"/>
      <c r="U181" s="71"/>
      <c r="V181" s="71"/>
      <c r="W181" s="71"/>
      <c r="X181" s="71"/>
      <c r="Y181" s="71"/>
      <c r="Z181" s="71"/>
      <c r="AA181" s="71" t="s">
        <v>770</v>
      </c>
      <c r="AB181" s="71"/>
      <c r="AC181" s="71" t="s">
        <v>21</v>
      </c>
      <c r="AD181" s="71"/>
      <c r="AE181" s="71"/>
      <c r="AF181" s="71"/>
      <c r="AG181" s="71"/>
      <c r="AH181" s="71"/>
      <c r="AI181" s="71" t="s">
        <v>772</v>
      </c>
      <c r="AJ181" s="71">
        <v>8629048</v>
      </c>
      <c r="AK181" s="71" t="s">
        <v>504</v>
      </c>
      <c r="AL181" s="71">
        <v>852524</v>
      </c>
      <c r="AM181" s="71"/>
      <c r="AN181" s="71"/>
      <c r="AO181" s="71" t="s">
        <v>773</v>
      </c>
      <c r="AP181" s="71" t="s">
        <v>774</v>
      </c>
      <c r="AQ181" s="71" t="s">
        <v>884</v>
      </c>
      <c r="AR181" s="71" t="s">
        <v>802</v>
      </c>
      <c r="AS181" s="71" t="s">
        <v>884</v>
      </c>
      <c r="AT181" s="71"/>
      <c r="AU181" s="71"/>
    </row>
    <row r="182" spans="1:53" ht="26.25" customHeight="1" x14ac:dyDescent="0.2">
      <c r="A182" s="71" t="s">
        <v>505</v>
      </c>
      <c r="B182" s="71">
        <v>2025</v>
      </c>
      <c r="C182" s="72" t="s">
        <v>2006</v>
      </c>
      <c r="D182" s="71" t="s">
        <v>2007</v>
      </c>
      <c r="E182" s="71" t="s">
        <v>508</v>
      </c>
      <c r="F182" s="71" t="s">
        <v>506</v>
      </c>
      <c r="G182" s="71">
        <v>3</v>
      </c>
      <c r="H182" s="71" t="s">
        <v>507</v>
      </c>
      <c r="I182" s="71" t="s">
        <v>2008</v>
      </c>
      <c r="J182" s="71" t="s">
        <v>493</v>
      </c>
      <c r="K182" s="71" t="s">
        <v>880</v>
      </c>
      <c r="L182" s="71" t="s">
        <v>24</v>
      </c>
      <c r="M182" s="71" t="s">
        <v>25</v>
      </c>
      <c r="N182" s="71" t="s">
        <v>2009</v>
      </c>
      <c r="O182" s="71">
        <v>190.02795029999999</v>
      </c>
      <c r="P182" s="71" t="s">
        <v>1510</v>
      </c>
      <c r="Q182" s="71" t="s">
        <v>94</v>
      </c>
      <c r="R182" s="71" t="s">
        <v>31</v>
      </c>
      <c r="S182" s="71"/>
      <c r="T182" s="71"/>
      <c r="U182" s="71"/>
      <c r="V182" s="71"/>
      <c r="W182" s="71"/>
      <c r="X182" s="71"/>
      <c r="Y182" s="71"/>
      <c r="Z182" s="71"/>
      <c r="AA182" s="71" t="s">
        <v>770</v>
      </c>
      <c r="AB182" s="71"/>
      <c r="AC182" s="71" t="s">
        <v>21</v>
      </c>
      <c r="AD182" s="71"/>
      <c r="AE182" s="71"/>
      <c r="AF182" s="71"/>
      <c r="AG182" s="71"/>
      <c r="AH182" s="71" t="s">
        <v>2010</v>
      </c>
      <c r="AI182" s="71" t="s">
        <v>772</v>
      </c>
      <c r="AJ182" s="71">
        <v>8704596</v>
      </c>
      <c r="AK182" s="71" t="s">
        <v>307</v>
      </c>
      <c r="AL182" s="71">
        <v>914121</v>
      </c>
      <c r="AM182" s="71"/>
      <c r="AN182" s="71"/>
      <c r="AO182" s="71" t="s">
        <v>773</v>
      </c>
      <c r="AP182" s="71" t="s">
        <v>774</v>
      </c>
      <c r="AQ182" s="71" t="s">
        <v>2011</v>
      </c>
      <c r="AR182" s="71" t="s">
        <v>802</v>
      </c>
      <c r="AS182" s="71" t="s">
        <v>2012</v>
      </c>
      <c r="AT182" s="71"/>
      <c r="AU182" s="71"/>
      <c r="BA182" s="119" t="s">
        <v>1485</v>
      </c>
    </row>
    <row r="183" spans="1:53" ht="15" hidden="1" customHeight="1" x14ac:dyDescent="0.2">
      <c r="A183" s="71" t="s">
        <v>497</v>
      </c>
      <c r="B183" s="71">
        <v>2025</v>
      </c>
      <c r="C183" s="72" t="s">
        <v>2013</v>
      </c>
      <c r="D183" s="71" t="s">
        <v>2014</v>
      </c>
      <c r="E183" s="71" t="s">
        <v>500</v>
      </c>
      <c r="F183" s="71" t="s">
        <v>249</v>
      </c>
      <c r="G183" s="71">
        <v>3</v>
      </c>
      <c r="H183" s="71" t="s">
        <v>498</v>
      </c>
      <c r="I183" s="71" t="s">
        <v>2015</v>
      </c>
      <c r="J183" s="71" t="s">
        <v>20</v>
      </c>
      <c r="K183" s="71" t="s">
        <v>1672</v>
      </c>
      <c r="L183" s="71" t="s">
        <v>35</v>
      </c>
      <c r="M183" s="71" t="s">
        <v>25</v>
      </c>
      <c r="N183" s="71" t="s">
        <v>2016</v>
      </c>
      <c r="O183" s="71">
        <v>190.00957592</v>
      </c>
      <c r="P183" s="71" t="s">
        <v>2017</v>
      </c>
      <c r="Q183" s="71" t="s">
        <v>132</v>
      </c>
      <c r="R183" s="71" t="s">
        <v>148</v>
      </c>
      <c r="S183" s="71"/>
      <c r="T183" s="71"/>
      <c r="U183" s="71"/>
      <c r="V183" s="71"/>
      <c r="W183" s="71"/>
      <c r="X183" s="71" t="s">
        <v>795</v>
      </c>
      <c r="Y183" s="71"/>
      <c r="Z183" s="71" t="s">
        <v>796</v>
      </c>
      <c r="AA183" s="71" t="s">
        <v>770</v>
      </c>
      <c r="AB183" s="71"/>
      <c r="AC183" s="71" t="s">
        <v>21</v>
      </c>
      <c r="AD183" s="71" t="s">
        <v>797</v>
      </c>
      <c r="AE183" s="71"/>
      <c r="AF183" s="71"/>
      <c r="AG183" s="71"/>
      <c r="AH183" s="71" t="s">
        <v>2018</v>
      </c>
      <c r="AI183" s="71" t="s">
        <v>772</v>
      </c>
      <c r="AJ183" s="71">
        <v>9210505</v>
      </c>
      <c r="AK183" s="71" t="s">
        <v>499</v>
      </c>
      <c r="AL183" s="71">
        <v>810831</v>
      </c>
      <c r="AM183" s="71" t="s">
        <v>1663</v>
      </c>
      <c r="AN183" s="71" t="s">
        <v>1374</v>
      </c>
      <c r="AO183" s="71" t="s">
        <v>800</v>
      </c>
      <c r="AP183" s="71" t="s">
        <v>774</v>
      </c>
      <c r="AQ183" s="71" t="s">
        <v>801</v>
      </c>
      <c r="AR183" s="71" t="s">
        <v>802</v>
      </c>
      <c r="AS183" s="71" t="s">
        <v>801</v>
      </c>
      <c r="AT183" s="71"/>
      <c r="AU183" s="71"/>
      <c r="AV183">
        <v>35</v>
      </c>
      <c r="AW183">
        <f>6*35</f>
        <v>210</v>
      </c>
    </row>
    <row r="184" spans="1:53" ht="216" customHeight="1" x14ac:dyDescent="0.2">
      <c r="A184" s="71" t="s">
        <v>513</v>
      </c>
      <c r="B184" s="71">
        <v>2025</v>
      </c>
      <c r="C184" s="71" t="s">
        <v>2019</v>
      </c>
      <c r="D184" s="71" t="s">
        <v>2020</v>
      </c>
      <c r="E184" s="71" t="s">
        <v>515</v>
      </c>
      <c r="F184" s="71" t="s">
        <v>514</v>
      </c>
      <c r="G184" s="71">
        <v>2</v>
      </c>
      <c r="H184" s="71" t="s">
        <v>515</v>
      </c>
      <c r="I184" s="71" t="s">
        <v>2021</v>
      </c>
      <c r="J184" s="71" t="s">
        <v>493</v>
      </c>
      <c r="K184" s="71" t="s">
        <v>880</v>
      </c>
      <c r="L184" s="71" t="s">
        <v>24</v>
      </c>
      <c r="M184" s="71" t="s">
        <v>25</v>
      </c>
      <c r="N184" s="71" t="s">
        <v>2022</v>
      </c>
      <c r="O184" s="71">
        <v>190.02678526</v>
      </c>
      <c r="P184" s="71" t="s">
        <v>960</v>
      </c>
      <c r="Q184" s="71" t="s">
        <v>36</v>
      </c>
      <c r="R184" s="71" t="s">
        <v>31</v>
      </c>
      <c r="S184" s="71"/>
      <c r="T184" s="71"/>
      <c r="U184" s="71"/>
      <c r="V184" s="71"/>
      <c r="W184" s="71"/>
      <c r="X184" s="71"/>
      <c r="Y184" s="71"/>
      <c r="Z184" s="71"/>
      <c r="AA184" s="71" t="s">
        <v>770</v>
      </c>
      <c r="AB184" s="71"/>
      <c r="AC184" s="71" t="s">
        <v>21</v>
      </c>
      <c r="AD184" s="71"/>
      <c r="AE184" s="71"/>
      <c r="AF184" s="71"/>
      <c r="AG184" s="71"/>
      <c r="AH184" s="71"/>
      <c r="AI184" s="71" t="s">
        <v>772</v>
      </c>
      <c r="AJ184" s="71">
        <v>8668465</v>
      </c>
      <c r="AK184" s="71" t="s">
        <v>516</v>
      </c>
      <c r="AL184" s="71">
        <v>823519</v>
      </c>
      <c r="AM184" s="71"/>
      <c r="AN184" s="71"/>
      <c r="AO184" s="71" t="s">
        <v>773</v>
      </c>
      <c r="AP184" s="71" t="s">
        <v>774</v>
      </c>
      <c r="AQ184" s="71" t="s">
        <v>884</v>
      </c>
      <c r="AR184" s="71" t="s">
        <v>802</v>
      </c>
      <c r="AS184" s="71" t="s">
        <v>884</v>
      </c>
      <c r="AT184" s="71"/>
      <c r="AU184" s="71"/>
    </row>
  </sheetData>
  <autoFilter ref="A1:BB184" xr:uid="{00000000-0001-0000-0500-000000000000}">
    <filterColumn colId="40">
      <filters>
        <filter val="EQUIPAMENTO ESPECIAL"/>
      </filters>
    </filterColumn>
  </autoFilter>
  <conditionalFormatting sqref="AP2:AP184">
    <cfRule type="cellIs" dxfId="7" priority="3" operator="equal">
      <formula>"PENDÊNCIA DCMD"</formula>
    </cfRule>
    <cfRule type="cellIs" dxfId="6" priority="4" operator="equal">
      <formula>"PENDÊNCIA DMSL"</formula>
    </cfRule>
    <cfRule type="cellIs" dxfId="5" priority="5" operator="equal">
      <formula>"CONCLUÍDO"</formula>
    </cfRule>
  </conditionalFormatting>
  <conditionalFormatting sqref="AR2:AR184">
    <cfRule type="cellIs" dxfId="4" priority="6" operator="equal">
      <formula>"COMPRA"</formula>
    </cfRule>
    <cfRule type="cellIs" dxfId="3" priority="7" operator="equal">
      <formula>"MANUTENÇÃO"</formula>
    </cfRule>
    <cfRule type="cellIs" dxfId="2" priority="8" operator="equal">
      <formula>"ANÁLISE"</formula>
    </cfRule>
    <cfRule type="cellIs" dxfId="1" priority="9" operator="equal">
      <formula>"REPASSE"</formula>
    </cfRule>
  </conditionalFormatting>
  <conditionalFormatting sqref="AU2:AU184 AV26 AW27 AV28 AV30:AV32 AV57 AV72 AV129 AV140 AV145">
    <cfRule type="cellIs" dxfId="0" priority="2" operator="equal">
      <formula>"REPETIDA"</formula>
    </cfRule>
  </conditionalFormatting>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T68"/>
  <sheetViews>
    <sheetView showGridLines="0" zoomScale="85" zoomScaleNormal="85" workbookViewId="0">
      <selection activeCell="D22" sqref="D22:E22"/>
    </sheetView>
  </sheetViews>
  <sheetFormatPr baseColWidth="10" defaultColWidth="8.6640625" defaultRowHeight="15" x14ac:dyDescent="0.2"/>
  <cols>
    <col min="1" max="1" width="2" customWidth="1"/>
    <col min="2" max="2" width="24" customWidth="1"/>
    <col min="3" max="4" width="8" customWidth="1"/>
    <col min="5" max="6" width="3" customWidth="1"/>
    <col min="7" max="7" width="22" customWidth="1"/>
    <col min="8" max="8" width="12" customWidth="1"/>
    <col min="9" max="11" width="10" customWidth="1"/>
  </cols>
  <sheetData>
    <row r="2" spans="2:11" ht="21.75" customHeight="1" x14ac:dyDescent="0.2">
      <c r="B2" s="190" t="s">
        <v>2023</v>
      </c>
      <c r="C2" s="190"/>
      <c r="D2" s="190"/>
      <c r="E2" s="190"/>
      <c r="F2" s="190"/>
      <c r="G2" s="190"/>
      <c r="H2" s="190"/>
      <c r="I2" s="190"/>
      <c r="J2" s="190"/>
      <c r="K2" s="190"/>
    </row>
    <row r="3" spans="2:11" ht="21.75" customHeight="1" x14ac:dyDescent="0.2">
      <c r="B3" s="190"/>
      <c r="C3" s="190"/>
      <c r="D3" s="190"/>
      <c r="E3" s="190"/>
      <c r="F3" s="190"/>
      <c r="G3" s="190"/>
      <c r="H3" s="190"/>
      <c r="I3" s="190"/>
      <c r="J3" s="190"/>
      <c r="K3" s="190"/>
    </row>
    <row r="4" spans="2:11" ht="15" customHeight="1" x14ac:dyDescent="0.2">
      <c r="B4" s="191" t="s">
        <v>2024</v>
      </c>
      <c r="C4" s="191"/>
      <c r="D4" s="191"/>
      <c r="E4" s="191"/>
      <c r="F4" s="191"/>
      <c r="G4" s="191"/>
      <c r="H4" s="191"/>
      <c r="I4" s="191"/>
      <c r="J4" s="191"/>
      <c r="K4" s="191"/>
    </row>
    <row r="6" spans="2:11" ht="21.75" customHeight="1" x14ac:dyDescent="0.2">
      <c r="B6" s="192" t="s">
        <v>2025</v>
      </c>
      <c r="C6" s="192"/>
      <c r="D6" s="193" t="s">
        <v>2026</v>
      </c>
      <c r="E6" s="193"/>
      <c r="F6" s="194" t="s">
        <v>2027</v>
      </c>
      <c r="G6" s="194"/>
      <c r="H6" s="195" t="s">
        <v>2028</v>
      </c>
      <c r="I6" s="195"/>
      <c r="J6" s="196" t="s">
        <v>2029</v>
      </c>
      <c r="K6" s="196"/>
    </row>
    <row r="7" spans="2:11" ht="27.75" customHeight="1" x14ac:dyDescent="0.2">
      <c r="B7" s="185">
        <v>183</v>
      </c>
      <c r="C7" s="185"/>
      <c r="D7" s="186">
        <v>148</v>
      </c>
      <c r="E7" s="186"/>
      <c r="F7" s="187">
        <v>34</v>
      </c>
      <c r="G7" s="187"/>
      <c r="H7" s="188">
        <v>20</v>
      </c>
      <c r="I7" s="188"/>
      <c r="J7" s="189">
        <v>1</v>
      </c>
      <c r="K7" s="189"/>
    </row>
    <row r="8" spans="2:11" ht="27.75" customHeight="1" x14ac:dyDescent="0.2">
      <c r="B8" s="185"/>
      <c r="C8" s="185"/>
      <c r="D8" s="186"/>
      <c r="E8" s="186"/>
      <c r="F8" s="187"/>
      <c r="G8" s="187"/>
      <c r="H8" s="188"/>
      <c r="I8" s="188"/>
      <c r="J8" s="189"/>
      <c r="K8" s="189"/>
    </row>
    <row r="11" spans="2:11" ht="15" customHeight="1" x14ac:dyDescent="0.2">
      <c r="B11" s="184" t="s">
        <v>2030</v>
      </c>
      <c r="C11" s="184"/>
      <c r="D11" s="184"/>
      <c r="E11" s="184"/>
      <c r="G11" s="184" t="s">
        <v>2031</v>
      </c>
      <c r="H11" s="184"/>
      <c r="I11" s="184"/>
    </row>
    <row r="12" spans="2:11" ht="15" customHeight="1" x14ac:dyDescent="0.2">
      <c r="B12" s="1" t="s">
        <v>2032</v>
      </c>
      <c r="C12" s="1" t="s">
        <v>2033</v>
      </c>
      <c r="D12" s="1" t="s">
        <v>2034</v>
      </c>
      <c r="G12" s="1" t="s">
        <v>2035</v>
      </c>
      <c r="H12" s="1" t="s">
        <v>2033</v>
      </c>
      <c r="I12" s="1" t="s">
        <v>2034</v>
      </c>
    </row>
    <row r="13" spans="2:11" ht="15" customHeight="1" x14ac:dyDescent="0.2">
      <c r="B13" s="2" t="s">
        <v>773</v>
      </c>
      <c r="C13" s="3">
        <v>136</v>
      </c>
      <c r="D13" s="4">
        <v>0.74316939890710398</v>
      </c>
      <c r="G13" s="2" t="s">
        <v>774</v>
      </c>
      <c r="H13" s="3">
        <v>148</v>
      </c>
      <c r="I13" s="4">
        <v>0.808743169398907</v>
      </c>
    </row>
    <row r="14" spans="2:11" ht="15" customHeight="1" x14ac:dyDescent="0.2">
      <c r="B14" s="2" t="s">
        <v>800</v>
      </c>
      <c r="C14" s="3">
        <v>30</v>
      </c>
      <c r="D14" s="4">
        <v>0.16393442622950799</v>
      </c>
      <c r="G14" s="2" t="s">
        <v>908</v>
      </c>
      <c r="H14" s="3">
        <v>34</v>
      </c>
      <c r="I14" s="4">
        <v>0.185792349726776</v>
      </c>
    </row>
    <row r="15" spans="2:11" ht="15" customHeight="1" x14ac:dyDescent="0.2">
      <c r="B15" s="2" t="s">
        <v>786</v>
      </c>
      <c r="C15" s="3">
        <v>12</v>
      </c>
      <c r="D15" s="4">
        <v>6.5573770491803296E-2</v>
      </c>
      <c r="G15" s="2" t="s">
        <v>1976</v>
      </c>
      <c r="H15" s="3">
        <v>1</v>
      </c>
      <c r="I15" s="4">
        <v>5.4644808743169399E-3</v>
      </c>
    </row>
    <row r="16" spans="2:11" ht="15" customHeight="1" x14ac:dyDescent="0.2">
      <c r="B16" s="2" t="s">
        <v>848</v>
      </c>
      <c r="C16" s="3">
        <v>3</v>
      </c>
      <c r="D16" s="4">
        <v>1.63934426229508E-2</v>
      </c>
    </row>
    <row r="17" spans="2:11" ht="15" customHeight="1" x14ac:dyDescent="0.2">
      <c r="B17" s="2" t="s">
        <v>1177</v>
      </c>
      <c r="C17" s="3">
        <v>2</v>
      </c>
      <c r="D17" s="4">
        <v>1.0928961748633901E-2</v>
      </c>
    </row>
    <row r="20" spans="2:11" ht="15" customHeight="1" x14ac:dyDescent="0.2">
      <c r="B20" s="184" t="s">
        <v>2036</v>
      </c>
      <c r="C20" s="184"/>
      <c r="D20" s="184"/>
      <c r="E20" s="184"/>
      <c r="G20" s="184" t="s">
        <v>2037</v>
      </c>
      <c r="H20" s="184"/>
      <c r="I20" s="184"/>
      <c r="J20" s="184"/>
      <c r="K20" s="184"/>
    </row>
    <row r="21" spans="2:11" ht="15" customHeight="1" x14ac:dyDescent="0.2">
      <c r="B21" s="1" t="s">
        <v>2038</v>
      </c>
      <c r="C21" s="1" t="s">
        <v>2033</v>
      </c>
      <c r="D21" s="1" t="s">
        <v>2034</v>
      </c>
      <c r="G21" s="5" t="s">
        <v>2038</v>
      </c>
      <c r="H21" s="5" t="s">
        <v>1976</v>
      </c>
      <c r="I21" s="5" t="s">
        <v>774</v>
      </c>
      <c r="J21" s="5" t="s">
        <v>908</v>
      </c>
      <c r="K21" s="5" t="s">
        <v>2039</v>
      </c>
    </row>
    <row r="22" spans="2:11" ht="15" customHeight="1" x14ac:dyDescent="0.2">
      <c r="B22" s="2" t="s">
        <v>802</v>
      </c>
      <c r="C22" s="3">
        <v>107</v>
      </c>
      <c r="D22" s="4">
        <v>0.584699453551913</v>
      </c>
      <c r="G22" s="2" t="s">
        <v>776</v>
      </c>
      <c r="H22" s="3">
        <v>0</v>
      </c>
      <c r="I22" s="3">
        <v>19</v>
      </c>
      <c r="J22" s="3">
        <v>1</v>
      </c>
      <c r="K22" s="6">
        <v>20</v>
      </c>
    </row>
    <row r="23" spans="2:11" ht="15" customHeight="1" x14ac:dyDescent="0.2">
      <c r="B23" s="2" t="s">
        <v>788</v>
      </c>
      <c r="C23" s="3">
        <v>54</v>
      </c>
      <c r="D23" s="4">
        <v>0.29508196721311503</v>
      </c>
      <c r="G23" s="2" t="s">
        <v>1454</v>
      </c>
      <c r="H23" s="3">
        <v>0</v>
      </c>
      <c r="I23" s="3">
        <v>2</v>
      </c>
      <c r="J23" s="3">
        <v>0</v>
      </c>
      <c r="K23" s="6">
        <v>2</v>
      </c>
    </row>
    <row r="24" spans="2:11" ht="15" customHeight="1" x14ac:dyDescent="0.2">
      <c r="B24" s="2" t="s">
        <v>776</v>
      </c>
      <c r="C24" s="3">
        <v>20</v>
      </c>
      <c r="D24" s="4">
        <v>0.109289617486339</v>
      </c>
      <c r="G24" s="2" t="s">
        <v>802</v>
      </c>
      <c r="H24" s="3">
        <v>1</v>
      </c>
      <c r="I24" s="3">
        <v>104</v>
      </c>
      <c r="J24" s="3">
        <v>2</v>
      </c>
      <c r="K24" s="6">
        <v>107</v>
      </c>
    </row>
    <row r="25" spans="2:11" ht="15" customHeight="1" x14ac:dyDescent="0.2">
      <c r="B25" s="2" t="s">
        <v>1454</v>
      </c>
      <c r="C25" s="3">
        <v>2</v>
      </c>
      <c r="D25" s="4">
        <v>1.0928961748633901E-2</v>
      </c>
      <c r="G25" s="2" t="s">
        <v>788</v>
      </c>
      <c r="H25" s="3">
        <v>0</v>
      </c>
      <c r="I25" s="3">
        <v>23</v>
      </c>
      <c r="J25" s="3">
        <v>31</v>
      </c>
      <c r="K25" s="6">
        <v>54</v>
      </c>
    </row>
    <row r="26" spans="2:11" ht="15" customHeight="1" x14ac:dyDescent="0.2">
      <c r="G26" s="7" t="s">
        <v>2039</v>
      </c>
      <c r="H26" s="6">
        <v>1</v>
      </c>
      <c r="I26" s="6">
        <v>148</v>
      </c>
      <c r="J26" s="6">
        <v>34</v>
      </c>
      <c r="K26" s="6">
        <v>183</v>
      </c>
    </row>
    <row r="66" spans="2:46" x14ac:dyDescent="0.2">
      <c r="B66" s="182"/>
      <c r="C66" s="182"/>
      <c r="D66" s="86"/>
      <c r="E66" s="183"/>
      <c r="F66" s="182"/>
      <c r="G66" s="182"/>
      <c r="H66" s="182"/>
      <c r="I66" s="182"/>
      <c r="J66" s="182"/>
      <c r="K66" s="182"/>
      <c r="L66" s="182"/>
      <c r="M66" s="182"/>
      <c r="N66" s="182"/>
      <c r="O66" s="183"/>
      <c r="P66" s="182"/>
      <c r="Q66" s="182"/>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182"/>
      <c r="AQ66" s="182"/>
      <c r="AR66" s="182"/>
      <c r="AS66" s="182"/>
      <c r="AT66" s="182"/>
    </row>
    <row r="67" spans="2:46" x14ac:dyDescent="0.2">
      <c r="B67" s="182"/>
      <c r="C67" s="182"/>
      <c r="D67" s="86"/>
      <c r="E67" s="183"/>
      <c r="F67" s="182"/>
      <c r="G67" s="182"/>
      <c r="H67" s="182"/>
      <c r="I67" s="182"/>
      <c r="J67" s="182"/>
      <c r="K67" s="182"/>
      <c r="L67" s="182"/>
      <c r="M67" s="182"/>
      <c r="N67" s="182"/>
      <c r="O67" s="183"/>
      <c r="P67" s="182"/>
      <c r="Q67" s="182"/>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182"/>
      <c r="AQ67" s="182"/>
      <c r="AR67" s="182"/>
      <c r="AS67" s="182"/>
      <c r="AT67" s="182"/>
    </row>
    <row r="68" spans="2:46" x14ac:dyDescent="0.2">
      <c r="B68" s="182"/>
      <c r="C68" s="182"/>
      <c r="D68" s="86"/>
      <c r="E68" s="183"/>
      <c r="F68" s="182"/>
      <c r="G68" s="182"/>
      <c r="H68" s="182"/>
      <c r="I68" s="182"/>
      <c r="J68" s="182"/>
      <c r="K68" s="182"/>
      <c r="L68" s="182"/>
      <c r="M68" s="182"/>
      <c r="N68" s="182"/>
      <c r="O68" s="183"/>
      <c r="P68" s="182"/>
      <c r="Q68" s="182"/>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182"/>
      <c r="AQ68" s="182"/>
      <c r="AR68" s="182"/>
      <c r="AS68" s="182"/>
      <c r="AT68" s="182"/>
    </row>
  </sheetData>
  <mergeCells count="60">
    <mergeCell ref="B2:K3"/>
    <mergeCell ref="B4:K4"/>
    <mergeCell ref="B6:C6"/>
    <mergeCell ref="D6:E6"/>
    <mergeCell ref="F6:G6"/>
    <mergeCell ref="H6:I6"/>
    <mergeCell ref="J6:K6"/>
    <mergeCell ref="B7:C8"/>
    <mergeCell ref="D7:E8"/>
    <mergeCell ref="F7:G8"/>
    <mergeCell ref="H7:I8"/>
    <mergeCell ref="J7:K8"/>
    <mergeCell ref="B11:E11"/>
    <mergeCell ref="G11:I11"/>
    <mergeCell ref="B20:E20"/>
    <mergeCell ref="G20:K20"/>
    <mergeCell ref="B66:B68"/>
    <mergeCell ref="C66:C68"/>
    <mergeCell ref="E66:E68"/>
    <mergeCell ref="F66:F68"/>
    <mergeCell ref="G66:G68"/>
    <mergeCell ref="H66:H68"/>
    <mergeCell ref="I66:I68"/>
    <mergeCell ref="J66:J68"/>
    <mergeCell ref="K66:K68"/>
    <mergeCell ref="L66:L68"/>
    <mergeCell ref="M66:M68"/>
    <mergeCell ref="N66:N68"/>
    <mergeCell ref="O66:O68"/>
    <mergeCell ref="P66:P68"/>
    <mergeCell ref="Q66:Q68"/>
    <mergeCell ref="R66:R68"/>
    <mergeCell ref="S66:S68"/>
    <mergeCell ref="T66:T68"/>
    <mergeCell ref="U66:U68"/>
    <mergeCell ref="V66:V68"/>
    <mergeCell ref="W66:W68"/>
    <mergeCell ref="X66:X68"/>
    <mergeCell ref="Y66:Y68"/>
    <mergeCell ref="Z66:Z68"/>
    <mergeCell ref="AA66:AA68"/>
    <mergeCell ref="AB66:AB68"/>
    <mergeCell ref="AC66:AC68"/>
    <mergeCell ref="AD66:AD68"/>
    <mergeCell ref="AE66:AE68"/>
    <mergeCell ref="AF66:AF68"/>
    <mergeCell ref="AG66:AG68"/>
    <mergeCell ref="AH66:AH68"/>
    <mergeCell ref="AI66:AI68"/>
    <mergeCell ref="AJ66:AJ68"/>
    <mergeCell ref="AK66:AK68"/>
    <mergeCell ref="AL66:AL68"/>
    <mergeCell ref="AM66:AM68"/>
    <mergeCell ref="AN66:AN68"/>
    <mergeCell ref="AO66:AO68"/>
    <mergeCell ref="AP66:AP68"/>
    <mergeCell ref="AQ66:AQ68"/>
    <mergeCell ref="AR66:AR68"/>
    <mergeCell ref="AS66:AS68"/>
    <mergeCell ref="AT66:AT68"/>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S44"/>
  <sheetViews>
    <sheetView showGridLines="0" zoomScale="90" zoomScaleNormal="90" workbookViewId="0">
      <selection activeCell="C1" sqref="C1:C1048576"/>
    </sheetView>
  </sheetViews>
  <sheetFormatPr baseColWidth="10" defaultColWidth="8.6640625" defaultRowHeight="15" x14ac:dyDescent="0.2"/>
  <cols>
    <col min="1" max="1" width="13.83203125" customWidth="1"/>
    <col min="2" max="3" width="2" customWidth="1"/>
    <col min="4" max="5" width="3" customWidth="1"/>
    <col min="6" max="6" width="22" customWidth="1"/>
    <col min="7" max="8" width="3" customWidth="1"/>
    <col min="9" max="9" width="12" customWidth="1"/>
    <col min="10" max="13" width="2" customWidth="1"/>
    <col min="14" max="15" width="3" customWidth="1"/>
    <col min="16" max="16" width="22" customWidth="1"/>
    <col min="17" max="18" width="3" customWidth="1"/>
    <col min="19" max="19" width="17.33203125" customWidth="1"/>
  </cols>
  <sheetData>
    <row r="2" spans="2:19" ht="27.75" customHeight="1" x14ac:dyDescent="0.2">
      <c r="B2" s="202" t="s">
        <v>2040</v>
      </c>
      <c r="C2" s="202"/>
      <c r="D2" s="202"/>
      <c r="E2" s="202"/>
      <c r="F2" s="202"/>
      <c r="G2" s="202"/>
      <c r="H2" s="202"/>
      <c r="I2" s="202"/>
      <c r="J2" s="202"/>
      <c r="K2" s="202"/>
      <c r="L2" s="202"/>
      <c r="M2" s="202"/>
      <c r="N2" s="202"/>
    </row>
    <row r="3" spans="2:19" ht="15" customHeight="1" x14ac:dyDescent="0.2">
      <c r="B3" s="203" t="s">
        <v>2041</v>
      </c>
      <c r="C3" s="203"/>
      <c r="D3" s="203"/>
      <c r="E3" s="203"/>
      <c r="F3" s="203"/>
      <c r="G3" s="203"/>
      <c r="H3" s="203"/>
      <c r="I3" s="203"/>
      <c r="J3" s="203"/>
      <c r="K3" s="203"/>
      <c r="L3" s="203"/>
      <c r="M3" s="203"/>
      <c r="N3" s="203"/>
    </row>
    <row r="5" spans="2:19" ht="21.75" customHeight="1" x14ac:dyDescent="0.2">
      <c r="B5" s="201" t="s">
        <v>2042</v>
      </c>
      <c r="C5" s="201"/>
      <c r="D5" s="201"/>
      <c r="E5" s="201"/>
      <c r="F5" s="201"/>
      <c r="G5" s="201"/>
      <c r="H5" s="201"/>
      <c r="I5" s="201"/>
      <c r="L5" s="201" t="s">
        <v>2043</v>
      </c>
      <c r="M5" s="201"/>
      <c r="N5" s="201"/>
      <c r="O5" s="201"/>
      <c r="P5" s="201"/>
      <c r="Q5" s="201"/>
      <c r="R5" s="201"/>
      <c r="S5" s="201"/>
    </row>
    <row r="6" spans="2:19" ht="15" customHeight="1" x14ac:dyDescent="0.2">
      <c r="B6" s="8" t="s">
        <v>2032</v>
      </c>
      <c r="C6" s="8" t="s">
        <v>2033</v>
      </c>
      <c r="L6" s="8" t="s">
        <v>2032</v>
      </c>
      <c r="M6" s="8" t="s">
        <v>2033</v>
      </c>
    </row>
    <row r="7" spans="2:19" ht="18" customHeight="1" x14ac:dyDescent="0.2">
      <c r="B7" s="9" t="s">
        <v>2044</v>
      </c>
      <c r="C7" s="9">
        <v>80</v>
      </c>
      <c r="E7" s="10"/>
      <c r="F7" s="199" t="s">
        <v>2044</v>
      </c>
      <c r="G7" s="199"/>
      <c r="H7" s="199"/>
      <c r="I7" s="11" t="s">
        <v>2045</v>
      </c>
      <c r="L7" s="9" t="s">
        <v>2046</v>
      </c>
      <c r="M7" s="9">
        <v>19</v>
      </c>
      <c r="O7" s="12"/>
      <c r="P7" s="199" t="s">
        <v>2046</v>
      </c>
      <c r="Q7" s="199"/>
      <c r="R7" s="199"/>
      <c r="S7" s="11" t="s">
        <v>2047</v>
      </c>
    </row>
    <row r="8" spans="2:19" ht="18" customHeight="1" x14ac:dyDescent="0.2">
      <c r="B8" s="9" t="s">
        <v>2048</v>
      </c>
      <c r="C8" s="9">
        <v>30</v>
      </c>
      <c r="E8" s="13"/>
      <c r="F8" s="199" t="s">
        <v>2048</v>
      </c>
      <c r="G8" s="199"/>
      <c r="H8" s="199"/>
      <c r="I8" s="11" t="s">
        <v>2049</v>
      </c>
      <c r="L8" s="9" t="s">
        <v>2050</v>
      </c>
      <c r="M8" s="9">
        <v>1</v>
      </c>
      <c r="O8" s="14"/>
      <c r="P8" s="199" t="s">
        <v>2050</v>
      </c>
      <c r="Q8" s="199"/>
      <c r="R8" s="199"/>
      <c r="S8" s="11" t="s">
        <v>2051</v>
      </c>
    </row>
    <row r="9" spans="2:19" ht="18" customHeight="1" x14ac:dyDescent="0.2">
      <c r="B9" s="9" t="s">
        <v>2052</v>
      </c>
      <c r="C9" s="9">
        <v>54</v>
      </c>
      <c r="E9" s="12"/>
      <c r="F9" s="199" t="s">
        <v>2052</v>
      </c>
      <c r="G9" s="199"/>
      <c r="H9" s="199"/>
      <c r="I9" s="11" t="s">
        <v>2053</v>
      </c>
      <c r="L9" s="9" t="s">
        <v>2054</v>
      </c>
      <c r="M9" s="9">
        <v>1</v>
      </c>
      <c r="O9" s="15"/>
      <c r="P9" s="199" t="s">
        <v>2054</v>
      </c>
      <c r="Q9" s="199"/>
      <c r="R9" s="199"/>
      <c r="S9" s="11" t="s">
        <v>2051</v>
      </c>
    </row>
    <row r="10" spans="2:19" ht="18" customHeight="1" x14ac:dyDescent="0.2">
      <c r="B10" s="9" t="s">
        <v>2055</v>
      </c>
      <c r="C10" s="9">
        <v>7</v>
      </c>
      <c r="E10" s="14"/>
      <c r="F10" s="199" t="s">
        <v>2055</v>
      </c>
      <c r="G10" s="199"/>
      <c r="H10" s="199"/>
      <c r="I10" s="11" t="s">
        <v>2056</v>
      </c>
      <c r="L10" s="9" t="s">
        <v>2057</v>
      </c>
      <c r="M10" s="9">
        <v>1</v>
      </c>
      <c r="O10" s="16"/>
      <c r="P10" s="199" t="s">
        <v>2057</v>
      </c>
      <c r="Q10" s="199"/>
      <c r="R10" s="199"/>
      <c r="S10" s="11" t="s">
        <v>2051</v>
      </c>
    </row>
    <row r="11" spans="2:19" ht="18" customHeight="1" x14ac:dyDescent="0.2">
      <c r="B11" s="9" t="s">
        <v>2058</v>
      </c>
      <c r="C11" s="9">
        <v>10</v>
      </c>
      <c r="E11" s="15"/>
      <c r="F11" s="199" t="s">
        <v>2058</v>
      </c>
      <c r="G11" s="199"/>
      <c r="H11" s="199"/>
      <c r="I11" s="11" t="s">
        <v>2059</v>
      </c>
      <c r="L11" s="9" t="s">
        <v>2060</v>
      </c>
      <c r="M11" s="9">
        <v>1</v>
      </c>
      <c r="O11" s="17"/>
      <c r="P11" s="199" t="s">
        <v>2060</v>
      </c>
      <c r="Q11" s="199"/>
      <c r="R11" s="199"/>
      <c r="S11" s="11" t="s">
        <v>2051</v>
      </c>
    </row>
    <row r="12" spans="2:19" ht="18" customHeight="1" x14ac:dyDescent="0.2">
      <c r="L12" s="9" t="s">
        <v>2061</v>
      </c>
      <c r="M12" s="9">
        <v>1</v>
      </c>
      <c r="O12" s="18"/>
      <c r="P12" s="199" t="s">
        <v>2061</v>
      </c>
      <c r="Q12" s="199"/>
      <c r="R12" s="199"/>
      <c r="S12" s="11" t="s">
        <v>2051</v>
      </c>
    </row>
    <row r="13" spans="2:19" ht="18" customHeight="1" x14ac:dyDescent="0.2">
      <c r="F13" s="198" t="s">
        <v>2062</v>
      </c>
      <c r="G13" s="198"/>
      <c r="H13" s="198"/>
      <c r="I13" s="19">
        <v>181</v>
      </c>
      <c r="L13" s="9" t="s">
        <v>2063</v>
      </c>
      <c r="M13" s="9">
        <v>1</v>
      </c>
      <c r="O13" s="20"/>
      <c r="P13" s="199" t="s">
        <v>2063</v>
      </c>
      <c r="Q13" s="199"/>
      <c r="R13" s="199"/>
      <c r="S13" s="11" t="s">
        <v>2051</v>
      </c>
    </row>
    <row r="14" spans="2:19" ht="18" customHeight="1" x14ac:dyDescent="0.2">
      <c r="L14" s="9" t="s">
        <v>2064</v>
      </c>
      <c r="M14" s="9">
        <v>1</v>
      </c>
      <c r="O14" s="21"/>
      <c r="P14" s="199" t="s">
        <v>2064</v>
      </c>
      <c r="Q14" s="199"/>
      <c r="R14" s="199"/>
      <c r="S14" s="11" t="s">
        <v>2051</v>
      </c>
    </row>
    <row r="15" spans="2:19" ht="18" customHeight="1" x14ac:dyDescent="0.2">
      <c r="L15" s="9" t="s">
        <v>2065</v>
      </c>
      <c r="M15" s="9">
        <v>1</v>
      </c>
      <c r="O15" s="10"/>
      <c r="P15" s="199" t="s">
        <v>2065</v>
      </c>
      <c r="Q15" s="199"/>
      <c r="R15" s="199"/>
      <c r="S15" s="11" t="s">
        <v>2051</v>
      </c>
    </row>
    <row r="17" spans="2:19" ht="15" customHeight="1" x14ac:dyDescent="0.2">
      <c r="P17" s="198" t="s">
        <v>2062</v>
      </c>
      <c r="Q17" s="198"/>
      <c r="R17" s="198"/>
      <c r="S17" s="19">
        <v>27</v>
      </c>
    </row>
    <row r="22" spans="2:19" ht="21.75" customHeight="1" x14ac:dyDescent="0.2">
      <c r="B22" s="201" t="s">
        <v>2066</v>
      </c>
      <c r="C22" s="201"/>
      <c r="D22" s="201"/>
      <c r="E22" s="201"/>
      <c r="F22" s="201"/>
      <c r="G22" s="201"/>
      <c r="H22" s="201"/>
      <c r="I22" s="201"/>
      <c r="L22" s="201" t="s">
        <v>2067</v>
      </c>
      <c r="M22" s="201"/>
      <c r="N22" s="201"/>
      <c r="O22" s="201"/>
      <c r="P22" s="201"/>
      <c r="Q22" s="201"/>
      <c r="R22" s="201"/>
      <c r="S22" s="201"/>
    </row>
    <row r="23" spans="2:19" ht="15" customHeight="1" x14ac:dyDescent="0.2">
      <c r="B23" s="8" t="s">
        <v>2032</v>
      </c>
      <c r="C23" s="8" t="s">
        <v>2033</v>
      </c>
      <c r="L23" s="8" t="s">
        <v>2032</v>
      </c>
      <c r="M23" s="8" t="s">
        <v>2033</v>
      </c>
    </row>
    <row r="24" spans="2:19" ht="18" customHeight="1" x14ac:dyDescent="0.2">
      <c r="B24" s="9" t="s">
        <v>2068</v>
      </c>
      <c r="C24" s="9">
        <v>18</v>
      </c>
      <c r="E24" s="15"/>
      <c r="F24" s="199" t="s">
        <v>2068</v>
      </c>
      <c r="G24" s="199"/>
      <c r="H24" s="199"/>
      <c r="I24" s="11" t="s">
        <v>2069</v>
      </c>
      <c r="L24" s="9" t="s">
        <v>2070</v>
      </c>
      <c r="M24" s="9">
        <v>39</v>
      </c>
      <c r="O24" s="17"/>
      <c r="P24" s="199" t="s">
        <v>2070</v>
      </c>
      <c r="Q24" s="199"/>
      <c r="R24" s="199"/>
      <c r="S24" s="11" t="s">
        <v>2071</v>
      </c>
    </row>
    <row r="25" spans="2:19" ht="18" customHeight="1" x14ac:dyDescent="0.2">
      <c r="B25" s="9" t="s">
        <v>2058</v>
      </c>
      <c r="C25" s="9">
        <v>12</v>
      </c>
      <c r="E25" s="16"/>
      <c r="F25" s="199" t="s">
        <v>2058</v>
      </c>
      <c r="G25" s="199"/>
      <c r="H25" s="199"/>
      <c r="I25" s="11" t="s">
        <v>2072</v>
      </c>
      <c r="L25" s="9" t="s">
        <v>2073</v>
      </c>
      <c r="M25" s="9">
        <v>12</v>
      </c>
      <c r="O25" s="18"/>
      <c r="P25" s="199" t="s">
        <v>2073</v>
      </c>
      <c r="Q25" s="199"/>
      <c r="R25" s="199"/>
      <c r="S25" s="11" t="s">
        <v>2074</v>
      </c>
    </row>
    <row r="26" spans="2:19" ht="18" customHeight="1" x14ac:dyDescent="0.2">
      <c r="L26" s="9" t="s">
        <v>2075</v>
      </c>
      <c r="M26" s="9">
        <v>2</v>
      </c>
      <c r="O26" s="20"/>
      <c r="P26" s="199" t="s">
        <v>2075</v>
      </c>
      <c r="Q26" s="199"/>
      <c r="R26" s="199"/>
      <c r="S26" s="11" t="s">
        <v>2076</v>
      </c>
    </row>
    <row r="27" spans="2:19" ht="18" customHeight="1" x14ac:dyDescent="0.2">
      <c r="F27" s="198" t="s">
        <v>2062</v>
      </c>
      <c r="G27" s="198"/>
      <c r="H27" s="198"/>
      <c r="I27" s="19">
        <v>30</v>
      </c>
      <c r="L27" s="9" t="s">
        <v>2077</v>
      </c>
      <c r="M27" s="9">
        <v>1</v>
      </c>
      <c r="O27" s="21"/>
      <c r="P27" s="199" t="s">
        <v>2077</v>
      </c>
      <c r="Q27" s="199"/>
      <c r="R27" s="199"/>
      <c r="S27" s="11" t="s">
        <v>2078</v>
      </c>
    </row>
    <row r="29" spans="2:19" ht="15" customHeight="1" x14ac:dyDescent="0.2">
      <c r="P29" s="198" t="s">
        <v>2062</v>
      </c>
      <c r="Q29" s="198"/>
      <c r="R29" s="198"/>
      <c r="S29" s="19">
        <v>54</v>
      </c>
    </row>
    <row r="39" spans="2:19" ht="21.75" customHeight="1" x14ac:dyDescent="0.2">
      <c r="B39" s="200" t="s">
        <v>2079</v>
      </c>
      <c r="C39" s="200"/>
      <c r="D39" s="200"/>
      <c r="E39" s="200"/>
      <c r="F39" s="200"/>
      <c r="G39" s="200"/>
      <c r="H39" s="200"/>
      <c r="I39" s="200"/>
      <c r="J39" s="200"/>
      <c r="K39" s="200"/>
      <c r="L39" s="200"/>
      <c r="M39" s="200"/>
      <c r="N39" s="200"/>
      <c r="O39" s="200"/>
      <c r="P39" s="200"/>
      <c r="Q39" s="200"/>
      <c r="R39" s="200"/>
      <c r="S39" s="200"/>
    </row>
    <row r="40" spans="2:19" ht="19.5" customHeight="1" x14ac:dyDescent="0.2">
      <c r="B40" s="197" t="s">
        <v>2080</v>
      </c>
      <c r="C40" s="197"/>
      <c r="D40" s="197"/>
      <c r="E40" s="197"/>
      <c r="F40" s="197"/>
      <c r="G40" s="197"/>
      <c r="H40" s="197"/>
      <c r="I40" s="197"/>
      <c r="J40" s="197"/>
      <c r="K40" s="197"/>
      <c r="L40" s="197"/>
      <c r="M40" s="197"/>
      <c r="N40" s="197"/>
      <c r="O40" s="197"/>
      <c r="P40" s="197"/>
      <c r="Q40" s="197"/>
      <c r="R40" s="197"/>
      <c r="S40" s="197"/>
    </row>
    <row r="41" spans="2:19" ht="19.5" customHeight="1" x14ac:dyDescent="0.2">
      <c r="B41" s="197" t="s">
        <v>2081</v>
      </c>
      <c r="C41" s="197"/>
      <c r="D41" s="197"/>
      <c r="E41" s="197"/>
      <c r="F41" s="197"/>
      <c r="G41" s="197"/>
      <c r="H41" s="197"/>
      <c r="I41" s="197"/>
      <c r="J41" s="197"/>
      <c r="K41" s="197"/>
      <c r="L41" s="197"/>
      <c r="M41" s="197"/>
      <c r="N41" s="197"/>
      <c r="O41" s="197"/>
      <c r="P41" s="197"/>
      <c r="Q41" s="197"/>
      <c r="R41" s="197"/>
      <c r="S41" s="197"/>
    </row>
    <row r="42" spans="2:19" ht="19.5" customHeight="1" x14ac:dyDescent="0.2">
      <c r="B42" s="197" t="s">
        <v>2082</v>
      </c>
      <c r="C42" s="197"/>
      <c r="D42" s="197"/>
      <c r="E42" s="197"/>
      <c r="F42" s="197"/>
      <c r="G42" s="197"/>
      <c r="H42" s="197"/>
      <c r="I42" s="197"/>
      <c r="J42" s="197"/>
      <c r="K42" s="197"/>
      <c r="L42" s="197"/>
      <c r="M42" s="197"/>
      <c r="N42" s="197"/>
      <c r="O42" s="197"/>
      <c r="P42" s="197"/>
      <c r="Q42" s="197"/>
      <c r="R42" s="197"/>
      <c r="S42" s="197"/>
    </row>
    <row r="43" spans="2:19" ht="19.5" customHeight="1" x14ac:dyDescent="0.2">
      <c r="B43" s="197" t="s">
        <v>2083</v>
      </c>
      <c r="C43" s="197"/>
      <c r="D43" s="197"/>
      <c r="E43" s="197"/>
      <c r="F43" s="197"/>
      <c r="G43" s="197"/>
      <c r="H43" s="197"/>
      <c r="I43" s="197"/>
      <c r="J43" s="197"/>
      <c r="K43" s="197"/>
      <c r="L43" s="197"/>
      <c r="M43" s="197"/>
      <c r="N43" s="197"/>
      <c r="O43" s="197"/>
      <c r="P43" s="197"/>
      <c r="Q43" s="197"/>
      <c r="R43" s="197"/>
      <c r="S43" s="197"/>
    </row>
    <row r="44" spans="2:19" ht="19.5" customHeight="1" x14ac:dyDescent="0.2">
      <c r="B44" s="197" t="s">
        <v>2084</v>
      </c>
      <c r="C44" s="197"/>
      <c r="D44" s="197"/>
      <c r="E44" s="197"/>
      <c r="F44" s="197"/>
      <c r="G44" s="197"/>
      <c r="H44" s="197"/>
      <c r="I44" s="197"/>
      <c r="J44" s="197"/>
      <c r="K44" s="197"/>
      <c r="L44" s="197"/>
      <c r="M44" s="197"/>
      <c r="N44" s="197"/>
      <c r="O44" s="197"/>
      <c r="P44" s="197"/>
      <c r="Q44" s="197"/>
      <c r="R44" s="197"/>
      <c r="S44" s="197"/>
    </row>
  </sheetData>
  <mergeCells count="36">
    <mergeCell ref="B2:N2"/>
    <mergeCell ref="B3:N3"/>
    <mergeCell ref="B5:I5"/>
    <mergeCell ref="L5:S5"/>
    <mergeCell ref="F7:H7"/>
    <mergeCell ref="P7:R7"/>
    <mergeCell ref="F8:H8"/>
    <mergeCell ref="P8:R8"/>
    <mergeCell ref="F9:H9"/>
    <mergeCell ref="P9:R9"/>
    <mergeCell ref="F10:H10"/>
    <mergeCell ref="P10:R10"/>
    <mergeCell ref="F11:H11"/>
    <mergeCell ref="P11:R11"/>
    <mergeCell ref="P12:R12"/>
    <mergeCell ref="F13:H13"/>
    <mergeCell ref="P13:R13"/>
    <mergeCell ref="P14:R14"/>
    <mergeCell ref="P15:R15"/>
    <mergeCell ref="P17:R17"/>
    <mergeCell ref="B22:I22"/>
    <mergeCell ref="L22:S22"/>
    <mergeCell ref="F24:H24"/>
    <mergeCell ref="P24:R24"/>
    <mergeCell ref="F25:H25"/>
    <mergeCell ref="P25:R25"/>
    <mergeCell ref="P26:R26"/>
    <mergeCell ref="B41:S41"/>
    <mergeCell ref="B42:S42"/>
    <mergeCell ref="B43:S43"/>
    <mergeCell ref="B44:S44"/>
    <mergeCell ref="F27:H27"/>
    <mergeCell ref="P27:R27"/>
    <mergeCell ref="P29:R29"/>
    <mergeCell ref="B39:S39"/>
    <mergeCell ref="B40:S40"/>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U123"/>
  <sheetViews>
    <sheetView showGridLines="0" topLeftCell="B12" zoomScale="55" zoomScaleNormal="55" workbookViewId="0">
      <selection activeCell="C21" sqref="C21"/>
    </sheetView>
  </sheetViews>
  <sheetFormatPr baseColWidth="10" defaultColWidth="8.6640625" defaultRowHeight="15" x14ac:dyDescent="0.2"/>
  <cols>
    <col min="1" max="1" width="2" customWidth="1"/>
    <col min="2" max="2" width="41.33203125" customWidth="1"/>
    <col min="3" max="3" width="22" customWidth="1"/>
    <col min="4" max="4" width="90.6640625" customWidth="1"/>
    <col min="5" max="5" width="7" customWidth="1"/>
    <col min="6" max="6" width="25.83203125" customWidth="1"/>
    <col min="7" max="8" width="18" customWidth="1"/>
    <col min="9" max="9" width="16" customWidth="1"/>
    <col min="10" max="11" width="14" customWidth="1"/>
    <col min="12" max="12" width="18.5" bestFit="1" customWidth="1"/>
    <col min="13" max="13" width="14" customWidth="1"/>
    <col min="14" max="14" width="22" customWidth="1"/>
    <col min="15" max="16" width="14" customWidth="1"/>
    <col min="17" max="17" width="12" customWidth="1"/>
    <col min="18" max="18" width="70" customWidth="1"/>
    <col min="19" max="21" width="12" customWidth="1"/>
  </cols>
  <sheetData>
    <row r="2" spans="3:21" ht="27.75" customHeight="1" x14ac:dyDescent="0.2">
      <c r="C2" s="122" t="s">
        <v>2085</v>
      </c>
      <c r="D2" s="122"/>
      <c r="E2" s="122"/>
      <c r="F2" s="122"/>
      <c r="G2" s="122"/>
      <c r="H2" s="122"/>
      <c r="I2" s="122"/>
      <c r="J2" s="122"/>
      <c r="K2" s="122"/>
      <c r="L2" s="122"/>
      <c r="M2" s="122"/>
      <c r="N2" s="122"/>
      <c r="O2" s="122"/>
      <c r="P2" s="122"/>
      <c r="Q2" s="122"/>
    </row>
    <row r="3" spans="3:21" x14ac:dyDescent="0.2">
      <c r="C3" s="96" t="s">
        <v>2086</v>
      </c>
      <c r="D3" s="96"/>
      <c r="E3" s="96"/>
      <c r="F3" s="96"/>
      <c r="G3" s="96"/>
      <c r="H3" s="96"/>
      <c r="I3" s="96"/>
      <c r="J3" s="96"/>
      <c r="K3" s="96"/>
      <c r="L3" s="96"/>
      <c r="M3" s="96"/>
      <c r="N3" s="96"/>
      <c r="O3" s="96"/>
      <c r="P3" s="96"/>
      <c r="Q3" s="96"/>
    </row>
    <row r="5" spans="3:21" x14ac:dyDescent="0.2">
      <c r="C5" s="123" t="s">
        <v>2087</v>
      </c>
      <c r="D5" s="123"/>
      <c r="E5" s="123"/>
      <c r="F5" s="123"/>
      <c r="G5" s="123"/>
      <c r="H5" s="123"/>
      <c r="I5" s="123"/>
      <c r="J5" s="123"/>
      <c r="K5" s="123"/>
      <c r="L5" s="123"/>
      <c r="M5" s="123"/>
      <c r="N5" s="123"/>
      <c r="O5" s="123"/>
      <c r="P5" s="123"/>
      <c r="Q5" s="123"/>
    </row>
    <row r="6" spans="3:21" ht="18" customHeight="1" x14ac:dyDescent="0.2">
      <c r="C6" s="124" t="s">
        <v>2088</v>
      </c>
      <c r="D6" s="124"/>
      <c r="E6" s="124"/>
      <c r="F6" s="125" t="s">
        <v>312</v>
      </c>
      <c r="G6" s="125"/>
      <c r="H6" s="125"/>
      <c r="I6" s="126" t="s">
        <v>2089</v>
      </c>
      <c r="J6" s="126"/>
      <c r="K6" s="22" t="s">
        <v>884</v>
      </c>
      <c r="L6" s="23" t="s">
        <v>1359</v>
      </c>
      <c r="M6" s="132" t="s">
        <v>845</v>
      </c>
      <c r="N6" s="132"/>
      <c r="O6" s="132"/>
      <c r="P6" s="132"/>
      <c r="Q6" s="132"/>
    </row>
    <row r="7" spans="3:21" ht="13.5" customHeight="1" x14ac:dyDescent="0.2">
      <c r="C7" s="127">
        <v>33</v>
      </c>
      <c r="D7" s="127"/>
      <c r="E7" s="127"/>
      <c r="F7" s="128">
        <v>17</v>
      </c>
      <c r="G7" s="128"/>
      <c r="H7" s="128"/>
      <c r="I7" s="129">
        <v>8</v>
      </c>
      <c r="J7" s="129"/>
      <c r="K7" s="130">
        <v>1</v>
      </c>
      <c r="L7" s="131">
        <v>1</v>
      </c>
      <c r="M7" s="133">
        <v>6</v>
      </c>
      <c r="N7" s="133"/>
      <c r="O7" s="133"/>
      <c r="P7" s="133"/>
      <c r="Q7" s="133"/>
    </row>
    <row r="8" spans="3:21" ht="13.5" customHeight="1" x14ac:dyDescent="0.2">
      <c r="C8" s="127"/>
      <c r="D8" s="127"/>
      <c r="E8" s="127"/>
      <c r="F8" s="128"/>
      <c r="G8" s="128"/>
      <c r="H8" s="128"/>
      <c r="I8" s="129"/>
      <c r="J8" s="129"/>
      <c r="K8" s="130"/>
      <c r="L8" s="130"/>
      <c r="M8" s="133"/>
      <c r="N8" s="133"/>
      <c r="O8" s="133"/>
      <c r="P8" s="133"/>
      <c r="Q8" s="133"/>
    </row>
    <row r="9" spans="3:21" ht="13.5" customHeight="1" x14ac:dyDescent="0.2">
      <c r="C9" s="127"/>
      <c r="D9" s="127"/>
      <c r="E9" s="127"/>
      <c r="F9" s="128"/>
      <c r="G9" s="128"/>
      <c r="H9" s="128"/>
      <c r="I9" s="129"/>
      <c r="J9" s="129"/>
      <c r="K9" s="130"/>
      <c r="L9" s="130"/>
      <c r="M9" s="133"/>
      <c r="N9" s="133"/>
      <c r="O9" s="133"/>
      <c r="P9" s="133"/>
      <c r="Q9" s="133"/>
    </row>
    <row r="11" spans="3:21" ht="21.75" customHeight="1" x14ac:dyDescent="0.2">
      <c r="C11" s="121" t="s">
        <v>2090</v>
      </c>
      <c r="D11" s="121"/>
      <c r="E11" s="121"/>
      <c r="F11" s="121"/>
      <c r="G11" s="121"/>
      <c r="H11" s="121"/>
      <c r="I11" s="121"/>
      <c r="J11" s="121"/>
      <c r="K11" s="121"/>
      <c r="L11" s="121"/>
      <c r="M11" s="121"/>
      <c r="N11" s="121"/>
      <c r="P11" s="134" t="s">
        <v>2091</v>
      </c>
      <c r="Q11" s="134"/>
      <c r="R11" s="134"/>
      <c r="S11" s="134"/>
      <c r="T11" s="134"/>
      <c r="U11" s="134"/>
    </row>
    <row r="12" spans="3:21" x14ac:dyDescent="0.2">
      <c r="C12" s="8" t="s">
        <v>2092</v>
      </c>
      <c r="D12" s="8"/>
      <c r="E12" s="8" t="s">
        <v>2033</v>
      </c>
      <c r="P12" s="135" t="s">
        <v>2093</v>
      </c>
      <c r="Q12" s="135"/>
      <c r="R12" s="135"/>
      <c r="S12" s="135"/>
      <c r="T12" s="135"/>
      <c r="U12" s="5" t="s">
        <v>2033</v>
      </c>
    </row>
    <row r="13" spans="3:21" ht="18" customHeight="1" x14ac:dyDescent="0.2">
      <c r="C13" s="9" t="s">
        <v>312</v>
      </c>
      <c r="D13" s="113" t="s">
        <v>1479</v>
      </c>
      <c r="E13" s="9">
        <v>17</v>
      </c>
      <c r="I13" s="24"/>
      <c r="J13" s="136" t="s">
        <v>312</v>
      </c>
      <c r="K13" s="136"/>
      <c r="L13" s="136"/>
      <c r="M13" s="137" t="s">
        <v>2094</v>
      </c>
      <c r="N13" s="137"/>
      <c r="P13" s="138" t="s">
        <v>28</v>
      </c>
      <c r="Q13" s="138"/>
      <c r="R13" s="138"/>
      <c r="S13" s="138"/>
      <c r="T13" s="138"/>
      <c r="U13" s="25">
        <v>3</v>
      </c>
    </row>
    <row r="14" spans="3:21" ht="18" customHeight="1" x14ac:dyDescent="0.2">
      <c r="C14" s="9" t="s">
        <v>2089</v>
      </c>
      <c r="D14" s="9"/>
      <c r="E14" s="9">
        <v>8</v>
      </c>
      <c r="I14" s="26"/>
      <c r="J14" s="136" t="s">
        <v>2089</v>
      </c>
      <c r="K14" s="136"/>
      <c r="L14" s="136"/>
      <c r="M14" s="137" t="s">
        <v>2095</v>
      </c>
      <c r="N14" s="137"/>
      <c r="P14" s="138" t="s">
        <v>284</v>
      </c>
      <c r="Q14" s="138"/>
      <c r="R14" s="138"/>
      <c r="S14" s="138"/>
      <c r="T14" s="138"/>
      <c r="U14" s="25">
        <v>2</v>
      </c>
    </row>
    <row r="15" spans="3:21" ht="18" customHeight="1" x14ac:dyDescent="0.2">
      <c r="C15" s="9" t="s">
        <v>775</v>
      </c>
      <c r="D15" s="9"/>
      <c r="E15" s="9">
        <v>4</v>
      </c>
      <c r="I15" s="27"/>
      <c r="J15" s="136" t="s">
        <v>775</v>
      </c>
      <c r="K15" s="136"/>
      <c r="L15" s="136"/>
      <c r="M15" s="137" t="s">
        <v>2096</v>
      </c>
      <c r="N15" s="137"/>
      <c r="P15" s="138" t="s">
        <v>116</v>
      </c>
      <c r="Q15" s="138"/>
      <c r="R15" s="138"/>
      <c r="S15" s="138"/>
      <c r="T15" s="138"/>
      <c r="U15" s="25">
        <v>2</v>
      </c>
    </row>
    <row r="16" spans="3:21" ht="18" customHeight="1" x14ac:dyDescent="0.2">
      <c r="C16" s="9" t="s">
        <v>884</v>
      </c>
      <c r="D16" s="9"/>
      <c r="E16" s="9">
        <v>1</v>
      </c>
      <c r="I16" s="28"/>
      <c r="J16" s="136" t="s">
        <v>884</v>
      </c>
      <c r="K16" s="136"/>
      <c r="L16" s="136"/>
      <c r="M16" s="137" t="s">
        <v>2097</v>
      </c>
      <c r="N16" s="137"/>
      <c r="P16" s="138" t="s">
        <v>511</v>
      </c>
      <c r="Q16" s="138"/>
      <c r="R16" s="138"/>
      <c r="S16" s="138"/>
      <c r="T16" s="138"/>
      <c r="U16" s="25">
        <v>2</v>
      </c>
    </row>
    <row r="17" spans="1:21" ht="18" customHeight="1" x14ac:dyDescent="0.2">
      <c r="C17" s="9" t="s">
        <v>1359</v>
      </c>
      <c r="D17" s="9"/>
      <c r="E17" s="9">
        <v>1</v>
      </c>
      <c r="I17" s="29"/>
      <c r="J17" s="136" t="s">
        <v>1359</v>
      </c>
      <c r="K17" s="136"/>
      <c r="L17" s="136"/>
      <c r="M17" s="137" t="s">
        <v>2097</v>
      </c>
      <c r="N17" s="137"/>
      <c r="P17" s="138" t="s">
        <v>102</v>
      </c>
      <c r="Q17" s="138"/>
      <c r="R17" s="138"/>
      <c r="S17" s="138"/>
      <c r="T17" s="138"/>
      <c r="U17" s="25">
        <v>2</v>
      </c>
    </row>
    <row r="18" spans="1:21" ht="18" customHeight="1" x14ac:dyDescent="0.2">
      <c r="C18" s="9" t="s">
        <v>895</v>
      </c>
      <c r="D18" s="9"/>
      <c r="E18" s="9">
        <v>1</v>
      </c>
      <c r="I18" s="30"/>
      <c r="J18" s="136" t="s">
        <v>895</v>
      </c>
      <c r="K18" s="136"/>
      <c r="L18" s="136"/>
      <c r="M18" s="137" t="s">
        <v>2097</v>
      </c>
      <c r="N18" s="137"/>
      <c r="P18" s="138" t="s">
        <v>464</v>
      </c>
      <c r="Q18" s="138"/>
      <c r="R18" s="138"/>
      <c r="S18" s="138"/>
      <c r="T18" s="138"/>
      <c r="U18" s="25">
        <v>2</v>
      </c>
    </row>
    <row r="19" spans="1:21" ht="18" customHeight="1" x14ac:dyDescent="0.2">
      <c r="C19" s="9" t="s">
        <v>1917</v>
      </c>
      <c r="D19" s="9"/>
      <c r="E19" s="9">
        <v>1</v>
      </c>
      <c r="I19" s="31"/>
      <c r="J19" s="136" t="s">
        <v>1917</v>
      </c>
      <c r="K19" s="136"/>
      <c r="L19" s="136"/>
      <c r="M19" s="137" t="s">
        <v>2097</v>
      </c>
      <c r="N19" s="137"/>
      <c r="P19" s="139" t="s">
        <v>182</v>
      </c>
      <c r="Q19" s="139"/>
      <c r="R19" s="139"/>
      <c r="S19" s="139"/>
      <c r="T19" s="139"/>
      <c r="U19" s="32">
        <v>1</v>
      </c>
    </row>
    <row r="20" spans="1:21" ht="18" customHeight="1" x14ac:dyDescent="0.2">
      <c r="C20" s="9" t="s">
        <v>2098</v>
      </c>
      <c r="D20" s="9"/>
      <c r="E20" s="9">
        <v>1</v>
      </c>
      <c r="I20" s="33"/>
      <c r="J20" s="136" t="s">
        <v>2098</v>
      </c>
      <c r="K20" s="136"/>
      <c r="L20" s="136"/>
      <c r="M20" s="137" t="s">
        <v>2097</v>
      </c>
      <c r="N20" s="137"/>
      <c r="P20" s="139" t="s">
        <v>539</v>
      </c>
      <c r="Q20" s="139"/>
      <c r="R20" s="139"/>
      <c r="S20" s="139"/>
      <c r="T20" s="139"/>
      <c r="U20" s="32">
        <v>1</v>
      </c>
    </row>
    <row r="23" spans="1:21" ht="21.75" customHeight="1" x14ac:dyDescent="0.2">
      <c r="C23" s="120"/>
      <c r="D23" s="120"/>
      <c r="E23" s="120"/>
      <c r="F23" s="120" t="s">
        <v>2099</v>
      </c>
      <c r="G23" s="120"/>
      <c r="H23" s="120"/>
      <c r="I23" s="120"/>
      <c r="J23" s="120"/>
      <c r="K23" s="120"/>
      <c r="L23" s="120"/>
      <c r="M23" s="120"/>
      <c r="N23" s="120"/>
      <c r="O23" s="120"/>
    </row>
    <row r="24" spans="1:21" ht="30" customHeight="1" x14ac:dyDescent="0.2">
      <c r="C24" s="34" t="s">
        <v>2100</v>
      </c>
      <c r="D24" s="34" t="s">
        <v>713</v>
      </c>
      <c r="E24" s="34" t="s">
        <v>712</v>
      </c>
      <c r="F24" s="34" t="s">
        <v>2093</v>
      </c>
      <c r="G24" s="34" t="s">
        <v>2101</v>
      </c>
      <c r="H24" s="34"/>
      <c r="I24" s="34" t="s">
        <v>2102</v>
      </c>
      <c r="J24" s="34" t="s">
        <v>2103</v>
      </c>
      <c r="K24" s="34" t="s">
        <v>716</v>
      </c>
      <c r="L24" s="34" t="s">
        <v>2104</v>
      </c>
      <c r="M24" s="34" t="s">
        <v>2105</v>
      </c>
      <c r="N24" s="34" t="s">
        <v>2106</v>
      </c>
      <c r="O24" s="91" t="s">
        <v>2107</v>
      </c>
    </row>
    <row r="25" spans="1:21" ht="196" x14ac:dyDescent="0.2">
      <c r="B25" t="str">
        <f>TRIM(C25)</f>
        <v>ETO-COEP 00152/2024</v>
      </c>
      <c r="C25" s="35" t="s">
        <v>1697</v>
      </c>
      <c r="D25" s="89" t="s">
        <v>1698</v>
      </c>
      <c r="E25" s="36">
        <v>2024</v>
      </c>
      <c r="F25" s="37" t="s">
        <v>1706</v>
      </c>
      <c r="G25" s="38" t="s">
        <v>1701</v>
      </c>
      <c r="H25" s="38" t="str">
        <f>_xlfn.XLOOKUP(C25,'Dados Tratados'!A:A,'Dados Tratados'!H:H)</f>
        <v>7955825037</v>
      </c>
      <c r="I25" s="39" t="s">
        <v>2108</v>
      </c>
      <c r="J25" s="36" t="s">
        <v>1700</v>
      </c>
      <c r="K25" s="36" t="s">
        <v>222</v>
      </c>
      <c r="L25" s="40" t="s">
        <v>775</v>
      </c>
      <c r="M25" s="36" t="s">
        <v>2109</v>
      </c>
      <c r="N25" s="90" t="s">
        <v>772</v>
      </c>
      <c r="O25" s="92" t="s">
        <v>2110</v>
      </c>
      <c r="P25" t="s">
        <v>2111</v>
      </c>
    </row>
    <row r="26" spans="1:21" ht="149.25" customHeight="1" x14ac:dyDescent="0.2">
      <c r="B26" t="str">
        <f t="shared" ref="B26:B42" si="0">TRIM(C26)</f>
        <v>ETO-COEP 00060/2026</v>
      </c>
      <c r="C26" s="35" t="s">
        <v>610</v>
      </c>
      <c r="D26" s="89" t="s">
        <v>1127</v>
      </c>
      <c r="E26" s="36">
        <v>2026</v>
      </c>
      <c r="F26" s="37" t="s">
        <v>28</v>
      </c>
      <c r="G26" s="38"/>
      <c r="H26" s="38" t="str">
        <f>_xlfn.XLOOKUP(C26,'Dados Tratados'!A:A,'Dados Tratados'!H:H)</f>
        <v>7903569004</v>
      </c>
      <c r="I26" s="39"/>
      <c r="J26" s="36">
        <v>9004017004</v>
      </c>
      <c r="K26" s="36" t="s">
        <v>22</v>
      </c>
      <c r="L26" s="40" t="s">
        <v>775</v>
      </c>
      <c r="M26" s="36" t="s">
        <v>2112</v>
      </c>
      <c r="N26" s="90"/>
      <c r="O26" s="92"/>
    </row>
    <row r="27" spans="1:21" ht="381" x14ac:dyDescent="0.2">
      <c r="A27" s="101"/>
      <c r="B27" t="str">
        <f t="shared" si="0"/>
        <v>ETO-COEP 00076/2026</v>
      </c>
      <c r="C27" s="102" t="s">
        <v>1255</v>
      </c>
      <c r="D27" s="103" t="s">
        <v>1256</v>
      </c>
      <c r="E27" s="104">
        <v>2026</v>
      </c>
      <c r="F27" s="105" t="s">
        <v>28</v>
      </c>
      <c r="G27" s="106" t="s">
        <v>2113</v>
      </c>
      <c r="H27" s="38" t="str">
        <f>_xlfn.XLOOKUP(C27,'Dados Tratados'!A:A,'Dados Tratados'!H:H)</f>
        <v>7962635060</v>
      </c>
      <c r="I27" s="104" t="s">
        <v>2114</v>
      </c>
      <c r="J27" s="104" t="s">
        <v>1258</v>
      </c>
      <c r="K27" s="104" t="s">
        <v>391</v>
      </c>
      <c r="L27" s="107" t="s">
        <v>775</v>
      </c>
      <c r="M27" s="104" t="s">
        <v>2115</v>
      </c>
      <c r="N27" s="108"/>
      <c r="O27" s="109"/>
      <c r="P27" s="101" t="s">
        <v>2116</v>
      </c>
    </row>
    <row r="28" spans="1:21" ht="250.5" customHeight="1" x14ac:dyDescent="0.2">
      <c r="B28" t="str">
        <f t="shared" si="0"/>
        <v>ETO-COEP 00125/2024</v>
      </c>
      <c r="C28" s="102" t="s">
        <v>1537</v>
      </c>
      <c r="D28" s="103" t="s">
        <v>1538</v>
      </c>
      <c r="E28" s="104">
        <v>2024</v>
      </c>
      <c r="F28" s="105" t="s">
        <v>28</v>
      </c>
      <c r="G28" s="106" t="s">
        <v>1542</v>
      </c>
      <c r="H28" s="38" t="str">
        <f>_xlfn.XLOOKUP(C28,'Dados Tratados'!A:A,'Dados Tratados'!H:H)</f>
        <v>7955175004</v>
      </c>
      <c r="I28" s="104" t="s">
        <v>2117</v>
      </c>
      <c r="J28" s="104" t="s">
        <v>1540</v>
      </c>
      <c r="K28" s="104" t="s">
        <v>1541</v>
      </c>
      <c r="L28" s="107" t="s">
        <v>775</v>
      </c>
      <c r="M28" s="104" t="s">
        <v>2118</v>
      </c>
      <c r="N28" s="108"/>
      <c r="O28" s="109" t="s">
        <v>2119</v>
      </c>
      <c r="P28" s="110" t="s">
        <v>2111</v>
      </c>
    </row>
    <row r="29" spans="1:21" ht="243" customHeight="1" x14ac:dyDescent="0.2">
      <c r="B29" t="str">
        <f t="shared" si="0"/>
        <v>ETO-COEP 00157/2024</v>
      </c>
      <c r="C29" s="102" t="s">
        <v>1725</v>
      </c>
      <c r="D29" s="103" t="s">
        <v>1726</v>
      </c>
      <c r="E29" s="104">
        <v>2024</v>
      </c>
      <c r="F29" s="105" t="s">
        <v>1735</v>
      </c>
      <c r="G29" s="106" t="s">
        <v>1730</v>
      </c>
      <c r="H29" s="38" t="str">
        <f>_xlfn.XLOOKUP(C29,'Dados Tratados'!A:A,'Dados Tratados'!H:H)</f>
        <v>7956117005</v>
      </c>
      <c r="I29" s="104" t="s">
        <v>2120</v>
      </c>
      <c r="J29" s="104" t="s">
        <v>1728</v>
      </c>
      <c r="K29" s="104" t="s">
        <v>1729</v>
      </c>
      <c r="L29" s="107" t="s">
        <v>775</v>
      </c>
      <c r="M29" s="104" t="s">
        <v>2121</v>
      </c>
      <c r="N29" s="108"/>
      <c r="O29" s="109" t="s">
        <v>2122</v>
      </c>
      <c r="P29" s="112" t="s">
        <v>2111</v>
      </c>
    </row>
    <row r="30" spans="1:21" ht="148.5" customHeight="1" x14ac:dyDescent="0.2">
      <c r="B30" t="str">
        <f t="shared" si="0"/>
        <v>ETO-COEP 00168/2025</v>
      </c>
      <c r="C30" s="35" t="s">
        <v>1775</v>
      </c>
      <c r="D30" s="89" t="s">
        <v>1776</v>
      </c>
      <c r="E30" s="36">
        <v>2025</v>
      </c>
      <c r="F30" s="37" t="s">
        <v>464</v>
      </c>
      <c r="G30" s="38" t="s">
        <v>1779</v>
      </c>
      <c r="H30" s="38" t="str">
        <f>_xlfn.XLOOKUP(C30,'Dados Tratados'!A:A,'Dados Tratados'!H:H)</f>
        <v>7908196047</v>
      </c>
      <c r="I30" s="39" t="s">
        <v>2123</v>
      </c>
      <c r="J30" s="36" t="s">
        <v>1778</v>
      </c>
      <c r="K30" s="36" t="s">
        <v>462</v>
      </c>
      <c r="L30" s="40" t="s">
        <v>1969</v>
      </c>
      <c r="M30" s="36" t="s">
        <v>2124</v>
      </c>
      <c r="N30" s="93" t="s">
        <v>874</v>
      </c>
      <c r="O30" s="92" t="s">
        <v>1786</v>
      </c>
      <c r="P30" t="s">
        <v>2125</v>
      </c>
    </row>
    <row r="31" spans="1:21" ht="204.75" customHeight="1" x14ac:dyDescent="0.2">
      <c r="B31" t="str">
        <f t="shared" si="0"/>
        <v>ETO-COEP 00215/2025</v>
      </c>
      <c r="C31" s="35" t="s">
        <v>1964</v>
      </c>
      <c r="D31" s="89" t="s">
        <v>1965</v>
      </c>
      <c r="E31" s="36">
        <v>2025</v>
      </c>
      <c r="F31" s="37" t="s">
        <v>464</v>
      </c>
      <c r="G31" s="38" t="s">
        <v>1779</v>
      </c>
      <c r="H31" s="38" t="str">
        <f>_xlfn.XLOOKUP(C31,'Dados Tratados'!A:A,'Dados Tratados'!H:H)</f>
        <v>7908196047</v>
      </c>
      <c r="I31" s="39" t="s">
        <v>2123</v>
      </c>
      <c r="J31" s="36" t="s">
        <v>1778</v>
      </c>
      <c r="K31" s="36" t="s">
        <v>462</v>
      </c>
      <c r="L31" s="40" t="s">
        <v>1969</v>
      </c>
      <c r="M31" s="36" t="s">
        <v>2124</v>
      </c>
      <c r="N31" s="93" t="s">
        <v>874</v>
      </c>
      <c r="O31" s="92" t="s">
        <v>1786</v>
      </c>
      <c r="P31" t="s">
        <v>2125</v>
      </c>
    </row>
    <row r="32" spans="1:21" ht="409.5" customHeight="1" x14ac:dyDescent="0.2">
      <c r="B32" t="str">
        <f t="shared" si="0"/>
        <v>ETO-COEP 00074/2026</v>
      </c>
      <c r="C32" s="35" t="s">
        <v>582</v>
      </c>
      <c r="D32" s="89" t="s">
        <v>1237</v>
      </c>
      <c r="E32" s="36">
        <v>2026</v>
      </c>
      <c r="F32" s="37" t="s">
        <v>585</v>
      </c>
      <c r="G32" s="38" t="s">
        <v>584</v>
      </c>
      <c r="H32" s="38" t="str">
        <f>_xlfn.XLOOKUP(C32,'Dados Tratados'!A:A,'Dados Tratados'!H:H)</f>
        <v>7919270014</v>
      </c>
      <c r="I32" s="39" t="s">
        <v>2126</v>
      </c>
      <c r="J32" s="36" t="s">
        <v>586</v>
      </c>
      <c r="K32" s="36" t="s">
        <v>583</v>
      </c>
      <c r="L32" s="40" t="s">
        <v>775</v>
      </c>
      <c r="M32" s="36" t="s">
        <v>2127</v>
      </c>
      <c r="N32" s="90" t="s">
        <v>772</v>
      </c>
      <c r="O32" s="92"/>
    </row>
    <row r="33" spans="2:15" ht="273" x14ac:dyDescent="0.2">
      <c r="B33" t="str">
        <f t="shared" si="0"/>
        <v>ETO-COEP 00119/2025</v>
      </c>
      <c r="C33" s="35" t="s">
        <v>111</v>
      </c>
      <c r="D33" s="89" t="s">
        <v>1511</v>
      </c>
      <c r="E33" s="36">
        <v>2025</v>
      </c>
      <c r="F33" s="37" t="s">
        <v>116</v>
      </c>
      <c r="G33" s="38" t="s">
        <v>114</v>
      </c>
      <c r="H33" s="38" t="str">
        <f>_xlfn.XLOOKUP(C33,'Dados Tratados'!A:A,'Dados Tratados'!H:H)</f>
        <v>7925573007</v>
      </c>
      <c r="I33" s="39"/>
      <c r="J33" s="36" t="s">
        <v>114</v>
      </c>
      <c r="K33" s="36" t="s">
        <v>113</v>
      </c>
      <c r="L33" s="40" t="s">
        <v>775</v>
      </c>
      <c r="M33" s="36" t="s">
        <v>2128</v>
      </c>
      <c r="N33" s="90" t="s">
        <v>772</v>
      </c>
      <c r="O33" s="92" t="s">
        <v>2129</v>
      </c>
    </row>
    <row r="34" spans="2:15" ht="333" x14ac:dyDescent="0.2">
      <c r="B34" t="str">
        <f t="shared" si="0"/>
        <v>ETO-COEP 00049/2026</v>
      </c>
      <c r="C34" s="35" t="s">
        <v>548</v>
      </c>
      <c r="D34" s="89" t="s">
        <v>1025</v>
      </c>
      <c r="E34" s="36">
        <v>2026</v>
      </c>
      <c r="F34" s="37" t="s">
        <v>551</v>
      </c>
      <c r="G34" s="38">
        <v>7963661046</v>
      </c>
      <c r="H34" s="38" t="str">
        <f>_xlfn.XLOOKUP(C34,'Dados Tratados'!A:A,'Dados Tratados'!H:H)</f>
        <v>7963661046</v>
      </c>
      <c r="I34" s="39" t="s">
        <v>2130</v>
      </c>
      <c r="J34" s="36" t="s">
        <v>552</v>
      </c>
      <c r="K34" s="36" t="s">
        <v>549</v>
      </c>
      <c r="L34" s="40" t="s">
        <v>775</v>
      </c>
      <c r="M34" s="36" t="s">
        <v>2131</v>
      </c>
      <c r="N34" s="90"/>
      <c r="O34" s="92" t="s">
        <v>2132</v>
      </c>
    </row>
    <row r="35" spans="2:15" ht="192.75" customHeight="1" x14ac:dyDescent="0.2">
      <c r="B35" t="str">
        <f t="shared" si="0"/>
        <v>ETO-COEP 00188/2025</v>
      </c>
      <c r="C35" s="35" t="s">
        <v>1879</v>
      </c>
      <c r="D35" s="89" t="s">
        <v>1880</v>
      </c>
      <c r="E35" s="36">
        <v>2025</v>
      </c>
      <c r="F35" s="37" t="s">
        <v>65</v>
      </c>
      <c r="G35" s="38" t="s">
        <v>1882</v>
      </c>
      <c r="H35" s="38" t="str">
        <f>_xlfn.XLOOKUP(C35,'Dados Tratados'!A:A,'Dados Tratados'!H:H)</f>
        <v>7905357122</v>
      </c>
      <c r="I35" s="39"/>
      <c r="J35" s="36" t="s">
        <v>1882</v>
      </c>
      <c r="K35" s="36" t="s">
        <v>1883</v>
      </c>
      <c r="L35" s="40" t="s">
        <v>775</v>
      </c>
      <c r="M35" s="36" t="s">
        <v>2133</v>
      </c>
      <c r="N35" s="90"/>
      <c r="O35" s="92" t="s">
        <v>2134</v>
      </c>
    </row>
    <row r="36" spans="2:15" ht="309" x14ac:dyDescent="0.2">
      <c r="B36" t="str">
        <f t="shared" si="0"/>
        <v>ETO-COEP 00073/2026</v>
      </c>
      <c r="C36" s="94" t="s">
        <v>540</v>
      </c>
      <c r="D36" s="89" t="s">
        <v>1224</v>
      </c>
      <c r="E36" s="36">
        <v>2026</v>
      </c>
      <c r="F36" s="37" t="s">
        <v>284</v>
      </c>
      <c r="G36" s="38" t="s">
        <v>2135</v>
      </c>
      <c r="H36" s="38" t="str">
        <f>_xlfn.XLOOKUP(C36,'Dados Tratados'!A:A,'Dados Tratados'!H:H)</f>
        <v>7967181127</v>
      </c>
      <c r="I36" s="39" t="s">
        <v>2136</v>
      </c>
      <c r="J36" s="36" t="s">
        <v>542</v>
      </c>
      <c r="K36" s="36" t="s">
        <v>282</v>
      </c>
      <c r="L36" s="40" t="s">
        <v>775</v>
      </c>
      <c r="M36" s="36" t="s">
        <v>2137</v>
      </c>
      <c r="N36" s="90" t="s">
        <v>874</v>
      </c>
      <c r="O36" s="92"/>
    </row>
    <row r="37" spans="2:15" ht="142.5" customHeight="1" x14ac:dyDescent="0.2">
      <c r="B37" t="str">
        <f t="shared" si="0"/>
        <v>ETO-COEP 00120/2025</v>
      </c>
      <c r="C37" s="94" t="s">
        <v>281</v>
      </c>
      <c r="D37" s="89" t="s">
        <v>1517</v>
      </c>
      <c r="E37" s="36">
        <v>2025</v>
      </c>
      <c r="F37" s="37" t="s">
        <v>284</v>
      </c>
      <c r="G37" s="38" t="s">
        <v>283</v>
      </c>
      <c r="H37" s="38" t="str">
        <f>_xlfn.XLOOKUP(C37,'Dados Tratados'!A:A,'Dados Tratados'!H:H)</f>
        <v>7920024127</v>
      </c>
      <c r="I37" s="39"/>
      <c r="J37" s="36" t="s">
        <v>285</v>
      </c>
      <c r="K37" s="36" t="s">
        <v>282</v>
      </c>
      <c r="L37" s="40" t="s">
        <v>312</v>
      </c>
      <c r="M37" s="36" t="s">
        <v>2138</v>
      </c>
      <c r="N37" s="90" t="s">
        <v>874</v>
      </c>
      <c r="O37" s="92"/>
    </row>
    <row r="38" spans="2:15" ht="273" x14ac:dyDescent="0.2">
      <c r="B38" t="str">
        <f t="shared" si="0"/>
        <v>ETO-COEP 00078/2026</v>
      </c>
      <c r="C38" s="35" t="s">
        <v>630</v>
      </c>
      <c r="D38" s="89" t="s">
        <v>1276</v>
      </c>
      <c r="E38" s="36">
        <v>2026</v>
      </c>
      <c r="F38" s="37" t="s">
        <v>102</v>
      </c>
      <c r="G38" s="38" t="s">
        <v>632</v>
      </c>
      <c r="H38" s="38" t="str">
        <f>_xlfn.XLOOKUP(C38,'Dados Tratados'!A:A,'Dados Tratados'!H:H)</f>
        <v>7926089013</v>
      </c>
      <c r="I38" s="39"/>
      <c r="J38" s="36" t="s">
        <v>632</v>
      </c>
      <c r="K38" s="36" t="s">
        <v>631</v>
      </c>
      <c r="L38" s="40" t="s">
        <v>775</v>
      </c>
      <c r="M38" s="36" t="s">
        <v>2139</v>
      </c>
      <c r="N38" s="93" t="s">
        <v>874</v>
      </c>
      <c r="O38" s="92" t="s">
        <v>2140</v>
      </c>
    </row>
    <row r="39" spans="2:15" ht="105" x14ac:dyDescent="0.2">
      <c r="B39" t="str">
        <f t="shared" si="0"/>
        <v>ETO-COEP 00086/2026</v>
      </c>
      <c r="C39" s="35" t="s">
        <v>105</v>
      </c>
      <c r="D39" s="89" t="s">
        <v>1360</v>
      </c>
      <c r="E39" s="36">
        <v>2026</v>
      </c>
      <c r="F39" s="37" t="s">
        <v>109</v>
      </c>
      <c r="G39" s="38" t="s">
        <v>107</v>
      </c>
      <c r="H39" s="38" t="str">
        <f>_xlfn.XLOOKUP(C39,'Dados Tratados'!A:A,'Dados Tratados'!H:H)</f>
        <v>7908686014</v>
      </c>
      <c r="I39" s="39"/>
      <c r="J39" s="36" t="s">
        <v>107</v>
      </c>
      <c r="K39" s="36" t="s">
        <v>106</v>
      </c>
      <c r="L39" s="40" t="s">
        <v>926</v>
      </c>
      <c r="M39" s="36" t="s">
        <v>2141</v>
      </c>
      <c r="N39" s="90"/>
      <c r="O39" s="92" t="s">
        <v>2142</v>
      </c>
    </row>
    <row r="40" spans="2:15" ht="196" x14ac:dyDescent="0.2">
      <c r="B40" t="str">
        <f t="shared" si="0"/>
        <v>ETO-COEP 00170/2024</v>
      </c>
      <c r="C40" s="35" t="s">
        <v>1787</v>
      </c>
      <c r="D40" s="89" t="s">
        <v>1788</v>
      </c>
      <c r="E40" s="36">
        <v>2024</v>
      </c>
      <c r="F40" s="37" t="s">
        <v>487</v>
      </c>
      <c r="G40" s="38" t="s">
        <v>1790</v>
      </c>
      <c r="H40" s="38" t="str">
        <f>_xlfn.XLOOKUP(C40,'Dados Tratados'!A:A,'Dados Tratados'!H:H)</f>
        <v>7959990070</v>
      </c>
      <c r="I40" s="39" t="s">
        <v>2143</v>
      </c>
      <c r="J40" s="36" t="s">
        <v>488</v>
      </c>
      <c r="K40" s="36" t="s">
        <v>485</v>
      </c>
      <c r="L40" s="40" t="s">
        <v>775</v>
      </c>
      <c r="M40" s="36" t="s">
        <v>2144</v>
      </c>
      <c r="N40" s="90"/>
      <c r="O40" s="92" t="s">
        <v>2145</v>
      </c>
    </row>
    <row r="41" spans="2:15" ht="235" x14ac:dyDescent="0.2">
      <c r="B41" t="str">
        <f t="shared" si="0"/>
        <v>ETO-COEP 00091/2025</v>
      </c>
      <c r="C41" s="35" t="s">
        <v>1404</v>
      </c>
      <c r="D41" s="89" t="s">
        <v>1405</v>
      </c>
      <c r="E41" s="36">
        <v>2025</v>
      </c>
      <c r="F41" s="37" t="s">
        <v>539</v>
      </c>
      <c r="G41" s="38">
        <v>7956063152</v>
      </c>
      <c r="H41" s="38" t="str">
        <f>_xlfn.XLOOKUP(C41,'Dados Tratados'!A:A,'Dados Tratados'!H:H)</f>
        <v>7956063152</v>
      </c>
      <c r="I41" s="39"/>
      <c r="J41" s="36" t="s">
        <v>1407</v>
      </c>
      <c r="K41" s="36" t="s">
        <v>328</v>
      </c>
      <c r="L41" s="40" t="s">
        <v>775</v>
      </c>
      <c r="M41" s="36" t="s">
        <v>2146</v>
      </c>
      <c r="N41" s="90"/>
      <c r="O41" s="92" t="s">
        <v>2147</v>
      </c>
    </row>
    <row r="42" spans="2:15" ht="109.5" customHeight="1" x14ac:dyDescent="0.2">
      <c r="B42" t="str">
        <f t="shared" si="0"/>
        <v>ETO-COEP 00141/2025</v>
      </c>
      <c r="C42" s="35" t="s">
        <v>309</v>
      </c>
      <c r="D42" s="111" t="s">
        <v>1645</v>
      </c>
      <c r="E42" s="36">
        <v>2025</v>
      </c>
      <c r="F42" s="37"/>
      <c r="G42" s="38" t="s">
        <v>2148</v>
      </c>
      <c r="H42" s="38" t="str">
        <f>_xlfn.XLOOKUP(C42,'Dados Tratados'!A:A,'Dados Tratados'!H:H)</f>
        <v>2ARM-004-7900930040</v>
      </c>
      <c r="I42" s="39"/>
      <c r="J42" s="36"/>
      <c r="K42" s="36" t="s">
        <v>1647</v>
      </c>
      <c r="L42" s="40" t="s">
        <v>775</v>
      </c>
      <c r="M42" s="36" t="s">
        <v>2149</v>
      </c>
      <c r="N42" s="90"/>
      <c r="O42" s="92" t="s">
        <v>2150</v>
      </c>
    </row>
    <row r="45" spans="2:15" ht="21.75" customHeight="1" x14ac:dyDescent="0.2">
      <c r="C45" s="143" t="s">
        <v>2151</v>
      </c>
      <c r="D45" s="143"/>
      <c r="E45" s="143"/>
      <c r="F45" s="143"/>
      <c r="G45" s="143"/>
      <c r="H45" s="143"/>
      <c r="I45" s="143"/>
      <c r="J45" s="143"/>
      <c r="K45" s="143"/>
      <c r="L45" s="143"/>
      <c r="M45" s="143"/>
      <c r="N45" s="143"/>
    </row>
    <row r="46" spans="2:15" ht="30" customHeight="1" x14ac:dyDescent="0.2">
      <c r="C46" s="34" t="s">
        <v>2100</v>
      </c>
      <c r="D46" s="34"/>
      <c r="E46" s="34" t="s">
        <v>712</v>
      </c>
      <c r="F46" s="34" t="s">
        <v>2093</v>
      </c>
      <c r="G46" s="34" t="s">
        <v>2101</v>
      </c>
      <c r="H46" s="34"/>
      <c r="I46" s="34" t="s">
        <v>2102</v>
      </c>
      <c r="J46" s="34" t="s">
        <v>2103</v>
      </c>
      <c r="K46" s="34" t="s">
        <v>716</v>
      </c>
      <c r="L46" s="34" t="s">
        <v>2104</v>
      </c>
      <c r="M46" s="34" t="s">
        <v>2105</v>
      </c>
      <c r="N46" s="34" t="s">
        <v>2106</v>
      </c>
    </row>
    <row r="47" spans="2:15" ht="297" x14ac:dyDescent="0.2">
      <c r="C47" s="35" t="s">
        <v>304</v>
      </c>
      <c r="D47" s="89" t="s">
        <v>1064</v>
      </c>
      <c r="E47" s="36">
        <v>2026</v>
      </c>
      <c r="F47" s="37" t="s">
        <v>307</v>
      </c>
      <c r="G47" s="38">
        <f>_xlfn.XLOOKUP(C47,'Dados Tratados'!A:A,'Dados Tratados'!H:H)</f>
        <v>5856156091</v>
      </c>
      <c r="H47" s="38"/>
      <c r="I47" s="39" t="s">
        <v>2152</v>
      </c>
      <c r="J47" s="36" t="s">
        <v>308</v>
      </c>
      <c r="K47" s="36" t="s">
        <v>305</v>
      </c>
      <c r="L47" s="40" t="s">
        <v>775</v>
      </c>
      <c r="M47" s="36" t="s">
        <v>2153</v>
      </c>
      <c r="N47" s="41" t="s">
        <v>2154</v>
      </c>
    </row>
    <row r="48" spans="2:15" ht="222" x14ac:dyDescent="0.2">
      <c r="C48" s="35" t="s">
        <v>179</v>
      </c>
      <c r="D48" s="89" t="s">
        <v>1494</v>
      </c>
      <c r="E48" s="36">
        <v>2025</v>
      </c>
      <c r="F48" s="37" t="s">
        <v>182</v>
      </c>
      <c r="G48" s="38" t="str">
        <f>_xlfn.XLOOKUP(C48,'Dados Tratados'!A:A,'Dados Tratados'!H:H)</f>
        <v>5856825025</v>
      </c>
      <c r="H48" s="38"/>
      <c r="I48" s="39" t="s">
        <v>2155</v>
      </c>
      <c r="J48" s="36" t="s">
        <v>185</v>
      </c>
      <c r="K48" s="36" t="s">
        <v>180</v>
      </c>
      <c r="L48" s="40" t="s">
        <v>775</v>
      </c>
      <c r="M48" s="36" t="s">
        <v>2156</v>
      </c>
      <c r="N48" s="41"/>
    </row>
    <row r="49" spans="3:14" ht="357" x14ac:dyDescent="0.2">
      <c r="C49" s="35" t="s">
        <v>118</v>
      </c>
      <c r="D49" s="89" t="s">
        <v>900</v>
      </c>
      <c r="E49" s="36">
        <v>2026</v>
      </c>
      <c r="F49" s="37" t="s">
        <v>122</v>
      </c>
      <c r="G49" s="38" t="str">
        <f>_xlfn.XLOOKUP(C49,'Dados Tratados'!A:A,'Dados Tratados'!H:H)</f>
        <v>5854681071</v>
      </c>
      <c r="H49" s="38"/>
      <c r="I49" s="39" t="s">
        <v>2157</v>
      </c>
      <c r="J49" s="36" t="s">
        <v>124</v>
      </c>
      <c r="K49" s="36" t="s">
        <v>119</v>
      </c>
      <c r="L49" s="40" t="s">
        <v>775</v>
      </c>
      <c r="M49" s="36" t="s">
        <v>2158</v>
      </c>
      <c r="N49" s="41"/>
    </row>
    <row r="50" spans="3:14" ht="235" x14ac:dyDescent="0.2">
      <c r="C50" s="35" t="s">
        <v>472</v>
      </c>
      <c r="D50" s="89" t="s">
        <v>1978</v>
      </c>
      <c r="E50" s="36">
        <v>2025</v>
      </c>
      <c r="F50" s="37" t="s">
        <v>475</v>
      </c>
      <c r="G50" s="38" t="str">
        <f>_xlfn.XLOOKUP(C50,'Dados Tratados'!A:A,'Dados Tratados'!H:H)</f>
        <v>5862546023</v>
      </c>
      <c r="H50" s="38"/>
      <c r="I50" s="39" t="s">
        <v>2159</v>
      </c>
      <c r="J50" s="36" t="s">
        <v>476</v>
      </c>
      <c r="K50" s="36" t="s">
        <v>473</v>
      </c>
      <c r="L50" s="40" t="s">
        <v>775</v>
      </c>
      <c r="M50" s="36" t="s">
        <v>2160</v>
      </c>
      <c r="N50" s="41"/>
    </row>
    <row r="51" spans="3:14" ht="209" x14ac:dyDescent="0.2">
      <c r="C51" s="35" t="s">
        <v>1180</v>
      </c>
      <c r="D51" s="89" t="s">
        <v>1181</v>
      </c>
      <c r="E51" s="36">
        <v>2026</v>
      </c>
      <c r="F51" s="37" t="s">
        <v>134</v>
      </c>
      <c r="G51" s="38" t="str">
        <f>_xlfn.XLOOKUP(C51,'Dados Tratados'!A:A,'Dados Tratados'!H:H)</f>
        <v>5800291077</v>
      </c>
      <c r="H51" s="38"/>
      <c r="I51" s="39"/>
      <c r="J51" s="36" t="s">
        <v>1183</v>
      </c>
      <c r="K51" s="36" t="s">
        <v>129</v>
      </c>
      <c r="L51" s="40" t="s">
        <v>775</v>
      </c>
      <c r="M51" s="36" t="s">
        <v>2161</v>
      </c>
      <c r="N51" s="41"/>
    </row>
    <row r="52" spans="3:14" ht="196" x14ac:dyDescent="0.2">
      <c r="C52" s="35" t="s">
        <v>340</v>
      </c>
      <c r="D52" s="89" t="s">
        <v>1795</v>
      </c>
      <c r="E52" s="36">
        <v>2025</v>
      </c>
      <c r="F52" s="37" t="s">
        <v>189</v>
      </c>
      <c r="G52" s="38" t="str">
        <f>_xlfn.XLOOKUP(C52,'Dados Tratados'!A:A,'Dados Tratados'!H:H)</f>
        <v>5863381155</v>
      </c>
      <c r="H52" s="38"/>
      <c r="I52" s="39" t="s">
        <v>2162</v>
      </c>
      <c r="J52" s="36" t="s">
        <v>343</v>
      </c>
      <c r="K52" s="36" t="s">
        <v>341</v>
      </c>
      <c r="L52" s="40" t="s">
        <v>775</v>
      </c>
      <c r="M52" s="36" t="s">
        <v>2163</v>
      </c>
      <c r="N52" s="41"/>
    </row>
    <row r="53" spans="3:14" ht="333" x14ac:dyDescent="0.2">
      <c r="C53" s="35" t="s">
        <v>600</v>
      </c>
      <c r="D53" s="89" t="s">
        <v>1268</v>
      </c>
      <c r="E53" s="36">
        <v>2026</v>
      </c>
      <c r="F53" s="37" t="s">
        <v>102</v>
      </c>
      <c r="G53" s="38" t="str">
        <f>_xlfn.XLOOKUP(C53,'Dados Tratados'!A:A,'Dados Tratados'!H:H)</f>
        <v>5801866013</v>
      </c>
      <c r="H53" s="38"/>
      <c r="I53" s="39"/>
      <c r="J53" s="36" t="s">
        <v>602</v>
      </c>
      <c r="K53" s="36" t="s">
        <v>100</v>
      </c>
      <c r="L53" s="40" t="s">
        <v>775</v>
      </c>
      <c r="M53" s="36" t="s">
        <v>2164</v>
      </c>
      <c r="N53" s="41"/>
    </row>
    <row r="54" spans="3:14" ht="288.75" customHeight="1" x14ac:dyDescent="0.2">
      <c r="C54" s="35" t="s">
        <v>435</v>
      </c>
      <c r="D54" s="89" t="s">
        <v>1905</v>
      </c>
      <c r="E54" s="36">
        <v>2025</v>
      </c>
      <c r="F54" s="37" t="s">
        <v>330</v>
      </c>
      <c r="G54" s="38" t="str">
        <f>_xlfn.XLOOKUP(C54,'Dados Tratados'!A:A,'Dados Tratados'!H:H)</f>
        <v>5835587001</v>
      </c>
      <c r="H54" s="38"/>
      <c r="I54" s="39" t="s">
        <v>2165</v>
      </c>
      <c r="J54" s="36" t="s">
        <v>438</v>
      </c>
      <c r="K54" s="36" t="s">
        <v>436</v>
      </c>
      <c r="L54" s="40" t="s">
        <v>775</v>
      </c>
      <c r="M54" s="36" t="s">
        <v>2166</v>
      </c>
      <c r="N54" s="41"/>
    </row>
    <row r="57" spans="3:14" ht="21.75" customHeight="1" x14ac:dyDescent="0.2">
      <c r="C57" s="144" t="s">
        <v>2167</v>
      </c>
      <c r="D57" s="144"/>
      <c r="E57" s="144"/>
      <c r="F57" s="144"/>
      <c r="G57" s="144"/>
      <c r="H57" s="144"/>
      <c r="I57" s="144"/>
      <c r="J57" s="144"/>
      <c r="K57" s="144"/>
      <c r="L57" s="144"/>
      <c r="M57" s="144"/>
      <c r="N57" s="144"/>
    </row>
    <row r="58" spans="3:14" ht="30" customHeight="1" x14ac:dyDescent="0.2">
      <c r="C58" s="34" t="s">
        <v>2100</v>
      </c>
      <c r="D58" s="34"/>
      <c r="E58" s="34" t="s">
        <v>712</v>
      </c>
      <c r="F58" s="34" t="s">
        <v>2093</v>
      </c>
      <c r="G58" s="34" t="s">
        <v>2101</v>
      </c>
      <c r="H58" s="34"/>
      <c r="I58" s="34" t="s">
        <v>2102</v>
      </c>
      <c r="J58" s="34" t="s">
        <v>2103</v>
      </c>
      <c r="K58" s="34" t="s">
        <v>716</v>
      </c>
      <c r="L58" s="34" t="s">
        <v>2104</v>
      </c>
      <c r="M58" s="34" t="s">
        <v>2105</v>
      </c>
      <c r="N58" s="34" t="s">
        <v>2106</v>
      </c>
    </row>
    <row r="59" spans="3:14" ht="105" x14ac:dyDescent="0.2">
      <c r="C59" s="35" t="s">
        <v>570</v>
      </c>
      <c r="D59" s="89" t="str">
        <f>_xlfn.XLOOKUP(C59,'Dados Tratados'!A:A,'Dados Tratados'!C:C,"")</f>
        <v>PARECER DMSL: Data: 10/03/2026,Serviço Executado: Foi substituído o relé do equipamento, o mesmo estava danificado. Trocado o DPS, o mesmo estava queimado devido ao tanque estar furado. O equipamento ficou em bypass.
Equipamento ficou em operação? Não
Pendência? Sim, substituir a parte ativa com cordão umbilical.Equipe: Carliel e João Vitor
SEGUE SS PARA REGULARIZAR AUTOMAÇÃO DO RL 7953610256 NA INTERLIGAÇÃO COM A COELBA (CHAPADA DA MANGABEIRA) - EQUIPE INFOMOU CURTO INTERNO NO GABINETE DJ AC NÃO FECHA</v>
      </c>
      <c r="E59" s="36">
        <v>2026</v>
      </c>
      <c r="F59" s="37" t="s">
        <v>572</v>
      </c>
      <c r="G59" s="38" t="s">
        <v>571</v>
      </c>
      <c r="H59" s="38"/>
      <c r="I59" s="39"/>
      <c r="J59" s="36" t="s">
        <v>573</v>
      </c>
      <c r="K59" s="36" t="s">
        <v>150</v>
      </c>
      <c r="L59" s="40" t="s">
        <v>775</v>
      </c>
      <c r="M59" s="36" t="s">
        <v>2168</v>
      </c>
      <c r="N59" s="41"/>
    </row>
    <row r="62" spans="3:14" ht="21.75" customHeight="1" x14ac:dyDescent="0.2">
      <c r="C62" s="145" t="s">
        <v>2169</v>
      </c>
      <c r="D62" s="145"/>
      <c r="E62" s="145"/>
      <c r="F62" s="145"/>
      <c r="G62" s="145"/>
      <c r="H62" s="145"/>
      <c r="I62" s="145"/>
      <c r="J62" s="145"/>
      <c r="K62" s="145"/>
      <c r="L62" s="145"/>
      <c r="M62" s="145"/>
      <c r="N62" s="145"/>
    </row>
    <row r="63" spans="3:14" ht="30" customHeight="1" x14ac:dyDescent="0.2">
      <c r="C63" s="34" t="s">
        <v>2100</v>
      </c>
      <c r="D63" s="34"/>
      <c r="E63" s="34" t="s">
        <v>712</v>
      </c>
      <c r="F63" s="34" t="s">
        <v>2093</v>
      </c>
      <c r="G63" s="34" t="s">
        <v>2101</v>
      </c>
      <c r="H63" s="34"/>
      <c r="I63" s="34" t="s">
        <v>2102</v>
      </c>
      <c r="J63" s="34" t="s">
        <v>2103</v>
      </c>
      <c r="K63" s="34" t="s">
        <v>716</v>
      </c>
      <c r="L63" s="34" t="s">
        <v>2104</v>
      </c>
      <c r="M63" s="34" t="s">
        <v>2105</v>
      </c>
      <c r="N63" s="34" t="s">
        <v>2106</v>
      </c>
    </row>
    <row r="64" spans="3:14" ht="213" customHeight="1" x14ac:dyDescent="0.2">
      <c r="C64" s="35" t="s">
        <v>578</v>
      </c>
      <c r="D64" s="89" t="str">
        <f>_xlfn.XLOOKUP(C64,'Dados Tratados'!A:A,'Dados Tratados'!C:C,"")</f>
        <v>PARECER DMSL: Data: 12/03/2026 Serviço Executado:
- Análise técnica constatou:
- Parte ativa do equipamento danificada: necessita substituição
- Trafo danificado: foi feitos testes nas buchas secundárias o mesmo não chega tensão
    - Vazamento de óleo
    - Necessita substituição
Equipamento ficou em operação? Não
Pendências:
- Solicitar limpeza de faixa para acesso ao equipamento
- Trocar parte ativa do equipamento
- Substituir o trafo
Equipe: Carliel e João Vitor
Segue nota para envia equipe verificar falha de comunicação e automação no RL-7926442035 feito primeiro ataque com equipe 035OP02, porém sem sucesso. </v>
      </c>
      <c r="E64" s="36">
        <v>2026</v>
      </c>
      <c r="F64" s="37" t="s">
        <v>581</v>
      </c>
      <c r="G64" s="38" t="s">
        <v>580</v>
      </c>
      <c r="H64" s="38"/>
      <c r="I64" s="39"/>
      <c r="J64" s="36" t="s">
        <v>580</v>
      </c>
      <c r="K64" s="36" t="s">
        <v>579</v>
      </c>
      <c r="L64" s="40" t="s">
        <v>775</v>
      </c>
      <c r="M64" s="36" t="s">
        <v>2170</v>
      </c>
      <c r="N64" s="41"/>
    </row>
    <row r="69" spans="3:14" ht="21.75" customHeight="1" x14ac:dyDescent="0.2">
      <c r="C69" s="140" t="s">
        <v>2171</v>
      </c>
      <c r="D69" s="140"/>
      <c r="E69" s="140"/>
      <c r="F69" s="140"/>
      <c r="G69" s="140"/>
      <c r="H69" s="140"/>
      <c r="I69" s="140"/>
      <c r="J69" s="140"/>
      <c r="K69" s="140"/>
      <c r="L69" s="140"/>
      <c r="M69" s="140"/>
      <c r="N69" s="140"/>
    </row>
    <row r="70" spans="3:14" ht="30" customHeight="1" x14ac:dyDescent="0.2">
      <c r="C70" s="34" t="s">
        <v>2100</v>
      </c>
      <c r="D70" s="34"/>
      <c r="E70" s="34" t="s">
        <v>712</v>
      </c>
      <c r="F70" s="34" t="s">
        <v>2093</v>
      </c>
      <c r="G70" s="34" t="s">
        <v>2101</v>
      </c>
      <c r="H70" s="34"/>
      <c r="I70" s="34" t="s">
        <v>2102</v>
      </c>
      <c r="J70" s="34" t="s">
        <v>2103</v>
      </c>
      <c r="K70" s="34" t="s">
        <v>716</v>
      </c>
      <c r="L70" s="34" t="s">
        <v>2104</v>
      </c>
      <c r="M70" s="34" t="s">
        <v>2105</v>
      </c>
      <c r="N70" s="34" t="s">
        <v>2106</v>
      </c>
    </row>
    <row r="71" spans="3:14" ht="214.5" customHeight="1" x14ac:dyDescent="0.2">
      <c r="C71" s="35" t="s">
        <v>623</v>
      </c>
      <c r="D71" s="89" t="str">
        <f>_xlfn.XLOOKUP(C71,'Dados Tratados'!A:A,'Dados Tratados'!C:C,"")</f>
        <v>PARECER DMSL: *FEEDBACK EQUIP. ESPECIAIS*
*Nº DO EQUIPAMENTO:* 7929376022 
*DATA DA MANUTENÇÃO:* 02/04/2026
*SID:* 1677/2026
*DESCRIÇÃO:* Trocar controle completo
*PENDÊNCIA:* Sim.
*DADOS DIVERGENTES DA PROGRAMAÇÃO:* Não
*BATERIA SUBSTITUÍDA?:* Não
*EQUIPE:* Adeilton e Edicleber 
__________________________________________________________
POR GENTILEZA ATENDER SOLICITAÇÃO PRIMEIRO ATAQUE IDENTIFICOU QUE RELE ESTA EM CURTO NOTA ABERTA 224/2026 FOI BAIXADA POREM NÃO FOI CORRIGIDO PROBLEMA EM CAMPO.</v>
      </c>
      <c r="E71" s="36">
        <v>2026</v>
      </c>
      <c r="F71" s="37" t="s">
        <v>625</v>
      </c>
      <c r="G71" s="38" t="s">
        <v>624</v>
      </c>
      <c r="H71" s="38"/>
      <c r="I71" s="39"/>
      <c r="J71" s="36" t="s">
        <v>626</v>
      </c>
      <c r="K71" s="36" t="s">
        <v>427</v>
      </c>
      <c r="L71" s="40" t="s">
        <v>775</v>
      </c>
      <c r="M71" s="36" t="s">
        <v>2172</v>
      </c>
      <c r="N71" s="41"/>
    </row>
    <row r="74" spans="3:14" ht="21.75" customHeight="1" x14ac:dyDescent="0.2">
      <c r="C74" s="141" t="s">
        <v>2173</v>
      </c>
      <c r="D74" s="141"/>
      <c r="E74" s="141"/>
      <c r="F74" s="141"/>
      <c r="G74" s="141"/>
      <c r="H74" s="141"/>
      <c r="I74" s="141"/>
      <c r="J74" s="141"/>
      <c r="K74" s="141"/>
      <c r="L74" s="141"/>
      <c r="M74" s="141"/>
      <c r="N74" s="141"/>
    </row>
    <row r="75" spans="3:14" ht="30" customHeight="1" x14ac:dyDescent="0.2">
      <c r="C75" s="34" t="s">
        <v>2100</v>
      </c>
      <c r="D75" s="34"/>
      <c r="E75" s="34" t="s">
        <v>712</v>
      </c>
      <c r="F75" s="34" t="s">
        <v>2093</v>
      </c>
      <c r="G75" s="34" t="s">
        <v>2101</v>
      </c>
      <c r="H75" s="34"/>
      <c r="I75" s="34" t="s">
        <v>2102</v>
      </c>
      <c r="J75" s="34" t="s">
        <v>2103</v>
      </c>
      <c r="K75" s="34" t="s">
        <v>716</v>
      </c>
      <c r="L75" s="34" t="s">
        <v>2104</v>
      </c>
      <c r="M75" s="34" t="s">
        <v>2105</v>
      </c>
      <c r="N75" s="34" t="s">
        <v>2106</v>
      </c>
    </row>
    <row r="76" spans="3:14" ht="321" x14ac:dyDescent="0.2">
      <c r="C76" s="35" t="s">
        <v>1045</v>
      </c>
      <c r="D76" s="89" t="str">
        <f>_xlfn.XLOOKUP(C76,'Dados Tratados'!A:A,'Dados Tratados'!C:C,"")</f>
        <v>PARECER DMSL:
PENDÊNCIA: Realizar melhoria no aterramento por ser tratar de um terreno muito arenoso, e há pendências por parte do time da proteção, os ajustes do RT não estão disponíveis para inserção no referido equipamento.
DATA DA MANUTENÇÃO: 12/03/202
EQUIPE: Brunno e Edeglan.
***********************
PARECER DA PROTEÇÃO:
FAVOR COMISSIONAR REGULADOR 5865120195 – LD Santa Maria Ramal Centenário e Recursolândia – 34,5kV. AJUSTE REALIZADO, DISPONÍVEL NO APP DA PROTEÇÃO.
***********************
 INSTALADO NA OBRA 0702400720 GENTILEZA, REALIZAR O COMISSIONAMENTO.
LAUDO EM ANEXO.
COORD EO: 889017, 9016857</v>
      </c>
      <c r="E76" s="36">
        <v>2026</v>
      </c>
      <c r="F76" s="37" t="s">
        <v>1054</v>
      </c>
      <c r="G76" s="38" t="s">
        <v>1049</v>
      </c>
      <c r="H76" s="38"/>
      <c r="I76" s="39" t="s">
        <v>2174</v>
      </c>
      <c r="J76" s="36" t="s">
        <v>1048</v>
      </c>
      <c r="K76" s="36" t="s">
        <v>138</v>
      </c>
      <c r="L76" s="40" t="s">
        <v>775</v>
      </c>
      <c r="M76" s="36" t="s">
        <v>2175</v>
      </c>
      <c r="N76" s="41"/>
    </row>
    <row r="79" spans="3:14" ht="21.75" customHeight="1" x14ac:dyDescent="0.2">
      <c r="C79" s="142" t="s">
        <v>2176</v>
      </c>
      <c r="D79" s="142"/>
      <c r="E79" s="142"/>
      <c r="F79" s="142"/>
      <c r="G79" s="142"/>
      <c r="H79" s="142"/>
      <c r="I79" s="142"/>
      <c r="J79" s="142"/>
      <c r="K79" s="142"/>
      <c r="L79" s="142"/>
      <c r="M79" s="142"/>
      <c r="N79" s="142"/>
    </row>
    <row r="80" spans="3:14" ht="30" customHeight="1" x14ac:dyDescent="0.2">
      <c r="C80" s="34" t="s">
        <v>2100</v>
      </c>
      <c r="D80" s="34"/>
      <c r="E80" s="34" t="s">
        <v>712</v>
      </c>
      <c r="F80" s="34" t="s">
        <v>2093</v>
      </c>
      <c r="G80" s="34" t="s">
        <v>2101</v>
      </c>
      <c r="H80" s="34"/>
      <c r="I80" s="34" t="s">
        <v>2102</v>
      </c>
      <c r="J80" s="34" t="s">
        <v>2103</v>
      </c>
      <c r="K80" s="34" t="s">
        <v>716</v>
      </c>
      <c r="L80" s="34" t="s">
        <v>2104</v>
      </c>
      <c r="M80" s="34" t="s">
        <v>2105</v>
      </c>
      <c r="N80" s="34" t="s">
        <v>2106</v>
      </c>
    </row>
    <row r="81" spans="3:21" ht="118" x14ac:dyDescent="0.2">
      <c r="C81" s="35" t="s">
        <v>619</v>
      </c>
      <c r="D81" s="89" t="s">
        <v>1151</v>
      </c>
      <c r="E81" s="36">
        <v>2026</v>
      </c>
      <c r="F81" s="37" t="s">
        <v>622</v>
      </c>
      <c r="G81" s="38"/>
      <c r="H81" s="38"/>
      <c r="I81" s="39"/>
      <c r="J81" s="36" t="s">
        <v>621</v>
      </c>
      <c r="K81" s="36" t="s">
        <v>620</v>
      </c>
      <c r="L81" s="40" t="s">
        <v>775</v>
      </c>
      <c r="M81" s="36" t="s">
        <v>2177</v>
      </c>
      <c r="N81" s="41"/>
    </row>
    <row r="82" spans="3:21" ht="27" x14ac:dyDescent="0.2">
      <c r="C82" s="35" t="s">
        <v>909</v>
      </c>
      <c r="D82" s="89" t="s">
        <v>910</v>
      </c>
      <c r="E82" s="36">
        <v>2026</v>
      </c>
      <c r="F82" s="37" t="s">
        <v>511</v>
      </c>
      <c r="G82" s="38" t="s">
        <v>913</v>
      </c>
      <c r="H82" s="38"/>
      <c r="I82" s="39"/>
      <c r="J82" s="36" t="s">
        <v>912</v>
      </c>
      <c r="K82" s="36" t="s">
        <v>291</v>
      </c>
      <c r="L82" s="40" t="s">
        <v>775</v>
      </c>
      <c r="M82" s="36" t="s">
        <v>2178</v>
      </c>
      <c r="N82" s="41" t="s">
        <v>2179</v>
      </c>
    </row>
    <row r="83" spans="3:21" ht="105" x14ac:dyDescent="0.2">
      <c r="C83" s="35" t="s">
        <v>633</v>
      </c>
      <c r="D83" s="89" t="s">
        <v>1140</v>
      </c>
      <c r="E83" s="36">
        <v>2026</v>
      </c>
      <c r="F83" s="37" t="s">
        <v>511</v>
      </c>
      <c r="G83" s="38"/>
      <c r="H83" s="38"/>
      <c r="I83" s="39"/>
      <c r="J83" s="36" t="s">
        <v>634</v>
      </c>
      <c r="K83" s="36" t="s">
        <v>291</v>
      </c>
      <c r="L83" s="40" t="s">
        <v>775</v>
      </c>
      <c r="M83" s="36" t="s">
        <v>2180</v>
      </c>
      <c r="N83" s="41"/>
    </row>
    <row r="84" spans="3:21" ht="157" x14ac:dyDescent="0.2">
      <c r="C84" s="35" t="s">
        <v>603</v>
      </c>
      <c r="D84" s="89" t="s">
        <v>1163</v>
      </c>
      <c r="E84" s="36">
        <v>2026</v>
      </c>
      <c r="F84" s="37" t="s">
        <v>116</v>
      </c>
      <c r="G84" s="38" t="s">
        <v>605</v>
      </c>
      <c r="H84" s="38"/>
      <c r="I84" s="39"/>
      <c r="J84" s="36" t="s">
        <v>606</v>
      </c>
      <c r="K84" s="36" t="s">
        <v>604</v>
      </c>
      <c r="L84" s="40" t="s">
        <v>775</v>
      </c>
      <c r="M84" s="36" t="s">
        <v>2164</v>
      </c>
      <c r="N84" s="41"/>
    </row>
    <row r="88" spans="3:21" ht="21.75" customHeight="1" x14ac:dyDescent="0.2">
      <c r="C88" s="121" t="s">
        <v>2181</v>
      </c>
      <c r="D88" s="121"/>
      <c r="E88" s="121"/>
      <c r="F88" s="121"/>
      <c r="G88" s="121"/>
      <c r="H88" s="121"/>
      <c r="I88" s="121"/>
      <c r="J88" s="121"/>
      <c r="K88" s="121"/>
      <c r="L88" s="121"/>
      <c r="M88" s="121"/>
      <c r="N88" s="121"/>
      <c r="O88" s="121"/>
      <c r="P88" s="121"/>
      <c r="Q88" s="121"/>
      <c r="R88" s="121"/>
    </row>
    <row r="89" spans="3:21" ht="31.5" customHeight="1" x14ac:dyDescent="0.2">
      <c r="C89" s="42" t="s">
        <v>2182</v>
      </c>
      <c r="D89" s="42"/>
      <c r="E89" s="42" t="s">
        <v>712</v>
      </c>
      <c r="F89" s="42" t="s">
        <v>714</v>
      </c>
      <c r="G89" s="42" t="s">
        <v>14</v>
      </c>
      <c r="H89" s="42"/>
      <c r="I89" s="42" t="s">
        <v>2183</v>
      </c>
      <c r="J89" s="42" t="s">
        <v>2184</v>
      </c>
      <c r="K89" s="42" t="s">
        <v>2185</v>
      </c>
      <c r="L89" s="42" t="s">
        <v>715</v>
      </c>
      <c r="M89" s="42" t="s">
        <v>716</v>
      </c>
      <c r="N89" s="42" t="s">
        <v>718</v>
      </c>
      <c r="O89" s="42" t="s">
        <v>751</v>
      </c>
      <c r="P89" s="42" t="s">
        <v>722</v>
      </c>
      <c r="Q89" s="42" t="s">
        <v>730</v>
      </c>
      <c r="R89" s="42" t="s">
        <v>755</v>
      </c>
      <c r="S89" s="42" t="s">
        <v>713</v>
      </c>
    </row>
    <row r="90" spans="3:21" ht="127.5" customHeight="1" x14ac:dyDescent="0.2">
      <c r="C90" s="43" t="s">
        <v>1045</v>
      </c>
      <c r="D90" s="89" t="s">
        <v>2186</v>
      </c>
      <c r="E90" s="43">
        <v>2026</v>
      </c>
      <c r="F90" s="43" t="s">
        <v>1047</v>
      </c>
      <c r="G90" s="43" t="s">
        <v>1054</v>
      </c>
      <c r="H90" s="43"/>
      <c r="I90" s="43" t="s">
        <v>895</v>
      </c>
      <c r="J90" s="43" t="s">
        <v>1049</v>
      </c>
      <c r="K90" s="43" t="s">
        <v>2174</v>
      </c>
      <c r="L90" s="43" t="s">
        <v>1048</v>
      </c>
      <c r="M90" s="43" t="s">
        <v>138</v>
      </c>
      <c r="N90" s="43" t="s">
        <v>1049</v>
      </c>
      <c r="O90" s="43" t="s">
        <v>775</v>
      </c>
      <c r="P90" s="43" t="s">
        <v>44</v>
      </c>
      <c r="Q90" s="43"/>
      <c r="R90" s="43"/>
      <c r="S90" s="44" t="str">
        <f>_xlfn.XLOOKUP(C90,'Dados Tratados'!A:A,'Dados Tratados'!C:C,"")</f>
        <v>PARECER DMSL:
PENDÊNCIA: Realizar melhoria no aterramento por ser tratar de um terreno muito arenoso, e há pendências por parte do time da proteção, os ajustes do RT não estão disponíveis para inserção no referido equipamento.
DATA DA MANUTENÇÃO: 12/03/202
EQUIPE: Brunno e Edeglan.
***********************
PARECER DA PROTEÇÃO:
FAVOR COMISSIONAR REGULADOR 5865120195 – LD Santa Maria Ramal Centenário e Recursolândia – 34,5kV. AJUSTE REALIZADO, DISPONÍVEL NO APP DA PROTEÇÃO.
***********************
 INSTALADO NA OBRA 0702400720 GENTILEZA, REALIZAR O COMISSIONAMENTO.
LAUDO EM ANEXO.
COORD EO: 889017, 9016857</v>
      </c>
      <c r="T90" s="81" t="s">
        <v>2187</v>
      </c>
      <c r="U90" s="81" t="s">
        <v>2188</v>
      </c>
    </row>
    <row r="91" spans="3:21" ht="49.5" customHeight="1" x14ac:dyDescent="0.2">
      <c r="C91" s="45" t="s">
        <v>517</v>
      </c>
      <c r="D91" s="89" t="s">
        <v>762</v>
      </c>
      <c r="E91" s="45">
        <v>2026</v>
      </c>
      <c r="F91" s="45" t="s">
        <v>763</v>
      </c>
      <c r="G91" s="45" t="s">
        <v>464</v>
      </c>
      <c r="H91" s="45"/>
      <c r="I91" s="45" t="s">
        <v>2098</v>
      </c>
      <c r="J91" s="45" t="s">
        <v>2189</v>
      </c>
      <c r="K91" s="45"/>
      <c r="L91" s="45" t="s">
        <v>520</v>
      </c>
      <c r="M91" s="45" t="s">
        <v>518</v>
      </c>
      <c r="N91" s="45" t="s">
        <v>519</v>
      </c>
      <c r="O91" s="45" t="s">
        <v>775</v>
      </c>
      <c r="P91" s="45" t="s">
        <v>35</v>
      </c>
      <c r="Q91" s="45"/>
      <c r="R91" s="45"/>
      <c r="S91" s="44" t="str">
        <f>_xlfn.XLOOKUP(C91,'Dados Tratados'!A:A,'Dados Tratados'!C:C,"")</f>
        <v>SEGUE SOLICITAÇÃO DE SERVIÇO PARA BANCO CAPACITOR COM CÉLULA DA FASE B QUEIMADA EQUIPE 047OP01 INFORMOU QUE JA FIZERAM TESTE E NÃO ACEITOU 
ID#81133777
RDU DE FIGUEIROPOLIS</v>
      </c>
    </row>
    <row r="92" spans="3:21" ht="49.5" customHeight="1" x14ac:dyDescent="0.2">
      <c r="C92" s="43" t="s">
        <v>623</v>
      </c>
      <c r="D92" s="89" t="s">
        <v>1189</v>
      </c>
      <c r="E92" s="43">
        <v>2026</v>
      </c>
      <c r="F92" s="43" t="s">
        <v>1190</v>
      </c>
      <c r="G92" s="43" t="s">
        <v>625</v>
      </c>
      <c r="H92" s="43"/>
      <c r="I92" s="43" t="s">
        <v>1917</v>
      </c>
      <c r="J92" s="43" t="s">
        <v>624</v>
      </c>
      <c r="K92" s="43"/>
      <c r="L92" s="43" t="s">
        <v>626</v>
      </c>
      <c r="M92" s="43" t="s">
        <v>427</v>
      </c>
      <c r="N92" s="43" t="s">
        <v>624</v>
      </c>
      <c r="O92" s="43" t="s">
        <v>775</v>
      </c>
      <c r="P92" s="43" t="s">
        <v>35</v>
      </c>
      <c r="Q92" s="43"/>
      <c r="R92" s="43"/>
      <c r="S92" s="44" t="str">
        <f>_xlfn.XLOOKUP(C92,'Dados Tratados'!A:A,'Dados Tratados'!C:C,"")</f>
        <v>PARECER DMSL: *FEEDBACK EQUIP. ESPECIAIS*
*Nº DO EQUIPAMENTO:* 7929376022 
*DATA DA MANUTENÇÃO:* 02/04/2026
*SID:* 1677/2026
*DESCRIÇÃO:* Trocar controle completo
*PENDÊNCIA:* Sim.
*DADOS DIVERGENTES DA PROGRAMAÇÃO:* Não
*BATERIA SUBSTITUÍDA?:* Não
*EQUIPE:* Adeilton e Edicleber 
__________________________________________________________
POR GENTILEZA ATENDER SOLICITAÇÃO PRIMEIRO ATAQUE IDENTIFICOU QUE RELE ESTA EM CURTO NOTA ABERTA 224/2026 FOI BAIXADA POREM NÃO FOI CORRIGIDO PROBLEMA EM CAMPO.</v>
      </c>
    </row>
    <row r="93" spans="3:21" ht="49.5" customHeight="1" x14ac:dyDescent="0.2">
      <c r="C93" s="45" t="s">
        <v>304</v>
      </c>
      <c r="D93" s="89" t="s">
        <v>1064</v>
      </c>
      <c r="E93" s="45">
        <v>2026</v>
      </c>
      <c r="F93" s="45" t="s">
        <v>1065</v>
      </c>
      <c r="G93" s="45" t="s">
        <v>307</v>
      </c>
      <c r="H93" s="45"/>
      <c r="I93" s="45" t="s">
        <v>2089</v>
      </c>
      <c r="J93" s="45" t="s">
        <v>306</v>
      </c>
      <c r="K93" s="45" t="s">
        <v>2152</v>
      </c>
      <c r="L93" s="45" t="s">
        <v>308</v>
      </c>
      <c r="M93" s="45" t="s">
        <v>305</v>
      </c>
      <c r="N93" s="45" t="s">
        <v>306</v>
      </c>
      <c r="O93" s="45" t="s">
        <v>775</v>
      </c>
      <c r="P93" s="45" t="s">
        <v>24</v>
      </c>
      <c r="Q93" s="45"/>
      <c r="R93" s="45"/>
      <c r="S93" s="44" t="str">
        <f>_xlfn.XLOOKUP(C93,'Dados Tratados'!A:A,'Dados Tratados'!C:C,"")</f>
        <v>DCMD 26.03.2026. SS REPASSADA PARA COEP PROVIDENCIAR MATERIAL. NÃO TEMOS O MATERIAL EM ESTOQUE PARA SUBSTITUIÇÃO. 
COEP: Equipamento fornecido ao COCM-S para regularização.
PARECER DA PROTEÇÃO:
EQUIPAMENTOS FURTADOS. PARA AQUISIÇÃO DAS CELULAS DE REPOSIÇÃO, FAVOR CONSULTAR OS DADOS DE PLACA EM ANEXO.
PARECER DA PROTEÇÃO:
COMISISONAR RT 5856156091 LD DIANOPOLIS A NATIVIDADE. NECESSARIO REALIZAR MEDIÇÕES DA RESISTENCIA DA MALHA DE ATERRAMENTO.
AJUSTES DISPONIVEIS NO APP DA PROTEÇÃO.
RELIGADOR N° 5856156091 INSTALADO NA OBRA 0502400526 GENTILEZA, REALIZAR O COMISSIONAMENTO. 
LAUDO EM ANEXO. 
COORD EO: 899501, 8714782</v>
      </c>
    </row>
    <row r="94" spans="3:21" ht="49.5" customHeight="1" x14ac:dyDescent="0.2">
      <c r="C94" s="43" t="s">
        <v>179</v>
      </c>
      <c r="D94" s="89" t="s">
        <v>1494</v>
      </c>
      <c r="E94" s="43">
        <v>2025</v>
      </c>
      <c r="F94" s="43" t="s">
        <v>1495</v>
      </c>
      <c r="G94" s="43" t="s">
        <v>182</v>
      </c>
      <c r="H94" s="43"/>
      <c r="I94" s="43" t="s">
        <v>2089</v>
      </c>
      <c r="J94" s="43" t="s">
        <v>181</v>
      </c>
      <c r="K94" s="43" t="s">
        <v>2155</v>
      </c>
      <c r="L94" s="43" t="s">
        <v>185</v>
      </c>
      <c r="M94" s="43" t="s">
        <v>180</v>
      </c>
      <c r="N94" s="43" t="s">
        <v>181</v>
      </c>
      <c r="O94" s="43" t="s">
        <v>775</v>
      </c>
      <c r="P94" s="43" t="s">
        <v>44</v>
      </c>
      <c r="Q94" s="43"/>
      <c r="R94" s="43"/>
      <c r="S94" s="44" t="str">
        <f>_xlfn.XLOOKUP(C94,'Dados Tratados'!A:A,'Dados Tratados'!C:C,"")</f>
        <v>PARECER DMSL: Equipe esteve no RT 5856825025 dia 10/06/2025 porém não foi possível colocar o equipamento em operação devido defeito no controle. Favor, substituir controle e fornecer o rádio e centelhador para que seja possível colocar comunicação no equipamento. 
PARECER DA PROTEÇÃO:
COMISSIONAR RT 5856825025 LD BERNARDO SAYÃO A ARAPOEMA. NECESSARIO CONFERIR MEDIÇÕES DA MALHA DE ATERRAMENTO. 
AJUSTES DISPONIVEIS NO APP DA PROTEÇÃO.
REGULADOR DE TENSAO N° 5856825025 INSTALADO NA OBRA 0602400710 GENTILEZA, REALIZAR O COMISSIONAMENTO.
LAUDO EM ANEXO. 
COORD EO: 719554, 9150284</v>
      </c>
    </row>
    <row r="95" spans="3:21" ht="49.5" customHeight="1" x14ac:dyDescent="0.2">
      <c r="C95" s="45" t="s">
        <v>118</v>
      </c>
      <c r="D95" s="89" t="s">
        <v>900</v>
      </c>
      <c r="E95" s="45">
        <v>2026</v>
      </c>
      <c r="F95" s="45" t="s">
        <v>901</v>
      </c>
      <c r="G95" s="45" t="s">
        <v>122</v>
      </c>
      <c r="H95" s="45"/>
      <c r="I95" s="45" t="s">
        <v>2089</v>
      </c>
      <c r="J95" s="45" t="s">
        <v>120</v>
      </c>
      <c r="K95" s="45" t="s">
        <v>2157</v>
      </c>
      <c r="L95" s="45" t="s">
        <v>124</v>
      </c>
      <c r="M95" s="45" t="s">
        <v>119</v>
      </c>
      <c r="N95" s="45" t="s">
        <v>120</v>
      </c>
      <c r="O95" s="45" t="s">
        <v>775</v>
      </c>
      <c r="P95" s="45" t="s">
        <v>44</v>
      </c>
      <c r="Q95" s="45"/>
      <c r="R95" s="45"/>
      <c r="S95" s="44" t="str">
        <f>_xlfn.XLOOKUP(C95,'Dados Tratados'!A:A,'Dados Tratados'!C:C,"")</f>
        <v>COEP: equipamentos fornecidos. Repasse ao COCM para correção.
PARACER DA PROTEÇÃO:
Recebemos a solicitação de elaboração de ajustes do RT 5854681071, nota repassada pelo COEP. 
Duvidas:
As pendencias apontadas pelo DMSL foram sanadas? Pois não registro descritivo na SS.
Se foram sanadas, a SS não seguiu o fluxo norma, pois não há repassa da nota para o COEP.
Podemos seguir com os estudos e comissionamento do ativo?
PARECER DMSL: Equipe esteve no RT 5854681071 dia 18/02/2025 porém, as fases A e B estão com a ligação carga/fase invertidas, não contém antena, não contém suporte de antena e não contém rádio GE. Favor, sanar pendências para possibilitar o comissonamento.
  REGULADOR DE TENSAO N° 5854681071 INSTALADO NA OBRA 0302100570 GENTILEZA, REALIZAR O COMISSIONAMENTO. 
LAUDO EM ANEXO. 
COORD EO: 766351, 8781674
PARECER DA PROTEÇÃO 
ESTUDO DO EQUIPAMENTO DISPONIVEL NO APP DA PROTEÇÃO, NOTA REPASSADA PARA O DMSL COMISSIONAR O EQUIPAMENTO.
TEC° EUZILAN MATEUS BARREIRA SANTOS</v>
      </c>
    </row>
    <row r="96" spans="3:21" ht="49.5" customHeight="1" x14ac:dyDescent="0.2">
      <c r="C96" s="43" t="s">
        <v>472</v>
      </c>
      <c r="D96" s="89" t="s">
        <v>1978</v>
      </c>
      <c r="E96" s="43">
        <v>2025</v>
      </c>
      <c r="F96" s="43" t="s">
        <v>1979</v>
      </c>
      <c r="G96" s="43" t="s">
        <v>475</v>
      </c>
      <c r="H96" s="43"/>
      <c r="I96" s="43" t="s">
        <v>2089</v>
      </c>
      <c r="J96" s="43" t="s">
        <v>474</v>
      </c>
      <c r="K96" s="43" t="s">
        <v>2159</v>
      </c>
      <c r="L96" s="43" t="s">
        <v>476</v>
      </c>
      <c r="M96" s="43" t="s">
        <v>473</v>
      </c>
      <c r="N96" s="43" t="s">
        <v>474</v>
      </c>
      <c r="O96" s="43" t="s">
        <v>775</v>
      </c>
      <c r="P96" s="43" t="s">
        <v>24</v>
      </c>
      <c r="Q96" s="43"/>
      <c r="R96" s="43"/>
      <c r="S96" s="44" t="str">
        <f>_xlfn.XLOOKUP(C96,'Dados Tratados'!A:A,'Dados Tratados'!C:C,"")</f>
        <v>PARECER DMSL: Durante testes foi constatado que o controle apresenta defeito, impossibilitando a finalização do comissionamento. Favor, substituir controle RUA.
"PARECER DA PROTEÇÃO:
COMISSIONAR RT 5862546023 AL 01 COLINAS. NECESSARIO CONFERIR MEDIÇÕES DA MALHA DE ATERRAMENTO ANTES DE INSERIR O ATIVO NO SISTEMA. 
AJUSTES DISPONIVIEIS NO APP DA PROTEÇÃO.
**************************************************************
REGULADOR N° 5862546023 INSTALADO NA OBRA 0702500104 GENTILEZA, REALIZAR O COMISSIONAMENTO. 
LAUDO EM ANEXO. 
COORD EO: 775889, 9112829"</v>
      </c>
    </row>
    <row r="97" spans="3:20" ht="49.5" customHeight="1" x14ac:dyDescent="0.2">
      <c r="C97" s="45" t="s">
        <v>1180</v>
      </c>
      <c r="D97" s="89" t="s">
        <v>1181</v>
      </c>
      <c r="E97" s="45">
        <v>2026</v>
      </c>
      <c r="F97" s="45" t="s">
        <v>1182</v>
      </c>
      <c r="G97" s="45" t="s">
        <v>134</v>
      </c>
      <c r="H97" s="45"/>
      <c r="I97" s="45" t="s">
        <v>2089</v>
      </c>
      <c r="J97" s="45" t="s">
        <v>1184</v>
      </c>
      <c r="K97" s="45"/>
      <c r="L97" s="45" t="s">
        <v>1183</v>
      </c>
      <c r="M97" s="45" t="s">
        <v>129</v>
      </c>
      <c r="N97" s="45" t="s">
        <v>1184</v>
      </c>
      <c r="O97" s="45" t="s">
        <v>775</v>
      </c>
      <c r="P97" s="45" t="s">
        <v>35</v>
      </c>
      <c r="Q97" s="45"/>
      <c r="R97" s="45"/>
      <c r="S97" s="44" t="str">
        <f>_xlfn.XLOOKUP(C97,'Dados Tratados'!A:A,'Dados Tratados'!C:C,"")</f>
        <v>PARECER DMSL: *FEEDBACK EQUIP. ESPECIAIS*
*Nº DO EQUIPAMENTO:* 5800291077
*DATA DA MANUTENÇÃO:* 07/04/2026
*SID:* 1709/2026
*DESCRIÇÃO:* Realizado ensaios nas células do banco 5800291077, identificado fase B em curto
*FICOU EM OPERAÇÃO?:* Não
*PENDÊNCIA:* SIM
*EQUIPE:* Adeilton e Edicleber
Realizar substituição da célula da fase B
Em curto.
_____________________________________________________________
Segue SS para enviar equipe do DMSL para no regulador de tensão 5800291077.
O mesmo ficou bay passado devido esta com defeito e causar desarme na LD e penalizar a RDU de Goiatins.
Por gentileza enviar equipe urgente.</v>
      </c>
    </row>
    <row r="98" spans="3:20" ht="49.5" customHeight="1" x14ac:dyDescent="0.2">
      <c r="C98" s="43" t="s">
        <v>340</v>
      </c>
      <c r="D98" s="89" t="s">
        <v>1795</v>
      </c>
      <c r="E98" s="43">
        <v>2025</v>
      </c>
      <c r="F98" s="43" t="s">
        <v>1796</v>
      </c>
      <c r="G98" s="43" t="s">
        <v>189</v>
      </c>
      <c r="H98" s="43"/>
      <c r="I98" s="43" t="s">
        <v>2089</v>
      </c>
      <c r="J98" s="43" t="s">
        <v>342</v>
      </c>
      <c r="K98" s="43" t="s">
        <v>2162</v>
      </c>
      <c r="L98" s="43" t="s">
        <v>343</v>
      </c>
      <c r="M98" s="43" t="s">
        <v>341</v>
      </c>
      <c r="N98" s="43" t="s">
        <v>342</v>
      </c>
      <c r="O98" s="43" t="s">
        <v>775</v>
      </c>
      <c r="P98" s="43" t="s">
        <v>44</v>
      </c>
      <c r="Q98" s="43"/>
      <c r="R98" s="43"/>
      <c r="S98" s="44" t="str">
        <f>_xlfn.XLOOKUP(C98,'Dados Tratados'!A:A,'Dados Tratados'!C:C,"")</f>
        <v>PARECER DMSL:  Malha de aterramento está dando 738, muito acima do aceitável para operação do RT. Necessário realizar melhoria na malha.
PARECER DA PROTEÇÃO:
COMISSIONAR RT 5863381155 LD COLINAS  A  B  SAYAO E  PALMEIRANTE. NECESSARIO CONFERIR MALHA DE ATERRAMENTO ANTES DE INSERIR O ATIVO NO SISTEMA.
AJUSTES DISPONIVEIS NO APP DA PROTEÇÃO.
REGULADOR N° 5863381155 INSTALADO NA OBRA 0702500302 GENTILEZA, REALIZAR O COMISSIONAMENTO. 
LAUDO EM ANEXO. 
COORD EO: 800396, 9107697</v>
      </c>
    </row>
    <row r="99" spans="3:20" ht="49.5" customHeight="1" x14ac:dyDescent="0.2">
      <c r="C99" s="45" t="s">
        <v>600</v>
      </c>
      <c r="D99" s="89" t="s">
        <v>1268</v>
      </c>
      <c r="E99" s="45">
        <v>2026</v>
      </c>
      <c r="F99" s="45" t="s">
        <v>1269</v>
      </c>
      <c r="G99" s="45" t="s">
        <v>102</v>
      </c>
      <c r="H99" s="45"/>
      <c r="I99" s="45" t="s">
        <v>2089</v>
      </c>
      <c r="J99" s="45" t="s">
        <v>601</v>
      </c>
      <c r="K99" s="45"/>
      <c r="L99" s="45" t="s">
        <v>602</v>
      </c>
      <c r="M99" s="45" t="s">
        <v>100</v>
      </c>
      <c r="N99" s="45" t="s">
        <v>601</v>
      </c>
      <c r="O99" s="45" t="s">
        <v>775</v>
      </c>
      <c r="P99" s="45" t="s">
        <v>35</v>
      </c>
      <c r="Q99" s="45"/>
      <c r="R99" s="45"/>
      <c r="S99" s="44" t="str">
        <f>_xlfn.XLOOKUP(C99,'Dados Tratados'!A:A,'Dados Tratados'!C:C,"")</f>
        <v>PARECER DMSL: 
RT 5801866013
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
Obs.: Será necessário baixar todo o banco pelo menos um metro, as buchas estão muito próximas a parte energizada não oferecem segurança para equipe no momento do ensaio elétrico.
Equipamento ficou em operação?: Não 
Possui nobreak: Sim
Possui antena: Sim
Possui rádio:Sim
Pendência: Sim
Data da bateria:  
Equipe: Benvindo e Kaique.
_______________________________________________
RT 5801866013
BY PASSADO DEVIDO DEFEITO EM CELULA 
BEMVINDO ESTEVE NO LOCAL 
JUNTO AO COD .
NECESSARIO TRATATIVA PARA MESMA .
FASE DANIFICADO C</v>
      </c>
    </row>
    <row r="100" spans="3:20" ht="49.5" customHeight="1" x14ac:dyDescent="0.2">
      <c r="C100" s="43" t="s">
        <v>435</v>
      </c>
      <c r="D100" s="89" t="s">
        <v>1905</v>
      </c>
      <c r="E100" s="43">
        <v>2025</v>
      </c>
      <c r="F100" s="43" t="s">
        <v>1906</v>
      </c>
      <c r="G100" s="43" t="s">
        <v>330</v>
      </c>
      <c r="H100" s="43"/>
      <c r="I100" s="43" t="s">
        <v>2089</v>
      </c>
      <c r="J100" s="43" t="s">
        <v>437</v>
      </c>
      <c r="K100" s="43" t="s">
        <v>2165</v>
      </c>
      <c r="L100" s="43" t="s">
        <v>438</v>
      </c>
      <c r="M100" s="43" t="s">
        <v>436</v>
      </c>
      <c r="N100" s="43" t="s">
        <v>437</v>
      </c>
      <c r="O100" s="43" t="s">
        <v>775</v>
      </c>
      <c r="P100" s="43" t="s">
        <v>44</v>
      </c>
      <c r="Q100" s="43"/>
      <c r="R100" s="43"/>
      <c r="S100" s="44" t="str">
        <f>_xlfn.XLOOKUP(C100,'Dados Tratados'!A:A,'Dados Tratados'!C:C,"")</f>
        <v>PARECER DA PROTEÇÃO:
COMISSIONAR RT 5835587001 AL 03 PORTO NACIONAL. NECESSARIO CONFERIR MEDIÇÕES DA MALHA DE ATERRAMENTO ANTES DE INSERIR O ATIVO NO SISTEMA. 
AJUSTES DISPONIVIEIS NO APP DA PROTEÇÃO.
**************************************************************
REGULADOR N° 5835587001 REMANEJADO NA OBRA 0302400526 GENTILEZA, REALIZAR O COMISSIONAMENTO. 
LAUDO EM ANEXO. 
COORD EO: 790054, 8821052 
parecer dmsl: 
Data: 23/09/2025
SID: 3949
Serviço realizado:
Será necessário substituir a célula da fase B do banco regulador de tensão!
* Substituir a placa E
* ¿Fazer melhoria na malha de terra do equipamento 
* ¿Não tem comunicação, necessário levar radio GE, antena com suporte e cabos.
* ¿Quando retornar levar rele, nobreack e baterias novas.
* ¿Tem que desenhar, desenvolver e testar com Scada.</v>
      </c>
    </row>
    <row r="101" spans="3:20" ht="49.5" customHeight="1" x14ac:dyDescent="0.2">
      <c r="C101" s="45" t="s">
        <v>1697</v>
      </c>
      <c r="D101" s="89" t="s">
        <v>1698</v>
      </c>
      <c r="E101" s="45">
        <v>2024</v>
      </c>
      <c r="F101" s="45" t="s">
        <v>1699</v>
      </c>
      <c r="G101" s="45" t="s">
        <v>1706</v>
      </c>
      <c r="H101" s="45"/>
      <c r="I101" s="45" t="s">
        <v>312</v>
      </c>
      <c r="J101" s="45" t="s">
        <v>1701</v>
      </c>
      <c r="K101" s="45" t="s">
        <v>2108</v>
      </c>
      <c r="L101" s="45" t="s">
        <v>1700</v>
      </c>
      <c r="M101" s="45" t="s">
        <v>222</v>
      </c>
      <c r="N101" s="45" t="s">
        <v>1701</v>
      </c>
      <c r="O101" s="45" t="s">
        <v>775</v>
      </c>
      <c r="P101" s="45" t="s">
        <v>44</v>
      </c>
      <c r="Q101" s="45"/>
      <c r="R101" s="45"/>
      <c r="S101" s="44" t="str">
        <f>_xlfn.XLOOKUP(C101,'Dados Tratados'!A:A,'Dados Tratados'!C:C,"")</f>
        <v>PARECER DMSL: FAVOR, INSTALAR POSTE DE 12 METROS AO LADO DO RELIGADOR 7955825037 PARA POSSIBILITAR O ESTABELECIMENTO DA COMUNICAÇÃO DO MESMO.
RELIGADOR N° 7955825037 INSTALADO NA OBRA 0402300790 GENTILEZA, REALIZAR O COMISSIONAMENTO. 
LAUDO EM ANEXO. 
COORD EO: 719564, 8734324
PARECER DA PROTEÇÃO:
AJUSTE DISPONIBILIZADO NO APP DA PROTEÇÃO, NOTA REPASSADA PARA DMSL COMISSIONAR, ID ORIGEM: 3320033037, PN 2024.
ENG° IRLLEY CASTELO BRANCO</v>
      </c>
    </row>
    <row r="102" spans="3:20" s="117" customFormat="1" ht="49.5" customHeight="1" x14ac:dyDescent="0.2">
      <c r="C102" s="114" t="s">
        <v>1537</v>
      </c>
      <c r="D102" s="115" t="s">
        <v>1538</v>
      </c>
      <c r="E102" s="114">
        <v>2024</v>
      </c>
      <c r="F102" s="114" t="s">
        <v>1539</v>
      </c>
      <c r="G102" s="114" t="s">
        <v>28</v>
      </c>
      <c r="H102" s="114"/>
      <c r="I102" s="114" t="s">
        <v>312</v>
      </c>
      <c r="J102" s="114" t="s">
        <v>1542</v>
      </c>
      <c r="K102" s="114" t="s">
        <v>2117</v>
      </c>
      <c r="L102" s="114" t="s">
        <v>1540</v>
      </c>
      <c r="M102" s="114" t="s">
        <v>1541</v>
      </c>
      <c r="N102" s="114" t="s">
        <v>1542</v>
      </c>
      <c r="O102" s="114" t="s">
        <v>775</v>
      </c>
      <c r="P102" s="114" t="s">
        <v>44</v>
      </c>
      <c r="Q102" s="114"/>
      <c r="R102" s="114"/>
      <c r="S102" s="116" t="str">
        <f>_xlfn.XLOOKUP(C102,'Dados Tratados'!A:A,'Dados Tratados'!C:C,"")</f>
        <v>PARECER DMSL: EQUIPAMENTO 7955175004 FOI INSTALADO SEM O CABO UMBILICAL. FAVOR, SANAR A PENDÊNCIA PARA PROSSEGUIRMOS COM O COMISSIONAMETNO.
RELIGADOR N° 7955175004 INSTALADO NA OBRA 0602300755 GENTILEZA, REALIZAR O COMISSIONAMENTO. 
LAUDO EM ANEXO. 
COORD EO: 808265, 9205592
PARECER DA PROTEÇÃO:
AJUSTE DISPONIBILIZADO NO APP DA PROTEÇÃO, NOTA REPASSADA PARA DMSL COMISSIONAR, RL PN 2024 ID ORIGEM: COODR.7
POLO ARAGUAÍNA.
ENG° IRLLEY CASTELO BRANCO.</v>
      </c>
    </row>
    <row r="103" spans="3:20" s="117" customFormat="1" ht="49.5" customHeight="1" x14ac:dyDescent="0.2">
      <c r="C103" s="118" t="s">
        <v>1255</v>
      </c>
      <c r="D103" s="115" t="s">
        <v>1256</v>
      </c>
      <c r="E103" s="118">
        <v>2026</v>
      </c>
      <c r="F103" s="118" t="s">
        <v>1257</v>
      </c>
      <c r="G103" s="118" t="s">
        <v>28</v>
      </c>
      <c r="H103" s="118"/>
      <c r="I103" s="118" t="s">
        <v>312</v>
      </c>
      <c r="J103" s="118" t="s">
        <v>2113</v>
      </c>
      <c r="K103" s="118" t="s">
        <v>2114</v>
      </c>
      <c r="L103" s="118" t="s">
        <v>1258</v>
      </c>
      <c r="M103" s="118" t="s">
        <v>391</v>
      </c>
      <c r="N103" s="118" t="s">
        <v>1259</v>
      </c>
      <c r="O103" s="118" t="s">
        <v>775</v>
      </c>
      <c r="P103" s="118" t="s">
        <v>44</v>
      </c>
      <c r="Q103" s="118"/>
      <c r="R103" s="118"/>
      <c r="S103" s="116" t="str">
        <f>_xlfn.XLOOKUP(C103,'Dados Tratados'!A:A,'Dados Tratados'!C:C,"")</f>
        <v>PARECER DMSL:
Realizar a substituição do transformador. (Furtado)
Equipe: Adeilton e Edicleber
SID 1874/2026
17/04/2026
______________________________________
PARECER DMSL: 
Chamado de desenvolvimento 30484170 criado. Favor, programar comissionamento a partir do dia 20/02/26.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Estagiário Rafael Pereira Marques.
_____________________
RELIGADOR N° 7962635060 INSTALADO NA OBRA 0602401143 GENTILEZA, REALIZAR O COMISSIONAMENTO. 
LAUDO EM ANEXO. 
COORD EO: 789405, 9172143</v>
      </c>
    </row>
    <row r="104" spans="3:20" ht="49.5" customHeight="1" x14ac:dyDescent="0.2">
      <c r="C104" s="43" t="s">
        <v>610</v>
      </c>
      <c r="D104" s="111" t="s">
        <v>1127</v>
      </c>
      <c r="E104" s="43">
        <v>2026</v>
      </c>
      <c r="F104" s="43" t="s">
        <v>1128</v>
      </c>
      <c r="G104" s="43" t="s">
        <v>28</v>
      </c>
      <c r="H104" s="43"/>
      <c r="I104" s="43" t="s">
        <v>312</v>
      </c>
      <c r="J104" s="43"/>
      <c r="K104" s="43"/>
      <c r="L104" s="43" t="s">
        <v>612</v>
      </c>
      <c r="M104" s="43" t="s">
        <v>22</v>
      </c>
      <c r="N104" s="43" t="s">
        <v>611</v>
      </c>
      <c r="O104" s="43" t="s">
        <v>775</v>
      </c>
      <c r="P104" s="43" t="s">
        <v>35</v>
      </c>
      <c r="Q104" s="43"/>
      <c r="R104" s="43"/>
      <c r="S104" s="44" t="str">
        <f>_xlfn.XLOOKUP(C104,'Dados Tratados'!A:A,'Dados Tratados'!C:C,"")</f>
        <v>PARECER DMSL:
Realizar substituição do equipamento todo e parte ativa.
Equipe: Adeilton e Edicleber
Data: 12/03
-----------------------------------------------------------------------------
Religador sem comunicação, apos  primeiro ataque o mesmo não retornou as comunicação.</v>
      </c>
    </row>
    <row r="105" spans="3:20" ht="49.5" customHeight="1" x14ac:dyDescent="0.2">
      <c r="C105" s="45" t="s">
        <v>1725</v>
      </c>
      <c r="D105" s="111" t="s">
        <v>1726</v>
      </c>
      <c r="E105" s="45">
        <v>2024</v>
      </c>
      <c r="F105" s="45" t="s">
        <v>1727</v>
      </c>
      <c r="G105" s="45" t="s">
        <v>1735</v>
      </c>
      <c r="H105" s="45"/>
      <c r="I105" s="45" t="s">
        <v>312</v>
      </c>
      <c r="J105" s="45" t="s">
        <v>1730</v>
      </c>
      <c r="K105" s="45" t="s">
        <v>2120</v>
      </c>
      <c r="L105" s="45" t="s">
        <v>1728</v>
      </c>
      <c r="M105" s="45" t="s">
        <v>1729</v>
      </c>
      <c r="N105" s="45" t="s">
        <v>1730</v>
      </c>
      <c r="O105" s="45" t="s">
        <v>775</v>
      </c>
      <c r="P105" s="45" t="s">
        <v>44</v>
      </c>
      <c r="Q105" s="45"/>
      <c r="R105" s="45"/>
      <c r="S105" s="44" t="str">
        <f>_xlfn.XLOOKUP(C105,'Dados Tratados'!A:A,'Dados Tratados'!C:C,"")</f>
        <v>FAVOR RELIZAR MANUTENÇAO NO EQUIPAMENTO O MESMO ESTA COM FALTA DE ITENS NECESSARIOS PARA SE REALIZAR O COMISSIONAMENTO.
RELIGADOR N° 7956117005 INSTALADO NA OBRA 0502300584 GENTILEZA, REALIZAR O COMISSIONAMENTO. 
LAUDO EM ANEXO. 
COORD EO: 939068, 8569277
PARECER DA PROTEÇÃO:
FAVOR COMISSIONAR O RL 7956117005  AL 01 ARRAIAS - PN 2024. AJUSTES DIPONIVEIS NO APP DA PROTEÇÃO.
PONTO ORIGEM PN 2024 - UTM: 939117;8569319</v>
      </c>
    </row>
    <row r="106" spans="3:20" ht="409.6" x14ac:dyDescent="0.2">
      <c r="C106" s="43" t="s">
        <v>1964</v>
      </c>
      <c r="D106" s="89" t="s">
        <v>1965</v>
      </c>
      <c r="E106" s="43">
        <v>2025</v>
      </c>
      <c r="F106" s="43" t="s">
        <v>1966</v>
      </c>
      <c r="G106" s="43" t="s">
        <v>464</v>
      </c>
      <c r="H106" s="43"/>
      <c r="I106" s="43" t="s">
        <v>312</v>
      </c>
      <c r="J106" s="43" t="s">
        <v>1779</v>
      </c>
      <c r="K106" s="43" t="s">
        <v>2123</v>
      </c>
      <c r="L106" s="43" t="s">
        <v>1778</v>
      </c>
      <c r="M106" s="43" t="s">
        <v>462</v>
      </c>
      <c r="N106" s="43" t="s">
        <v>1779</v>
      </c>
      <c r="O106" s="43" t="s">
        <v>1969</v>
      </c>
      <c r="P106" s="43" t="s">
        <v>44</v>
      </c>
      <c r="Q106" s="43"/>
      <c r="R106" s="43" t="s">
        <v>862</v>
      </c>
      <c r="S106" s="44" t="str">
        <f>_xlfn.XLOOKUP(C106,'Dados Tratados'!A:A,'Dados Tratados'!C:C,"")</f>
        <v>RELIGADOR N° 7908196047 REMANEJADO NA OBRA 0402401150 GENTILEZA, REALIZAR O COMISSIONAMENTO. 
LAUDO EM ANEXO. 
COORD EO: 698485, 8657287
PARECER DA PROTEÇÃO:
AJUSTE DISPONIBILIZADO NO APP DA PROTEÇÃO, NOTA REPASSADA PARA DMSL COMISSIONAR, POLO GURUPI, RL APENAS REMANEJADO DA REDE VELHA PARA REDE NOVA, EQUIPAMENTO COOPER, SE MANTEVE O MESMO NÚMERO DE ATIVO.
ENG° IRLLEY CASTELO BRANCO.
PARECER DMSL: Constatado curto-circuito no tanque do religador, impedindo as operações de abertura e fechamento do equipamento. Solicita-se a substituição completa do religador, incluindo tanque e unidade de controle.</v>
      </c>
      <c r="T106" s="88" t="s">
        <v>2190</v>
      </c>
    </row>
    <row r="107" spans="3:20" ht="49.5" customHeight="1" x14ac:dyDescent="0.2">
      <c r="C107" s="45" t="s">
        <v>582</v>
      </c>
      <c r="D107" s="89" t="s">
        <v>1237</v>
      </c>
      <c r="E107" s="45">
        <v>2026</v>
      </c>
      <c r="F107" s="45" t="s">
        <v>1238</v>
      </c>
      <c r="G107" s="45" t="s">
        <v>585</v>
      </c>
      <c r="H107" s="45"/>
      <c r="I107" s="45" t="s">
        <v>312</v>
      </c>
      <c r="J107" s="45" t="s">
        <v>584</v>
      </c>
      <c r="K107" s="45" t="s">
        <v>2126</v>
      </c>
      <c r="L107" s="45" t="s">
        <v>586</v>
      </c>
      <c r="M107" s="45" t="s">
        <v>583</v>
      </c>
      <c r="N107" s="45" t="s">
        <v>584</v>
      </c>
      <c r="O107" s="45" t="s">
        <v>775</v>
      </c>
      <c r="P107" s="45" t="s">
        <v>44</v>
      </c>
      <c r="Q107" s="45"/>
      <c r="R107" s="45"/>
      <c r="S107" s="44" t="str">
        <f>_xlfn.XLOOKUP(C107,'Dados Tratados'!A:A,'Dados Tratados'!C:C,"")</f>
        <v>PARECER DMSL: Substituir Equipamento completo problema na placa de alimentação e na parte ativa, falta colocar placa de identificação correta na topologia, baixar o controle.
Equipamento ficou em operação?: nao
Pendência: sim
Bateria(s) substituída(s)? NÃO
Equipe: Kaique/ Benvindo
----------------------------------------------
PARECER DA PROTEÇÃO: 
Prosseguir com o comissionamento. Ajustes de religador permanecem os mesmos, disponíveis no APP da Proteção.
********************************
RELIGADOR N°7919270014 REMANEJADO NA OBRA 0212501060 GENTILEZA, REALIZAR O COMISSIONAMENTO.
LAUDO EM ANEXO. 
COORD EO: 617422, 8830787</v>
      </c>
    </row>
    <row r="108" spans="3:20" ht="248.25" customHeight="1" x14ac:dyDescent="0.2">
      <c r="C108" s="43" t="s">
        <v>111</v>
      </c>
      <c r="D108" s="111" t="s">
        <v>1511</v>
      </c>
      <c r="E108" s="43">
        <v>2025</v>
      </c>
      <c r="F108" s="43" t="s">
        <v>1512</v>
      </c>
      <c r="G108" s="43" t="s">
        <v>116</v>
      </c>
      <c r="H108" s="43"/>
      <c r="I108" s="43" t="s">
        <v>312</v>
      </c>
      <c r="J108" s="43" t="s">
        <v>114</v>
      </c>
      <c r="K108" s="43"/>
      <c r="L108" s="43" t="s">
        <v>114</v>
      </c>
      <c r="M108" s="43" t="s">
        <v>113</v>
      </c>
      <c r="N108" s="43" t="s">
        <v>114</v>
      </c>
      <c r="O108" s="43" t="s">
        <v>775</v>
      </c>
      <c r="P108" s="43" t="s">
        <v>44</v>
      </c>
      <c r="Q108" s="43"/>
      <c r="R108" s="43"/>
      <c r="S108" s="44" t="str">
        <f>_xlfn.XLOOKUP(C108,'Dados Tratados'!A:A,'Dados Tratados'!C:C,"")</f>
        <v>PARECER DMSL: Favor, solicitamos que o tanque do equipameneto 7925573007 seja retirado da base para que possamos realizar o ensaio do mesmo. Equipe do DMSL já esteve no equipamento anteriormetne porém as chaves estavam emperradas e não consequimos apoio da equipe de linha viva no momento que a equipe estava no RLG.
Equipamento com erro de medição de neutro, corrente alta com sistema equilibrado não refletindo a real situação. Precisamos de intervenção corretiva, as hipoteses podem ser aterramento, mal contato, sensor do tanque, cabo umbilical, calibração ou proprio relé.
Equipe de linha-viva já esteve no local para atender a SS,
Porém foram testadas todas as chaves e não havia nenhuma emperrada.
Equipe do DMSL já pode retornar para dar sequência na Atividade.
PARECER DMSL DIA 24/06/2025: 
Serviço executado:
Teste com mala de corrente virtual, e física,  para indentificar onde e o problema no neutro que está lendo corrente  muito alto.
Foi descoberto diante dos testes que a parte ativa está com problemas, quando  ligamos a mala física e não injetamos corrente, o neutro registra uma corrente alta, está detectado alguma indução.
Necessário substituir a parte ativa do equipamento. Quando substituir lembrar de colocar a base normal com os quatro grupos.
Equipamento ficou em operação?: Sim, em modo seccionalizador a pedido da proteção
Pendência: sim, substituir parte ativa</v>
      </c>
    </row>
    <row r="109" spans="3:20" ht="49.5" customHeight="1" x14ac:dyDescent="0.2">
      <c r="C109" s="45" t="s">
        <v>548</v>
      </c>
      <c r="D109" s="89" t="s">
        <v>1025</v>
      </c>
      <c r="E109" s="45">
        <v>2026</v>
      </c>
      <c r="F109" s="45" t="s">
        <v>1026</v>
      </c>
      <c r="G109" s="45" t="s">
        <v>551</v>
      </c>
      <c r="H109" s="45"/>
      <c r="I109" s="45" t="s">
        <v>312</v>
      </c>
      <c r="J109" s="45" t="s">
        <v>2191</v>
      </c>
      <c r="K109" s="45" t="s">
        <v>2130</v>
      </c>
      <c r="L109" s="45" t="s">
        <v>552</v>
      </c>
      <c r="M109" s="45" t="s">
        <v>549</v>
      </c>
      <c r="N109" s="45" t="s">
        <v>550</v>
      </c>
      <c r="O109" s="45" t="s">
        <v>775</v>
      </c>
      <c r="P109" s="45" t="s">
        <v>44</v>
      </c>
      <c r="Q109" s="45"/>
      <c r="R109" s="45"/>
      <c r="S109" s="44" t="str">
        <f>_xlfn.XLOOKUP(C109,'Dados Tratados'!A:A,'Dados Tratados'!C:C,"")</f>
        <v>PARECER DMSL: *DATA*16/03/2026
Serviço Executado: É NECESSARIO REALIZAR A SUBSTITUIÇAO COMPLETA DO CONTROLE, EQUIPAMENTO DANIFICADO - FABRICANTE NOJA Equipamento ficou em operação?: Não 
Pendência: Sim, FAVOR REALIZAR AS CORREÇOES
Bateria(s) Substituída(s): Não
Data Fabricação/Instalação da(s) bateria(s): 07/2025
Equipe: Benvindo e Kaique
PARECER DMSL : 
Solicitação já cumprida.
Chamado 3047281 aberto em caráter emergencial, com comissionamento programado a partir de 02/02/2026.
PARECER DA PROTEÇÃO:
NOTA REPASSADA PARA DMSL, ABRIR CHAMADOS DE SCADA E COMISSIONAMENTO DO EQUIPAMENTO.
ENG° IRLLEY CASTELO BRANCO.
RELIGADOR N° 7963661046 INSTALADO NA OBRA 0202500503 GENTILEZA, REALIZAR O COMISSIONAMENTO.
LAUDO EM ANEXO. 
COORD EO:  728315, 8830256</v>
      </c>
    </row>
    <row r="110" spans="3:20" ht="49.5" customHeight="1" x14ac:dyDescent="0.2">
      <c r="C110" s="43" t="s">
        <v>1879</v>
      </c>
      <c r="D110" s="89" t="s">
        <v>1880</v>
      </c>
      <c r="E110" s="43">
        <v>2025</v>
      </c>
      <c r="F110" s="43" t="s">
        <v>1881</v>
      </c>
      <c r="G110" s="43" t="s">
        <v>65</v>
      </c>
      <c r="H110" s="43"/>
      <c r="I110" s="43" t="s">
        <v>312</v>
      </c>
      <c r="J110" s="43" t="s">
        <v>1882</v>
      </c>
      <c r="K110" s="43"/>
      <c r="L110" s="43" t="s">
        <v>1882</v>
      </c>
      <c r="M110" s="43" t="s">
        <v>1883</v>
      </c>
      <c r="N110" s="43" t="s">
        <v>1882</v>
      </c>
      <c r="O110" s="43" t="s">
        <v>775</v>
      </c>
      <c r="P110" s="43" t="s">
        <v>35</v>
      </c>
      <c r="Q110" s="43"/>
      <c r="R110" s="43"/>
      <c r="S110" s="44" t="str">
        <f>_xlfn.XLOOKUP(C110,'Dados Tratados'!A:A,'Dados Tratados'!C:C,"")</f>
        <v>PARECER DMSL: Foi alinhado com Irlley da proteção que será necessário substituir o equipamento RLG 7905357122 pois o relé possui limitações no ajuste e por não ser possível acessá-lo para coletar eventos, se tratando de um modelo obsoleto. Foi alinhado que o equipamento permanecerá em operação até que seja substituído. Favor, realizar substiuição por um modelo NOJA RC10 e programar a poda de árvores próxima do equipamento.
Boa noite 
Segue SS para verificação de ajuste de proteção do RL 7905357122 poste a abalroado de ID 57407652 os cabos MT ficou encostanto na arvore pegando fogo e o RL não atuou a proteção.
Parecer da proteção:
Conferir os ajustes de proteção do RC01, reincidente em não abrir.
Realizar teste funcional com mala de carga.
Eng° Irlley Castelo Branco</v>
      </c>
    </row>
    <row r="111" spans="3:20" ht="49.5" customHeight="1" x14ac:dyDescent="0.2">
      <c r="C111" s="45" t="s">
        <v>281</v>
      </c>
      <c r="D111" s="89" t="s">
        <v>1517</v>
      </c>
      <c r="E111" s="45">
        <v>2025</v>
      </c>
      <c r="F111" s="45" t="s">
        <v>1518</v>
      </c>
      <c r="G111" s="45" t="s">
        <v>284</v>
      </c>
      <c r="H111" s="45"/>
      <c r="I111" s="45" t="s">
        <v>312</v>
      </c>
      <c r="J111" s="45" t="s">
        <v>283</v>
      </c>
      <c r="K111" s="45"/>
      <c r="L111" s="45" t="s">
        <v>285</v>
      </c>
      <c r="M111" s="45" t="s">
        <v>282</v>
      </c>
      <c r="N111" s="45" t="s">
        <v>283</v>
      </c>
      <c r="O111" s="45" t="s">
        <v>312</v>
      </c>
      <c r="P111" s="45" t="s">
        <v>35</v>
      </c>
      <c r="Q111" s="45"/>
      <c r="R111" s="45"/>
      <c r="S111" s="44" t="str">
        <f>_xlfn.XLOOKUP(C111,'Dados Tratados'!A:A,'Dados Tratados'!C:C,"")</f>
        <v>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
RL 7920024127 está desarmando em campo e no SCADA continua fechado, só sinaliza aberto no SCADA quando a equipe faz o resert no equipamento em campo.</v>
      </c>
    </row>
    <row r="112" spans="3:20" ht="49.5" customHeight="1" x14ac:dyDescent="0.2">
      <c r="C112" s="43" t="s">
        <v>540</v>
      </c>
      <c r="D112" s="89" t="s">
        <v>1224</v>
      </c>
      <c r="E112" s="43">
        <v>2026</v>
      </c>
      <c r="F112" s="43" t="s">
        <v>1225</v>
      </c>
      <c r="G112" s="43" t="s">
        <v>284</v>
      </c>
      <c r="H112" s="43"/>
      <c r="I112" s="43" t="s">
        <v>312</v>
      </c>
      <c r="J112" s="43" t="s">
        <v>2135</v>
      </c>
      <c r="K112" s="43" t="s">
        <v>2136</v>
      </c>
      <c r="L112" s="43" t="s">
        <v>542</v>
      </c>
      <c r="M112" s="43" t="s">
        <v>282</v>
      </c>
      <c r="N112" s="43" t="s">
        <v>541</v>
      </c>
      <c r="O112" s="43" t="s">
        <v>775</v>
      </c>
      <c r="P112" s="43" t="s">
        <v>44</v>
      </c>
      <c r="Q112" s="43"/>
      <c r="R112" s="43"/>
      <c r="S112" s="44" t="str">
        <f>_xlfn.XLOOKUP(C112,'Dados Tratados'!A:A,'Dados Tratados'!C:C,"")</f>
        <v>PARECER DMSL:
Fase C. Sentindo carga 
Chave faca não fechou, realizar substituição.
DATA: 09/04/2026
SID 1756/2026
Equipe: Adeilton e Edicleber
___________________________________
PARECER DMSL: 
Chamado de desenvolvimento 30487776 criado. Favor, programar comissionamento a partir do dia 09/03/2026. (POLOTOC)
PARECER DA PROTEÇÃO:
ESTUDO REALIZADO. OS AJUSTES ESTÃO DISPONÍVEIS NO APP DA PROTEÇÃO.
Estagiário Rafael Pereira Marques
___________
RELIGADOR N° 7967181127 INSTALADO NA OBRA 0652400757 GENTILEZA, REALIZAR O COMISSIONAMENTO. 
LAUDO EM ANEXO. 
COORD EO: 874476, 9275510</v>
      </c>
    </row>
    <row r="113" spans="3:19" ht="49.5" customHeight="1" x14ac:dyDescent="0.2">
      <c r="C113" s="45" t="s">
        <v>630</v>
      </c>
      <c r="D113" s="89" t="s">
        <v>1276</v>
      </c>
      <c r="E113" s="45">
        <v>2026</v>
      </c>
      <c r="F113" s="45" t="s">
        <v>1277</v>
      </c>
      <c r="G113" s="45" t="s">
        <v>102</v>
      </c>
      <c r="H113" s="45"/>
      <c r="I113" s="45" t="s">
        <v>312</v>
      </c>
      <c r="J113" s="45" t="s">
        <v>632</v>
      </c>
      <c r="K113" s="45"/>
      <c r="L113" s="45" t="s">
        <v>632</v>
      </c>
      <c r="M113" s="45" t="s">
        <v>631</v>
      </c>
      <c r="N113" s="45" t="s">
        <v>632</v>
      </c>
      <c r="O113" s="45" t="s">
        <v>775</v>
      </c>
      <c r="P113" s="45" t="s">
        <v>44</v>
      </c>
      <c r="Q113" s="45"/>
      <c r="R113" s="45" t="s">
        <v>862</v>
      </c>
      <c r="S113" s="44" t="str">
        <f>_xlfn.XLOOKUP(C113,'Dados Tratados'!A:A,'Dados Tratados'!C:C,"")</f>
        <v>PARECER DMSL: Feedback Equip. Especiais
RLG 7926089013,
RELÉ NOJA RC10
SID 1805/2026
DATA 15/04/2026
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
---------------------------------------------------------------------------------
ATUALIZAR AJUSTES DO RL 7926089013 LD PARAISO I  A  PIUM. IMPLEMENTAÇÃO DA FUNÇÃO 27, SUBTENSÃO.
AJUSTES DISPONIVEIS NO APP DA PROTEÇÃO.</v>
      </c>
    </row>
    <row r="114" spans="3:19" ht="49.5" customHeight="1" x14ac:dyDescent="0.2">
      <c r="C114" s="43" t="s">
        <v>105</v>
      </c>
      <c r="D114" s="89" t="s">
        <v>1360</v>
      </c>
      <c r="E114" s="43">
        <v>2026</v>
      </c>
      <c r="F114" s="43" t="s">
        <v>1361</v>
      </c>
      <c r="G114" s="43" t="s">
        <v>109</v>
      </c>
      <c r="H114" s="43"/>
      <c r="I114" s="43" t="s">
        <v>312</v>
      </c>
      <c r="J114" s="43" t="s">
        <v>107</v>
      </c>
      <c r="K114" s="43"/>
      <c r="L114" s="43" t="s">
        <v>107</v>
      </c>
      <c r="M114" s="43" t="s">
        <v>106</v>
      </c>
      <c r="N114" s="43" t="s">
        <v>107</v>
      </c>
      <c r="O114" s="43" t="s">
        <v>926</v>
      </c>
      <c r="P114" s="43" t="s">
        <v>35</v>
      </c>
      <c r="Q114" s="43"/>
      <c r="R114" s="43"/>
      <c r="S114" s="44" t="str">
        <f>_xlfn.XLOOKUP(C114,'Dados Tratados'!A:A,'Dados Tratados'!C:C,"")</f>
        <v>NOTA DMSL: Favor substituir o tanque, ele não está efetuando os comandos enviados. Não substituir o controle pois o mesmo funciona como repetidor de outros equipamentos.
Segue nota para verificar falha de fechamento religador 7908686014- Pium .
OBS: equipamento não fechou local e remoto , fica sinalizando no painel para verificar alarmes !</v>
      </c>
    </row>
    <row r="115" spans="3:19" ht="49.5" customHeight="1" x14ac:dyDescent="0.2">
      <c r="C115" s="45" t="s">
        <v>1787</v>
      </c>
      <c r="D115" s="89" t="s">
        <v>1788</v>
      </c>
      <c r="E115" s="45">
        <v>2024</v>
      </c>
      <c r="F115" s="45" t="s">
        <v>1789</v>
      </c>
      <c r="G115" s="45" t="s">
        <v>487</v>
      </c>
      <c r="H115" s="45"/>
      <c r="I115" s="45" t="s">
        <v>312</v>
      </c>
      <c r="J115" s="45" t="s">
        <v>1790</v>
      </c>
      <c r="K115" s="45" t="s">
        <v>2143</v>
      </c>
      <c r="L115" s="45" t="s">
        <v>488</v>
      </c>
      <c r="M115" s="45" t="s">
        <v>485</v>
      </c>
      <c r="N115" s="45" t="s">
        <v>1790</v>
      </c>
      <c r="O115" s="45" t="s">
        <v>775</v>
      </c>
      <c r="P115" s="45" t="s">
        <v>44</v>
      </c>
      <c r="Q115" s="45"/>
      <c r="R115" s="45"/>
      <c r="S115" s="44" t="str">
        <f>_xlfn.XLOOKUP(C115,'Dados Tratados'!A:A,'Dados Tratados'!C:C,"")</f>
        <v>PARECER DMSL: NÃO FOI POSSÍVEL COMISSIONAR O EQUIPAMENTO DEVIDO A AUSÊNCIA DO RÁDIO GE. FAVOR, PROVIDENCIAR O RÁDIO.
RELIGADOR N° 7959990070 INSTALADO NA OBRA 0102400139 GENTILEZA, REALIZAR O COMISSIONAMENTO. 
LAUDO EM ANEXO.
COORD EO: 849610, 8957866
PARECER DA PROTEÇÃO:
AJUSTE DISPONIBILIZADO NO APP DA PROTEÇÃO, NOTA REPASSADA PARA DMSL COMISSIONAR, RL ORIGINARIO DO ID: 3300730070 PN 2024.
ENG° IRLLEY CASTELO BRANCO.</v>
      </c>
    </row>
    <row r="116" spans="3:19" ht="49.5" customHeight="1" x14ac:dyDescent="0.2">
      <c r="C116" s="43" t="s">
        <v>1404</v>
      </c>
      <c r="D116" s="89" t="s">
        <v>1405</v>
      </c>
      <c r="E116" s="43">
        <v>2025</v>
      </c>
      <c r="F116" s="43" t="s">
        <v>1406</v>
      </c>
      <c r="G116" s="43" t="s">
        <v>539</v>
      </c>
      <c r="H116" s="43"/>
      <c r="I116" s="43" t="s">
        <v>312</v>
      </c>
      <c r="J116" s="43" t="s">
        <v>1408</v>
      </c>
      <c r="K116" s="43"/>
      <c r="L116" s="43" t="s">
        <v>1407</v>
      </c>
      <c r="M116" s="43" t="s">
        <v>328</v>
      </c>
      <c r="N116" s="43" t="s">
        <v>1408</v>
      </c>
      <c r="O116" s="43" t="s">
        <v>775</v>
      </c>
      <c r="P116" s="43" t="s">
        <v>44</v>
      </c>
      <c r="Q116" s="43"/>
      <c r="R116" s="43"/>
      <c r="S116" s="44" t="str">
        <f>_xlfn.XLOOKUP(C116,'Dados Tratados'!A:A,'Dados Tratados'!C:C,"")</f>
        <v>PARECER DMSL: Não foi possível comissionar o equipamento 7956063152 pois o mesmo estava sem cordão umbilical, sem rádio e conexões, e sem alimentação do trafo no equipamento. Favor, sanar pendências.
GENTILEZA COMISSIONAR RELIGADOR, PARTE CONSTRUTIVA FISCALIZADA. 
EQUIPAMENTO: NOJA POWER
Nº SERIE: 0320124013012
CONTROLE: NOJA POWER
MODELO: RC-10ES
Nº SERIE: 0101523100769.
PARECER DA PROTEÇÃO:
AJUSTE DISPONIBILIZADO NO APP DA PROTEÇÃO, NTA REPASSADA PARA DMSL COMISSIONAR, RL ORIGINARIO DE DEMANDA DE CLIENTE GRUPO A.
ENG° IRLLEY CASTELO BRANCO</v>
      </c>
    </row>
    <row r="117" spans="3:19" ht="49.5" customHeight="1" x14ac:dyDescent="0.2">
      <c r="C117" s="45" t="s">
        <v>309</v>
      </c>
      <c r="D117" s="89" t="s">
        <v>1645</v>
      </c>
      <c r="E117" s="45">
        <v>2025</v>
      </c>
      <c r="F117" s="45" t="s">
        <v>1646</v>
      </c>
      <c r="G117" s="45"/>
      <c r="H117" s="45"/>
      <c r="I117" s="45" t="s">
        <v>312</v>
      </c>
      <c r="J117" s="45" t="s">
        <v>2148</v>
      </c>
      <c r="K117" s="45"/>
      <c r="L117" s="45"/>
      <c r="M117" s="45" t="s">
        <v>1647</v>
      </c>
      <c r="N117" s="45" t="s">
        <v>311</v>
      </c>
      <c r="O117" s="45" t="s">
        <v>775</v>
      </c>
      <c r="P117" s="45" t="s">
        <v>35</v>
      </c>
      <c r="Q117" s="45"/>
      <c r="R117" s="45"/>
      <c r="S117" s="44" t="str">
        <f>_xlfn.XLOOKUP(C117,'Dados Tratados'!A:A,'Dados Tratados'!C:C,"")</f>
        <v>PARECER DMSL: Favor, realizar substituição completa do equipamento 7900930040, pois o mesmo trata-se de modelo obsoleto NOJA RC01 e esteve envolvido em ocorrência relevante. Realizar substituição por modelo NOJA RC10.
Segue nota para verificar falha de comunicação no RL 7900930040 - Aragominas .
equipamento desarmou e perdeu sua comunicação , registro intervenção N: 20253690827473 .</v>
      </c>
    </row>
    <row r="118" spans="3:19" ht="49.5" customHeight="1" x14ac:dyDescent="0.2">
      <c r="C118" s="43" t="s">
        <v>619</v>
      </c>
      <c r="D118" s="89" t="s">
        <v>1151</v>
      </c>
      <c r="E118" s="43">
        <v>2026</v>
      </c>
      <c r="F118" s="43" t="s">
        <v>1152</v>
      </c>
      <c r="G118" s="43" t="s">
        <v>622</v>
      </c>
      <c r="H118" s="43"/>
      <c r="I118" s="43" t="s">
        <v>775</v>
      </c>
      <c r="J118" s="43"/>
      <c r="K118" s="43"/>
      <c r="L118" s="43" t="s">
        <v>621</v>
      </c>
      <c r="M118" s="43" t="s">
        <v>620</v>
      </c>
      <c r="N118" s="43" t="s">
        <v>621</v>
      </c>
      <c r="O118" s="43" t="s">
        <v>775</v>
      </c>
      <c r="P118" s="43" t="s">
        <v>24</v>
      </c>
      <c r="Q118" s="43"/>
      <c r="R118" s="43"/>
      <c r="S118" s="44" t="str">
        <f>_xlfn.XLOOKUP(C118,'Dados Tratados'!A:A,'Dados Tratados'!C:C,"")</f>
        <v>Equipamento ficou em operação?: Não
Pendência: Sim será necessário substituir a placa
Serviço Executado:  curto na placa foi tentando recuperar a mesma porém não teve sucesso!
Bateria(s)substituída(s)? NÃO
Equipe: Kaique e benvido</v>
      </c>
    </row>
    <row r="119" spans="3:19" ht="49.5" customHeight="1" x14ac:dyDescent="0.2">
      <c r="C119" s="45" t="s">
        <v>909</v>
      </c>
      <c r="D119" s="89" t="s">
        <v>910</v>
      </c>
      <c r="E119" s="45">
        <v>2026</v>
      </c>
      <c r="F119" s="45" t="s">
        <v>911</v>
      </c>
      <c r="G119" s="45" t="s">
        <v>511</v>
      </c>
      <c r="H119" s="45"/>
      <c r="I119" s="45" t="s">
        <v>775</v>
      </c>
      <c r="J119" s="45" t="s">
        <v>913</v>
      </c>
      <c r="K119" s="45"/>
      <c r="L119" s="45" t="s">
        <v>912</v>
      </c>
      <c r="M119" s="45" t="s">
        <v>291</v>
      </c>
      <c r="N119" s="45" t="s">
        <v>913</v>
      </c>
      <c r="O119" s="45" t="s">
        <v>775</v>
      </c>
      <c r="P119" s="45" t="s">
        <v>35</v>
      </c>
      <c r="Q119" s="45"/>
      <c r="R119" s="45"/>
      <c r="S119" s="44" t="str">
        <f>_xlfn.XLOOKUP(C119,'Dados Tratados'!A:A,'Dados Tratados'!C:C,"")</f>
        <v>FEITO O PRIMEIRO ATAQUE NO RL 7954668084 E O DISPLAY ESTÁ QUEIMADO, NÃO LIGA.
OS (99) 106230846</v>
      </c>
    </row>
    <row r="120" spans="3:19" ht="49.5" customHeight="1" x14ac:dyDescent="0.2">
      <c r="C120" s="43" t="s">
        <v>633</v>
      </c>
      <c r="D120" s="89" t="s">
        <v>1140</v>
      </c>
      <c r="E120" s="43">
        <v>2026</v>
      </c>
      <c r="F120" s="43" t="s">
        <v>1141</v>
      </c>
      <c r="G120" s="43" t="s">
        <v>511</v>
      </c>
      <c r="H120" s="43"/>
      <c r="I120" s="43" t="s">
        <v>775</v>
      </c>
      <c r="J120" s="43"/>
      <c r="K120" s="43"/>
      <c r="L120" s="43" t="s">
        <v>634</v>
      </c>
      <c r="M120" s="43" t="s">
        <v>291</v>
      </c>
      <c r="N120" s="43" t="s">
        <v>634</v>
      </c>
      <c r="O120" s="43" t="s">
        <v>775</v>
      </c>
      <c r="P120" s="43" t="s">
        <v>131</v>
      </c>
      <c r="Q120" s="43"/>
      <c r="R120" s="43"/>
      <c r="S120" s="44" t="str">
        <f>_xlfn.XLOOKUP(C120,'Dados Tratados'!A:A,'Dados Tratados'!C:C,"")</f>
        <v>PARECER DMSL :
Equipamento com a placa de alimentação ca em curto, será necessário substituir a placa do equipamento.
Equipamento ficou em operação?: Não 
Pendência: Sim
OBS :Data Fabricação/Instalação da(s) bateria(s): 04/2024
Equipe: Benvindo e Kaique- SS ANTIGA 277/2026 BAIXADA POR ENGANO PELA EQUIPE</v>
      </c>
    </row>
    <row r="121" spans="3:19" ht="49.5" customHeight="1" x14ac:dyDescent="0.2">
      <c r="C121" s="45" t="s">
        <v>603</v>
      </c>
      <c r="D121" s="89" t="s">
        <v>1163</v>
      </c>
      <c r="E121" s="45">
        <v>2026</v>
      </c>
      <c r="F121" s="45" t="s">
        <v>1164</v>
      </c>
      <c r="G121" s="45" t="s">
        <v>116</v>
      </c>
      <c r="H121" s="45"/>
      <c r="I121" s="45" t="s">
        <v>775</v>
      </c>
      <c r="J121" s="45" t="s">
        <v>605</v>
      </c>
      <c r="K121" s="45"/>
      <c r="L121" s="45" t="s">
        <v>606</v>
      </c>
      <c r="M121" s="45" t="s">
        <v>604</v>
      </c>
      <c r="N121" s="45" t="s">
        <v>605</v>
      </c>
      <c r="O121" s="45" t="s">
        <v>775</v>
      </c>
      <c r="P121" s="45" t="s">
        <v>35</v>
      </c>
      <c r="Q121" s="45"/>
      <c r="R121" s="45"/>
      <c r="S121" s="44" t="str">
        <f>_xlfn.XLOOKUP(C121,'Dados Tratados'!A:A,'Dados Tratados'!C:C,"")</f>
        <v xml:space="preserve">PARECER DMSL: 
Necessário substituir a placa de alimentação ca, a mesma está em curto não conseguimos recuperar.
Equipamento ficou em operação?: _Nao 
Pendência: Sim
Bateria(s) Substituída(s)? Não 
Data Fabricação/Instalação da(s) bateria(s): 06/2024
Equipe: Benvindo e Kaique 
----------------------------------------------------------------------
RL 7955946007 SEM COMUNICAÇÃO FEITO PRIMEIRO ATAQUE-- </v>
      </c>
    </row>
    <row r="122" spans="3:19" ht="49.5" customHeight="1" x14ac:dyDescent="0.2">
      <c r="C122" s="43" t="s">
        <v>570</v>
      </c>
      <c r="D122" s="89" t="s">
        <v>1032</v>
      </c>
      <c r="E122" s="43">
        <v>2026</v>
      </c>
      <c r="F122" s="43" t="s">
        <v>1033</v>
      </c>
      <c r="G122" s="43" t="s">
        <v>572</v>
      </c>
      <c r="H122" s="43"/>
      <c r="I122" s="43" t="s">
        <v>884</v>
      </c>
      <c r="J122" s="43" t="s">
        <v>571</v>
      </c>
      <c r="K122" s="43"/>
      <c r="L122" s="43" t="s">
        <v>573</v>
      </c>
      <c r="M122" s="43" t="s">
        <v>150</v>
      </c>
      <c r="N122" s="43" t="s">
        <v>571</v>
      </c>
      <c r="O122" s="43" t="s">
        <v>775</v>
      </c>
      <c r="P122" s="43" t="s">
        <v>35</v>
      </c>
      <c r="Q122" s="43"/>
      <c r="R122" s="43"/>
      <c r="S122" s="44" t="str">
        <f>_xlfn.XLOOKUP(C122,'Dados Tratados'!A:A,'Dados Tratados'!C:C,"")</f>
        <v>PARECER DMSL: Data: 10/03/2026,Serviço Executado: Foi substituído o relé do equipamento, o mesmo estava danificado. Trocado o DPS, o mesmo estava queimado devido ao tanque estar furado. O equipamento ficou em bypass.
Equipamento ficou em operação? Não
Pendência? Sim, substituir a parte ativa com cordão umbilical.Equipe: Carliel e João Vitor
SEGUE SS PARA REGULARIZAR AUTOMAÇÃO DO RL 7953610256 NA INTERLIGAÇÃO COM A COELBA (CHAPADA DA MANGABEIRA) - EQUIPE INFOMOU CURTO INTERNO NO GABINETE DJ AC NÃO FECHA</v>
      </c>
    </row>
    <row r="123" spans="3:19" ht="49.5" customHeight="1" x14ac:dyDescent="0.2">
      <c r="C123" s="45" t="s">
        <v>578</v>
      </c>
      <c r="D123" s="89" t="s">
        <v>1039</v>
      </c>
      <c r="E123" s="45">
        <v>2026</v>
      </c>
      <c r="F123" s="45" t="s">
        <v>1040</v>
      </c>
      <c r="G123" s="45" t="s">
        <v>581</v>
      </c>
      <c r="H123" s="45"/>
      <c r="I123" s="45" t="s">
        <v>1359</v>
      </c>
      <c r="J123" s="45" t="s">
        <v>580</v>
      </c>
      <c r="K123" s="45"/>
      <c r="L123" s="45" t="s">
        <v>580</v>
      </c>
      <c r="M123" s="45" t="s">
        <v>579</v>
      </c>
      <c r="N123" s="45" t="s">
        <v>580</v>
      </c>
      <c r="O123" s="45" t="s">
        <v>775</v>
      </c>
      <c r="P123" s="45" t="s">
        <v>35</v>
      </c>
      <c r="Q123" s="45"/>
      <c r="R123" s="45"/>
      <c r="S123" s="44" t="str">
        <f>_xlfn.XLOOKUP(C123,'Dados Tratados'!A:A,'Dados Tratados'!C:C,"")</f>
        <v>PARECER DMSL: Data: 12/03/2026 Serviço Executado:
- Análise técnica constatou:
- Parte ativa do equipamento danificada: necessita substituição
- Trafo danificado: foi feitos testes nas buchas secundárias o mesmo não chega tensão
    - Vazamento de óleo
    - Necessita substituição
Equipamento ficou em operação? Não
Pendências:
- Solicitar limpeza de faixa para acesso ao equipamento
- Trocar parte ativa do equipamento
- Substituir o trafo
Equipe: Carliel e João Vitor
Segue nota para envia equipe verificar falha de comunicação e automação no RL-7926442035 feito primeiro ataque com equipe 035OP02, porém sem sucesso. </v>
      </c>
    </row>
  </sheetData>
  <autoFilter ref="C89:S89" xr:uid="{00000000-0001-0000-0200-000000000000}"/>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K53"/>
  <sheetViews>
    <sheetView showGridLines="0" topLeftCell="A32" zoomScaleNormal="100" workbookViewId="0">
      <selection activeCell="B43" sqref="B43:I43"/>
    </sheetView>
  </sheetViews>
  <sheetFormatPr baseColWidth="10" defaultColWidth="8.6640625" defaultRowHeight="15" x14ac:dyDescent="0.2"/>
  <cols>
    <col min="1" max="1" width="2" customWidth="1"/>
    <col min="2" max="2" width="22" customWidth="1"/>
    <col min="3" max="3" width="18" customWidth="1"/>
    <col min="4" max="5" width="12" customWidth="1"/>
    <col min="6" max="7" width="16" customWidth="1"/>
    <col min="8" max="8" width="14" customWidth="1"/>
    <col min="9" max="9" width="28" customWidth="1"/>
    <col min="10" max="11" width="14" customWidth="1"/>
  </cols>
  <sheetData>
    <row r="2" spans="2:11" ht="27.75" customHeight="1" x14ac:dyDescent="0.2">
      <c r="B2" s="202" t="s">
        <v>2192</v>
      </c>
      <c r="C2" s="202"/>
      <c r="D2" s="202"/>
      <c r="E2" s="202"/>
      <c r="F2" s="202"/>
      <c r="G2" s="202"/>
      <c r="H2" s="202"/>
      <c r="I2" s="202"/>
      <c r="J2" s="202"/>
      <c r="K2" s="202"/>
    </row>
    <row r="3" spans="2:11" ht="15" customHeight="1" x14ac:dyDescent="0.2">
      <c r="B3" s="216" t="s">
        <v>2193</v>
      </c>
      <c r="C3" s="216"/>
      <c r="D3" s="216"/>
      <c r="E3" s="216"/>
      <c r="F3" s="216"/>
      <c r="G3" s="216"/>
      <c r="H3" s="216"/>
      <c r="I3" s="216"/>
      <c r="J3" s="216"/>
      <c r="K3" s="216"/>
    </row>
    <row r="5" spans="2:11" ht="21.75" customHeight="1" x14ac:dyDescent="0.2">
      <c r="B5" s="217" t="s">
        <v>2194</v>
      </c>
      <c r="C5" s="217"/>
      <c r="D5" s="217"/>
      <c r="E5" s="217"/>
      <c r="F5" s="217"/>
      <c r="G5" s="217"/>
      <c r="H5" s="217"/>
      <c r="I5" s="217"/>
      <c r="J5" s="217"/>
      <c r="K5" s="217"/>
    </row>
    <row r="6" spans="2:11" ht="18" customHeight="1" x14ac:dyDescent="0.2">
      <c r="B6" s="218" t="s">
        <v>2195</v>
      </c>
      <c r="C6" s="218"/>
      <c r="D6" s="218"/>
      <c r="E6" s="219" t="s">
        <v>2196</v>
      </c>
      <c r="F6" s="219"/>
      <c r="G6" s="219"/>
      <c r="H6" s="220" t="s">
        <v>2197</v>
      </c>
      <c r="I6" s="220"/>
      <c r="J6" s="221" t="s">
        <v>2198</v>
      </c>
      <c r="K6" s="221"/>
    </row>
    <row r="7" spans="2:11" ht="13.5" customHeight="1" x14ac:dyDescent="0.2">
      <c r="B7" s="211" t="s">
        <v>2199</v>
      </c>
      <c r="C7" s="211"/>
      <c r="D7" s="211"/>
      <c r="E7" s="212" t="s">
        <v>2200</v>
      </c>
      <c r="F7" s="212"/>
      <c r="G7" s="212"/>
      <c r="H7" s="213" t="s">
        <v>2201</v>
      </c>
      <c r="I7" s="213"/>
      <c r="J7" s="214" t="s">
        <v>2202</v>
      </c>
      <c r="K7" s="214"/>
    </row>
    <row r="8" spans="2:11" ht="13.5" customHeight="1" x14ac:dyDescent="0.2">
      <c r="B8" s="211"/>
      <c r="C8" s="211"/>
      <c r="D8" s="211"/>
      <c r="E8" s="212"/>
      <c r="F8" s="212"/>
      <c r="G8" s="212"/>
      <c r="H8" s="213"/>
      <c r="I8" s="213"/>
      <c r="J8" s="214"/>
      <c r="K8" s="214"/>
    </row>
    <row r="9" spans="2:11" ht="13.5" customHeight="1" x14ac:dyDescent="0.2">
      <c r="B9" s="211"/>
      <c r="C9" s="211"/>
      <c r="D9" s="211"/>
      <c r="E9" s="212"/>
      <c r="F9" s="212"/>
      <c r="G9" s="212"/>
      <c r="H9" s="213"/>
      <c r="I9" s="213"/>
      <c r="J9" s="214"/>
      <c r="K9" s="214"/>
    </row>
    <row r="10" spans="2:11" ht="21.75" customHeight="1" x14ac:dyDescent="0.2">
      <c r="B10" s="215" t="s">
        <v>2203</v>
      </c>
      <c r="C10" s="215"/>
      <c r="D10" s="215"/>
      <c r="E10" s="215"/>
      <c r="F10" s="215"/>
      <c r="G10" s="215"/>
      <c r="H10" s="215"/>
      <c r="I10" s="215"/>
      <c r="J10" s="215"/>
      <c r="K10" s="215"/>
    </row>
    <row r="12" spans="2:11" ht="15" customHeight="1" x14ac:dyDescent="0.2">
      <c r="B12" s="210" t="s">
        <v>2204</v>
      </c>
      <c r="C12" s="210"/>
      <c r="D12" s="210"/>
      <c r="E12" s="210"/>
      <c r="F12" s="210"/>
      <c r="G12" s="210"/>
      <c r="H12" s="210"/>
      <c r="I12" s="210"/>
      <c r="J12" s="210"/>
      <c r="K12" s="210"/>
    </row>
    <row r="13" spans="2:11" ht="15" customHeight="1" x14ac:dyDescent="0.2">
      <c r="B13" s="207" t="s">
        <v>2205</v>
      </c>
      <c r="C13" s="207"/>
      <c r="D13" s="208" t="s">
        <v>2206</v>
      </c>
      <c r="E13" s="208"/>
      <c r="F13" s="208"/>
      <c r="G13" s="208"/>
      <c r="H13" s="208"/>
      <c r="I13" s="209" t="s">
        <v>2207</v>
      </c>
      <c r="J13" s="209"/>
      <c r="K13" s="209"/>
    </row>
    <row r="14" spans="2:11" ht="15" customHeight="1" x14ac:dyDescent="0.2">
      <c r="B14" s="207" t="s">
        <v>2208</v>
      </c>
      <c r="C14" s="207"/>
      <c r="D14" s="208" t="s">
        <v>2209</v>
      </c>
      <c r="E14" s="208"/>
      <c r="F14" s="208"/>
      <c r="G14" s="208"/>
      <c r="H14" s="208"/>
      <c r="I14" s="209" t="s">
        <v>2210</v>
      </c>
      <c r="J14" s="209"/>
      <c r="K14" s="209"/>
    </row>
    <row r="15" spans="2:11" ht="15" customHeight="1" x14ac:dyDescent="0.2">
      <c r="B15" s="207" t="s">
        <v>2211</v>
      </c>
      <c r="C15" s="207"/>
      <c r="D15" s="208" t="s">
        <v>2212</v>
      </c>
      <c r="E15" s="208"/>
      <c r="F15" s="208"/>
      <c r="G15" s="208"/>
      <c r="H15" s="208"/>
      <c r="I15" s="209" t="s">
        <v>2213</v>
      </c>
      <c r="J15" s="209"/>
      <c r="K15" s="209"/>
    </row>
    <row r="16" spans="2:11" ht="15" customHeight="1" x14ac:dyDescent="0.2">
      <c r="B16" s="207" t="s">
        <v>2214</v>
      </c>
      <c r="C16" s="207"/>
      <c r="D16" s="208" t="s">
        <v>2215</v>
      </c>
      <c r="E16" s="208"/>
      <c r="F16" s="208"/>
      <c r="G16" s="208"/>
      <c r="H16" s="208"/>
      <c r="I16" s="209"/>
      <c r="J16" s="209"/>
      <c r="K16" s="209"/>
    </row>
    <row r="19" spans="2:8" ht="21.75" customHeight="1" x14ac:dyDescent="0.2">
      <c r="B19" s="201" t="s">
        <v>2216</v>
      </c>
      <c r="C19" s="201"/>
      <c r="D19" s="201"/>
      <c r="E19" s="201"/>
      <c r="F19" s="201"/>
      <c r="G19" s="201"/>
      <c r="H19" s="201"/>
    </row>
    <row r="20" spans="2:8" ht="25.5" customHeight="1" x14ac:dyDescent="0.2">
      <c r="B20" s="34" t="s">
        <v>2100</v>
      </c>
      <c r="C20" s="34" t="s">
        <v>2093</v>
      </c>
      <c r="D20" s="34" t="s">
        <v>2217</v>
      </c>
      <c r="E20" s="34" t="s">
        <v>2218</v>
      </c>
      <c r="F20" s="34" t="s">
        <v>2219</v>
      </c>
      <c r="G20" s="34" t="s">
        <v>2220</v>
      </c>
      <c r="H20" s="34" t="s">
        <v>2221</v>
      </c>
    </row>
    <row r="21" spans="2:8" ht="15" customHeight="1" x14ac:dyDescent="0.2">
      <c r="B21" s="35" t="s">
        <v>216</v>
      </c>
      <c r="C21" s="36" t="s">
        <v>28</v>
      </c>
      <c r="D21" s="46" t="s">
        <v>29</v>
      </c>
      <c r="E21" s="47">
        <v>200</v>
      </c>
      <c r="F21" s="48">
        <v>15394.353999999999</v>
      </c>
      <c r="G21" s="49" t="s">
        <v>2222</v>
      </c>
      <c r="H21" s="50"/>
    </row>
    <row r="22" spans="2:8" ht="15" customHeight="1" x14ac:dyDescent="0.2">
      <c r="B22" s="35" t="s">
        <v>227</v>
      </c>
      <c r="C22" s="36" t="s">
        <v>28</v>
      </c>
      <c r="D22" s="46" t="s">
        <v>29</v>
      </c>
      <c r="E22" s="47">
        <v>300</v>
      </c>
      <c r="F22" s="48">
        <v>23091.530999999999</v>
      </c>
      <c r="G22" s="49" t="s">
        <v>2222</v>
      </c>
      <c r="H22" s="50"/>
    </row>
    <row r="23" spans="2:8" ht="15" customHeight="1" x14ac:dyDescent="0.2">
      <c r="B23" s="35" t="s">
        <v>55</v>
      </c>
      <c r="C23" s="36" t="s">
        <v>28</v>
      </c>
      <c r="D23" s="46" t="s">
        <v>29</v>
      </c>
      <c r="E23" s="47">
        <v>800</v>
      </c>
      <c r="F23" s="48">
        <v>61577.415999999997</v>
      </c>
      <c r="G23" s="49" t="s">
        <v>2222</v>
      </c>
      <c r="H23" s="50"/>
    </row>
    <row r="24" spans="2:8" ht="15" customHeight="1" x14ac:dyDescent="0.2">
      <c r="B24" s="35" t="s">
        <v>286</v>
      </c>
      <c r="C24" s="36" t="s">
        <v>28</v>
      </c>
      <c r="D24" s="46" t="s">
        <v>29</v>
      </c>
      <c r="E24" s="47">
        <v>290</v>
      </c>
      <c r="F24" s="48">
        <v>22321.813300000002</v>
      </c>
      <c r="G24" s="49" t="s">
        <v>2222</v>
      </c>
      <c r="H24" s="50"/>
    </row>
    <row r="25" spans="2:8" ht="15" customHeight="1" x14ac:dyDescent="0.2">
      <c r="B25" s="35" t="s">
        <v>143</v>
      </c>
      <c r="C25" s="36" t="s">
        <v>147</v>
      </c>
      <c r="D25" s="51" t="s">
        <v>47</v>
      </c>
      <c r="E25" s="47">
        <v>200</v>
      </c>
      <c r="F25" s="48">
        <v>7528.58</v>
      </c>
      <c r="G25" s="49" t="s">
        <v>2223</v>
      </c>
      <c r="H25" s="50"/>
    </row>
    <row r="26" spans="2:8" ht="15" customHeight="1" x14ac:dyDescent="0.2">
      <c r="B26" s="35" t="s">
        <v>497</v>
      </c>
      <c r="C26" s="36" t="s">
        <v>499</v>
      </c>
      <c r="D26" s="51" t="s">
        <v>47</v>
      </c>
      <c r="E26" s="47">
        <v>210</v>
      </c>
      <c r="F26" s="48">
        <v>7905.009</v>
      </c>
      <c r="G26" s="49" t="s">
        <v>2223</v>
      </c>
      <c r="H26" s="50"/>
    </row>
    <row r="27" spans="2:8" ht="15" customHeight="1" x14ac:dyDescent="0.2">
      <c r="B27" s="35" t="s">
        <v>470</v>
      </c>
      <c r="C27" s="36" t="s">
        <v>28</v>
      </c>
      <c r="D27" s="46" t="s">
        <v>29</v>
      </c>
      <c r="E27" s="47">
        <v>150</v>
      </c>
      <c r="F27" s="48">
        <v>11545.7655</v>
      </c>
      <c r="G27" s="49" t="s">
        <v>2222</v>
      </c>
      <c r="H27" s="50"/>
    </row>
    <row r="28" spans="2:8" ht="15" customHeight="1" x14ac:dyDescent="0.2">
      <c r="B28" s="52" t="s">
        <v>2062</v>
      </c>
      <c r="C28" s="53"/>
      <c r="D28" s="53"/>
      <c r="E28" s="54">
        <v>2150</v>
      </c>
      <c r="F28" s="55">
        <v>149364.4688</v>
      </c>
      <c r="G28" s="53"/>
      <c r="H28" s="53"/>
    </row>
    <row r="31" spans="2:8" ht="21.75" customHeight="1" x14ac:dyDescent="0.2">
      <c r="B31" s="201" t="s">
        <v>2224</v>
      </c>
      <c r="C31" s="201"/>
      <c r="D31" s="201"/>
      <c r="E31" s="201"/>
      <c r="F31" s="201"/>
      <c r="G31" s="201"/>
      <c r="H31" s="201"/>
    </row>
    <row r="32" spans="2:8" ht="25.5" customHeight="1" x14ac:dyDescent="0.2">
      <c r="B32" s="34" t="s">
        <v>2100</v>
      </c>
      <c r="C32" s="34" t="s">
        <v>2093</v>
      </c>
      <c r="D32" s="34" t="s">
        <v>2217</v>
      </c>
      <c r="E32" s="34" t="s">
        <v>2218</v>
      </c>
      <c r="F32" s="34" t="s">
        <v>2219</v>
      </c>
      <c r="G32" s="34" t="s">
        <v>2220</v>
      </c>
      <c r="H32" s="34" t="s">
        <v>2221</v>
      </c>
    </row>
    <row r="33" spans="2:9" ht="15" customHeight="1" x14ac:dyDescent="0.2">
      <c r="B33" s="35" t="s">
        <v>158</v>
      </c>
      <c r="C33" s="36" t="s">
        <v>157</v>
      </c>
      <c r="D33" s="51" t="s">
        <v>47</v>
      </c>
      <c r="E33" s="47">
        <v>810</v>
      </c>
      <c r="F33" s="48">
        <v>112472.79300000001</v>
      </c>
      <c r="G33" s="49" t="s">
        <v>2225</v>
      </c>
      <c r="H33" s="50"/>
    </row>
    <row r="34" spans="2:9" ht="15" customHeight="1" x14ac:dyDescent="0.2">
      <c r="B34" s="52" t="s">
        <v>2062</v>
      </c>
      <c r="C34" s="53"/>
      <c r="D34" s="53"/>
      <c r="E34" s="54">
        <v>810</v>
      </c>
      <c r="F34" s="55">
        <v>112472.79300000001</v>
      </c>
      <c r="G34" s="53"/>
      <c r="H34" s="53"/>
    </row>
    <row r="37" spans="2:9" ht="21.75" customHeight="1" x14ac:dyDescent="0.2">
      <c r="B37" s="201" t="s">
        <v>2226</v>
      </c>
      <c r="C37" s="201"/>
      <c r="D37" s="201"/>
      <c r="E37" s="201"/>
      <c r="F37" s="201"/>
      <c r="G37" s="201"/>
      <c r="H37" s="201"/>
      <c r="I37" s="201"/>
    </row>
    <row r="38" spans="2:9" ht="31.5" customHeight="1" x14ac:dyDescent="0.2">
      <c r="B38" s="34" t="s">
        <v>2100</v>
      </c>
      <c r="C38" s="34" t="s">
        <v>2093</v>
      </c>
      <c r="D38" s="34" t="s">
        <v>2217</v>
      </c>
      <c r="E38" s="34" t="s">
        <v>2218</v>
      </c>
      <c r="F38" s="34" t="s">
        <v>2227</v>
      </c>
      <c r="G38" s="34" t="s">
        <v>2228</v>
      </c>
      <c r="H38" s="34" t="s">
        <v>2229</v>
      </c>
      <c r="I38" s="34" t="s">
        <v>2221</v>
      </c>
    </row>
    <row r="39" spans="2:9" ht="15" customHeight="1" x14ac:dyDescent="0.2">
      <c r="B39" s="35" t="s">
        <v>1585</v>
      </c>
      <c r="C39" s="36" t="s">
        <v>28</v>
      </c>
      <c r="D39" s="46" t="s">
        <v>29</v>
      </c>
      <c r="E39" s="47">
        <v>105</v>
      </c>
      <c r="F39" s="82">
        <v>8082.0358500000002</v>
      </c>
      <c r="G39" s="82">
        <v>14579.806500000001</v>
      </c>
      <c r="H39" s="83">
        <v>6497.7706500000004</v>
      </c>
      <c r="I39" s="84" t="s">
        <v>2230</v>
      </c>
    </row>
    <row r="40" spans="2:9" ht="15" customHeight="1" x14ac:dyDescent="0.2">
      <c r="B40" s="35" t="s">
        <v>218</v>
      </c>
      <c r="C40" s="36" t="s">
        <v>157</v>
      </c>
      <c r="D40" s="51" t="s">
        <v>47</v>
      </c>
      <c r="E40" s="47">
        <v>350</v>
      </c>
      <c r="F40" s="56">
        <v>13175.014999999999</v>
      </c>
      <c r="G40" s="56">
        <v>48599.355000000003</v>
      </c>
      <c r="H40" s="57">
        <v>35424.339999999997</v>
      </c>
      <c r="I40" s="50"/>
    </row>
    <row r="41" spans="2:9" ht="15" customHeight="1" x14ac:dyDescent="0.2">
      <c r="B41" s="35" t="s">
        <v>128</v>
      </c>
      <c r="C41" s="36" t="s">
        <v>134</v>
      </c>
      <c r="D41" s="51" t="s">
        <v>47</v>
      </c>
      <c r="E41" s="47">
        <v>300</v>
      </c>
      <c r="F41" s="56">
        <v>11292.87</v>
      </c>
      <c r="G41" s="56">
        <v>41656.589999999997</v>
      </c>
      <c r="H41" s="57">
        <v>30363.72</v>
      </c>
      <c r="I41" s="50"/>
    </row>
    <row r="42" spans="2:9" ht="15" customHeight="1" x14ac:dyDescent="0.2">
      <c r="B42" s="35" t="s">
        <v>202</v>
      </c>
      <c r="C42" s="36" t="s">
        <v>28</v>
      </c>
      <c r="D42" s="46" t="s">
        <v>29</v>
      </c>
      <c r="E42" s="47">
        <v>210</v>
      </c>
      <c r="F42" s="56">
        <v>16164.0717</v>
      </c>
      <c r="G42" s="56">
        <v>29159.613000000001</v>
      </c>
      <c r="H42" s="57">
        <v>12995.541300000001</v>
      </c>
      <c r="I42" s="50"/>
    </row>
    <row r="43" spans="2:9" ht="15" customHeight="1" x14ac:dyDescent="0.2">
      <c r="B43" s="35" t="s">
        <v>248</v>
      </c>
      <c r="C43" s="36" t="s">
        <v>28</v>
      </c>
      <c r="D43" s="46" t="s">
        <v>29</v>
      </c>
      <c r="E43" s="47">
        <v>10</v>
      </c>
      <c r="F43" s="56">
        <v>769.71770000000004</v>
      </c>
      <c r="G43" s="56">
        <v>1388.5530000000001</v>
      </c>
      <c r="H43" s="57">
        <v>618.83529999999996</v>
      </c>
      <c r="I43" s="58" t="s">
        <v>2231</v>
      </c>
    </row>
    <row r="44" spans="2:9" ht="15" customHeight="1" x14ac:dyDescent="0.2">
      <c r="B44" s="35" t="s">
        <v>160</v>
      </c>
      <c r="C44" s="36" t="s">
        <v>28</v>
      </c>
      <c r="D44" s="46" t="s">
        <v>29</v>
      </c>
      <c r="E44" s="47">
        <v>250</v>
      </c>
      <c r="F44" s="56">
        <v>19242.942500000001</v>
      </c>
      <c r="G44" s="56">
        <v>34713.824999999997</v>
      </c>
      <c r="H44" s="57">
        <v>15470.8825</v>
      </c>
      <c r="I44" s="50"/>
    </row>
    <row r="45" spans="2:9" ht="15" customHeight="1" x14ac:dyDescent="0.2">
      <c r="B45" s="35" t="s">
        <v>386</v>
      </c>
      <c r="C45" s="36" t="s">
        <v>182</v>
      </c>
      <c r="D45" s="51" t="s">
        <v>47</v>
      </c>
      <c r="E45" s="47">
        <v>450</v>
      </c>
      <c r="F45" s="56">
        <v>16939.305</v>
      </c>
      <c r="G45" s="56">
        <v>62484.885000000002</v>
      </c>
      <c r="H45" s="57">
        <v>45545.58</v>
      </c>
      <c r="I45" s="50"/>
    </row>
    <row r="46" spans="2:9" ht="15" customHeight="1" x14ac:dyDescent="0.2">
      <c r="B46" s="35" t="s">
        <v>418</v>
      </c>
      <c r="C46" s="36" t="s">
        <v>28</v>
      </c>
      <c r="D46" s="46" t="s">
        <v>29</v>
      </c>
      <c r="E46" s="47">
        <v>400</v>
      </c>
      <c r="F46" s="56">
        <v>30788.707999999999</v>
      </c>
      <c r="G46" s="56">
        <v>55542.12</v>
      </c>
      <c r="H46" s="57">
        <v>24753.412</v>
      </c>
      <c r="I46" s="50"/>
    </row>
    <row r="47" spans="2:9" ht="15" customHeight="1" x14ac:dyDescent="0.2">
      <c r="B47" s="35" t="s">
        <v>439</v>
      </c>
      <c r="C47" s="36" t="s">
        <v>28</v>
      </c>
      <c r="D47" s="46" t="s">
        <v>29</v>
      </c>
      <c r="E47" s="47">
        <v>150</v>
      </c>
      <c r="F47" s="56">
        <v>11545.7655</v>
      </c>
      <c r="G47" s="56">
        <v>20828.294999999998</v>
      </c>
      <c r="H47" s="57">
        <v>9282.5295000000006</v>
      </c>
      <c r="I47" s="50"/>
    </row>
    <row r="48" spans="2:9" ht="15" customHeight="1" x14ac:dyDescent="0.2">
      <c r="B48" s="52" t="s">
        <v>2062</v>
      </c>
      <c r="C48" s="53"/>
      <c r="D48" s="53"/>
      <c r="E48" s="54">
        <v>2225</v>
      </c>
      <c r="F48" s="55">
        <v>128000.43124999999</v>
      </c>
      <c r="G48" s="55">
        <v>308953.04249999998</v>
      </c>
      <c r="H48" s="55">
        <v>180952.61124999999</v>
      </c>
      <c r="I48" s="53"/>
    </row>
    <row r="51" spans="2:8" ht="21.75" customHeight="1" x14ac:dyDescent="0.2">
      <c r="B51" s="205" t="s">
        <v>2232</v>
      </c>
      <c r="C51" s="205"/>
      <c r="D51" s="205"/>
      <c r="E51" s="205"/>
      <c r="F51" s="205"/>
      <c r="G51" s="205"/>
      <c r="H51" s="205"/>
    </row>
    <row r="52" spans="2:8" ht="15" customHeight="1" x14ac:dyDescent="0.2">
      <c r="B52" s="59" t="s">
        <v>2100</v>
      </c>
      <c r="C52" s="59" t="s">
        <v>2093</v>
      </c>
      <c r="D52" s="59" t="s">
        <v>2233</v>
      </c>
      <c r="E52" s="59" t="s">
        <v>2218</v>
      </c>
      <c r="F52" s="206" t="s">
        <v>2234</v>
      </c>
      <c r="G52" s="206"/>
      <c r="H52" s="206"/>
    </row>
    <row r="53" spans="2:8" ht="21.75" customHeight="1" x14ac:dyDescent="0.2">
      <c r="B53" s="35" t="s">
        <v>1619</v>
      </c>
      <c r="C53" s="36" t="s">
        <v>134</v>
      </c>
      <c r="D53" s="36" t="s">
        <v>1627</v>
      </c>
      <c r="E53" s="47">
        <v>0</v>
      </c>
      <c r="F53" s="204" t="s">
        <v>2235</v>
      </c>
      <c r="G53" s="204"/>
      <c r="H53" s="204"/>
    </row>
  </sheetData>
  <mergeCells count="31">
    <mergeCell ref="B2:K2"/>
    <mergeCell ref="B3:K3"/>
    <mergeCell ref="B5:K5"/>
    <mergeCell ref="B6:D6"/>
    <mergeCell ref="E6:G6"/>
    <mergeCell ref="H6:I6"/>
    <mergeCell ref="J6:K6"/>
    <mergeCell ref="B7:D9"/>
    <mergeCell ref="E7:G9"/>
    <mergeCell ref="H7:I9"/>
    <mergeCell ref="J7:K9"/>
    <mergeCell ref="B10:K10"/>
    <mergeCell ref="B12:K12"/>
    <mergeCell ref="B13:C13"/>
    <mergeCell ref="D13:H13"/>
    <mergeCell ref="I13:K13"/>
    <mergeCell ref="B14:C14"/>
    <mergeCell ref="D14:H14"/>
    <mergeCell ref="I14:K14"/>
    <mergeCell ref="B15:C15"/>
    <mergeCell ref="D15:H15"/>
    <mergeCell ref="I15:K15"/>
    <mergeCell ref="B16:C16"/>
    <mergeCell ref="D16:H16"/>
    <mergeCell ref="I16:K16"/>
    <mergeCell ref="F53:H53"/>
    <mergeCell ref="B19:H19"/>
    <mergeCell ref="B31:H31"/>
    <mergeCell ref="B37:I37"/>
    <mergeCell ref="B51:H51"/>
    <mergeCell ref="F52:H5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I43"/>
  <sheetViews>
    <sheetView showGridLines="0" topLeftCell="A30" zoomScale="85" zoomScaleNormal="85" workbookViewId="0"/>
  </sheetViews>
  <sheetFormatPr baseColWidth="10" defaultColWidth="8.6640625" defaultRowHeight="15" x14ac:dyDescent="0.2"/>
  <cols>
    <col min="1" max="1" width="2" customWidth="1"/>
    <col min="2" max="2" width="5" customWidth="1"/>
    <col min="3" max="6" width="16" customWidth="1"/>
    <col min="7" max="7" width="24" customWidth="1"/>
    <col min="8" max="9" width="10" customWidth="1"/>
  </cols>
  <sheetData>
    <row r="2" spans="2:9" ht="25.5" customHeight="1" x14ac:dyDescent="0.2">
      <c r="B2" s="202" t="s">
        <v>2236</v>
      </c>
      <c r="C2" s="202"/>
      <c r="D2" s="202"/>
      <c r="E2" s="202"/>
      <c r="F2" s="202"/>
      <c r="G2" s="202"/>
      <c r="H2" s="202"/>
    </row>
    <row r="3" spans="2:9" ht="15" customHeight="1" x14ac:dyDescent="0.2">
      <c r="B3" s="203" t="s">
        <v>2237</v>
      </c>
      <c r="C3" s="203"/>
      <c r="D3" s="203"/>
      <c r="E3" s="203"/>
      <c r="F3" s="203"/>
      <c r="G3" s="203"/>
      <c r="H3" s="203"/>
    </row>
    <row r="5" spans="2:9" ht="15" customHeight="1" x14ac:dyDescent="0.2">
      <c r="B5" s="222" t="s">
        <v>2238</v>
      </c>
      <c r="C5" s="222"/>
      <c r="D5" s="222"/>
      <c r="E5" s="222"/>
      <c r="G5" s="205" t="s">
        <v>2239</v>
      </c>
      <c r="H5" s="205"/>
      <c r="I5" s="205"/>
    </row>
    <row r="6" spans="2:9" ht="15" customHeight="1" x14ac:dyDescent="0.2">
      <c r="B6" s="5" t="s">
        <v>2240</v>
      </c>
      <c r="C6" s="5" t="s">
        <v>2241</v>
      </c>
      <c r="D6" s="5" t="s">
        <v>2033</v>
      </c>
      <c r="E6" s="5" t="s">
        <v>2034</v>
      </c>
      <c r="G6" s="5" t="s">
        <v>2242</v>
      </c>
      <c r="H6" s="5" t="s">
        <v>2033</v>
      </c>
      <c r="I6" s="5" t="s">
        <v>2034</v>
      </c>
    </row>
    <row r="7" spans="2:9" ht="15" customHeight="1" x14ac:dyDescent="0.2">
      <c r="B7" s="60">
        <v>1</v>
      </c>
      <c r="C7" s="7" t="s">
        <v>801</v>
      </c>
      <c r="D7" s="60">
        <v>30</v>
      </c>
      <c r="E7" s="61">
        <v>0.16393442622950799</v>
      </c>
      <c r="G7" s="2" t="s">
        <v>777</v>
      </c>
      <c r="H7" s="3">
        <v>54</v>
      </c>
      <c r="I7" s="4">
        <v>0.29508196721311503</v>
      </c>
    </row>
    <row r="8" spans="2:9" ht="15" customHeight="1" x14ac:dyDescent="0.2">
      <c r="B8" s="60">
        <v>2</v>
      </c>
      <c r="C8" s="7" t="s">
        <v>312</v>
      </c>
      <c r="D8" s="60">
        <v>27</v>
      </c>
      <c r="E8" s="61">
        <v>0.14754098360655701</v>
      </c>
      <c r="G8" s="2" t="s">
        <v>1094</v>
      </c>
      <c r="H8" s="3">
        <v>10</v>
      </c>
      <c r="I8" s="4">
        <v>5.4644808743169397E-2</v>
      </c>
    </row>
    <row r="9" spans="2:9" ht="15" customHeight="1" x14ac:dyDescent="0.2">
      <c r="B9" s="60">
        <v>3</v>
      </c>
      <c r="C9" s="7" t="s">
        <v>884</v>
      </c>
      <c r="D9" s="60">
        <v>15</v>
      </c>
      <c r="E9" s="61">
        <v>8.1967213114754106E-2</v>
      </c>
      <c r="G9" s="2" t="s">
        <v>861</v>
      </c>
      <c r="H9" s="3">
        <v>7</v>
      </c>
      <c r="I9" s="4">
        <v>3.8251366120218601E-2</v>
      </c>
    </row>
    <row r="10" spans="2:9" ht="15" customHeight="1" x14ac:dyDescent="0.2">
      <c r="B10" s="3">
        <v>4</v>
      </c>
      <c r="C10" s="62" t="s">
        <v>876</v>
      </c>
      <c r="D10" s="3">
        <v>12</v>
      </c>
      <c r="E10" s="4">
        <v>6.5573770491803296E-2</v>
      </c>
      <c r="G10" s="2" t="s">
        <v>1455</v>
      </c>
      <c r="H10" s="3">
        <v>1</v>
      </c>
      <c r="I10" s="4">
        <v>5.4644808743169399E-3</v>
      </c>
    </row>
    <row r="11" spans="2:9" ht="15" customHeight="1" x14ac:dyDescent="0.2">
      <c r="B11" s="3">
        <v>5</v>
      </c>
      <c r="C11" s="62" t="s">
        <v>918</v>
      </c>
      <c r="D11" s="3">
        <v>6</v>
      </c>
      <c r="E11" s="4">
        <v>3.2786885245901599E-2</v>
      </c>
      <c r="G11" s="2" t="s">
        <v>845</v>
      </c>
      <c r="H11" s="3">
        <v>1</v>
      </c>
      <c r="I11" s="4">
        <v>5.4644808743169399E-3</v>
      </c>
    </row>
    <row r="12" spans="2:9" ht="15" customHeight="1" x14ac:dyDescent="0.2">
      <c r="B12" s="3">
        <v>6</v>
      </c>
      <c r="C12" s="62" t="s">
        <v>1024</v>
      </c>
      <c r="D12" s="3">
        <v>6</v>
      </c>
      <c r="E12" s="4">
        <v>3.2786885245901599E-2</v>
      </c>
    </row>
    <row r="13" spans="2:9" ht="15" customHeight="1" x14ac:dyDescent="0.2">
      <c r="B13" s="3">
        <v>7</v>
      </c>
      <c r="C13" s="62" t="s">
        <v>906</v>
      </c>
      <c r="D13" s="3">
        <v>4</v>
      </c>
      <c r="E13" s="4">
        <v>2.1857923497267801E-2</v>
      </c>
    </row>
    <row r="14" spans="2:9" ht="15" customHeight="1" x14ac:dyDescent="0.2">
      <c r="B14" s="3">
        <v>8</v>
      </c>
      <c r="C14" s="62" t="s">
        <v>895</v>
      </c>
      <c r="D14" s="3">
        <v>3</v>
      </c>
      <c r="E14" s="4">
        <v>1.63934426229508E-2</v>
      </c>
    </row>
    <row r="15" spans="2:9" ht="15" customHeight="1" x14ac:dyDescent="0.2">
      <c r="B15" s="3">
        <v>9</v>
      </c>
      <c r="C15" s="62" t="s">
        <v>1435</v>
      </c>
      <c r="D15" s="3">
        <v>2</v>
      </c>
      <c r="E15" s="4">
        <v>1.0928961748633901E-2</v>
      </c>
    </row>
    <row r="16" spans="2:9" ht="15" customHeight="1" x14ac:dyDescent="0.2">
      <c r="B16" s="3">
        <v>10</v>
      </c>
      <c r="C16" s="62" t="s">
        <v>1359</v>
      </c>
      <c r="D16" s="3">
        <v>2</v>
      </c>
      <c r="E16" s="4">
        <v>1.0928961748633901E-2</v>
      </c>
    </row>
    <row r="17" spans="2:6" ht="15" customHeight="1" x14ac:dyDescent="0.2">
      <c r="B17" s="3">
        <v>11</v>
      </c>
      <c r="C17" s="62" t="s">
        <v>934</v>
      </c>
      <c r="D17" s="3">
        <v>1</v>
      </c>
      <c r="E17" s="4">
        <v>5.4644808743169399E-3</v>
      </c>
    </row>
    <row r="18" spans="2:6" ht="15" customHeight="1" x14ac:dyDescent="0.2">
      <c r="B18" s="3">
        <v>12</v>
      </c>
      <c r="C18" s="62" t="s">
        <v>2012</v>
      </c>
      <c r="D18" s="3">
        <v>1</v>
      </c>
      <c r="E18" s="4">
        <v>5.4644808743169399E-3</v>
      </c>
    </row>
    <row r="19" spans="2:6" ht="15" customHeight="1" x14ac:dyDescent="0.2">
      <c r="B19" s="3">
        <v>13</v>
      </c>
      <c r="C19" s="62" t="s">
        <v>818</v>
      </c>
      <c r="D19" s="3">
        <v>1</v>
      </c>
      <c r="E19" s="4">
        <v>5.4644808743169399E-3</v>
      </c>
    </row>
    <row r="20" spans="2:6" ht="15" customHeight="1" x14ac:dyDescent="0.2">
      <c r="B20" s="63"/>
      <c r="C20" s="64" t="s">
        <v>2243</v>
      </c>
      <c r="D20" s="65">
        <v>110</v>
      </c>
      <c r="E20" s="66">
        <v>0.60109289617486295</v>
      </c>
    </row>
    <row r="23" spans="2:6" ht="15" customHeight="1" x14ac:dyDescent="0.2">
      <c r="B23" s="222" t="s">
        <v>2244</v>
      </c>
      <c r="C23" s="222"/>
      <c r="D23" s="222"/>
      <c r="E23" s="222"/>
      <c r="F23" s="222"/>
    </row>
    <row r="24" spans="2:6" ht="15" customHeight="1" x14ac:dyDescent="0.2">
      <c r="B24" s="5" t="s">
        <v>2241</v>
      </c>
      <c r="C24" s="5" t="s">
        <v>1976</v>
      </c>
      <c r="D24" s="5" t="s">
        <v>774</v>
      </c>
      <c r="E24" s="5" t="s">
        <v>908</v>
      </c>
      <c r="F24" s="5" t="s">
        <v>2039</v>
      </c>
    </row>
    <row r="25" spans="2:6" ht="15" customHeight="1" x14ac:dyDescent="0.2">
      <c r="B25" s="2" t="s">
        <v>777</v>
      </c>
      <c r="C25" s="3">
        <v>0</v>
      </c>
      <c r="D25" s="3">
        <v>23</v>
      </c>
      <c r="E25" s="3">
        <v>31</v>
      </c>
      <c r="F25" s="6">
        <v>54</v>
      </c>
    </row>
    <row r="26" spans="2:6" ht="15" customHeight="1" x14ac:dyDescent="0.2">
      <c r="B26" s="2" t="s">
        <v>801</v>
      </c>
      <c r="C26" s="3">
        <v>0</v>
      </c>
      <c r="D26" s="3">
        <v>30</v>
      </c>
      <c r="E26" s="3">
        <v>0</v>
      </c>
      <c r="F26" s="6">
        <v>30</v>
      </c>
    </row>
    <row r="27" spans="2:6" ht="15" customHeight="1" x14ac:dyDescent="0.2">
      <c r="B27" s="2" t="s">
        <v>312</v>
      </c>
      <c r="C27" s="3">
        <v>0</v>
      </c>
      <c r="D27" s="3">
        <v>26</v>
      </c>
      <c r="E27" s="3">
        <v>1</v>
      </c>
      <c r="F27" s="6">
        <v>27</v>
      </c>
    </row>
    <row r="28" spans="2:6" ht="15" customHeight="1" x14ac:dyDescent="0.2">
      <c r="B28" s="2" t="s">
        <v>884</v>
      </c>
      <c r="C28" s="3">
        <v>0</v>
      </c>
      <c r="D28" s="3">
        <v>14</v>
      </c>
      <c r="E28" s="3">
        <v>1</v>
      </c>
      <c r="F28" s="6">
        <v>15</v>
      </c>
    </row>
    <row r="29" spans="2:6" ht="15" customHeight="1" x14ac:dyDescent="0.2">
      <c r="B29" s="2" t="s">
        <v>876</v>
      </c>
      <c r="C29" s="3">
        <v>0</v>
      </c>
      <c r="D29" s="3">
        <v>12</v>
      </c>
      <c r="E29" s="3">
        <v>0</v>
      </c>
      <c r="F29" s="6">
        <v>12</v>
      </c>
    </row>
    <row r="30" spans="2:6" ht="15" customHeight="1" x14ac:dyDescent="0.2">
      <c r="B30" s="2" t="s">
        <v>1094</v>
      </c>
      <c r="C30" s="3">
        <v>0</v>
      </c>
      <c r="D30" s="3">
        <v>10</v>
      </c>
      <c r="E30" s="3">
        <v>0</v>
      </c>
      <c r="F30" s="6">
        <v>10</v>
      </c>
    </row>
    <row r="31" spans="2:6" ht="15" customHeight="1" x14ac:dyDescent="0.2">
      <c r="B31" s="2" t="s">
        <v>861</v>
      </c>
      <c r="C31" s="3">
        <v>0</v>
      </c>
      <c r="D31" s="3">
        <v>6</v>
      </c>
      <c r="E31" s="3">
        <v>1</v>
      </c>
      <c r="F31" s="6">
        <v>7</v>
      </c>
    </row>
    <row r="32" spans="2:6" ht="15" customHeight="1" x14ac:dyDescent="0.2">
      <c r="B32" s="2" t="s">
        <v>1024</v>
      </c>
      <c r="C32" s="3">
        <v>0</v>
      </c>
      <c r="D32" s="3">
        <v>6</v>
      </c>
      <c r="E32" s="3">
        <v>0</v>
      </c>
      <c r="F32" s="6">
        <v>6</v>
      </c>
    </row>
    <row r="33" spans="2:6" ht="15" customHeight="1" x14ac:dyDescent="0.2">
      <c r="B33" s="2" t="s">
        <v>918</v>
      </c>
      <c r="C33" s="3">
        <v>0</v>
      </c>
      <c r="D33" s="3">
        <v>6</v>
      </c>
      <c r="E33" s="3">
        <v>0</v>
      </c>
      <c r="F33" s="6">
        <v>6</v>
      </c>
    </row>
    <row r="34" spans="2:6" ht="15" customHeight="1" x14ac:dyDescent="0.2">
      <c r="B34" s="2" t="s">
        <v>906</v>
      </c>
      <c r="C34" s="3">
        <v>0</v>
      </c>
      <c r="D34" s="3">
        <v>4</v>
      </c>
      <c r="E34" s="3">
        <v>0</v>
      </c>
      <c r="F34" s="6">
        <v>4</v>
      </c>
    </row>
    <row r="35" spans="2:6" ht="15" customHeight="1" x14ac:dyDescent="0.2">
      <c r="B35" s="2" t="s">
        <v>895</v>
      </c>
      <c r="C35" s="3">
        <v>1</v>
      </c>
      <c r="D35" s="3">
        <v>2</v>
      </c>
      <c r="E35" s="3">
        <v>0</v>
      </c>
      <c r="F35" s="6">
        <v>3</v>
      </c>
    </row>
    <row r="36" spans="2:6" ht="15" customHeight="1" x14ac:dyDescent="0.2">
      <c r="B36" s="2" t="s">
        <v>1435</v>
      </c>
      <c r="C36" s="3">
        <v>0</v>
      </c>
      <c r="D36" s="3">
        <v>2</v>
      </c>
      <c r="E36" s="3">
        <v>0</v>
      </c>
      <c r="F36" s="6">
        <v>2</v>
      </c>
    </row>
    <row r="37" spans="2:6" ht="15" customHeight="1" x14ac:dyDescent="0.2">
      <c r="B37" s="2" t="s">
        <v>1359</v>
      </c>
      <c r="C37" s="3">
        <v>0</v>
      </c>
      <c r="D37" s="3">
        <v>2</v>
      </c>
      <c r="E37" s="3">
        <v>0</v>
      </c>
      <c r="F37" s="6">
        <v>2</v>
      </c>
    </row>
    <row r="38" spans="2:6" ht="15" customHeight="1" x14ac:dyDescent="0.2">
      <c r="B38" s="2" t="s">
        <v>934</v>
      </c>
      <c r="C38" s="3">
        <v>0</v>
      </c>
      <c r="D38" s="3">
        <v>1</v>
      </c>
      <c r="E38" s="3">
        <v>0</v>
      </c>
      <c r="F38" s="6">
        <v>1</v>
      </c>
    </row>
    <row r="39" spans="2:6" ht="15" customHeight="1" x14ac:dyDescent="0.2">
      <c r="B39" s="2" t="s">
        <v>845</v>
      </c>
      <c r="C39" s="3">
        <v>0</v>
      </c>
      <c r="D39" s="3">
        <v>1</v>
      </c>
      <c r="E39" s="3">
        <v>0</v>
      </c>
      <c r="F39" s="6">
        <v>1</v>
      </c>
    </row>
    <row r="40" spans="2:6" ht="15" customHeight="1" x14ac:dyDescent="0.2">
      <c r="B40" s="2" t="s">
        <v>818</v>
      </c>
      <c r="C40" s="3">
        <v>0</v>
      </c>
      <c r="D40" s="3">
        <v>1</v>
      </c>
      <c r="E40" s="3">
        <v>0</v>
      </c>
      <c r="F40" s="6">
        <v>1</v>
      </c>
    </row>
    <row r="41" spans="2:6" ht="15" customHeight="1" x14ac:dyDescent="0.2">
      <c r="B41" s="2" t="s">
        <v>1455</v>
      </c>
      <c r="C41" s="3">
        <v>0</v>
      </c>
      <c r="D41" s="3">
        <v>1</v>
      </c>
      <c r="E41" s="3">
        <v>0</v>
      </c>
      <c r="F41" s="6">
        <v>1</v>
      </c>
    </row>
    <row r="42" spans="2:6" ht="15" customHeight="1" x14ac:dyDescent="0.2">
      <c r="B42" s="2" t="s">
        <v>2012</v>
      </c>
      <c r="C42" s="3">
        <v>0</v>
      </c>
      <c r="D42" s="3">
        <v>1</v>
      </c>
      <c r="E42" s="3">
        <v>0</v>
      </c>
      <c r="F42" s="6">
        <v>1</v>
      </c>
    </row>
    <row r="43" spans="2:6" ht="15" customHeight="1" x14ac:dyDescent="0.2">
      <c r="B43" s="7" t="s">
        <v>2039</v>
      </c>
      <c r="C43" s="6">
        <v>1</v>
      </c>
      <c r="D43" s="6">
        <v>148</v>
      </c>
      <c r="E43" s="6">
        <v>34</v>
      </c>
      <c r="F43" s="6">
        <v>183</v>
      </c>
    </row>
  </sheetData>
  <mergeCells count="5">
    <mergeCell ref="B2:H2"/>
    <mergeCell ref="B3:H3"/>
    <mergeCell ref="B5:E5"/>
    <mergeCell ref="G5:I5"/>
    <mergeCell ref="B23:F23"/>
  </mergeCells>
  <pageMargins left="0.75" right="0.75" top="1" bottom="1"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G51"/>
  <sheetViews>
    <sheetView showGridLines="0" zoomScaleNormal="100" workbookViewId="0"/>
  </sheetViews>
  <sheetFormatPr baseColWidth="10" defaultColWidth="8.6640625" defaultRowHeight="15" x14ac:dyDescent="0.2"/>
  <cols>
    <col min="1" max="1" width="2" customWidth="1"/>
    <col min="2" max="2" width="28" customWidth="1"/>
    <col min="3" max="11" width="16" customWidth="1"/>
  </cols>
  <sheetData>
    <row r="2" spans="2:6" ht="15" customHeight="1" x14ac:dyDescent="0.2">
      <c r="B2" s="201" t="s">
        <v>2245</v>
      </c>
      <c r="C2" s="201"/>
      <c r="D2" s="201"/>
      <c r="E2" s="201"/>
      <c r="F2" s="201"/>
    </row>
    <row r="3" spans="2:6" ht="15" customHeight="1" x14ac:dyDescent="0.2">
      <c r="B3" s="5" t="s">
        <v>2241</v>
      </c>
      <c r="C3" s="5" t="s">
        <v>1976</v>
      </c>
      <c r="D3" s="5" t="s">
        <v>774</v>
      </c>
      <c r="E3" s="5" t="s">
        <v>908</v>
      </c>
      <c r="F3" s="5" t="s">
        <v>2039</v>
      </c>
    </row>
    <row r="4" spans="2:6" ht="15" customHeight="1" x14ac:dyDescent="0.2">
      <c r="B4" s="2" t="s">
        <v>800</v>
      </c>
      <c r="C4" s="3">
        <v>0</v>
      </c>
      <c r="D4" s="3">
        <v>30</v>
      </c>
      <c r="E4" s="3">
        <v>0</v>
      </c>
      <c r="F4" s="6">
        <v>30</v>
      </c>
    </row>
    <row r="5" spans="2:6" ht="15" customHeight="1" x14ac:dyDescent="0.2">
      <c r="B5" s="2" t="s">
        <v>773</v>
      </c>
      <c r="C5" s="3">
        <v>1</v>
      </c>
      <c r="D5" s="3">
        <v>101</v>
      </c>
      <c r="E5" s="3">
        <v>34</v>
      </c>
      <c r="F5" s="6">
        <v>136</v>
      </c>
    </row>
    <row r="6" spans="2:6" ht="15" customHeight="1" x14ac:dyDescent="0.2">
      <c r="B6" s="2" t="s">
        <v>1177</v>
      </c>
      <c r="C6" s="3">
        <v>0</v>
      </c>
      <c r="D6" s="3">
        <v>2</v>
      </c>
      <c r="E6" s="3">
        <v>0</v>
      </c>
      <c r="F6" s="6">
        <v>2</v>
      </c>
    </row>
    <row r="7" spans="2:6" ht="15" customHeight="1" x14ac:dyDescent="0.2">
      <c r="B7" s="2" t="s">
        <v>848</v>
      </c>
      <c r="C7" s="3">
        <v>0</v>
      </c>
      <c r="D7" s="3">
        <v>3</v>
      </c>
      <c r="E7" s="3">
        <v>0</v>
      </c>
      <c r="F7" s="6">
        <v>3</v>
      </c>
    </row>
    <row r="8" spans="2:6" ht="15" customHeight="1" x14ac:dyDescent="0.2">
      <c r="B8" s="2" t="s">
        <v>786</v>
      </c>
      <c r="C8" s="3">
        <v>0</v>
      </c>
      <c r="D8" s="3">
        <v>12</v>
      </c>
      <c r="E8" s="3">
        <v>0</v>
      </c>
      <c r="F8" s="6">
        <v>12</v>
      </c>
    </row>
    <row r="9" spans="2:6" ht="15" customHeight="1" x14ac:dyDescent="0.2">
      <c r="B9" s="7" t="s">
        <v>2039</v>
      </c>
      <c r="C9" s="6">
        <v>1</v>
      </c>
      <c r="D9" s="6">
        <v>148</v>
      </c>
      <c r="E9" s="6">
        <v>34</v>
      </c>
      <c r="F9" s="6">
        <v>183</v>
      </c>
    </row>
    <row r="13" spans="2:6" ht="15" customHeight="1" x14ac:dyDescent="0.2">
      <c r="B13" s="201" t="s">
        <v>2246</v>
      </c>
      <c r="C13" s="201"/>
      <c r="D13" s="201"/>
      <c r="E13" s="201"/>
      <c r="F13" s="201"/>
    </row>
    <row r="14" spans="2:6" ht="15" customHeight="1" x14ac:dyDescent="0.2">
      <c r="B14" s="5" t="s">
        <v>2038</v>
      </c>
      <c r="C14" s="5" t="s">
        <v>1976</v>
      </c>
      <c r="D14" s="5" t="s">
        <v>774</v>
      </c>
      <c r="E14" s="5" t="s">
        <v>908</v>
      </c>
      <c r="F14" s="5" t="s">
        <v>2039</v>
      </c>
    </row>
    <row r="15" spans="2:6" ht="15" customHeight="1" x14ac:dyDescent="0.2">
      <c r="B15" s="2" t="s">
        <v>776</v>
      </c>
      <c r="C15" s="3">
        <v>0</v>
      </c>
      <c r="D15" s="3">
        <v>19</v>
      </c>
      <c r="E15" s="3">
        <v>1</v>
      </c>
      <c r="F15" s="6">
        <v>20</v>
      </c>
    </row>
    <row r="16" spans="2:6" ht="15" customHeight="1" x14ac:dyDescent="0.2">
      <c r="B16" s="2" t="s">
        <v>1454</v>
      </c>
      <c r="C16" s="3">
        <v>0</v>
      </c>
      <c r="D16" s="3">
        <v>2</v>
      </c>
      <c r="E16" s="3">
        <v>0</v>
      </c>
      <c r="F16" s="6">
        <v>2</v>
      </c>
    </row>
    <row r="17" spans="2:7" ht="15" customHeight="1" x14ac:dyDescent="0.2">
      <c r="B17" s="2" t="s">
        <v>802</v>
      </c>
      <c r="C17" s="3">
        <v>1</v>
      </c>
      <c r="D17" s="3">
        <v>104</v>
      </c>
      <c r="E17" s="3">
        <v>2</v>
      </c>
      <c r="F17" s="6">
        <v>107</v>
      </c>
    </row>
    <row r="18" spans="2:7" ht="15" customHeight="1" x14ac:dyDescent="0.2">
      <c r="B18" s="2" t="s">
        <v>788</v>
      </c>
      <c r="C18" s="3">
        <v>0</v>
      </c>
      <c r="D18" s="3">
        <v>23</v>
      </c>
      <c r="E18" s="3">
        <v>31</v>
      </c>
      <c r="F18" s="6">
        <v>54</v>
      </c>
    </row>
    <row r="19" spans="2:7" ht="15" customHeight="1" x14ac:dyDescent="0.2">
      <c r="B19" s="7" t="s">
        <v>2039</v>
      </c>
      <c r="C19" s="6">
        <v>1</v>
      </c>
      <c r="D19" s="6">
        <v>148</v>
      </c>
      <c r="E19" s="6">
        <v>34</v>
      </c>
      <c r="F19" s="6">
        <v>183</v>
      </c>
    </row>
    <row r="23" spans="2:7" ht="15" customHeight="1" x14ac:dyDescent="0.2">
      <c r="B23" s="201" t="s">
        <v>2247</v>
      </c>
      <c r="C23" s="201"/>
      <c r="D23" s="201"/>
      <c r="E23" s="201"/>
      <c r="F23" s="201"/>
      <c r="G23" s="201"/>
    </row>
    <row r="24" spans="2:7" ht="15" customHeight="1" x14ac:dyDescent="0.2">
      <c r="B24" s="5" t="s">
        <v>2241</v>
      </c>
      <c r="C24" s="5" t="s">
        <v>776</v>
      </c>
      <c r="D24" s="5" t="s">
        <v>1454</v>
      </c>
      <c r="E24" s="5" t="s">
        <v>802</v>
      </c>
      <c r="F24" s="5" t="s">
        <v>788</v>
      </c>
      <c r="G24" s="5" t="s">
        <v>2039</v>
      </c>
    </row>
    <row r="25" spans="2:7" ht="15" customHeight="1" x14ac:dyDescent="0.2">
      <c r="B25" s="2" t="s">
        <v>800</v>
      </c>
      <c r="C25" s="3">
        <v>0</v>
      </c>
      <c r="D25" s="3">
        <v>0</v>
      </c>
      <c r="E25" s="3">
        <v>30</v>
      </c>
      <c r="F25" s="3">
        <v>0</v>
      </c>
      <c r="G25" s="6">
        <v>30</v>
      </c>
    </row>
    <row r="26" spans="2:7" ht="15" customHeight="1" x14ac:dyDescent="0.2">
      <c r="B26" s="2" t="s">
        <v>773</v>
      </c>
      <c r="C26" s="3">
        <v>14</v>
      </c>
      <c r="D26" s="3">
        <v>2</v>
      </c>
      <c r="E26" s="3">
        <v>76</v>
      </c>
      <c r="F26" s="3">
        <v>44</v>
      </c>
      <c r="G26" s="6">
        <v>136</v>
      </c>
    </row>
    <row r="27" spans="2:7" ht="15" customHeight="1" x14ac:dyDescent="0.2">
      <c r="B27" s="2" t="s">
        <v>1177</v>
      </c>
      <c r="C27" s="3">
        <v>1</v>
      </c>
      <c r="D27" s="3">
        <v>0</v>
      </c>
      <c r="E27" s="3">
        <v>0</v>
      </c>
      <c r="F27" s="3">
        <v>1</v>
      </c>
      <c r="G27" s="6">
        <v>2</v>
      </c>
    </row>
    <row r="28" spans="2:7" ht="15" customHeight="1" x14ac:dyDescent="0.2">
      <c r="B28" s="2" t="s">
        <v>848</v>
      </c>
      <c r="C28" s="3">
        <v>2</v>
      </c>
      <c r="D28" s="3">
        <v>0</v>
      </c>
      <c r="E28" s="3">
        <v>0</v>
      </c>
      <c r="F28" s="3">
        <v>1</v>
      </c>
      <c r="G28" s="6">
        <v>3</v>
      </c>
    </row>
    <row r="29" spans="2:7" ht="15" customHeight="1" x14ac:dyDescent="0.2">
      <c r="B29" s="2" t="s">
        <v>786</v>
      </c>
      <c r="C29" s="3">
        <v>3</v>
      </c>
      <c r="D29" s="3">
        <v>0</v>
      </c>
      <c r="E29" s="3">
        <v>1</v>
      </c>
      <c r="F29" s="3">
        <v>8</v>
      </c>
      <c r="G29" s="6">
        <v>12</v>
      </c>
    </row>
    <row r="30" spans="2:7" ht="15" customHeight="1" x14ac:dyDescent="0.2">
      <c r="B30" s="7" t="s">
        <v>2039</v>
      </c>
      <c r="C30" s="6">
        <v>20</v>
      </c>
      <c r="D30" s="6">
        <v>2</v>
      </c>
      <c r="E30" s="6">
        <v>107</v>
      </c>
      <c r="F30" s="6">
        <v>54</v>
      </c>
      <c r="G30" s="6">
        <v>183</v>
      </c>
    </row>
    <row r="34" spans="2:5" ht="15" customHeight="1" x14ac:dyDescent="0.2">
      <c r="B34" s="201" t="s">
        <v>2248</v>
      </c>
      <c r="C34" s="201"/>
      <c r="D34" s="201"/>
      <c r="E34" s="201"/>
    </row>
    <row r="35" spans="2:5" ht="15" customHeight="1" x14ac:dyDescent="0.2">
      <c r="B35" s="5" t="s">
        <v>2103</v>
      </c>
      <c r="C35" s="5" t="s">
        <v>774</v>
      </c>
      <c r="D35" s="5" t="s">
        <v>908</v>
      </c>
      <c r="E35" s="5" t="s">
        <v>2039</v>
      </c>
    </row>
    <row r="36" spans="2:5" ht="15" customHeight="1" x14ac:dyDescent="0.2">
      <c r="B36" s="2" t="s">
        <v>89</v>
      </c>
      <c r="C36" s="3">
        <v>1</v>
      </c>
      <c r="D36" s="3">
        <v>0</v>
      </c>
      <c r="E36" s="6">
        <v>1</v>
      </c>
    </row>
    <row r="37" spans="2:5" ht="15" customHeight="1" x14ac:dyDescent="0.2">
      <c r="B37" s="2" t="s">
        <v>78</v>
      </c>
      <c r="C37" s="3">
        <v>1</v>
      </c>
      <c r="D37" s="3">
        <v>0</v>
      </c>
      <c r="E37" s="6">
        <v>1</v>
      </c>
    </row>
    <row r="38" spans="2:5" ht="15" customHeight="1" x14ac:dyDescent="0.2">
      <c r="B38" s="2" t="s">
        <v>75</v>
      </c>
      <c r="C38" s="3">
        <v>1</v>
      </c>
      <c r="D38" s="3">
        <v>0</v>
      </c>
      <c r="E38" s="6">
        <v>1</v>
      </c>
    </row>
    <row r="39" spans="2:5" ht="15" customHeight="1" x14ac:dyDescent="0.2">
      <c r="B39" s="2" t="s">
        <v>66</v>
      </c>
      <c r="C39" s="3">
        <v>1</v>
      </c>
      <c r="D39" s="3">
        <v>0</v>
      </c>
      <c r="E39" s="6">
        <v>1</v>
      </c>
    </row>
    <row r="40" spans="2:5" ht="15" customHeight="1" x14ac:dyDescent="0.2">
      <c r="B40" s="2" t="s">
        <v>300</v>
      </c>
      <c r="C40" s="3">
        <v>8</v>
      </c>
      <c r="D40" s="3">
        <v>0</v>
      </c>
      <c r="E40" s="6">
        <v>8</v>
      </c>
    </row>
    <row r="41" spans="2:5" ht="15" customHeight="1" x14ac:dyDescent="0.2">
      <c r="B41" s="2" t="s">
        <v>1588</v>
      </c>
      <c r="C41" s="3">
        <v>1</v>
      </c>
      <c r="D41" s="3">
        <v>0</v>
      </c>
      <c r="E41" s="6">
        <v>1</v>
      </c>
    </row>
    <row r="42" spans="2:5" ht="15" customHeight="1" x14ac:dyDescent="0.2">
      <c r="B42" s="2" t="s">
        <v>1059</v>
      </c>
      <c r="C42" s="3">
        <v>2</v>
      </c>
      <c r="D42" s="3">
        <v>0</v>
      </c>
      <c r="E42" s="6">
        <v>2</v>
      </c>
    </row>
    <row r="43" spans="2:5" ht="15" customHeight="1" x14ac:dyDescent="0.2">
      <c r="B43" s="2" t="s">
        <v>156</v>
      </c>
      <c r="C43" s="3">
        <v>2</v>
      </c>
      <c r="D43" s="3">
        <v>0</v>
      </c>
      <c r="E43" s="6">
        <v>2</v>
      </c>
    </row>
    <row r="44" spans="2:5" ht="15" customHeight="1" x14ac:dyDescent="0.2">
      <c r="B44" s="2" t="s">
        <v>632</v>
      </c>
      <c r="C44" s="3">
        <v>1</v>
      </c>
      <c r="D44" s="3">
        <v>1</v>
      </c>
      <c r="E44" s="6">
        <v>2</v>
      </c>
    </row>
    <row r="45" spans="2:5" ht="15" customHeight="1" x14ac:dyDescent="0.2">
      <c r="B45" s="2" t="s">
        <v>200</v>
      </c>
      <c r="C45" s="3">
        <v>1</v>
      </c>
      <c r="D45" s="3">
        <v>0</v>
      </c>
      <c r="E45" s="6">
        <v>1</v>
      </c>
    </row>
    <row r="46" spans="2:5" ht="15" customHeight="1" x14ac:dyDescent="0.2">
      <c r="B46" s="2" t="s">
        <v>153</v>
      </c>
      <c r="C46" s="3">
        <v>1</v>
      </c>
      <c r="D46" s="3">
        <v>0</v>
      </c>
      <c r="E46" s="6">
        <v>1</v>
      </c>
    </row>
    <row r="47" spans="2:5" ht="15" customHeight="1" x14ac:dyDescent="0.2">
      <c r="B47" s="2" t="s">
        <v>488</v>
      </c>
      <c r="C47" s="3">
        <v>1</v>
      </c>
      <c r="D47" s="3">
        <v>1</v>
      </c>
      <c r="E47" s="6">
        <v>2</v>
      </c>
    </row>
    <row r="48" spans="2:5" ht="15" customHeight="1" x14ac:dyDescent="0.2">
      <c r="B48" s="2" t="s">
        <v>1778</v>
      </c>
      <c r="C48" s="3">
        <v>1</v>
      </c>
      <c r="D48" s="3">
        <v>1</v>
      </c>
      <c r="E48" s="6">
        <v>2</v>
      </c>
    </row>
    <row r="49" spans="2:5" ht="15" customHeight="1" x14ac:dyDescent="0.2">
      <c r="B49" s="2" t="s">
        <v>592</v>
      </c>
      <c r="C49" s="3">
        <v>2</v>
      </c>
      <c r="D49" s="3">
        <v>0</v>
      </c>
      <c r="E49" s="6">
        <v>2</v>
      </c>
    </row>
    <row r="50" spans="2:5" ht="15" customHeight="1" x14ac:dyDescent="0.2">
      <c r="B50" s="2" t="s">
        <v>127</v>
      </c>
      <c r="C50" s="3">
        <v>1</v>
      </c>
      <c r="D50" s="3">
        <v>0</v>
      </c>
      <c r="E50" s="6">
        <v>1</v>
      </c>
    </row>
    <row r="51" spans="2:5" ht="15" customHeight="1" x14ac:dyDescent="0.2">
      <c r="B51" s="7" t="s">
        <v>2039</v>
      </c>
      <c r="C51" s="6">
        <v>25</v>
      </c>
      <c r="D51" s="6">
        <v>3</v>
      </c>
      <c r="E51" s="6">
        <v>28</v>
      </c>
    </row>
  </sheetData>
  <mergeCells count="4">
    <mergeCell ref="B2:F2"/>
    <mergeCell ref="B13:F13"/>
    <mergeCell ref="B23:G23"/>
    <mergeCell ref="B34:E34"/>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4"/>
  <sheetViews>
    <sheetView showGridLines="0" zoomScaleNormal="100" workbookViewId="0">
      <pane ySplit="4" topLeftCell="A5" activePane="bottomLeft" state="frozen"/>
      <selection pane="bottomLeft" activeCell="H23" sqref="A23:H24"/>
    </sheetView>
  </sheetViews>
  <sheetFormatPr baseColWidth="10" defaultColWidth="8.6640625" defaultRowHeight="15" x14ac:dyDescent="0.2"/>
  <cols>
    <col min="1" max="1" width="22" customWidth="1"/>
    <col min="2" max="3" width="14" customWidth="1"/>
    <col min="4" max="4" width="16" customWidth="1"/>
    <col min="5" max="5" width="22" customWidth="1"/>
    <col min="6" max="6" width="18" customWidth="1"/>
    <col min="7" max="7" width="14" customWidth="1"/>
    <col min="8" max="8" width="30" customWidth="1"/>
  </cols>
  <sheetData>
    <row r="1" spans="1:8" ht="21.75" customHeight="1" x14ac:dyDescent="0.2">
      <c r="A1" s="223" t="s">
        <v>2249</v>
      </c>
      <c r="B1" s="223"/>
      <c r="C1" s="223"/>
      <c r="D1" s="223"/>
      <c r="E1" s="223"/>
      <c r="F1" s="223"/>
      <c r="G1" s="223"/>
      <c r="H1" s="223"/>
    </row>
    <row r="2" spans="1:8" ht="15" customHeight="1" x14ac:dyDescent="0.2">
      <c r="A2" s="224" t="s">
        <v>2250</v>
      </c>
      <c r="B2" s="224"/>
      <c r="C2" s="224"/>
      <c r="D2" s="224"/>
      <c r="E2" s="224"/>
      <c r="F2" s="224"/>
      <c r="G2" s="224"/>
      <c r="H2" s="224"/>
    </row>
    <row r="4" spans="1:8" ht="15" customHeight="1" x14ac:dyDescent="0.2">
      <c r="A4" s="5" t="s">
        <v>2182</v>
      </c>
      <c r="B4" s="5" t="s">
        <v>716</v>
      </c>
      <c r="C4" s="5" t="s">
        <v>718</v>
      </c>
      <c r="D4" s="5" t="s">
        <v>715</v>
      </c>
      <c r="E4" s="5" t="s">
        <v>749</v>
      </c>
      <c r="F4" s="5" t="s">
        <v>750</v>
      </c>
      <c r="G4" s="5" t="s">
        <v>752</v>
      </c>
      <c r="H4" s="5" t="s">
        <v>751</v>
      </c>
    </row>
    <row r="5" spans="1:8" ht="15" customHeight="1" x14ac:dyDescent="0.2">
      <c r="A5" s="73" t="s">
        <v>1530</v>
      </c>
      <c r="B5" s="73" t="s">
        <v>165</v>
      </c>
      <c r="C5" s="73" t="s">
        <v>300</v>
      </c>
      <c r="D5" s="73" t="s">
        <v>300</v>
      </c>
      <c r="E5" s="73" t="s">
        <v>800</v>
      </c>
      <c r="F5" s="73" t="s">
        <v>774</v>
      </c>
      <c r="G5" s="73" t="s">
        <v>802</v>
      </c>
      <c r="H5" s="73" t="s">
        <v>801</v>
      </c>
    </row>
    <row r="6" spans="1:8" ht="15" customHeight="1" x14ac:dyDescent="0.2">
      <c r="A6" s="73" t="s">
        <v>1574</v>
      </c>
      <c r="B6" s="73" t="s">
        <v>165</v>
      </c>
      <c r="C6" s="73" t="s">
        <v>300</v>
      </c>
      <c r="D6" s="73" t="s">
        <v>300</v>
      </c>
      <c r="E6" s="73" t="s">
        <v>800</v>
      </c>
      <c r="F6" s="73" t="s">
        <v>774</v>
      </c>
      <c r="G6" s="73" t="s">
        <v>802</v>
      </c>
      <c r="H6" s="73" t="s">
        <v>801</v>
      </c>
    </row>
    <row r="7" spans="1:8" ht="15" customHeight="1" x14ac:dyDescent="0.2">
      <c r="A7" s="73" t="s">
        <v>299</v>
      </c>
      <c r="B7" s="73" t="s">
        <v>165</v>
      </c>
      <c r="C7" s="73" t="s">
        <v>300</v>
      </c>
      <c r="D7" s="73" t="s">
        <v>300</v>
      </c>
      <c r="E7" s="73" t="s">
        <v>800</v>
      </c>
      <c r="F7" s="73" t="s">
        <v>774</v>
      </c>
      <c r="G7" s="73" t="s">
        <v>802</v>
      </c>
      <c r="H7" s="73" t="s">
        <v>801</v>
      </c>
    </row>
    <row r="8" spans="1:8" ht="15" customHeight="1" x14ac:dyDescent="0.2">
      <c r="A8" s="73" t="s">
        <v>1570</v>
      </c>
      <c r="B8" s="73" t="s">
        <v>165</v>
      </c>
      <c r="C8" s="73" t="s">
        <v>300</v>
      </c>
      <c r="D8" s="73" t="s">
        <v>300</v>
      </c>
      <c r="E8" s="73" t="s">
        <v>800</v>
      </c>
      <c r="F8" s="73" t="s">
        <v>774</v>
      </c>
      <c r="G8" s="73" t="s">
        <v>802</v>
      </c>
      <c r="H8" s="73" t="s">
        <v>801</v>
      </c>
    </row>
    <row r="9" spans="1:8" ht="15" customHeight="1" x14ac:dyDescent="0.2">
      <c r="A9" s="73" t="s">
        <v>1547</v>
      </c>
      <c r="B9" s="73" t="s">
        <v>165</v>
      </c>
      <c r="C9" s="73" t="s">
        <v>300</v>
      </c>
      <c r="D9" s="73" t="s">
        <v>300</v>
      </c>
      <c r="E9" s="73" t="s">
        <v>800</v>
      </c>
      <c r="F9" s="73" t="s">
        <v>774</v>
      </c>
      <c r="G9" s="73" t="s">
        <v>802</v>
      </c>
      <c r="H9" s="73" t="s">
        <v>801</v>
      </c>
    </row>
    <row r="10" spans="1:8" ht="15" customHeight="1" x14ac:dyDescent="0.2">
      <c r="A10" s="73" t="s">
        <v>1561</v>
      </c>
      <c r="B10" s="73" t="s">
        <v>165</v>
      </c>
      <c r="C10" s="73" t="s">
        <v>300</v>
      </c>
      <c r="D10" s="73" t="s">
        <v>300</v>
      </c>
      <c r="E10" s="73" t="s">
        <v>800</v>
      </c>
      <c r="F10" s="73" t="s">
        <v>774</v>
      </c>
      <c r="G10" s="73" t="s">
        <v>802</v>
      </c>
      <c r="H10" s="73" t="s">
        <v>801</v>
      </c>
    </row>
    <row r="11" spans="1:8" ht="15" customHeight="1" x14ac:dyDescent="0.2">
      <c r="A11" s="73" t="s">
        <v>1565</v>
      </c>
      <c r="B11" s="73" t="s">
        <v>165</v>
      </c>
      <c r="C11" s="73" t="s">
        <v>300</v>
      </c>
      <c r="D11" s="73" t="s">
        <v>300</v>
      </c>
      <c r="E11" s="73" t="s">
        <v>800</v>
      </c>
      <c r="F11" s="73" t="s">
        <v>774</v>
      </c>
      <c r="G11" s="73" t="s">
        <v>802</v>
      </c>
      <c r="H11" s="73" t="s">
        <v>801</v>
      </c>
    </row>
    <row r="12" spans="1:8" ht="15" customHeight="1" x14ac:dyDescent="0.2">
      <c r="A12" s="73" t="s">
        <v>1578</v>
      </c>
      <c r="B12" s="73" t="s">
        <v>165</v>
      </c>
      <c r="C12" s="73" t="s">
        <v>300</v>
      </c>
      <c r="D12" s="73" t="s">
        <v>300</v>
      </c>
      <c r="E12" s="73" t="s">
        <v>800</v>
      </c>
      <c r="F12" s="73" t="s">
        <v>774</v>
      </c>
      <c r="G12" s="73" t="s">
        <v>802</v>
      </c>
      <c r="H12" s="73" t="s">
        <v>801</v>
      </c>
    </row>
    <row r="13" spans="1:8" ht="15" customHeight="1" x14ac:dyDescent="0.2">
      <c r="A13" s="74" t="s">
        <v>1775</v>
      </c>
      <c r="B13" s="74" t="s">
        <v>462</v>
      </c>
      <c r="C13" s="74" t="s">
        <v>1779</v>
      </c>
      <c r="D13" s="74" t="s">
        <v>1778</v>
      </c>
      <c r="E13" s="74" t="s">
        <v>773</v>
      </c>
      <c r="F13" s="74" t="s">
        <v>774</v>
      </c>
      <c r="G13" s="74" t="s">
        <v>802</v>
      </c>
      <c r="H13" s="74" t="s">
        <v>312</v>
      </c>
    </row>
    <row r="14" spans="1:8" ht="15" customHeight="1" x14ac:dyDescent="0.2">
      <c r="A14" s="74" t="s">
        <v>1964</v>
      </c>
      <c r="B14" s="74" t="s">
        <v>462</v>
      </c>
      <c r="C14" s="74" t="s">
        <v>1779</v>
      </c>
      <c r="D14" s="74" t="s">
        <v>1778</v>
      </c>
      <c r="E14" s="74" t="s">
        <v>773</v>
      </c>
      <c r="F14" s="74" t="s">
        <v>908</v>
      </c>
      <c r="G14" s="74" t="s">
        <v>776</v>
      </c>
      <c r="H14" s="74" t="s">
        <v>1969</v>
      </c>
    </row>
    <row r="15" spans="1:8" ht="15" customHeight="1" x14ac:dyDescent="0.2">
      <c r="A15" s="73" t="s">
        <v>154</v>
      </c>
      <c r="B15" s="73" t="s">
        <v>155</v>
      </c>
      <c r="C15" s="73" t="s">
        <v>156</v>
      </c>
      <c r="D15" s="73" t="s">
        <v>156</v>
      </c>
      <c r="E15" s="73" t="s">
        <v>800</v>
      </c>
      <c r="F15" s="73" t="s">
        <v>774</v>
      </c>
      <c r="G15" s="73" t="s">
        <v>802</v>
      </c>
      <c r="H15" s="73" t="s">
        <v>801</v>
      </c>
    </row>
    <row r="16" spans="1:8" ht="15" customHeight="1" x14ac:dyDescent="0.2">
      <c r="A16" s="73" t="s">
        <v>409</v>
      </c>
      <c r="B16" s="73" t="s">
        <v>155</v>
      </c>
      <c r="C16" s="73" t="s">
        <v>156</v>
      </c>
      <c r="D16" s="73" t="s">
        <v>156</v>
      </c>
      <c r="E16" s="73" t="s">
        <v>800</v>
      </c>
      <c r="F16" s="73" t="s">
        <v>774</v>
      </c>
      <c r="G16" s="73" t="s">
        <v>802</v>
      </c>
      <c r="H16" s="73" t="s">
        <v>801</v>
      </c>
    </row>
    <row r="17" spans="1:8" ht="15" customHeight="1" x14ac:dyDescent="0.2">
      <c r="A17" s="74" t="s">
        <v>1370</v>
      </c>
      <c r="B17" s="74" t="s">
        <v>287</v>
      </c>
      <c r="C17" s="74" t="s">
        <v>1059</v>
      </c>
      <c r="D17" s="74" t="s">
        <v>1059</v>
      </c>
      <c r="E17" s="74" t="s">
        <v>800</v>
      </c>
      <c r="F17" s="74" t="s">
        <v>774</v>
      </c>
      <c r="G17" s="74" t="s">
        <v>802</v>
      </c>
      <c r="H17" s="74" t="s">
        <v>801</v>
      </c>
    </row>
    <row r="18" spans="1:8" ht="15" customHeight="1" x14ac:dyDescent="0.2">
      <c r="A18" s="74" t="s">
        <v>1056</v>
      </c>
      <c r="B18" s="74" t="s">
        <v>287</v>
      </c>
      <c r="C18" s="74" t="s">
        <v>1059</v>
      </c>
      <c r="D18" s="74" t="s">
        <v>1059</v>
      </c>
      <c r="E18" s="74" t="s">
        <v>800</v>
      </c>
      <c r="F18" s="74" t="s">
        <v>774</v>
      </c>
      <c r="G18" s="74" t="s">
        <v>802</v>
      </c>
      <c r="H18" s="74" t="s">
        <v>801</v>
      </c>
    </row>
    <row r="19" spans="1:8" ht="15" customHeight="1" x14ac:dyDescent="0.2">
      <c r="A19" s="73" t="s">
        <v>849</v>
      </c>
      <c r="B19" s="73" t="s">
        <v>449</v>
      </c>
      <c r="C19" s="73" t="s">
        <v>478</v>
      </c>
      <c r="D19" s="73" t="s">
        <v>852</v>
      </c>
      <c r="E19" s="73" t="s">
        <v>848</v>
      </c>
      <c r="F19" s="73" t="s">
        <v>774</v>
      </c>
      <c r="G19" s="73" t="s">
        <v>776</v>
      </c>
      <c r="H19" s="73" t="s">
        <v>860</v>
      </c>
    </row>
    <row r="20" spans="1:8" ht="15" customHeight="1" x14ac:dyDescent="0.2">
      <c r="A20" s="73" t="s">
        <v>477</v>
      </c>
      <c r="B20" s="73" t="s">
        <v>449</v>
      </c>
      <c r="C20" s="73" t="s">
        <v>478</v>
      </c>
      <c r="D20" s="73" t="s">
        <v>478</v>
      </c>
      <c r="E20" s="73" t="s">
        <v>786</v>
      </c>
      <c r="F20" s="73" t="s">
        <v>774</v>
      </c>
      <c r="G20" s="73" t="s">
        <v>788</v>
      </c>
      <c r="H20" s="73" t="s">
        <v>787</v>
      </c>
    </row>
    <row r="21" spans="1:8" ht="15" customHeight="1" x14ac:dyDescent="0.2">
      <c r="A21" s="74" t="s">
        <v>591</v>
      </c>
      <c r="B21" s="74" t="s">
        <v>92</v>
      </c>
      <c r="C21" s="74" t="s">
        <v>592</v>
      </c>
      <c r="D21" s="74" t="s">
        <v>592</v>
      </c>
      <c r="E21" s="74" t="s">
        <v>786</v>
      </c>
      <c r="F21" s="74" t="s">
        <v>774</v>
      </c>
      <c r="G21" s="74" t="s">
        <v>788</v>
      </c>
      <c r="H21" s="74" t="s">
        <v>787</v>
      </c>
    </row>
    <row r="22" spans="1:8" ht="15" customHeight="1" x14ac:dyDescent="0.2">
      <c r="A22" s="74" t="s">
        <v>594</v>
      </c>
      <c r="B22" s="74" t="s">
        <v>92</v>
      </c>
      <c r="C22" s="74" t="s">
        <v>592</v>
      </c>
      <c r="D22" s="74" t="s">
        <v>592</v>
      </c>
      <c r="E22" s="74" t="s">
        <v>786</v>
      </c>
      <c r="F22" s="74" t="s">
        <v>774</v>
      </c>
      <c r="G22" s="74" t="s">
        <v>788</v>
      </c>
      <c r="H22" s="74" t="s">
        <v>787</v>
      </c>
    </row>
    <row r="23" spans="1:8" ht="15" customHeight="1" x14ac:dyDescent="0.2">
      <c r="A23" s="73" t="s">
        <v>630</v>
      </c>
      <c r="B23" s="73" t="s">
        <v>631</v>
      </c>
      <c r="C23" s="73" t="s">
        <v>632</v>
      </c>
      <c r="D23" s="73" t="s">
        <v>632</v>
      </c>
      <c r="E23" s="73" t="s">
        <v>773</v>
      </c>
      <c r="F23" s="73" t="s">
        <v>908</v>
      </c>
      <c r="G23" s="73" t="s">
        <v>788</v>
      </c>
      <c r="H23" s="73" t="s">
        <v>775</v>
      </c>
    </row>
    <row r="24" spans="1:8" ht="15" customHeight="1" x14ac:dyDescent="0.2">
      <c r="A24" s="73" t="s">
        <v>961</v>
      </c>
      <c r="B24" s="73" t="s">
        <v>631</v>
      </c>
      <c r="C24" s="73" t="s">
        <v>632</v>
      </c>
      <c r="D24" s="73" t="s">
        <v>632</v>
      </c>
      <c r="E24" s="73" t="s">
        <v>773</v>
      </c>
      <c r="F24" s="73" t="s">
        <v>774</v>
      </c>
      <c r="G24" s="73" t="s">
        <v>802</v>
      </c>
      <c r="H24" s="73" t="s">
        <v>926</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E9"/>
  <sheetViews>
    <sheetView showGridLines="0" zoomScaleNormal="100" workbookViewId="0">
      <selection activeCell="C6" sqref="C6:D7"/>
    </sheetView>
  </sheetViews>
  <sheetFormatPr baseColWidth="10" defaultColWidth="8.6640625" defaultRowHeight="15" x14ac:dyDescent="0.2"/>
  <cols>
    <col min="1" max="1" width="2" customWidth="1"/>
    <col min="2" max="2" width="5" customWidth="1"/>
    <col min="3" max="3" width="16" customWidth="1"/>
    <col min="4" max="4" width="75" customWidth="1"/>
    <col min="5" max="5" width="14" customWidth="1"/>
  </cols>
  <sheetData>
    <row r="2" spans="2:5" ht="25.5" customHeight="1" x14ac:dyDescent="0.2">
      <c r="B2" s="225" t="s">
        <v>2251</v>
      </c>
      <c r="C2" s="225"/>
      <c r="D2" s="225"/>
      <c r="E2" s="225"/>
    </row>
    <row r="4" spans="2:5" ht="15" customHeight="1" x14ac:dyDescent="0.2">
      <c r="B4" s="5" t="s">
        <v>2240</v>
      </c>
      <c r="C4" s="5" t="s">
        <v>2032</v>
      </c>
      <c r="D4" s="5" t="s">
        <v>2252</v>
      </c>
      <c r="E4" s="5" t="s">
        <v>2253</v>
      </c>
    </row>
    <row r="5" spans="2:5" ht="37.5" customHeight="1" x14ac:dyDescent="0.2">
      <c r="B5" s="75" t="s">
        <v>1030</v>
      </c>
      <c r="C5" s="76" t="s">
        <v>788</v>
      </c>
      <c r="D5" s="77" t="s">
        <v>2254</v>
      </c>
      <c r="E5" s="78" t="s">
        <v>44</v>
      </c>
    </row>
    <row r="6" spans="2:5" ht="37.5" customHeight="1" x14ac:dyDescent="0.2">
      <c r="B6" s="75" t="s">
        <v>2255</v>
      </c>
      <c r="C6" s="76" t="s">
        <v>2028</v>
      </c>
      <c r="D6" s="77" t="s">
        <v>2256</v>
      </c>
      <c r="E6" s="78" t="s">
        <v>44</v>
      </c>
    </row>
    <row r="7" spans="2:5" ht="37.5" customHeight="1" x14ac:dyDescent="0.2">
      <c r="B7" s="75" t="s">
        <v>2257</v>
      </c>
      <c r="C7" s="76" t="s">
        <v>802</v>
      </c>
      <c r="D7" s="77" t="s">
        <v>2258</v>
      </c>
      <c r="E7" s="79" t="s">
        <v>2259</v>
      </c>
    </row>
    <row r="8" spans="2:5" ht="37.5" customHeight="1" x14ac:dyDescent="0.2">
      <c r="B8" s="75" t="s">
        <v>2260</v>
      </c>
      <c r="C8" s="76" t="s">
        <v>776</v>
      </c>
      <c r="D8" s="77" t="s">
        <v>2261</v>
      </c>
      <c r="E8" s="79" t="s">
        <v>2259</v>
      </c>
    </row>
    <row r="9" spans="2:5" ht="37.5" customHeight="1" x14ac:dyDescent="0.2">
      <c r="B9" s="75" t="s">
        <v>1037</v>
      </c>
      <c r="C9" s="76" t="s">
        <v>1454</v>
      </c>
      <c r="D9" s="77" t="s">
        <v>2262</v>
      </c>
      <c r="E9" s="80" t="s">
        <v>375</v>
      </c>
    </row>
  </sheetData>
  <mergeCells count="1">
    <mergeCell ref="B2:E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88EA7-A9CE-47CD-A0E0-913D349D1121}">
  <dimension ref="A1:R19"/>
  <sheetViews>
    <sheetView zoomScale="55" zoomScaleNormal="55" workbookViewId="0">
      <selection activeCell="O10" sqref="O10"/>
    </sheetView>
  </sheetViews>
  <sheetFormatPr baseColWidth="10" defaultColWidth="8.83203125" defaultRowHeight="15" x14ac:dyDescent="0.2"/>
  <cols>
    <col min="1" max="1" width="8.6640625" bestFit="1" customWidth="1"/>
    <col min="2" max="2" width="15.83203125" bestFit="1" customWidth="1"/>
    <col min="3" max="3" width="7.33203125" bestFit="1" customWidth="1"/>
    <col min="6" max="6" width="8.83203125" bestFit="1" customWidth="1"/>
    <col min="8" max="8" width="23.1640625" bestFit="1" customWidth="1"/>
    <col min="9" max="9" width="25" bestFit="1" customWidth="1"/>
    <col min="10" max="10" width="11" bestFit="1" customWidth="1"/>
    <col min="11" max="11" width="9" bestFit="1" customWidth="1"/>
    <col min="12" max="12" width="7" bestFit="1" customWidth="1"/>
    <col min="13" max="13" width="9.6640625" bestFit="1" customWidth="1"/>
    <col min="14" max="14" width="10.6640625" bestFit="1" customWidth="1"/>
    <col min="15" max="15" width="94.5" bestFit="1" customWidth="1"/>
    <col min="16" max="16" width="11.6640625" bestFit="1" customWidth="1"/>
    <col min="17" max="17" width="15.6640625" bestFit="1" customWidth="1"/>
    <col min="18" max="18" width="29.5" bestFit="1" customWidth="1"/>
  </cols>
  <sheetData>
    <row r="1" spans="1:18" ht="48" x14ac:dyDescent="0.2">
      <c r="A1" s="146" t="s">
        <v>2241</v>
      </c>
      <c r="B1" s="146" t="s">
        <v>2263</v>
      </c>
      <c r="C1" s="146" t="s">
        <v>2264</v>
      </c>
      <c r="D1" s="146" t="s">
        <v>2093</v>
      </c>
      <c r="E1" s="146" t="s">
        <v>2265</v>
      </c>
      <c r="F1" s="146" t="s">
        <v>2266</v>
      </c>
      <c r="G1" s="146" t="s">
        <v>2267</v>
      </c>
      <c r="H1" s="146" t="s">
        <v>2268</v>
      </c>
      <c r="I1" s="147" t="s">
        <v>2269</v>
      </c>
      <c r="J1" s="146" t="s">
        <v>2270</v>
      </c>
      <c r="K1" s="146" t="s">
        <v>2271</v>
      </c>
      <c r="L1" s="146" t="s">
        <v>2272</v>
      </c>
      <c r="M1" s="147" t="s">
        <v>2273</v>
      </c>
      <c r="N1" s="146" t="s">
        <v>2274</v>
      </c>
      <c r="O1" s="148" t="s">
        <v>2221</v>
      </c>
      <c r="P1" s="148"/>
      <c r="Q1" s="148" t="s">
        <v>2275</v>
      </c>
    </row>
    <row r="2" spans="1:18" ht="64" x14ac:dyDescent="0.2">
      <c r="A2" s="149" t="s">
        <v>2276</v>
      </c>
      <c r="B2" s="149">
        <v>7931610122</v>
      </c>
      <c r="C2" s="149">
        <v>13.8</v>
      </c>
      <c r="D2" s="149" t="s">
        <v>65</v>
      </c>
      <c r="E2" s="149" t="s">
        <v>2277</v>
      </c>
      <c r="F2" s="149" t="s">
        <v>2278</v>
      </c>
      <c r="G2" s="149" t="s">
        <v>2279</v>
      </c>
      <c r="H2" s="150" t="s">
        <v>2280</v>
      </c>
      <c r="I2" s="150"/>
      <c r="J2" s="151" t="s">
        <v>2281</v>
      </c>
      <c r="K2" s="151"/>
      <c r="L2" s="152"/>
      <c r="M2" s="153" t="s">
        <v>2282</v>
      </c>
      <c r="N2" s="152"/>
      <c r="O2" s="152"/>
      <c r="P2" s="150" t="str">
        <f>_xlfn.XLOOKUP(B2,[1]Pendentes!$D:$D,[1]Pendentes!$U:$U)</f>
        <v>Muito Alta</v>
      </c>
      <c r="Q2" s="150"/>
      <c r="R2" t="e">
        <f>_xlfn.XLOOKUP(B2,#REF!,#REF!)</f>
        <v>#REF!</v>
      </c>
    </row>
    <row r="3" spans="1:18" ht="64" x14ac:dyDescent="0.2">
      <c r="A3" s="149" t="s">
        <v>2276</v>
      </c>
      <c r="B3" s="149">
        <v>7900117013</v>
      </c>
      <c r="C3" s="149">
        <v>13.8</v>
      </c>
      <c r="D3" s="149" t="s">
        <v>102</v>
      </c>
      <c r="E3" s="149" t="s">
        <v>2283</v>
      </c>
      <c r="F3" s="149" t="s">
        <v>2284</v>
      </c>
      <c r="G3" s="149" t="s">
        <v>2285</v>
      </c>
      <c r="H3" s="150" t="s">
        <v>2286</v>
      </c>
      <c r="I3" s="150"/>
      <c r="J3" s="151" t="s">
        <v>2287</v>
      </c>
      <c r="K3" s="151"/>
      <c r="L3" s="152"/>
      <c r="M3" s="153" t="s">
        <v>2282</v>
      </c>
      <c r="N3" s="152"/>
      <c r="O3" s="152" t="s">
        <v>2288</v>
      </c>
      <c r="P3" s="150" t="str">
        <f>_xlfn.XLOOKUP(B3,[1]Pendentes!$D:$D,[1]Pendentes!$U:$U)</f>
        <v>Muito Alta</v>
      </c>
      <c r="Q3" s="150"/>
      <c r="R3" t="e">
        <f>_xlfn.XLOOKUP(B3,#REF!,#REF!)</f>
        <v>#REF!</v>
      </c>
    </row>
    <row r="4" spans="1:18" ht="64" x14ac:dyDescent="0.2">
      <c r="A4" s="149" t="s">
        <v>2276</v>
      </c>
      <c r="B4" s="149">
        <v>7908705049</v>
      </c>
      <c r="C4" s="149">
        <v>13.8</v>
      </c>
      <c r="D4" s="149" t="s">
        <v>366</v>
      </c>
      <c r="E4" s="149" t="s">
        <v>2289</v>
      </c>
      <c r="F4" s="149" t="s">
        <v>2290</v>
      </c>
      <c r="G4" s="149" t="s">
        <v>2291</v>
      </c>
      <c r="H4" s="150" t="s">
        <v>2292</v>
      </c>
      <c r="I4" s="150"/>
      <c r="J4" s="151" t="s">
        <v>2293</v>
      </c>
      <c r="K4" s="151"/>
      <c r="L4" s="152"/>
      <c r="M4" s="153" t="s">
        <v>2282</v>
      </c>
      <c r="N4" s="152"/>
      <c r="O4" s="152" t="s">
        <v>2294</v>
      </c>
      <c r="P4" s="150" t="str">
        <f>_xlfn.XLOOKUP(B4,[1]Pendentes!$D:$D,[1]Pendentes!$U:$U)</f>
        <v>Muito Alta</v>
      </c>
      <c r="Q4" s="150"/>
      <c r="R4" t="e">
        <f>_xlfn.XLOOKUP(B4,#REF!,#REF!)</f>
        <v>#REF!</v>
      </c>
    </row>
    <row r="5" spans="1:18" ht="64" x14ac:dyDescent="0.2">
      <c r="A5" s="149" t="s">
        <v>2276</v>
      </c>
      <c r="B5" s="149">
        <v>7933766059</v>
      </c>
      <c r="C5" s="149">
        <v>13.8</v>
      </c>
      <c r="D5" s="149" t="s">
        <v>2295</v>
      </c>
      <c r="E5" s="149" t="s">
        <v>2296</v>
      </c>
      <c r="F5" s="149" t="s">
        <v>2297</v>
      </c>
      <c r="G5" s="149" t="s">
        <v>2298</v>
      </c>
      <c r="H5" s="150" t="s">
        <v>2280</v>
      </c>
      <c r="I5" s="150"/>
      <c r="J5" s="151" t="s">
        <v>2299</v>
      </c>
      <c r="K5" s="151"/>
      <c r="L5" s="152"/>
      <c r="M5" s="153" t="s">
        <v>2282</v>
      </c>
      <c r="N5" s="152"/>
      <c r="O5" s="152"/>
      <c r="P5" s="150" t="str">
        <f>_xlfn.XLOOKUP(B5,[1]Pendentes!$D:$D,[1]Pendentes!$U:$U)</f>
        <v>Muito Alta</v>
      </c>
      <c r="Q5" s="150"/>
      <c r="R5" t="e">
        <f>_xlfn.XLOOKUP(B5,#REF!,#REF!)</f>
        <v>#REF!</v>
      </c>
    </row>
    <row r="6" spans="1:18" ht="64" x14ac:dyDescent="0.2">
      <c r="A6" s="149" t="s">
        <v>2276</v>
      </c>
      <c r="B6" s="149">
        <v>7957620015</v>
      </c>
      <c r="C6" s="149">
        <v>13.8</v>
      </c>
      <c r="D6" s="149" t="s">
        <v>169</v>
      </c>
      <c r="E6" s="149" t="s">
        <v>2300</v>
      </c>
      <c r="F6" s="149" t="s">
        <v>2301</v>
      </c>
      <c r="G6" s="149" t="s">
        <v>2302</v>
      </c>
      <c r="H6" s="150" t="s">
        <v>2303</v>
      </c>
      <c r="I6" s="154">
        <v>46170</v>
      </c>
      <c r="J6" s="151" t="s">
        <v>2304</v>
      </c>
      <c r="K6" s="151" t="s">
        <v>2305</v>
      </c>
      <c r="L6" s="152">
        <v>508897</v>
      </c>
      <c r="M6" s="155" t="s">
        <v>2306</v>
      </c>
      <c r="N6" s="156">
        <v>46164</v>
      </c>
      <c r="O6" s="157" t="s">
        <v>2307</v>
      </c>
      <c r="P6" s="150" t="str">
        <f>_xlfn.XLOOKUP(B6,[1]Pendentes!$D:$D,[1]Pendentes!$U:$U)</f>
        <v>Muito Alta</v>
      </c>
      <c r="Q6" s="150"/>
      <c r="R6" t="e">
        <f>_xlfn.XLOOKUP(B6,#REF!,#REF!)</f>
        <v>#REF!</v>
      </c>
    </row>
    <row r="7" spans="1:18" ht="64" x14ac:dyDescent="0.2">
      <c r="A7" s="149" t="s">
        <v>2276</v>
      </c>
      <c r="B7" s="149">
        <v>7900573047</v>
      </c>
      <c r="C7" s="149">
        <v>13.8</v>
      </c>
      <c r="D7" s="149" t="s">
        <v>464</v>
      </c>
      <c r="E7" s="149" t="s">
        <v>2308</v>
      </c>
      <c r="F7" s="149" t="s">
        <v>2309</v>
      </c>
      <c r="G7" s="149" t="s">
        <v>2291</v>
      </c>
      <c r="H7" s="150" t="s">
        <v>2310</v>
      </c>
      <c r="I7" s="150"/>
      <c r="J7" s="158" t="s">
        <v>2311</v>
      </c>
      <c r="K7" s="158"/>
      <c r="L7" s="159"/>
      <c r="M7" s="153" t="s">
        <v>2282</v>
      </c>
      <c r="N7" s="159"/>
      <c r="O7" s="152"/>
      <c r="P7" s="150" t="str">
        <f>_xlfn.XLOOKUP(B7,[1]Pendentes!$D:$D,[1]Pendentes!$U:$U)</f>
        <v>Alta</v>
      </c>
      <c r="Q7" s="150"/>
      <c r="R7" t="e">
        <f>_xlfn.XLOOKUP(B7,#REF!,#REF!)</f>
        <v>#REF!</v>
      </c>
    </row>
    <row r="8" spans="1:18" ht="48" x14ac:dyDescent="0.2">
      <c r="A8" s="149" t="s">
        <v>2276</v>
      </c>
      <c r="B8" s="149">
        <v>7934698002</v>
      </c>
      <c r="C8" s="149">
        <v>13.8</v>
      </c>
      <c r="D8" s="149" t="s">
        <v>360</v>
      </c>
      <c r="E8" s="149" t="s">
        <v>1421</v>
      </c>
      <c r="F8" s="149" t="s">
        <v>2312</v>
      </c>
      <c r="G8" s="149" t="s">
        <v>2291</v>
      </c>
      <c r="H8" s="150" t="s">
        <v>2313</v>
      </c>
      <c r="I8" s="154">
        <v>46176</v>
      </c>
      <c r="J8" s="151" t="s">
        <v>2314</v>
      </c>
      <c r="K8" s="151" t="s">
        <v>2315</v>
      </c>
      <c r="L8" s="152">
        <v>508891</v>
      </c>
      <c r="M8" s="155" t="s">
        <v>2306</v>
      </c>
      <c r="N8" s="156">
        <v>46164</v>
      </c>
      <c r="O8" s="152" t="s">
        <v>2316</v>
      </c>
      <c r="P8" s="150" t="str">
        <f>_xlfn.XLOOKUP(B8,[1]Pendentes!$D:$D,[1]Pendentes!$U:$U)</f>
        <v>Alta</v>
      </c>
      <c r="Q8" s="150" t="s">
        <v>2317</v>
      </c>
      <c r="R8" t="e">
        <f>_xlfn.XLOOKUP(B8,#REF!,#REF!)</f>
        <v>#REF!</v>
      </c>
    </row>
    <row r="9" spans="1:18" ht="48" x14ac:dyDescent="0.2">
      <c r="A9" s="149" t="s">
        <v>2276</v>
      </c>
      <c r="B9" s="149">
        <v>7927169001</v>
      </c>
      <c r="C9" s="149">
        <v>13.8</v>
      </c>
      <c r="D9" s="149" t="s">
        <v>330</v>
      </c>
      <c r="E9" s="149" t="s">
        <v>528</v>
      </c>
      <c r="F9" s="149" t="s">
        <v>528</v>
      </c>
      <c r="G9" s="149" t="s">
        <v>2291</v>
      </c>
      <c r="H9" s="150" t="s">
        <v>2280</v>
      </c>
      <c r="I9" s="150"/>
      <c r="J9" s="151" t="s">
        <v>2318</v>
      </c>
      <c r="K9" s="151"/>
      <c r="L9" s="152"/>
      <c r="M9" s="153" t="s">
        <v>2282</v>
      </c>
      <c r="N9" s="152"/>
      <c r="O9" s="152"/>
      <c r="P9" s="150" t="str">
        <f>_xlfn.XLOOKUP(B9,[1]Pendentes!$D:$D,[1]Pendentes!$U:$U)</f>
        <v>Alta</v>
      </c>
      <c r="Q9" s="150"/>
      <c r="R9" t="e">
        <f>_xlfn.XLOOKUP(B9,#REF!,#REF!)</f>
        <v>#REF!</v>
      </c>
    </row>
    <row r="10" spans="1:18" ht="112" x14ac:dyDescent="0.2">
      <c r="A10" s="149" t="s">
        <v>2276</v>
      </c>
      <c r="B10" s="149">
        <v>7938137007</v>
      </c>
      <c r="C10" s="149">
        <v>13.8</v>
      </c>
      <c r="D10" s="149" t="s">
        <v>116</v>
      </c>
      <c r="E10" s="149" t="s">
        <v>2319</v>
      </c>
      <c r="F10" s="149" t="s">
        <v>2320</v>
      </c>
      <c r="G10" s="149" t="s">
        <v>2321</v>
      </c>
      <c r="H10" s="150" t="s">
        <v>2286</v>
      </c>
      <c r="I10" s="150"/>
      <c r="J10" s="151" t="s">
        <v>2322</v>
      </c>
      <c r="K10" s="151"/>
      <c r="L10" s="152"/>
      <c r="M10" s="153" t="s">
        <v>2282</v>
      </c>
      <c r="N10" s="152"/>
      <c r="O10" s="152"/>
      <c r="P10" s="150" t="str">
        <f>_xlfn.XLOOKUP(B10,[1]Pendentes!$D:$D,[1]Pendentes!$U:$U)</f>
        <v>Baixa</v>
      </c>
      <c r="Q10" s="150"/>
      <c r="R10" t="e">
        <f>_xlfn.XLOOKUP(B10,#REF!,#REF!)</f>
        <v>#REF!</v>
      </c>
    </row>
    <row r="11" spans="1:18" ht="64" x14ac:dyDescent="0.2">
      <c r="A11" s="149" t="s">
        <v>2276</v>
      </c>
      <c r="B11" s="149">
        <v>7908686014</v>
      </c>
      <c r="C11" s="149">
        <v>34.5</v>
      </c>
      <c r="D11" s="149" t="s">
        <v>109</v>
      </c>
      <c r="E11" s="149" t="s">
        <v>2323</v>
      </c>
      <c r="F11" s="149" t="s">
        <v>2324</v>
      </c>
      <c r="G11" s="149" t="s">
        <v>2298</v>
      </c>
      <c r="H11" s="150" t="s">
        <v>2286</v>
      </c>
      <c r="I11" s="160"/>
      <c r="J11" s="161" t="s">
        <v>2325</v>
      </c>
      <c r="K11" s="151"/>
      <c r="L11" s="152"/>
      <c r="M11" s="153" t="s">
        <v>2282</v>
      </c>
      <c r="N11" s="152"/>
      <c r="O11" s="152"/>
      <c r="P11" s="150" t="str">
        <f>_xlfn.XLOOKUP(B11,[1]Pendentes!$D:$D,[1]Pendentes!$U:$U)</f>
        <v>Muito Alta</v>
      </c>
      <c r="Q11" s="150"/>
      <c r="R11" t="e">
        <f>_xlfn.XLOOKUP(B11,#REF!,#REF!)</f>
        <v>#REF!</v>
      </c>
    </row>
    <row r="12" spans="1:18" ht="64" x14ac:dyDescent="0.2">
      <c r="A12" s="149" t="s">
        <v>2276</v>
      </c>
      <c r="B12" s="149">
        <v>7900453110</v>
      </c>
      <c r="C12" s="149">
        <v>34.5</v>
      </c>
      <c r="D12" s="149" t="s">
        <v>224</v>
      </c>
      <c r="E12" s="149" t="s">
        <v>2326</v>
      </c>
      <c r="F12" s="149" t="s">
        <v>2327</v>
      </c>
      <c r="G12" s="149" t="s">
        <v>2298</v>
      </c>
      <c r="H12" s="150" t="s">
        <v>2328</v>
      </c>
      <c r="I12" s="150"/>
      <c r="J12" s="151" t="s">
        <v>2329</v>
      </c>
      <c r="K12" s="151"/>
      <c r="L12" s="162"/>
      <c r="M12" s="153" t="s">
        <v>2282</v>
      </c>
      <c r="N12" s="162"/>
      <c r="O12" s="152"/>
      <c r="P12" s="150" t="str">
        <f>_xlfn.XLOOKUP(B12,[1]Pendentes!$D:$D,[1]Pendentes!$U:$U)</f>
        <v>Muito Alta</v>
      </c>
      <c r="Q12" s="150"/>
      <c r="R12" t="e">
        <f>_xlfn.XLOOKUP(B12,#REF!,#REF!)</f>
        <v>#REF!</v>
      </c>
    </row>
    <row r="13" spans="1:18" ht="64" x14ac:dyDescent="0.2">
      <c r="A13" s="149" t="s">
        <v>2276</v>
      </c>
      <c r="B13" s="149">
        <v>7900230155</v>
      </c>
      <c r="C13" s="149">
        <v>34.5</v>
      </c>
      <c r="D13" s="149" t="s">
        <v>189</v>
      </c>
      <c r="E13" s="149" t="s">
        <v>1070</v>
      </c>
      <c r="F13" s="149"/>
      <c r="G13" s="149" t="s">
        <v>2330</v>
      </c>
      <c r="H13" s="150" t="s">
        <v>2303</v>
      </c>
      <c r="I13" s="163" t="s">
        <v>2331</v>
      </c>
      <c r="J13" s="151" t="s">
        <v>2332</v>
      </c>
      <c r="K13" s="151" t="s">
        <v>2305</v>
      </c>
      <c r="L13" s="162">
        <v>508888</v>
      </c>
      <c r="M13" s="155" t="s">
        <v>2306</v>
      </c>
      <c r="N13" s="156">
        <v>46164</v>
      </c>
      <c r="O13" s="152" t="s">
        <v>2116</v>
      </c>
      <c r="P13" s="150" t="str">
        <f>_xlfn.XLOOKUP(B13,[1]Pendentes!$D:$D,[1]Pendentes!$U:$U)</f>
        <v>Muito Alta</v>
      </c>
      <c r="Q13" s="150"/>
      <c r="R13" t="e">
        <f>_xlfn.XLOOKUP(B13,#REF!,#REF!)</f>
        <v>#REF!</v>
      </c>
    </row>
    <row r="14" spans="1:18" ht="48" x14ac:dyDescent="0.2">
      <c r="A14" s="149" t="s">
        <v>2276</v>
      </c>
      <c r="B14" s="149">
        <v>7943790134</v>
      </c>
      <c r="C14" s="149">
        <v>34.5</v>
      </c>
      <c r="D14" s="149" t="s">
        <v>1858</v>
      </c>
      <c r="E14" s="149" t="s">
        <v>1850</v>
      </c>
      <c r="F14" s="149" t="s">
        <v>2333</v>
      </c>
      <c r="G14" s="149" t="s">
        <v>2298</v>
      </c>
      <c r="H14" s="150" t="s">
        <v>2313</v>
      </c>
      <c r="I14" s="154">
        <v>46175</v>
      </c>
      <c r="J14" s="151" t="s">
        <v>2334</v>
      </c>
      <c r="K14" s="151" t="s">
        <v>2315</v>
      </c>
      <c r="L14" s="162">
        <v>508887</v>
      </c>
      <c r="M14" s="155" t="s">
        <v>2306</v>
      </c>
      <c r="N14" s="156">
        <v>46164</v>
      </c>
      <c r="O14" s="152" t="s">
        <v>2335</v>
      </c>
      <c r="P14" s="150" t="str">
        <f>_xlfn.XLOOKUP(B14,[1]Pendentes!$D:$D,[1]Pendentes!$U:$U)</f>
        <v>Alta</v>
      </c>
      <c r="Q14" s="150" t="s">
        <v>2317</v>
      </c>
      <c r="R14" t="e">
        <f>_xlfn.XLOOKUP(B14,#REF!,#REF!)</f>
        <v>#REF!</v>
      </c>
    </row>
    <row r="15" spans="1:18" ht="48" x14ac:dyDescent="0.2">
      <c r="A15" s="149" t="s">
        <v>2276</v>
      </c>
      <c r="B15" s="149">
        <v>7925087021</v>
      </c>
      <c r="C15" s="149">
        <v>34.5</v>
      </c>
      <c r="D15" s="149" t="s">
        <v>504</v>
      </c>
      <c r="E15" s="149" t="s">
        <v>501</v>
      </c>
      <c r="F15" s="149"/>
      <c r="G15" s="149" t="s">
        <v>2298</v>
      </c>
      <c r="H15" s="150" t="s">
        <v>2310</v>
      </c>
      <c r="I15" s="164"/>
      <c r="J15" s="165" t="s">
        <v>2336</v>
      </c>
      <c r="K15" s="165"/>
      <c r="L15" s="166"/>
      <c r="M15" s="153" t="s">
        <v>2282</v>
      </c>
      <c r="N15" s="166"/>
      <c r="O15" s="149" t="s">
        <v>2337</v>
      </c>
      <c r="P15" s="150" t="str">
        <f>_xlfn.XLOOKUP(B15,[1]Pendentes!$D:$D,[1]Pendentes!$U:$U)</f>
        <v>Alta</v>
      </c>
      <c r="Q15" s="150"/>
      <c r="R15" t="e">
        <f>_xlfn.XLOOKUP(B15,#REF!,#REF!)</f>
        <v>#REF!</v>
      </c>
    </row>
    <row r="16" spans="1:18" ht="48" x14ac:dyDescent="0.2">
      <c r="A16" s="149" t="s">
        <v>2276</v>
      </c>
      <c r="B16" s="167">
        <v>7900018004</v>
      </c>
      <c r="C16" s="149">
        <v>34.5</v>
      </c>
      <c r="D16" s="149" t="s">
        <v>28</v>
      </c>
      <c r="E16" s="149" t="s">
        <v>1827</v>
      </c>
      <c r="F16" s="149"/>
      <c r="G16" s="167" t="s">
        <v>2338</v>
      </c>
      <c r="H16" s="168" t="s">
        <v>2339</v>
      </c>
      <c r="I16" s="154">
        <v>46169</v>
      </c>
      <c r="J16" s="169" t="s">
        <v>2340</v>
      </c>
      <c r="K16" s="170" t="s">
        <v>2341</v>
      </c>
      <c r="L16" s="162">
        <v>508886</v>
      </c>
      <c r="M16" s="171" t="s">
        <v>2306</v>
      </c>
      <c r="N16" s="156">
        <v>46167</v>
      </c>
      <c r="O16" s="172" t="s">
        <v>2116</v>
      </c>
      <c r="P16" s="150" t="str">
        <f>_xlfn.XLOOKUP(B16,[1]Pendentes!$D:$D,[1]Pendentes!$U:$U)</f>
        <v>Alta</v>
      </c>
      <c r="Q16" s="150"/>
      <c r="R16" t="e">
        <f>_xlfn.XLOOKUP(B16,#REF!,#REF!)</f>
        <v>#REF!</v>
      </c>
    </row>
    <row r="17" spans="1:18" ht="96" x14ac:dyDescent="0.2">
      <c r="A17" s="149" t="s">
        <v>2276</v>
      </c>
      <c r="B17" s="167">
        <v>7903112004</v>
      </c>
      <c r="C17" s="149">
        <v>34.5</v>
      </c>
      <c r="D17" s="149" t="s">
        <v>28</v>
      </c>
      <c r="E17" s="149" t="s">
        <v>426</v>
      </c>
      <c r="F17" s="149"/>
      <c r="G17" s="167" t="s">
        <v>2342</v>
      </c>
      <c r="H17" s="150" t="s">
        <v>2339</v>
      </c>
      <c r="I17" s="173"/>
      <c r="J17" s="174"/>
      <c r="K17" s="174"/>
      <c r="L17" s="175"/>
      <c r="M17" s="153" t="s">
        <v>2282</v>
      </c>
      <c r="N17" s="175"/>
      <c r="O17" s="152"/>
      <c r="P17" s="150" t="str">
        <f>_xlfn.XLOOKUP(B17,[1]Pendentes!$D:$D,[1]Pendentes!$U:$U)</f>
        <v>Alta</v>
      </c>
      <c r="Q17" s="150"/>
      <c r="R17" t="e">
        <f>_xlfn.XLOOKUP(B17,#REF!,#REF!)</f>
        <v>#REF!</v>
      </c>
    </row>
    <row r="18" spans="1:18" ht="64" x14ac:dyDescent="0.2">
      <c r="A18" s="149" t="s">
        <v>2276</v>
      </c>
      <c r="B18" s="149">
        <v>7957126085</v>
      </c>
      <c r="C18" s="149">
        <v>34.5</v>
      </c>
      <c r="D18" s="149" t="s">
        <v>293</v>
      </c>
      <c r="E18" s="149" t="s">
        <v>290</v>
      </c>
      <c r="F18" s="149"/>
      <c r="G18" s="149" t="s">
        <v>2343</v>
      </c>
      <c r="H18" s="168" t="s">
        <v>2286</v>
      </c>
      <c r="I18" s="168"/>
      <c r="J18" s="176" t="s">
        <v>2344</v>
      </c>
      <c r="K18" s="176"/>
      <c r="L18" s="168"/>
      <c r="M18" s="153" t="s">
        <v>2282</v>
      </c>
      <c r="N18" s="168"/>
      <c r="O18" s="152"/>
      <c r="P18" s="150" t="str">
        <f>_xlfn.XLOOKUP(B18,[1]Pendentes!$D:$D,[1]Pendentes!$U:$U)</f>
        <v>Média</v>
      </c>
      <c r="Q18" s="150"/>
      <c r="R18" t="e">
        <f>_xlfn.XLOOKUP(B18,#REF!,#REF!)</f>
        <v>#REF!</v>
      </c>
    </row>
    <row r="19" spans="1:18" ht="48" x14ac:dyDescent="0.2">
      <c r="A19" s="149" t="s">
        <v>2276</v>
      </c>
      <c r="B19" s="149">
        <v>7929376022</v>
      </c>
      <c r="C19" s="149">
        <v>34.5</v>
      </c>
      <c r="D19" s="149" t="s">
        <v>2345</v>
      </c>
      <c r="E19" s="149" t="s">
        <v>2346</v>
      </c>
      <c r="F19" s="149"/>
      <c r="G19" s="149" t="s">
        <v>2347</v>
      </c>
      <c r="H19" s="168" t="s">
        <v>2339</v>
      </c>
      <c r="I19" s="168"/>
      <c r="J19" s="176"/>
      <c r="K19" s="176"/>
      <c r="L19" s="168"/>
      <c r="M19" s="153"/>
      <c r="N19" s="168"/>
      <c r="O19" s="152"/>
      <c r="P19" s="150" t="str">
        <f>_xlfn.XLOOKUP(B19,[1]Pendentes!$D:$D,[1]Pendentes!$U:$U)</f>
        <v>Falta definir</v>
      </c>
      <c r="Q19" s="150"/>
      <c r="R19" t="e">
        <f>_xlfn.XLOOKUP(B19,#REF!,#REF!)</f>
        <v>#REF!</v>
      </c>
    </row>
  </sheetData>
  <pageMargins left="0.511811024" right="0.511811024" top="0.78740157499999996" bottom="0.78740157499999996" header="0.31496062000000002" footer="0.31496062000000002"/>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E4FABDF80A6C8469C5AC2362FC08824" ma:contentTypeVersion="10" ma:contentTypeDescription="Crie um novo documento." ma:contentTypeScope="" ma:versionID="7ea4f6a3d1f329f5197d7f059be601c6">
  <xsd:schema xmlns:xsd="http://www.w3.org/2001/XMLSchema" xmlns:xs="http://www.w3.org/2001/XMLSchema" xmlns:p="http://schemas.microsoft.com/office/2006/metadata/properties" xmlns:ns3="62459d6c-b23e-46e9-a623-2ab63764bb90" targetNamespace="http://schemas.microsoft.com/office/2006/metadata/properties" ma:root="true" ma:fieldsID="5699ea69873d52bd191354390a9dfb65" ns3:_="">
    <xsd:import namespace="62459d6c-b23e-46e9-a623-2ab63764bb90"/>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459d6c-b23e-46e9-a623-2ab63764bb9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activity xmlns="62459d6c-b23e-46e9-a623-2ab63764bb90"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0A28D9-A534-43CE-B35F-125E0F4E11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459d6c-b23e-46e9-a623-2ab63764bb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6E05B1C-858F-43CF-8152-9C02EA14F416}">
  <ds:schemaRefs>
    <ds:schemaRef ds:uri="http://schemas.microsoft.com/DataMashup"/>
  </ds:schemaRefs>
</ds:datastoreItem>
</file>

<file path=customXml/itemProps3.xml><?xml version="1.0" encoding="utf-8"?>
<ds:datastoreItem xmlns:ds="http://schemas.openxmlformats.org/officeDocument/2006/customXml" ds:itemID="{EF0F8954-0C98-4274-B176-470E408F396B}">
  <ds:schemaRefs>
    <ds:schemaRef ds:uri="http://schemas.microsoft.com/office/2006/metadata/properties"/>
    <ds:schemaRef ds:uri="http://schemas.microsoft.com/office/infopath/2007/PartnerControls"/>
    <ds:schemaRef ds:uri="62459d6c-b23e-46e9-a623-2ab63764bb90"/>
  </ds:schemaRefs>
</ds:datastoreItem>
</file>

<file path=customXml/itemProps4.xml><?xml version="1.0" encoding="utf-8"?>
<ds:datastoreItem xmlns:ds="http://schemas.openxmlformats.org/officeDocument/2006/customXml" ds:itemID="{70BB0BC2-8844-4E67-BC69-F2E5F3C411C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12</vt:i4>
      </vt:variant>
    </vt:vector>
  </HeadingPairs>
  <TitlesOfParts>
    <vt:vector size="12" baseType="lpstr">
      <vt:lpstr>Dados</vt:lpstr>
      <vt:lpstr>Planilha1</vt:lpstr>
      <vt:lpstr>Dados Tratados</vt:lpstr>
      <vt:lpstr>Dashboard</vt:lpstr>
      <vt:lpstr>Análise Detalhada</vt:lpstr>
      <vt:lpstr>Pendências DMSL</vt:lpstr>
      <vt:lpstr>Orçamento Cabos</vt:lpstr>
      <vt:lpstr>Por Equipamento</vt:lpstr>
      <vt:lpstr>Pivot - Resumos</vt:lpstr>
      <vt:lpstr>SS Repetidas</vt:lpstr>
      <vt:lpstr>Próximas Ações</vt:lpstr>
      <vt:lpstr>Tratativas Religadores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ANA CAROLINA MACEDO DA SILVA</cp:lastModifiedBy>
  <cp:revision>9</cp:revision>
  <dcterms:created xsi:type="dcterms:W3CDTF">2026-05-13T19:54:02Z</dcterms:created>
  <dcterms:modified xsi:type="dcterms:W3CDTF">2026-08-13T01:37:50Z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0x010100AE4FABDF80A6C8469C5AC2362FC08824</vt:lpwstr>
  </property>
</Properties>
</file>
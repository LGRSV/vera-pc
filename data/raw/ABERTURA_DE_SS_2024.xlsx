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L:\COEP\"/>
    </mc:Choice>
  </mc:AlternateContent>
  <xr:revisionPtr revIDLastSave="0" documentId="13_ncr:1_{00BDAD52-0A55-45C8-A648-EB72F61379E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R DE ATERRAMENTO - 55" sheetId="10" r:id="rId1"/>
    <sheet name="REATOR - BR" sheetId="9" r:id="rId2"/>
    <sheet name="CAPACITOR - 59" sheetId="2" r:id="rId3"/>
    <sheet name="RELIGADOR - 79" sheetId="4" r:id="rId4"/>
    <sheet name="REGULADOR - 58" sheetId="6" r:id="rId5"/>
    <sheet name="REPORT SEMANAL" sheetId="8" r:id="rId6"/>
  </sheets>
  <definedNames>
    <definedName name="_xlnm._FilterDatabase" localSheetId="2" hidden="1">'CAPACITOR - 59'!$H$4:$M$159</definedName>
    <definedName name="_xlnm._FilterDatabase" localSheetId="1" hidden="1">'REATOR - BR'!$H$4:$M$47</definedName>
    <definedName name="_xlnm._FilterDatabase" localSheetId="4" hidden="1">'REGULADOR - 58'!$H$3:$P$126</definedName>
    <definedName name="_xlnm._FilterDatabase" localSheetId="3" hidden="1">'RELIGADOR - 79'!$H$4:$N$406</definedName>
    <definedName name="_xlnm._FilterDatabase" localSheetId="0" hidden="1">'TR DE ATERRAMENTO - 55'!$H$4:$M$47</definedName>
    <definedName name="_xlcn.WorksheetConnection_ABERTURADESS2024.1.xlsxrevtar_inc_aecc_CELTINS1" hidden="1">revtar_inc_aecc_CELTINS[]</definedName>
    <definedName name="_xlcn.WorksheetConnection_ABERTURADESS2024.1.xlsxrevtar_inr_aecc_CELTINS1" hidden="1">revtar_inr_aecc_CELTINS[]</definedName>
    <definedName name="_xlcn.WorksheetConnection_ABERTURADESS2024.1.xlsxrevtar_ins_aecc_CELTINS1" hidden="1">revtar_ins_aecc_CELTINS[]</definedName>
    <definedName name="DadosExternos_1" localSheetId="2" hidden="1">'CAPACITOR - 59'!$B$3:$E$179</definedName>
    <definedName name="DadosExternos_1" localSheetId="1" hidden="1">'REATOR - BR'!$B$3:$E$21</definedName>
    <definedName name="DadosExternos_1" localSheetId="4" hidden="1">'REGULADOR - 58'!$B$3:$E$226</definedName>
    <definedName name="DadosExternos_1" localSheetId="3" hidden="1">'RELIGADOR - 79'!$B$3:$E$760</definedName>
    <definedName name="DadosExternos_1" localSheetId="5" hidden="1">'REPORT SEMANAL'!$A$4</definedName>
    <definedName name="DadosExternos_1" localSheetId="0" hidden="1">'TR DE ATERRAMENTO - 55'!$B$3:$E$13</definedName>
    <definedName name="DadosExternos_2" localSheetId="5" hidden="1">'REPORT SEMANAL'!$A$5</definedName>
    <definedName name="DadosExternos_3" localSheetId="5" hidden="1">'REPORT SEMANAL'!$A$6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tar_ins_aecc_CELTINS" name="revtar_ins_aecc_CELTINS" connection="WorksheetConnection_ABERTURA DE SS 2024.1.xlsx!revtar_ins_aecc_CELTINS"/>
          <x15:modelTable id="revtar_inr_aecc_CELTINS" name="revtar_inr_aecc_CELTINS" connection="WorksheetConnection_ABERTURA DE SS 2024.1.xlsx!revtar_inr_aecc_CELTINS"/>
          <x15:modelTable id="revtar_inc_aecc_CELTINS" name="revtar_inc_aecc_CELTINS" connection="WorksheetConnection_ABERTURA DE SS 2024.1.xlsx!revtar_inc_aecc_CELTINS"/>
        </x15:modelTables>
        <x15:modelRelationships>
          <x15:modelRelationship fromTable="revtar_inc_aecc_CELTINS" fromColumn="CODIGO" toTable="revtar_inr_aecc_CELTINS" toColumn="CODIGO"/>
          <x15:modelRelationship fromTable="revtar_ins_aecc_CELTINS" fromColumn="CODIGO" toTable="revtar_inc_aecc_CELTINS" toColumn="CODIG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6" l="1"/>
  <c r="F134" i="6"/>
  <c r="F135" i="6"/>
  <c r="F136" i="6"/>
  <c r="F137" i="6"/>
  <c r="F138" i="6"/>
  <c r="F139" i="6"/>
  <c r="F146" i="6"/>
  <c r="F142" i="6"/>
  <c r="F144" i="6"/>
  <c r="F145" i="6"/>
  <c r="F402" i="4"/>
  <c r="F403" i="4"/>
  <c r="F414" i="4"/>
  <c r="F401" i="4"/>
  <c r="F143" i="6"/>
  <c r="F171" i="2"/>
  <c r="F172" i="2"/>
  <c r="F173" i="2"/>
  <c r="F174" i="2"/>
  <c r="F175" i="2"/>
  <c r="F176" i="2"/>
  <c r="F179" i="2"/>
  <c r="F124" i="6"/>
  <c r="F125" i="6"/>
  <c r="F126" i="6"/>
  <c r="F127" i="6"/>
  <c r="F128" i="6"/>
  <c r="F129" i="6"/>
  <c r="F130" i="6"/>
  <c r="F131" i="6"/>
  <c r="F132" i="6"/>
  <c r="F133" i="6"/>
  <c r="F140" i="6"/>
  <c r="F141" i="6"/>
  <c r="F167" i="2"/>
  <c r="F168" i="2"/>
  <c r="F169" i="2"/>
  <c r="F170" i="2"/>
  <c r="F166" i="2"/>
  <c r="F399" i="4"/>
  <c r="F400" i="4"/>
  <c r="F398" i="4"/>
  <c r="F4" i="10"/>
  <c r="F5" i="10"/>
  <c r="F6" i="10"/>
  <c r="F7" i="10"/>
  <c r="F8" i="10"/>
  <c r="F9" i="10"/>
  <c r="F10" i="10"/>
  <c r="F13" i="10"/>
  <c r="F396" i="4"/>
  <c r="F397" i="4"/>
  <c r="F123" i="6"/>
  <c r="F120" i="6"/>
  <c r="F121" i="6"/>
  <c r="F122" i="6"/>
  <c r="F395" i="4"/>
  <c r="F393" i="4"/>
  <c r="F394" i="4"/>
  <c r="F118" i="6"/>
  <c r="F119" i="6"/>
  <c r="F117" i="6"/>
  <c r="F165" i="2"/>
  <c r="F392" i="4"/>
  <c r="F388" i="4"/>
  <c r="F389" i="4"/>
  <c r="F390" i="4"/>
  <c r="F391" i="4"/>
  <c r="F387" i="4"/>
  <c r="F386" i="4" l="1"/>
  <c r="F385" i="4"/>
  <c r="F384" i="4"/>
  <c r="F367" i="4"/>
  <c r="F381" i="4" l="1"/>
  <c r="F382" i="4"/>
  <c r="F380" i="4"/>
  <c r="F164" i="2"/>
  <c r="F379" i="4" l="1"/>
  <c r="F377" i="4"/>
  <c r="F378" i="4"/>
  <c r="F159" i="2" l="1"/>
  <c r="F160" i="2"/>
  <c r="F161" i="2"/>
  <c r="F162" i="2"/>
  <c r="F163" i="2"/>
  <c r="F375" i="4" l="1"/>
  <c r="F376" i="4"/>
  <c r="F368" i="4"/>
  <c r="F369" i="4"/>
  <c r="F370" i="4"/>
  <c r="F371" i="4"/>
  <c r="F372" i="4"/>
  <c r="F373" i="4"/>
  <c r="F37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156" i="2"/>
  <c r="F157" i="2"/>
  <c r="F158" i="2"/>
  <c r="F155" i="2"/>
  <c r="F336" i="4"/>
  <c r="F337" i="4"/>
  <c r="F338" i="4"/>
  <c r="F339" i="4"/>
  <c r="F340" i="4"/>
  <c r="F341" i="4"/>
  <c r="F333" i="4"/>
  <c r="F343" i="4"/>
  <c r="F344" i="4"/>
  <c r="F345" i="4"/>
  <c r="F346" i="4"/>
  <c r="F347" i="4"/>
  <c r="F349" i="4"/>
  <c r="F350" i="4"/>
  <c r="F334" i="4"/>
  <c r="F352" i="4"/>
  <c r="F353" i="4"/>
  <c r="F354" i="4"/>
  <c r="F309" i="4"/>
  <c r="F310" i="4"/>
  <c r="F255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51" i="4"/>
  <c r="F327" i="4"/>
  <c r="F328" i="4"/>
  <c r="F329" i="4"/>
  <c r="F330" i="4"/>
  <c r="F331" i="4"/>
  <c r="F311" i="4"/>
  <c r="F326" i="4"/>
  <c r="F332" i="4"/>
  <c r="F335" i="4"/>
  <c r="F116" i="6"/>
  <c r="F14" i="6" l="1"/>
  <c r="F305" i="4"/>
  <c r="F306" i="4"/>
  <c r="F307" i="4"/>
  <c r="F308" i="4"/>
  <c r="F152" i="2" l="1"/>
  <c r="F153" i="2"/>
  <c r="F154" i="2"/>
  <c r="F301" i="4"/>
  <c r="F302" i="4"/>
  <c r="F303" i="4"/>
  <c r="F304" i="4"/>
  <c r="F151" i="2"/>
  <c r="F115" i="6"/>
  <c r="F296" i="4"/>
  <c r="F297" i="4"/>
  <c r="F298" i="4"/>
  <c r="F299" i="4"/>
  <c r="F300" i="4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14" i="6"/>
  <c r="F291" i="4"/>
  <c r="F292" i="4"/>
  <c r="F293" i="4"/>
  <c r="F294" i="4"/>
  <c r="F295" i="4"/>
  <c r="F289" i="4"/>
  <c r="F290" i="4"/>
  <c r="F288" i="4"/>
  <c r="F287" i="4"/>
  <c r="E7" i="8"/>
  <c r="F7" i="8" s="1"/>
  <c r="D7" i="8"/>
  <c r="F113" i="6"/>
  <c r="F286" i="4"/>
  <c r="F285" i="4"/>
  <c r="F282" i="4"/>
  <c r="F283" i="4"/>
  <c r="F284" i="4"/>
  <c r="F112" i="6"/>
  <c r="F280" i="4"/>
  <c r="F281" i="4"/>
  <c r="F278" i="4"/>
  <c r="F279" i="4"/>
  <c r="C7" i="8"/>
  <c r="F111" i="6"/>
  <c r="F108" i="6"/>
  <c r="F110" i="6"/>
  <c r="F276" i="4"/>
  <c r="F277" i="4"/>
  <c r="F106" i="6"/>
  <c r="F107" i="6"/>
  <c r="F274" i="4"/>
  <c r="F275" i="4"/>
  <c r="F105" i="6"/>
  <c r="F273" i="4"/>
  <c r="F104" i="6"/>
  <c r="F272" i="4"/>
  <c r="F271" i="4"/>
  <c r="F103" i="6"/>
  <c r="F99" i="6"/>
  <c r="F101" i="6"/>
  <c r="F15" i="6"/>
  <c r="F100" i="6"/>
  <c r="F265" i="4"/>
  <c r="F266" i="4"/>
  <c r="F267" i="4"/>
  <c r="F268" i="4"/>
  <c r="F269" i="4"/>
  <c r="F270" i="4"/>
  <c r="F72" i="6"/>
  <c r="F264" i="4"/>
  <c r="F263" i="4"/>
  <c r="F119" i="4"/>
  <c r="F157" i="4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156" i="4"/>
  <c r="F155" i="4"/>
  <c r="F71" i="6"/>
  <c r="F154" i="4"/>
  <c r="F162" i="4"/>
  <c r="F49" i="4"/>
  <c r="F20" i="4"/>
  <c r="F53" i="6"/>
  <c r="F16" i="6"/>
  <c r="F97" i="6"/>
  <c r="F86" i="6"/>
  <c r="F59" i="6"/>
  <c r="F57" i="6"/>
  <c r="F48" i="4"/>
  <c r="F203" i="4"/>
  <c r="F202" i="4"/>
  <c r="F192" i="4"/>
  <c r="F195" i="4"/>
  <c r="F56" i="6"/>
  <c r="F152" i="4"/>
  <c r="F165" i="4"/>
  <c r="F14" i="4"/>
  <c r="F52" i="6"/>
  <c r="F51" i="6" l="1"/>
  <c r="F50" i="6"/>
  <c r="F49" i="6"/>
  <c r="F73" i="6"/>
  <c r="F91" i="6"/>
  <c r="F76" i="6"/>
  <c r="F88" i="6"/>
  <c r="F46" i="6"/>
  <c r="F45" i="6"/>
  <c r="F44" i="6"/>
  <c r="F66" i="6"/>
  <c r="F77" i="6"/>
  <c r="F43" i="6"/>
  <c r="F42" i="6"/>
  <c r="F136" i="4"/>
  <c r="F127" i="4"/>
  <c r="F168" i="4"/>
  <c r="F41" i="6"/>
  <c r="F69" i="6"/>
  <c r="F40" i="6"/>
  <c r="F39" i="6"/>
  <c r="F135" i="4"/>
  <c r="F95" i="4"/>
  <c r="F22" i="4"/>
  <c r="F214" i="4"/>
  <c r="F30" i="4"/>
  <c r="F29" i="4"/>
  <c r="F11" i="4"/>
  <c r="F201" i="4"/>
  <c r="F236" i="4"/>
  <c r="F31" i="4"/>
  <c r="F21" i="4"/>
  <c r="F213" i="4"/>
  <c r="F118" i="4"/>
  <c r="F151" i="4"/>
  <c r="F13" i="6"/>
  <c r="F64" i="4" l="1"/>
  <c r="F91" i="4"/>
  <c r="F217" i="4"/>
  <c r="F57" i="4"/>
  <c r="F249" i="4"/>
  <c r="F117" i="4"/>
  <c r="F44" i="4"/>
  <c r="F52" i="4"/>
  <c r="F188" i="4"/>
  <c r="F113" i="4"/>
  <c r="F38" i="6"/>
  <c r="F37" i="6"/>
  <c r="F36" i="6"/>
  <c r="F35" i="6"/>
  <c r="F34" i="6"/>
  <c r="F19" i="6"/>
  <c r="F33" i="6"/>
  <c r="F32" i="6"/>
  <c r="F12" i="6"/>
  <c r="F187" i="4" l="1"/>
  <c r="F4" i="4"/>
  <c r="F150" i="4"/>
  <c r="F149" i="4"/>
  <c r="F86" i="4"/>
  <c r="F19" i="4"/>
  <c r="F56" i="4"/>
  <c r="F148" i="4"/>
  <c r="F247" i="4"/>
  <c r="F261" i="4"/>
  <c r="F235" i="4"/>
  <c r="F230" i="4"/>
  <c r="F51" i="4"/>
  <c r="F186" i="4"/>
  <c r="F185" i="4"/>
  <c r="F43" i="4"/>
  <c r="F260" i="4"/>
  <c r="F191" i="4"/>
  <c r="F97" i="4"/>
  <c r="F259" i="4"/>
  <c r="F18" i="4"/>
  <c r="F258" i="4"/>
  <c r="F103" i="4"/>
  <c r="F38" i="4"/>
  <c r="F62" i="4"/>
  <c r="F257" i="4"/>
  <c r="F256" i="4"/>
  <c r="F166" i="4"/>
  <c r="F37" i="4"/>
  <c r="F53" i="4"/>
  <c r="F36" i="4"/>
  <c r="F35" i="4"/>
  <c r="F50" i="4"/>
  <c r="F5" i="4"/>
  <c r="F108" i="4"/>
  <c r="F234" i="4"/>
  <c r="F90" i="4"/>
  <c r="F17" i="4"/>
  <c r="F184" i="4"/>
  <c r="F16" i="4"/>
  <c r="F9" i="4"/>
  <c r="F208" i="4"/>
  <c r="F183" i="4"/>
  <c r="F15" i="4"/>
  <c r="F7" i="4"/>
  <c r="F167" i="4"/>
  <c r="F42" i="4"/>
  <c r="F13" i="4"/>
  <c r="F128" i="4"/>
  <c r="F27" i="4"/>
  <c r="F26" i="4"/>
  <c r="F11" i="6"/>
  <c r="F246" i="4"/>
  <c r="F94" i="4"/>
  <c r="F106" i="4"/>
  <c r="F112" i="4"/>
  <c r="F228" i="4"/>
  <c r="F227" i="4"/>
  <c r="F233" i="4"/>
  <c r="F126" i="4"/>
  <c r="F190" i="4"/>
  <c r="F189" i="4"/>
  <c r="F41" i="4"/>
  <c r="F87" i="6"/>
  <c r="F6" i="4" l="1"/>
  <c r="F245" i="4"/>
  <c r="F134" i="4"/>
  <c r="F31" i="6"/>
  <c r="F147" i="4"/>
  <c r="F82" i="4"/>
  <c r="F182" i="4"/>
  <c r="F226" i="4"/>
  <c r="F232" i="4"/>
  <c r="F225" i="4"/>
  <c r="F25" i="4"/>
  <c r="F200" i="4"/>
  <c r="F89" i="4"/>
  <c r="F88" i="4"/>
  <c r="F216" i="4"/>
  <c r="F64" i="6"/>
  <c r="F102" i="4"/>
  <c r="F143" i="4"/>
  <c r="F125" i="4"/>
  <c r="F84" i="4"/>
  <c r="F124" i="4"/>
  <c r="F30" i="6"/>
  <c r="F244" i="4"/>
  <c r="F243" i="4"/>
  <c r="F85" i="4"/>
  <c r="F199" i="4"/>
  <c r="F34" i="4"/>
  <c r="F224" i="4"/>
  <c r="F212" i="4"/>
  <c r="F63" i="4"/>
  <c r="F67" i="4"/>
  <c r="F46" i="4"/>
  <c r="F161" i="4"/>
  <c r="F198" i="4"/>
  <c r="F211" i="4"/>
  <c r="F197" i="4"/>
  <c r="F223" i="4"/>
  <c r="F10" i="4"/>
  <c r="F83" i="6"/>
  <c r="I131" i="4"/>
  <c r="I130" i="4"/>
  <c r="I129" i="4"/>
  <c r="F130" i="4"/>
  <c r="F194" i="4"/>
  <c r="F142" i="4"/>
  <c r="F80" i="4"/>
  <c r="F55" i="4"/>
  <c r="F54" i="4"/>
  <c r="F141" i="4"/>
  <c r="F79" i="4"/>
  <c r="F181" i="4"/>
  <c r="F229" i="4"/>
  <c r="F153" i="4"/>
  <c r="F242" i="4"/>
  <c r="F133" i="4"/>
  <c r="F132" i="4"/>
  <c r="F24" i="4"/>
  <c r="F111" i="4"/>
  <c r="F110" i="4"/>
  <c r="F241" i="4"/>
  <c r="F207" i="4"/>
  <c r="F206" i="4"/>
  <c r="F40" i="4"/>
  <c r="F140" i="4"/>
  <c r="F87" i="4"/>
  <c r="F101" i="4"/>
  <c r="F100" i="4"/>
  <c r="F45" i="4"/>
  <c r="F221" i="4"/>
  <c r="F220" i="4"/>
  <c r="F219" i="4"/>
  <c r="F240" i="4"/>
  <c r="F174" i="4"/>
  <c r="F39" i="4"/>
  <c r="F23" i="4"/>
  <c r="F173" i="4"/>
  <c r="F33" i="4"/>
  <c r="F172" i="4"/>
  <c r="F47" i="4"/>
  <c r="F72" i="4"/>
  <c r="F180" i="4"/>
  <c r="F78" i="4"/>
  <c r="F66" i="4"/>
  <c r="F77" i="4"/>
  <c r="F68" i="4"/>
  <c r="F60" i="4"/>
  <c r="F218" i="4"/>
  <c r="F93" i="4"/>
  <c r="F98" i="4"/>
  <c r="F159" i="4"/>
  <c r="F171" i="4"/>
  <c r="F239" i="4"/>
  <c r="F158" i="4"/>
  <c r="F59" i="4"/>
  <c r="F179" i="4"/>
  <c r="F116" i="4"/>
  <c r="F146" i="4"/>
  <c r="F193" i="4"/>
  <c r="F121" i="4"/>
  <c r="F76" i="4"/>
  <c r="F178" i="4"/>
  <c r="F254" i="4"/>
  <c r="F177" i="4"/>
  <c r="F176" i="4"/>
  <c r="F253" i="4"/>
  <c r="F71" i="4"/>
  <c r="F137" i="4"/>
  <c r="F105" i="4"/>
  <c r="F163" i="4"/>
  <c r="F170" i="4"/>
  <c r="F70" i="4"/>
  <c r="F238" i="4"/>
  <c r="F210" i="4"/>
  <c r="F164" i="4"/>
  <c r="F139" i="4"/>
  <c r="F205" i="4"/>
  <c r="F215" i="4"/>
  <c r="F96" i="4"/>
  <c r="F129" i="4"/>
  <c r="F28" i="4"/>
  <c r="F65" i="4"/>
  <c r="F169" i="4"/>
  <c r="F252" i="4"/>
  <c r="F120" i="4"/>
  <c r="F138" i="4"/>
  <c r="F123" i="4"/>
  <c r="F92" i="4"/>
  <c r="F145" i="4"/>
  <c r="F144" i="4"/>
  <c r="F115" i="4"/>
  <c r="F237" i="4"/>
  <c r="F196" i="4"/>
  <c r="F122" i="4"/>
  <c r="F69" i="4"/>
  <c r="F251" i="4"/>
  <c r="F209" i="4"/>
  <c r="F75" i="4"/>
  <c r="F160" i="4"/>
  <c r="F74" i="4"/>
  <c r="F107" i="4"/>
  <c r="F222" i="4"/>
  <c r="F131" i="4"/>
  <c r="F73" i="4"/>
  <c r="I127" i="4"/>
  <c r="I126" i="4"/>
  <c r="I125" i="4" l="1"/>
  <c r="F84" i="6"/>
  <c r="F29" i="6"/>
  <c r="F28" i="6"/>
  <c r="F27" i="6"/>
  <c r="F204" i="4"/>
  <c r="F8" i="4"/>
  <c r="F104" i="4"/>
  <c r="F58" i="4"/>
  <c r="F109" i="4"/>
  <c r="F32" i="4"/>
  <c r="F114" i="4"/>
  <c r="F12" i="2" l="1"/>
  <c r="F26" i="6"/>
  <c r="F25" i="6"/>
  <c r="F24" i="6"/>
  <c r="F23" i="6"/>
  <c r="F22" i="6"/>
  <c r="F82" i="6"/>
  <c r="F65" i="6"/>
  <c r="F80" i="6"/>
  <c r="F75" i="6"/>
  <c r="F79" i="6"/>
  <c r="F10" i="6"/>
  <c r="F74" i="6"/>
  <c r="F18" i="6"/>
  <c r="F9" i="6"/>
  <c r="F5" i="2" l="1"/>
  <c r="F6" i="2"/>
  <c r="F8" i="2"/>
  <c r="F7" i="2"/>
  <c r="F9" i="2"/>
  <c r="F11" i="2"/>
  <c r="F13" i="2"/>
  <c r="F14" i="2"/>
  <c r="F10" i="2"/>
  <c r="F15" i="2"/>
  <c r="F16" i="2"/>
  <c r="F17" i="2"/>
  <c r="F70" i="6"/>
  <c r="F17" i="6"/>
  <c r="F68" i="6"/>
  <c r="F96" i="6"/>
  <c r="F67" i="6"/>
  <c r="F95" i="6"/>
  <c r="F63" i="6" l="1"/>
  <c r="F60" i="6"/>
  <c r="F58" i="6"/>
  <c r="F12" i="4"/>
  <c r="F250" i="4"/>
  <c r="F81" i="6" l="1"/>
  <c r="F8" i="6"/>
  <c r="F62" i="6"/>
  <c r="F4" i="2"/>
  <c r="F61" i="6"/>
  <c r="F4" i="6"/>
  <c r="F5" i="6"/>
  <c r="F78" i="6"/>
  <c r="F6" i="6"/>
  <c r="F90" i="6"/>
  <c r="F93" i="6"/>
  <c r="F94" i="6"/>
  <c r="F89" i="6"/>
  <c r="F47" i="6"/>
  <c r="F92" i="6"/>
  <c r="F20" i="6"/>
  <c r="F98" i="6"/>
  <c r="F85" i="6"/>
  <c r="F48" i="6"/>
  <c r="F55" i="6"/>
  <c r="F54" i="6"/>
  <c r="F21" i="6"/>
  <c r="F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Consulta - revtar_inc_aecc_CELTINS" description="Conexão com a consulta 'revtar_inc_aecc_CELTINS' na pasta de trabalho." type="5" refreshedVersion="8" background="1" saveData="1">
    <dbPr connection="Provider=Microsoft.Mashup.OleDb.1;Data Source=$Workbook$;Location=revtar_inc_aecc_CELTINS;Extended Properties=&quot;&quot;" command="SELECT * FROM [revtar_inc_aecc_CELTINS]"/>
  </connection>
  <connection id="2" xr16:uid="{92C04AE6-2B0F-4D15-A73C-95542D8858A0}" keepAlive="1" name="Consulta - revtar_inc_aecc_CELTINS (2)" description="Conexão com a consulta 'revtar_inc_aecc_CELTINS (2)' na pasta de trabalho." type="5" refreshedVersion="8" background="1" saveData="1">
    <dbPr connection="Provider=Microsoft.Mashup.OleDb.1;Data Source=$Workbook$;Location=&quot;revtar_inc_aecc_CELTINS (2)&quot;;Extended Properties=&quot;&quot;" command="SELECT * FROM [revtar_inc_aecc_CELTINS (2)]"/>
  </connection>
  <connection id="3" xr16:uid="{325EF72F-A629-42F3-B2F7-60AC8E33A449}" keepAlive="1" name="Consulta - revtar_inc_aecc_CELTINS (3)" description="Conexão com a consulta 'revtar_inc_aecc_CELTINS (3)' na pasta de trabalho." type="5" refreshedVersion="8" background="1" saveData="1">
    <dbPr connection="Provider=Microsoft.Mashup.OleDb.1;Data Source=$Workbook$;Location=&quot;revtar_inc_aecc_CELTINS (3)&quot;;Extended Properties=&quot;&quot;" command="SELECT * FROM [revtar_inc_aecc_CELTINS (3)]"/>
  </connection>
  <connection id="4" xr16:uid="{B0801643-2166-4FC3-B25C-A886AC9AE776}" keepAlive="1" name="Consulta - revtar_inc_aecc_CELTINS (4)" description="Conexão com a consulta 'revtar_inc_aecc_CELTINS (4)' na pasta de trabalho." type="5" refreshedVersion="8" background="1" saveData="1">
    <dbPr connection="Provider=Microsoft.Mashup.OleDb.1;Data Source=$Workbook$;Location=&quot;revtar_inc_aecc_CELTINS (4)&quot;;Extended Properties=&quot;&quot;" command="SELECT * FROM [revtar_inc_aecc_CELTINS (4)]"/>
  </connection>
  <connection id="5" xr16:uid="{00000000-0015-0000-FFFF-FFFF02000000}" keepAlive="1" name="Consulta - revtar_inr_aecc_CELTINS" description="Conexão com a consulta 'revtar_inr_aecc_CELTINS' na pasta de trabalho." type="5" refreshedVersion="8" background="1" saveData="1">
    <dbPr connection="Provider=Microsoft.Mashup.OleDb.1;Data Source=$Workbook$;Location=revtar_inr_aecc_CELTINS;Extended Properties=&quot;&quot;" command="SELECT * FROM [revtar_inr_aecc_CELTINS]"/>
  </connection>
  <connection id="6" xr16:uid="{D2B7942D-F770-4EF6-A5A0-712D2960F631}" keepAlive="1" name="Consulta - revtar_inr_aecc_CELTINS (2)" description="Conexão com a consulta 'revtar_inr_aecc_CELTINS (2)' na pasta de trabalho." type="5" refreshedVersion="8" background="1" saveData="1">
    <dbPr connection="Provider=Microsoft.Mashup.OleDb.1;Data Source=$Workbook$;Location=&quot;revtar_inr_aecc_CELTINS (2)&quot;;Extended Properties=&quot;&quot;" command="SELECT * FROM [revtar_inr_aecc_CELTINS (2)]"/>
  </connection>
  <connection id="7" xr16:uid="{6B231F25-C4F6-42B0-B797-95169A283365}" keepAlive="1" name="Consulta - revtar_inr_aecc_CELTINS (3)" description="Conexão com a consulta 'revtar_inr_aecc_CELTINS (3)' na pasta de trabalho." type="5" refreshedVersion="8" background="1" saveData="1">
    <dbPr connection="Provider=Microsoft.Mashup.OleDb.1;Data Source=$Workbook$;Location=&quot;revtar_inr_aecc_CELTINS (3)&quot;;Extended Properties=&quot;&quot;" command="SELECT * FROM [revtar_inr_aecc_CELTINS (3)]"/>
  </connection>
  <connection id="8" xr16:uid="{EC386928-269B-49EB-9489-A7FF4FC6BC77}" keepAlive="1" name="Consulta - revtar_inr_aecc_CELTINS (4)" description="Conexão com a consulta 'revtar_inr_aecc_CELTINS (4)' na pasta de trabalho." type="5" refreshedVersion="8" background="1" saveData="1">
    <dbPr connection="Provider=Microsoft.Mashup.OleDb.1;Data Source=$Workbook$;Location=&quot;revtar_inr_aecc_CELTINS (4)&quot;;Extended Properties=&quot;&quot;" command="SELECT * FROM [revtar_inr_aecc_CELTINS (4)]"/>
  </connection>
  <connection id="9" xr16:uid="{B1C6FD6F-8817-4983-B417-4CBE206E10E2}" keepAlive="1" name="Consulta - revtar_inrea_aecc_CELTINS (2)" description="Conexão com a consulta 'revtar_inrea_aecc_CELTINS (2)' na pasta de trabalho." type="5" refreshedVersion="8" background="1" saveData="1">
    <dbPr connection="Provider=Microsoft.Mashup.OleDb.1;Data Source=$Workbook$;Location=&quot;revtar_inrea_aecc_CELTINS (2)&quot;;Extended Properties=&quot;&quot;" command="SELECT * FROM [revtar_inrea_aecc_CELTINS (2)]"/>
  </connection>
  <connection id="10" xr16:uid="{6C237518-49A6-46BD-8A44-E57F80B974A5}" keepAlive="1" name="Consulta - revtar_inrea_aecc_CELTINS (3)" description="Conexão com a consulta 'revtar_inrea_aecc_CELTINS (3)' na pasta de trabalho." type="5" refreshedVersion="8" background="1" saveData="1">
    <dbPr connection="Provider=Microsoft.Mashup.OleDb.1;Data Source=$Workbook$;Location=&quot;revtar_inrea_aecc_CELTINS (3)&quot;;Extended Properties=&quot;&quot;" command="SELECT * FROM [revtar_inrea_aecc_CELTINS (3)]"/>
  </connection>
  <connection id="11" xr16:uid="{C413B4C1-2047-49EE-8783-823B6AC47B7A}" keepAlive="1" name="Consulta - revtar_inrea_aecc_CELTINS (4)" description="Conexão com a consulta 'revtar_inrea_aecc_CELTINS (4)' na pasta de trabalho." type="5" refreshedVersion="8" background="1" saveData="1">
    <dbPr connection="Provider=Microsoft.Mashup.OleDb.1;Data Source=$Workbook$;Location=&quot;revtar_inrea_aecc_CELTINS (4)&quot;;Extended Properties=&quot;&quot;" command="SELECT * FROM [revtar_inrea_aecc_CELTINS (4)]"/>
  </connection>
  <connection id="12" xr16:uid="{AE836543-0458-459D-B864-9AEC5001516F}" keepAlive="1" name="Consulta - revtar_inrea_aecc_CELTINS (5)" description="Conexão com a consulta 'revtar_inrea_aecc_CELTINS (5)' na pasta de trabalho." type="5" refreshedVersion="8" background="1" saveData="1">
    <dbPr connection="Provider=Microsoft.Mashup.OleDb.1;Data Source=$Workbook$;Location=&quot;revtar_inrea_aecc_CELTINS (5)&quot;;Extended Properties=&quot;&quot;" command="SELECT * FROM [revtar_inrea_aecc_CELTINS (5)]"/>
  </connection>
  <connection id="13" xr16:uid="{00000000-0015-0000-FFFF-FFFF03000000}" keepAlive="1" name="Consulta - revtar_ins_aecc_CELTINS" description="Conexão com a consulta 'revtar_ins_aecc_CELTINS' na pasta de trabalho." type="5" refreshedVersion="8" background="1" saveData="1">
    <dbPr connection="Provider=Microsoft.Mashup.OleDb.1;Data Source=$Workbook$;Location=revtar_ins_aecc_CELTINS;Extended Properties=&quot;&quot;" command="SELECT * FROM [revtar_ins_aecc_CELTINS]"/>
  </connection>
  <connection id="14" xr16:uid="{AFE31AC9-B9C4-4556-BCDC-A01C109954AF}" keepAlive="1" name="Consulta - revtar_ins_aecc_CELTINS (2)" description="Conexão com a consulta 'revtar_ins_aecc_CELTINS (2)' na pasta de trabalho." type="5" refreshedVersion="8" background="1" saveData="1">
    <dbPr connection="Provider=Microsoft.Mashup.OleDb.1;Data Source=$Workbook$;Location=&quot;revtar_ins_aecc_CELTINS (2)&quot;;Extended Properties=&quot;&quot;" command="SELECT * FROM [revtar_ins_aecc_CELTINS (2)]"/>
  </connection>
  <connection id="15" xr16:uid="{86BF6A72-985B-420E-A580-BE7D0EDA38C3}" keepAlive="1" name="Consulta - revtar_ins_aecc_CELTINS (3)" description="Conexão com a consulta 'revtar_ins_aecc_CELTINS (3)' na pasta de trabalho." type="5" refreshedVersion="8" background="1" saveData="1">
    <dbPr connection="Provider=Microsoft.Mashup.OleDb.1;Data Source=$Workbook$;Location=&quot;revtar_ins_aecc_CELTINS (3)&quot;;Extended Properties=&quot;&quot;" command="SELECT * FROM [revtar_ins_aecc_CELTINS (3)]"/>
  </connection>
  <connection id="16" xr16:uid="{26995DC6-1EEC-464E-8D44-049878444F8E}" keepAlive="1" name="Consulta - revtar_ins_aecc_CELTINS (4)" description="Conexão com a consulta 'revtar_ins_aecc_CELTINS (4)' na pasta de trabalho." type="5" refreshedVersion="8" background="1" saveData="1">
    <dbPr connection="Provider=Microsoft.Mashup.OleDb.1;Data Source=$Workbook$;Location=&quot;revtar_ins_aecc_CELTINS (4)&quot;;Extended Properties=&quot;&quot;" command="SELECT * FROM [revtar_ins_aecc_CELTINS (4)]"/>
  </connection>
  <connection id="17" xr16:uid="{00000000-0015-0000-FFFF-FFFF04000000}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00000000-0015-0000-FFFF-FFFF05000000}" name="WorksheetConnection_ABERTURA DE SS 2024.1.xlsx!revtar_inc_aecc_CELTINS" type="102" refreshedVersion="8" minRefreshableVersion="5">
    <extLst>
      <ext xmlns:x15="http://schemas.microsoft.com/office/spreadsheetml/2010/11/main" uri="{DE250136-89BD-433C-8126-D09CA5730AF9}">
        <x15:connection id="revtar_inc_aecc_CELTINS">
          <x15:rangePr sourceName="_xlcn.WorksheetConnection_ABERTURADESS2024.1.xlsxrevtar_inc_aecc_CELTINS1"/>
        </x15:connection>
      </ext>
    </extLst>
  </connection>
  <connection id="19" xr16:uid="{00000000-0015-0000-FFFF-FFFF06000000}" name="WorksheetConnection_ABERTURA DE SS 2024.1.xlsx!revtar_inr_aecc_CELTINS" type="102" refreshedVersion="8" minRefreshableVersion="5">
    <extLst>
      <ext xmlns:x15="http://schemas.microsoft.com/office/spreadsheetml/2010/11/main" uri="{DE250136-89BD-433C-8126-D09CA5730AF9}">
        <x15:connection id="revtar_inr_aecc_CELTINS">
          <x15:rangePr sourceName="_xlcn.WorksheetConnection_ABERTURADESS2024.1.xlsxrevtar_inr_aecc_CELTINS1"/>
        </x15:connection>
      </ext>
    </extLst>
  </connection>
  <connection id="20" xr16:uid="{00000000-0015-0000-FFFF-FFFF07000000}" name="WorksheetConnection_ABERTURA DE SS 2024.1.xlsx!revtar_ins_aecc_CELTINS" type="102" refreshedVersion="8" minRefreshableVersion="5">
    <extLst>
      <ext xmlns:x15="http://schemas.microsoft.com/office/spreadsheetml/2010/11/main" uri="{DE250136-89BD-433C-8126-D09CA5730AF9}">
        <x15:connection id="revtar_ins_aecc_CELTINS">
          <x15:rangePr sourceName="_xlcn.WorksheetConnection_ABERTURADESS2024.1.xlsxrevtar_ins_aecc_CELTINS1"/>
        </x15:connection>
      </ext>
    </extLst>
  </connection>
</connections>
</file>

<file path=xl/sharedStrings.xml><?xml version="1.0" encoding="utf-8"?>
<sst xmlns="http://schemas.openxmlformats.org/spreadsheetml/2006/main" count="1433" uniqueCount="688">
  <si>
    <t>CODIGO</t>
  </si>
  <si>
    <t>TIPO</t>
  </si>
  <si>
    <t>DTA_ORIG</t>
  </si>
  <si>
    <t>DTA_ULT_ALT</t>
  </si>
  <si>
    <t>ETO-PROT54/2024</t>
  </si>
  <si>
    <t>ETO-PRTO57/2024</t>
  </si>
  <si>
    <t>ETO-PROT42/2024</t>
  </si>
  <si>
    <t>ETO-PROT58/2024</t>
  </si>
  <si>
    <t>ETO-PROT59/2024</t>
  </si>
  <si>
    <t>ETO-PROT60/2024</t>
  </si>
  <si>
    <t>ETO-PROT48/2024</t>
  </si>
  <si>
    <t>ETO-PROT56/2024</t>
  </si>
  <si>
    <t>ETO-PROT45/2024</t>
  </si>
  <si>
    <t>ETO-PROT61/2024</t>
  </si>
  <si>
    <t>ETO-PROT50/2024</t>
  </si>
  <si>
    <t>ETO-PROT35/2024</t>
  </si>
  <si>
    <t>ETO-PROT47/2024</t>
  </si>
  <si>
    <t>ETO-PROT62/2024</t>
  </si>
  <si>
    <t>ETO-PROT63/2024</t>
  </si>
  <si>
    <t>não encontrado</t>
  </si>
  <si>
    <t>fiscal não encontrado</t>
  </si>
  <si>
    <t>ETO-PROT65/2024</t>
  </si>
  <si>
    <t>ETO-PROT41/2024</t>
  </si>
  <si>
    <t>ETO-PROT285/2023</t>
  </si>
  <si>
    <t>ETO-PRTO60/2024</t>
  </si>
  <si>
    <t>DTA_ULT_ATU</t>
  </si>
  <si>
    <t>ETO-PROT313/2023</t>
  </si>
  <si>
    <t>ETO-PROT69/2024</t>
  </si>
  <si>
    <t>AQUISIÇÃO EM 2018</t>
  </si>
  <si>
    <t>BDGD</t>
  </si>
  <si>
    <t>CORREÇÃO SPEC</t>
  </si>
  <si>
    <t>-</t>
  </si>
  <si>
    <t>CONTROLE SS - REGULADOR</t>
  </si>
  <si>
    <t>DATA ORIG</t>
  </si>
  <si>
    <t>DATA UTL ATU</t>
  </si>
  <si>
    <t>SS</t>
  </si>
  <si>
    <t>DATA SS</t>
  </si>
  <si>
    <t>CONTROLE SS - RELIGADOR</t>
  </si>
  <si>
    <t>ETO-PROT262/2023</t>
  </si>
  <si>
    <t>ETO-PROT79/2024</t>
  </si>
  <si>
    <t>ETO-PROT78/2024</t>
  </si>
  <si>
    <t>23/11/2022 (03/04/2024)</t>
  </si>
  <si>
    <t>23/11/22 FISCALIZAÇÃO FINAL APROVADA</t>
  </si>
  <si>
    <t>ETO-PROT73/2024</t>
  </si>
  <si>
    <t xml:space="preserve">CASO QUE SUMIU RL DA BASE, E FOI ABERTO RECONFIGURAÇÃO DE REDE PARA AJUSTES. </t>
  </si>
  <si>
    <t>CONTROLE SS - CAPACITOR</t>
  </si>
  <si>
    <t>ETO-PROT80/2024</t>
  </si>
  <si>
    <t>ETO-PROT270/2023</t>
  </si>
  <si>
    <t>ETO-PROT279/2023</t>
  </si>
  <si>
    <t>ETO-PROT209/2023</t>
  </si>
  <si>
    <t>FISCALIZAÇÃO SOMBRA</t>
  </si>
  <si>
    <t>CORREÇAO SPEC</t>
  </si>
  <si>
    <t>ETO-PRTO81/2024</t>
  </si>
  <si>
    <t>ETO-PRTO84/2024</t>
  </si>
  <si>
    <t>ETO-PROT93/2024</t>
  </si>
  <si>
    <t>PARTICULAR</t>
  </si>
  <si>
    <t>AJUSTE MONITOR DE INTERFACE</t>
  </si>
  <si>
    <t>ETO-PROT105/2024</t>
  </si>
  <si>
    <t>AJUSTE MI</t>
  </si>
  <si>
    <t>ETO-PROT 112/2024</t>
  </si>
  <si>
    <t>ETO-PRTO115/2024</t>
  </si>
  <si>
    <t>ATIVO AINDA NÃO CHEGOU NO SGM</t>
  </si>
  <si>
    <t>james gomes</t>
  </si>
  <si>
    <t>INSTALAÇÃO 2023</t>
  </si>
  <si>
    <t>SUB. POSTE</t>
  </si>
  <si>
    <t>AJUSTE CHAVE BIFURCADA</t>
  </si>
  <si>
    <t>AJUSTE CH</t>
  </si>
  <si>
    <t>AJUSTE</t>
  </si>
  <si>
    <t>ETO-PROT122/2024</t>
  </si>
  <si>
    <t>ETO-PROT123/2024</t>
  </si>
  <si>
    <t>ETO-TELE566/2019</t>
  </si>
  <si>
    <t>ETO-PROT129/2024</t>
  </si>
  <si>
    <t>ETO-PROT130/2024</t>
  </si>
  <si>
    <t>*****</t>
  </si>
  <si>
    <t>RELGADOR REMANEJADO - FISCAL JHONATTAS</t>
  </si>
  <si>
    <t>****</t>
  </si>
  <si>
    <t>31/08/2022 sem ss
não sei o numero da obra</t>
  </si>
  <si>
    <t>30/08/2022
não sei o numero da obra</t>
  </si>
  <si>
    <t>23/12/2022 sem ss
obra 0212101259 IRLLEY</t>
  </si>
  <si>
    <t>ETO-PROT138/2024</t>
  </si>
  <si>
    <t>ETO-PROT139/2024</t>
  </si>
  <si>
    <t>ETO-PROT140/2024</t>
  </si>
  <si>
    <t>hugo</t>
  </si>
  <si>
    <t>correção luan/ruben</t>
  </si>
  <si>
    <t>ETO-PROT147/2024</t>
  </si>
  <si>
    <t>ETO-PROT148/2024</t>
  </si>
  <si>
    <t>ETO-PROT149/2024</t>
  </si>
  <si>
    <t>fiscal disse que obra não teve remanejamento de religador, somente de rede</t>
  </si>
  <si>
    <t>ETO-PROT150/2024</t>
  </si>
  <si>
    <t>ETO-PROT141/2024</t>
  </si>
  <si>
    <t>ETO-PROT143/2024</t>
  </si>
  <si>
    <t>atualização de NF =&gt; NA</t>
  </si>
  <si>
    <t>equipamento já comissionado</t>
  </si>
  <si>
    <t>ETO-PROT128/2024</t>
  </si>
  <si>
    <t>ETO-PROT127/2024</t>
  </si>
  <si>
    <t>atualização MI</t>
  </si>
  <si>
    <t>ETO-PROT152/2024</t>
  </si>
  <si>
    <t>ETO-PROT153/2024</t>
  </si>
  <si>
    <t>FORÇA TAREFA FLUXO INVERTIDA</t>
  </si>
  <si>
    <t>ETO-PROT0001/2024</t>
  </si>
  <si>
    <t>ETO-PROT154/2024</t>
  </si>
  <si>
    <t>ETO-PROT156/2024</t>
  </si>
  <si>
    <t>ETO-PROT157/2024</t>
  </si>
  <si>
    <t>ETO-PROT158/2024</t>
  </si>
  <si>
    <t>ETO-PROT160/2024</t>
  </si>
  <si>
    <t>ETO-PROT38/2023</t>
  </si>
  <si>
    <t>antigo</t>
  </si>
  <si>
    <t>correção</t>
  </si>
  <si>
    <t>já está em operação</t>
  </si>
  <si>
    <t>ETO-PROT164/2024</t>
  </si>
  <si>
    <t>ETO-PROT163/2024</t>
  </si>
  <si>
    <t>ETO-PROT165/2024</t>
  </si>
  <si>
    <t>OBS</t>
  </si>
  <si>
    <t>ETO-PROT166/2024</t>
  </si>
  <si>
    <t>ETO-PROT271/2023</t>
  </si>
  <si>
    <t>ETO-PROT272/2023</t>
  </si>
  <si>
    <t>geniwalber</t>
  </si>
  <si>
    <t>ETO-PROT170/2024</t>
  </si>
  <si>
    <t>ETO-PROT171/2024</t>
  </si>
  <si>
    <t>ETO-PROT172/2024</t>
  </si>
  <si>
    <t>Rogerio Teodoro de Oliveira</t>
  </si>
  <si>
    <t>ETO-PROT173/2024</t>
  </si>
  <si>
    <t>ETO-PROT174/2024</t>
  </si>
  <si>
    <t>ETO-PROT175/2024</t>
  </si>
  <si>
    <t>ETO-PROT176/2024</t>
  </si>
  <si>
    <t>ETO-PROT177/2024</t>
  </si>
  <si>
    <t>ETO-PROT178/2024</t>
  </si>
  <si>
    <t>ETO-PROT179/2024</t>
  </si>
  <si>
    <t>ETO-PROT180/2024</t>
  </si>
  <si>
    <t xml:space="preserve">alteração de chave aberta para fechada </t>
  </si>
  <si>
    <t>ETO-PROT 00169/2024</t>
  </si>
  <si>
    <t>ETO-PROT 00181/2024</t>
  </si>
  <si>
    <t>Irlley Jose Araujo Castelo Branco</t>
  </si>
  <si>
    <t>ETO-PROT182/2024</t>
  </si>
  <si>
    <t>ETO-PROT183/2024</t>
  </si>
  <si>
    <t>12/07/20224</t>
  </si>
  <si>
    <t>ETO-PROT186/2024</t>
  </si>
  <si>
    <t>ETO-PROT188/2024</t>
  </si>
  <si>
    <t>ETO-PROT189/2024</t>
  </si>
  <si>
    <t>ETO-PROT168/2024</t>
  </si>
  <si>
    <t xml:space="preserve">alteração de chave fechada para aberta </t>
  </si>
  <si>
    <t>ETO-PROT190/2024</t>
  </si>
  <si>
    <t>ETO-PROT191/2024</t>
  </si>
  <si>
    <t>ETO-PROT195/2024</t>
  </si>
  <si>
    <t>ETO-PROT196/2024</t>
  </si>
  <si>
    <t>ETO-PROT198/2024</t>
  </si>
  <si>
    <t>ETO-PROT199/2024</t>
  </si>
  <si>
    <t>ETO-PROT043/2022</t>
  </si>
  <si>
    <t>ETO-PROT200/2024</t>
  </si>
  <si>
    <t>ETO-PROT203/2024</t>
  </si>
  <si>
    <t>ETO-PROT204/2024</t>
  </si>
  <si>
    <t>ETO-PROT205/2024</t>
  </si>
  <si>
    <t>AJUSTE AL</t>
  </si>
  <si>
    <t>não necessita de SS</t>
  </si>
  <si>
    <t>ETO-PROT206/2024</t>
  </si>
  <si>
    <t>ETO-PROT207/2024</t>
  </si>
  <si>
    <t xml:space="preserve">correção de  fluxo invertido </t>
  </si>
  <si>
    <t>laudo com o fiscal Rogerio Teodoro - obra 0602200615</t>
  </si>
  <si>
    <t>esse tipo de religador rocket não necessita de comissionamento</t>
  </si>
  <si>
    <t>ETO-PROT209/2024</t>
  </si>
  <si>
    <t>ETO-PROT213/2024</t>
  </si>
  <si>
    <t>23/07/20274</t>
  </si>
  <si>
    <t>ETO-PROT193/2024</t>
  </si>
  <si>
    <t>ETO-PROT210/2024</t>
  </si>
  <si>
    <t>ETO-PROT217/2024</t>
  </si>
  <si>
    <t>ETO-PROT218/2024</t>
  </si>
  <si>
    <t>ETO-PROT219/2024</t>
  </si>
  <si>
    <t>ETO-PROT222/2024</t>
  </si>
  <si>
    <t>ETO-PROT223/2024</t>
  </si>
  <si>
    <t>ETO-PROT224/2024</t>
  </si>
  <si>
    <t>ETO-PROT225/2024</t>
  </si>
  <si>
    <t>ETO-PROT226/2024</t>
  </si>
  <si>
    <t>ETO-PROT227/2024</t>
  </si>
  <si>
    <t>ETO-PROT228/2024</t>
  </si>
  <si>
    <t>ETO-PROT229/2024</t>
  </si>
  <si>
    <t>ETO-PROT230/2024</t>
  </si>
  <si>
    <t>ETO-PROT231/2024</t>
  </si>
  <si>
    <t>ETO-PROT232/2024</t>
  </si>
  <si>
    <t>ETO-PROT235/2024</t>
  </si>
  <si>
    <t>ETO-PROT239/2024</t>
  </si>
  <si>
    <t>ETO-PROT241/2024</t>
  </si>
  <si>
    <t>ETO-PROT254/2024</t>
  </si>
  <si>
    <t>ETO-PROT245/2024</t>
  </si>
  <si>
    <t>ETO-PROT247/2024</t>
  </si>
  <si>
    <t>ETO-PROT246/2024</t>
  </si>
  <si>
    <t>ETO-PROT248/2024</t>
  </si>
  <si>
    <t>ETO-PROT244/2024</t>
  </si>
  <si>
    <t>correção de topologia 5907344122 =&gt; 5907244122</t>
  </si>
  <si>
    <t>ETO-PROT256/2024</t>
  </si>
  <si>
    <t>ETO-PROT257/2024</t>
  </si>
  <si>
    <t>ETO-PROT258/2024</t>
  </si>
  <si>
    <t>ETO-PROT267/2024</t>
  </si>
  <si>
    <t>ETO-PROT261/2024</t>
  </si>
  <si>
    <t>ETO-PROT260/2024</t>
  </si>
  <si>
    <t>ETO-PROT264/2024</t>
  </si>
  <si>
    <t>ETO-PROT268/2024</t>
  </si>
  <si>
    <t>ETO-PROT265/2024</t>
  </si>
  <si>
    <t>ETO-PROT266/2024</t>
  </si>
  <si>
    <t>ETO-PROT273/2024</t>
  </si>
  <si>
    <t xml:space="preserve">ajuste </t>
  </si>
  <si>
    <t>ETO-PROT274/2024</t>
  </si>
  <si>
    <t>ETO-PROT269/2024</t>
  </si>
  <si>
    <t>ETO-PROT276/2024</t>
  </si>
  <si>
    <t>ETO-PROT277/2024</t>
  </si>
  <si>
    <t>ETO-PROT280/2024</t>
  </si>
  <si>
    <t>ETO-PROT281/2024</t>
  </si>
  <si>
    <t>ETO-PROT282/2024</t>
  </si>
  <si>
    <t>ETO-PROT283/2024</t>
  </si>
  <si>
    <t>ETO-PROT284/2024</t>
  </si>
  <si>
    <t>ETO-PROT285/2024</t>
  </si>
  <si>
    <t>ETO-PROT286/2024</t>
  </si>
  <si>
    <t>ETO-PROT278/2024</t>
  </si>
  <si>
    <t>7955192004=&gt;5955192004</t>
  </si>
  <si>
    <t>ETO-PROT289/2024</t>
  </si>
  <si>
    <t>ETO-PROT290/2024</t>
  </si>
  <si>
    <t>ETO-PROT291/2024</t>
  </si>
  <si>
    <t>ETO-PROT275/2024</t>
  </si>
  <si>
    <t>ETO-PROT293/2024</t>
  </si>
  <si>
    <t>ETO-PROT294/2024</t>
  </si>
  <si>
    <t>ETO-PROT295/2024</t>
  </si>
  <si>
    <t>ETO-PROT303/2024</t>
  </si>
  <si>
    <t>alteração de topologia</t>
  </si>
  <si>
    <t>25/09/20224</t>
  </si>
  <si>
    <t>ETO-PROT305/2024</t>
  </si>
  <si>
    <t>ETO-PROT306/2024</t>
  </si>
  <si>
    <t>ETO-PROT312/2024</t>
  </si>
  <si>
    <t>ETO-PROT310/2024</t>
  </si>
  <si>
    <t>ETO-PROT311/2024</t>
  </si>
  <si>
    <t>ETO-PROT314/2024</t>
  </si>
  <si>
    <t>ETO-PROT313/2024</t>
  </si>
  <si>
    <t>ETO-PROT315/2024</t>
  </si>
  <si>
    <t>ETO-PROT317/2024</t>
  </si>
  <si>
    <t>ETO-PROT318/2024</t>
  </si>
  <si>
    <t>ETO-PROT319/2024</t>
  </si>
  <si>
    <t>ETO-PROT320/2024</t>
  </si>
  <si>
    <t>ETO-PROT321/2024</t>
  </si>
  <si>
    <t>ETO-PROT322/2024</t>
  </si>
  <si>
    <t>ETO-PROT323/2024</t>
  </si>
  <si>
    <t>ETO-PROT324/2024</t>
  </si>
  <si>
    <t>ajuste de rota</t>
  </si>
  <si>
    <t>AJUSTE NF=&gt;NA</t>
  </si>
  <si>
    <t>AJUSTE NA=&gt;NF</t>
  </si>
  <si>
    <t>ETO-PROT341/2024</t>
  </si>
  <si>
    <t>ETO-PROT352/2024</t>
  </si>
  <si>
    <t>ETO-PROT353/2024</t>
  </si>
  <si>
    <t>correção de topo após remanejamento 7938920003=&gt;7955730003</t>
  </si>
  <si>
    <t>ETO-PROT360/2024</t>
  </si>
  <si>
    <t>ETO-PROT359/2024</t>
  </si>
  <si>
    <t>ETO-PROT357/2024</t>
  </si>
  <si>
    <t>ETO-PROT358/2024</t>
  </si>
  <si>
    <t>ETO-PROT355/2024</t>
  </si>
  <si>
    <t>ETO-PROT350/2024</t>
  </si>
  <si>
    <t>ETO-PROT342/2024</t>
  </si>
  <si>
    <t>ETO-PROT349/2024</t>
  </si>
  <si>
    <t>ETO-PROT346/2024</t>
  </si>
  <si>
    <t>ETO-PROT344/2024</t>
  </si>
  <si>
    <t>ETO-PROT347/2024</t>
  </si>
  <si>
    <t>ETO-PROT329/2024</t>
  </si>
  <si>
    <t>ETO-PROT330/2024</t>
  </si>
  <si>
    <t>ETO-PROT339/2024</t>
  </si>
  <si>
    <t>ETO-PROT338/2024</t>
  </si>
  <si>
    <t>ETO-PROT348/2024</t>
  </si>
  <si>
    <t>ETO-PROT363/2024</t>
  </si>
  <si>
    <t>ETO-PROT364/2024</t>
  </si>
  <si>
    <t>ETO-PROT365/2024</t>
  </si>
  <si>
    <t>ETO-PROT366/2024</t>
  </si>
  <si>
    <t>ETO-PROT368/2024</t>
  </si>
  <si>
    <t>ETO-PROT369/2024</t>
  </si>
  <si>
    <t>ETO-PROT380/2024</t>
  </si>
  <si>
    <t>ETO-PROT372/2024</t>
  </si>
  <si>
    <t>ETO-PROT373/2024</t>
  </si>
  <si>
    <t>ETO-PROT379/2024</t>
  </si>
  <si>
    <t>ETO-PROT377/2024</t>
  </si>
  <si>
    <t>ETO-PROT375/2024</t>
  </si>
  <si>
    <t>ETO-PROT376/2024</t>
  </si>
  <si>
    <t>ETO-PROT374/2024</t>
  </si>
  <si>
    <t>ETO-PROT378/2024</t>
  </si>
  <si>
    <t>ETO-PROT382/2024</t>
  </si>
  <si>
    <t>ETO-PROT385/2024</t>
  </si>
  <si>
    <t>ETO-PROT391/2024</t>
  </si>
  <si>
    <t>ETO-PROT390/2024</t>
  </si>
  <si>
    <t>ETO-PROT392/2024</t>
  </si>
  <si>
    <t>ETO-PROT393/2024</t>
  </si>
  <si>
    <t>ETO-PROT394/2024</t>
  </si>
  <si>
    <t>ETO-PROT399/2024</t>
  </si>
  <si>
    <t>ETO-PROT407/2024</t>
  </si>
  <si>
    <t>ETO-PROT403/2024</t>
  </si>
  <si>
    <t>ETO-PROT406/2024</t>
  </si>
  <si>
    <t>ETO-PROT408/2024</t>
  </si>
  <si>
    <t>ETO-PROT404/2024</t>
  </si>
  <si>
    <t>ETO-PROT395/2024</t>
  </si>
  <si>
    <t>ETO-PROT405/2024</t>
  </si>
  <si>
    <t>ETO-PROT409/2024</t>
  </si>
  <si>
    <t>ETO-PROT413/2024</t>
  </si>
  <si>
    <t>ETO-PROT419/2024</t>
  </si>
  <si>
    <t>ETO-PROT412/2024</t>
  </si>
  <si>
    <t>ETO-PROT418/2024</t>
  </si>
  <si>
    <t>ETO-PROT414/2024</t>
  </si>
  <si>
    <t>12//11/2024</t>
  </si>
  <si>
    <t>ETO-PROT420/2024</t>
  </si>
  <si>
    <t>ETO-PROT416/2024</t>
  </si>
  <si>
    <t>ETO-PROT417/2024</t>
  </si>
  <si>
    <t>ETO-PROT415/2024</t>
  </si>
  <si>
    <t>OK</t>
  </si>
  <si>
    <t>ETO-PROT425/2024</t>
  </si>
  <si>
    <t>ETO-PROT423/2024</t>
  </si>
  <si>
    <t>ETO-PROT422/2024</t>
  </si>
  <si>
    <t>ETO-PROT424/2024</t>
  </si>
  <si>
    <t>ETO-PROT431/2024</t>
  </si>
  <si>
    <t>ETO-PROT432/2024</t>
  </si>
  <si>
    <t>ETO-PROT433/2024</t>
  </si>
  <si>
    <t>ETO-PROT434/2024</t>
  </si>
  <si>
    <t>ETO-PROT44/2024</t>
  </si>
  <si>
    <t>ETO-PROT444/2024</t>
  </si>
  <si>
    <t>ETO-PROT445/2024</t>
  </si>
  <si>
    <t>ETO-PROT447/2024</t>
  </si>
  <si>
    <t>ETO-PROT449/2024</t>
  </si>
  <si>
    <t>atualização minsait</t>
  </si>
  <si>
    <t>ETO-PROT438/2024</t>
  </si>
  <si>
    <t>laudo com o fiscal</t>
  </si>
  <si>
    <t>ETO-PROT437/2024</t>
  </si>
  <si>
    <t>ETO-PROT451/2024</t>
  </si>
  <si>
    <t>ETO-PROT452/2024</t>
  </si>
  <si>
    <t>ETO-PROT453/2024</t>
  </si>
  <si>
    <t>ETO-PROT457/2024</t>
  </si>
  <si>
    <t>ETO-PROT454/2024</t>
  </si>
  <si>
    <t>ETO-PROT456/2024</t>
  </si>
  <si>
    <t>ETO-PROT463/2024</t>
  </si>
  <si>
    <t>ETO-PROT465/2024</t>
  </si>
  <si>
    <t>ETO-PROT464/2024</t>
  </si>
  <si>
    <t>ETO-PROT475/2024</t>
  </si>
  <si>
    <t>ETO-PROT471/2024</t>
  </si>
  <si>
    <t>ETO-PROT499/2024</t>
  </si>
  <si>
    <t>ETO-PROT479/2024</t>
  </si>
  <si>
    <t>ETO-PROT500/2024</t>
  </si>
  <si>
    <t>ETO-PROT501/2024</t>
  </si>
  <si>
    <t>ETO-PROT482/2024</t>
  </si>
  <si>
    <t>ETO-PROT502/2024</t>
  </si>
  <si>
    <t>ETO-PROT509/2024</t>
  </si>
  <si>
    <t>ETO-PROT503/2024</t>
  </si>
  <si>
    <t>ETO-PROT520/2024</t>
  </si>
  <si>
    <t>ativo não encontrado</t>
  </si>
  <si>
    <t>ETO-PROT17/2025</t>
  </si>
  <si>
    <t>ETO-PROT6/2025</t>
  </si>
  <si>
    <t>ETO-PROT3/2025</t>
  </si>
  <si>
    <t>ETO-PROT485/2024</t>
  </si>
  <si>
    <t>ETO-PROT21/2025</t>
  </si>
  <si>
    <t>top corrigida 7955521116</t>
  </si>
  <si>
    <t>top corrigida 7955700073</t>
  </si>
  <si>
    <t>ETO-PROT26/2025</t>
  </si>
  <si>
    <t>ETO-PROT27/2025</t>
  </si>
  <si>
    <t>ETO-PROT28/2025</t>
  </si>
  <si>
    <t>top provisória</t>
  </si>
  <si>
    <t>ETO-PROT49/2025</t>
  </si>
  <si>
    <t>ETO-PROT76/2025</t>
  </si>
  <si>
    <t>ETO-PROT79/2025</t>
  </si>
  <si>
    <t>ETO-PROT80/2025</t>
  </si>
  <si>
    <t>ETO-PROT92/2025</t>
  </si>
  <si>
    <t>ETO-PROT93/2025</t>
  </si>
  <si>
    <t>ETO-PROT119/2025</t>
  </si>
  <si>
    <t>ETO-PROT120/2025</t>
  </si>
  <si>
    <t>5853769152=&gt;5853770152</t>
  </si>
  <si>
    <t>5853769152=&gt;5853769152</t>
  </si>
  <si>
    <t>ETO-PROT121/2025</t>
  </si>
  <si>
    <t>ETO-PROT122/2025</t>
  </si>
  <si>
    <t>alteração NA=&gt;NF</t>
  </si>
  <si>
    <t>atualização de cadastro</t>
  </si>
  <si>
    <t xml:space="preserve"> atualização de cadastro</t>
  </si>
  <si>
    <t>ETO-PROT136/2025</t>
  </si>
  <si>
    <t>ETO-PROT137/2025</t>
  </si>
  <si>
    <t xml:space="preserve">capacitor ficticio </t>
  </si>
  <si>
    <t>ETO-PROT138/2025</t>
  </si>
  <si>
    <t>RELIGADOR</t>
  </si>
  <si>
    <t>CAPACITOR</t>
  </si>
  <si>
    <t>REGULADOR</t>
  </si>
  <si>
    <t>TOTAL</t>
  </si>
  <si>
    <t>SGM</t>
  </si>
  <si>
    <t xml:space="preserve">ATIVOS  TS </t>
  </si>
  <si>
    <t xml:space="preserve">ABERTURA  SS SEMANAL  </t>
  </si>
  <si>
    <t>ETO-PROT143/2025</t>
  </si>
  <si>
    <t>ETO-PROT 160/2025</t>
  </si>
  <si>
    <t>ETO-PROT 161/2025</t>
  </si>
  <si>
    <t>ETO-PROT 162/2025</t>
  </si>
  <si>
    <t>ETO-PROT 163/2025</t>
  </si>
  <si>
    <t>ETO-PROT164/2025</t>
  </si>
  <si>
    <t>ETO-PROT 166/2025</t>
  </si>
  <si>
    <t>ETO-PROT170/2025</t>
  </si>
  <si>
    <t>ETO-PROT181/2025</t>
  </si>
  <si>
    <t>BR36425058</t>
  </si>
  <si>
    <t>BR</t>
  </si>
  <si>
    <t>BR44286059</t>
  </si>
  <si>
    <t>BR00740107</t>
  </si>
  <si>
    <t>BR00741107</t>
  </si>
  <si>
    <t>BR11303070</t>
  </si>
  <si>
    <t>BR29358104</t>
  </si>
  <si>
    <t>BR38963256</t>
  </si>
  <si>
    <t>BR38962256</t>
  </si>
  <si>
    <t>BR00419058</t>
  </si>
  <si>
    <t>BR14751026</t>
  </si>
  <si>
    <t>BR12716256</t>
  </si>
  <si>
    <t>BR29359195</t>
  </si>
  <si>
    <t>BR11190070</t>
  </si>
  <si>
    <t>BR42735160</t>
  </si>
  <si>
    <t>BR50002066</t>
  </si>
  <si>
    <t>BR49304055</t>
  </si>
  <si>
    <t>BR20655055</t>
  </si>
  <si>
    <t>BR20654075</t>
  </si>
  <si>
    <t>07/06/2021</t>
  </si>
  <si>
    <t>15/10/2024</t>
  </si>
  <si>
    <t>03/08/2021</t>
  </si>
  <si>
    <t>14/11/2024</t>
  </si>
  <si>
    <t>15/01/2022</t>
  </si>
  <si>
    <t>21/01/2025</t>
  </si>
  <si>
    <t>19/01/2016</t>
  </si>
  <si>
    <t>15/01/2025</t>
  </si>
  <si>
    <t>20/09/2018</t>
  </si>
  <si>
    <t>18/03/2020</t>
  </si>
  <si>
    <t>03/10/2024</t>
  </si>
  <si>
    <t>10/04/2007</t>
  </si>
  <si>
    <t>04/01/2017</t>
  </si>
  <si>
    <t>18/10/2018</t>
  </si>
  <si>
    <t>07/10/2022</t>
  </si>
  <si>
    <t>17/10/2022</t>
  </si>
  <si>
    <t>24/01/2023</t>
  </si>
  <si>
    <t>25/01/2023</t>
  </si>
  <si>
    <t>26/01/2023</t>
  </si>
  <si>
    <t>13/05/2022</t>
  </si>
  <si>
    <t>REATOR</t>
  </si>
  <si>
    <t>Solicitação de Serviço</t>
  </si>
  <si>
    <t>ETO-PROT189/2025</t>
  </si>
  <si>
    <t>ETO-PROT191/2025</t>
  </si>
  <si>
    <t>AJUSTE MI 623377115</t>
  </si>
  <si>
    <t>ETO-PROT196/2025</t>
  </si>
  <si>
    <t>ETO-PROT198/2025</t>
  </si>
  <si>
    <t>ETO-PROT201/2025</t>
  </si>
  <si>
    <t>ETO-PROT202/2025</t>
  </si>
  <si>
    <t>ETO-PROT203/2025</t>
  </si>
  <si>
    <t>ETO-PROT204/2025</t>
  </si>
  <si>
    <t>ETO-PROT206/2025</t>
  </si>
  <si>
    <t>ETO-PROT211/2025</t>
  </si>
  <si>
    <t>ETO-PROT212/2025</t>
  </si>
  <si>
    <t>ETO-PROT213/2025</t>
  </si>
  <si>
    <t>EM OPERAÇÃO</t>
  </si>
  <si>
    <t>ETO-PROT214/2025</t>
  </si>
  <si>
    <t>AJUSTE ROTA DE CH DO RG</t>
  </si>
  <si>
    <t>ETO-PROT215/2025</t>
  </si>
  <si>
    <t>ETO-PROT216/2025</t>
  </si>
  <si>
    <t>ETO-PROT217/2025</t>
  </si>
  <si>
    <t>ETO-PROT218/2025</t>
  </si>
  <si>
    <t>ETO-PROT221/2025</t>
  </si>
  <si>
    <t>ETO-PROT227/2025</t>
  </si>
  <si>
    <t>ETO-PROT228/2025</t>
  </si>
  <si>
    <t>Link IP de melhoria:</t>
  </si>
  <si>
    <t>ETO-PROT230/2025</t>
  </si>
  <si>
    <t>NF-&gt;NA</t>
  </si>
  <si>
    <t>ETO-PROT233/2025</t>
  </si>
  <si>
    <t>ETO-PROT234/2025</t>
  </si>
  <si>
    <t>ETO-PROT235/2025</t>
  </si>
  <si>
    <t>ETO-PROT238/2025</t>
  </si>
  <si>
    <t>ETO-PROT239/2025</t>
  </si>
  <si>
    <t>5809431028 =&gt; 5809431091</t>
  </si>
  <si>
    <t>ETO-PROT 17/2024</t>
  </si>
  <si>
    <t>ETO-PROT 15/2024</t>
  </si>
  <si>
    <t>ETO-PROT 14/2024</t>
  </si>
  <si>
    <t>ETO-PROT 239/2023</t>
  </si>
  <si>
    <t>ETO-PROT240/2025</t>
  </si>
  <si>
    <t>https://energisa-my.sharepoint.com/personal/arthur_carvalho_energisa_com_br/_layouts/15/onedrive.aspx?id=%2Fpersonal%2Farthur%5Fcarvalho%5Fenergisa%5Fcom%5Fbr%2FDocuments%2FIP%20MELHORIA%20DA%20QUALIDADE%20DA%20BASE&amp;sortField=Modified&amp;isAscending=false&amp;amp%3bcsf=1&amp;amp%3bweb=1&amp;amp%3be=iLJjNN&amp;amp%3bovuser=f8c68086%2Db95c%2D49cb%2D9d38%2Ded37940abef5%2Cisabelle%2Esilva%40energisaterceiros%2Ecom%2Ebr&amp;amp%3bOR=Teams%2DHL&amp;amp%3bCT=1725965590432&amp;amp%3bclickparams=eyJBcHBOYW1lIjoiVGVhbXMtRGVza3RvcCIsIkFwcFZlcnNpb24iOiI0OS8yNDA4MDIxMjAwOCIsIkhhc0ZlZGVyYXRlZFVzZXIiOmZhbHNlfQ%3D%3D&amp;amp%3bCID=dbdb4ea1%2D2099%2D6000%2D6192%2D310b8aca09b4&amp;amp%3bcidOR=SPO&amp;amp%3bFolderCTID=0x01200081680D61078FB646BEB61486FDBFADB8&amp;amp%3bview=0&amp;OR=Teams%2DHL&amp;CT=1737662707756</t>
  </si>
  <si>
    <t>ok</t>
  </si>
  <si>
    <t>Ok</t>
  </si>
  <si>
    <t>5861441256 =&gt; 5861441026</t>
  </si>
  <si>
    <t>NF =&gt; NA</t>
  </si>
  <si>
    <t>CONTROLE SS - REATOR</t>
  </si>
  <si>
    <t>ETO-PROT262/2025</t>
  </si>
  <si>
    <t>NA =&gt; NF</t>
  </si>
  <si>
    <t>7951276103 =&gt; 7951276130</t>
  </si>
  <si>
    <t>ETO-PROT263/2025</t>
  </si>
  <si>
    <t>ETO-PROT264/2025</t>
  </si>
  <si>
    <t>ETO-PROT265/2025</t>
  </si>
  <si>
    <t>ETO-PROT267/2025</t>
  </si>
  <si>
    <t>ETO-PROT268/2025</t>
  </si>
  <si>
    <t>ETO-PROT269/2025</t>
  </si>
  <si>
    <t>ETO-PROT 274/2023</t>
  </si>
  <si>
    <t>ETO-PROT275/2025</t>
  </si>
  <si>
    <t>ETO-PROT277/2025</t>
  </si>
  <si>
    <t>ETO-PROT278/2025</t>
  </si>
  <si>
    <t>ETO-PROT279/2025</t>
  </si>
  <si>
    <t>ETO-PROT284/2025</t>
  </si>
  <si>
    <t>ETO-PROT285/2025</t>
  </si>
  <si>
    <t>ETO-PROT287/2025</t>
  </si>
  <si>
    <t>ETO-PROT288/2025</t>
  </si>
  <si>
    <t>ETO-PROT289/2025</t>
  </si>
  <si>
    <t>ETO-PROT290/2025</t>
  </si>
  <si>
    <t xml:space="preserve"> 5950133122 =&gt; 5950742122</t>
  </si>
  <si>
    <t>ETO-PROT298/2025</t>
  </si>
  <si>
    <t>7923664004 =&gt; 7963715004</t>
  </si>
  <si>
    <t>ETO-PROT299/2025</t>
  </si>
  <si>
    <t>ETO-PROT300/2025</t>
  </si>
  <si>
    <t>ETO-PROT301/2025</t>
  </si>
  <si>
    <t>ETO-PROT302/2025</t>
  </si>
  <si>
    <t>ETO-PROT308/2025</t>
  </si>
  <si>
    <t>ETO-PROT309/2025</t>
  </si>
  <si>
    <t>ETO-PROT310/2025</t>
  </si>
  <si>
    <t>ETO-PROT311/2025</t>
  </si>
  <si>
    <t>ETO-PROT312/2025</t>
  </si>
  <si>
    <t>ETO-PROT313/2025</t>
  </si>
  <si>
    <t>ETO-PROT314/2025</t>
  </si>
  <si>
    <t>ETO-PROT 325/2023</t>
  </si>
  <si>
    <t>ETO-PROT 326/2023</t>
  </si>
  <si>
    <t>ETO-PROT 327/2023</t>
  </si>
  <si>
    <t>ETO-PROT 328/2023</t>
  </si>
  <si>
    <t>ETO-PROT 329/2023</t>
  </si>
  <si>
    <t>ATUALIZAÇÃO</t>
  </si>
  <si>
    <t>ETO-PROT332/2025</t>
  </si>
  <si>
    <t>ETO-PROT334/2025</t>
  </si>
  <si>
    <t>ETO-PROT335/2025</t>
  </si>
  <si>
    <t>ETO-PROT336/2025</t>
  </si>
  <si>
    <t>ETO-PROT337/2025</t>
  </si>
  <si>
    <t>ETO-PROT338/2025</t>
  </si>
  <si>
    <t>ETO-PROT339/2025</t>
  </si>
  <si>
    <t>ETO-PROT342/2025</t>
  </si>
  <si>
    <t>ETO-PROT343/2025</t>
  </si>
  <si>
    <t>ETO-PROT344/2025</t>
  </si>
  <si>
    <t>ETO-PROT345/2025</t>
  </si>
  <si>
    <t>ETO-PROT346/2025</t>
  </si>
  <si>
    <t>ETO-PROT347/2025</t>
  </si>
  <si>
    <t>ETO-PROT348/2025</t>
  </si>
  <si>
    <t>ETO-PROT349/2025</t>
  </si>
  <si>
    <t>ETO-PROT350/2025</t>
  </si>
  <si>
    <t>ETO-PROT351/2025</t>
  </si>
  <si>
    <t>ETO-PROT352/2025</t>
  </si>
  <si>
    <t>ETO-PROT353/2025</t>
  </si>
  <si>
    <t>ETO-PROT354/2025</t>
  </si>
  <si>
    <t>ETO-PROT361/2025</t>
  </si>
  <si>
    <t>ETO-PROT362/2025</t>
  </si>
  <si>
    <t>ETO-PROT363/2025</t>
  </si>
  <si>
    <t>ETO-PROT328/2025</t>
  </si>
  <si>
    <t>ETO-PROT368/2025</t>
  </si>
  <si>
    <t>ETO-PROT371/2025</t>
  </si>
  <si>
    <t>ETO-PROT372/2025</t>
  </si>
  <si>
    <t>ETO-PROT373/2025</t>
  </si>
  <si>
    <t>ETO-PROT382/2025</t>
  </si>
  <si>
    <t>ETO-PROT383/2025</t>
  </si>
  <si>
    <t>7965010004 =&gt; 7965010157</t>
  </si>
  <si>
    <t>ETO-PROT390/2025</t>
  </si>
  <si>
    <t>ETO-PROT391/2025</t>
  </si>
  <si>
    <t>ETO-PROT5/2026</t>
  </si>
  <si>
    <t>Atualização da rota</t>
  </si>
  <si>
    <t>Remanejado</t>
  </si>
  <si>
    <t>ETO-PROT13/2026</t>
  </si>
  <si>
    <t>Instalando</t>
  </si>
  <si>
    <t>ETO-PROT19/2026</t>
  </si>
  <si>
    <t>ETO-PROT25/2026</t>
  </si>
  <si>
    <t>ETO-PROT26/2026</t>
  </si>
  <si>
    <t>ETO-PROT27/2026</t>
  </si>
  <si>
    <t>ETO-PROT28/2026</t>
  </si>
  <si>
    <t>ETO-PROT32/2026</t>
  </si>
  <si>
    <t>ETO-PROT33/2026</t>
  </si>
  <si>
    <t>ETO-PROT34/2026</t>
  </si>
  <si>
    <t>ETO-PROT37/2026</t>
  </si>
  <si>
    <t>ETO-PROT38/2026</t>
  </si>
  <si>
    <t>ETO-PROT39/2026</t>
  </si>
  <si>
    <t>atualização</t>
  </si>
  <si>
    <t>ETO-PROT40/2026</t>
  </si>
  <si>
    <t>ETO-PROT41/2026</t>
  </si>
  <si>
    <t>CONTROLE SS - TRANSFORMADOR DE ATERRAMENTO</t>
  </si>
  <si>
    <t/>
  </si>
  <si>
    <t>17</t>
  </si>
  <si>
    <t>09/02/2026</t>
  </si>
  <si>
    <t>16</t>
  </si>
  <si>
    <t>20/02/2024</t>
  </si>
  <si>
    <t>22/08/2024</t>
  </si>
  <si>
    <t>28/11/2025</t>
  </si>
  <si>
    <t>25/01/2024</t>
  </si>
  <si>
    <t>26/03/2025</t>
  </si>
  <si>
    <t>29/08/2024</t>
  </si>
  <si>
    <t>5557733227</t>
  </si>
  <si>
    <t>55</t>
  </si>
  <si>
    <t>10/02/2023</t>
  </si>
  <si>
    <t>01/04/2024</t>
  </si>
  <si>
    <t>01/09/2023</t>
  </si>
  <si>
    <t>5540408256</t>
  </si>
  <si>
    <t>5555047018</t>
  </si>
  <si>
    <t>5553315233</t>
  </si>
  <si>
    <t>5539391075</t>
  </si>
  <si>
    <t>5549941026</t>
  </si>
  <si>
    <t>5566988004</t>
  </si>
  <si>
    <t>5568760001</t>
  </si>
  <si>
    <t>08/01/2025</t>
  </si>
  <si>
    <t>5554189005</t>
  </si>
  <si>
    <t>5549796195</t>
  </si>
  <si>
    <t>ETO-PROT42/2026</t>
  </si>
  <si>
    <t>JAN</t>
  </si>
  <si>
    <t>FEV</t>
  </si>
  <si>
    <t>ETO-PROT53/2026</t>
  </si>
  <si>
    <t>INSTALADO</t>
  </si>
  <si>
    <t>ETO-PROT54/2026</t>
  </si>
  <si>
    <t>ETO-PROT55/2026</t>
  </si>
  <si>
    <t>5550002066</t>
  </si>
  <si>
    <t>05/03/2026</t>
  </si>
  <si>
    <t>ETO-PROT67/2026</t>
  </si>
  <si>
    <t>MAR</t>
  </si>
  <si>
    <t>Regulador</t>
  </si>
  <si>
    <t>Data de integração</t>
  </si>
  <si>
    <t>Instalando na obra 0602501041</t>
  </si>
  <si>
    <t>Instalando na obra 0202500605</t>
  </si>
  <si>
    <t>Remanejado na obra 0402500734</t>
  </si>
  <si>
    <t>Obra</t>
  </si>
  <si>
    <t>ETO-PROT73/2026</t>
  </si>
  <si>
    <t>ETO-PROT72/2026</t>
  </si>
  <si>
    <t>18/03/2026</t>
  </si>
  <si>
    <t>CORREÇÃO ADMS</t>
  </si>
  <si>
    <t xml:space="preserve">AJUSTE MI 728987860 </t>
  </si>
  <si>
    <t>ETO-PROT79/2026</t>
  </si>
  <si>
    <t>ETO-PROT80/2026</t>
  </si>
  <si>
    <t>ETO-PROT81/2026</t>
  </si>
  <si>
    <t>ETO-PROT82/2026</t>
  </si>
  <si>
    <t>ABR</t>
  </si>
  <si>
    <t>03/04/2026</t>
  </si>
  <si>
    <t>ETO-PROT83/2026</t>
  </si>
  <si>
    <t>ETO-PROT84/2026</t>
  </si>
  <si>
    <t>ETO-PROT85/2026</t>
  </si>
  <si>
    <t>ETO-PROT86/2026</t>
  </si>
  <si>
    <t>ETO-PROT87/2026</t>
  </si>
  <si>
    <t>ETO-PROT88/2026</t>
  </si>
  <si>
    <t>ETO-PROT89/2026</t>
  </si>
  <si>
    <t>ETO-PROT83/2026
ETO-PROT84/2026
ETO-PROT85/2026
ETO-PROT86/2026
ETO-PROT87/2026</t>
  </si>
  <si>
    <t>ETO-PROT90/2026</t>
  </si>
  <si>
    <t>ETO-PROT88/2026
ETO-PROT89/2026
ETO-PROT90/2026</t>
  </si>
  <si>
    <t>Comissionamento</t>
  </si>
  <si>
    <t>comissionamento solicitado via email para proteção</t>
  </si>
  <si>
    <t>com erro/ não solicitado</t>
  </si>
  <si>
    <t>MAI</t>
  </si>
  <si>
    <t>JUN</t>
  </si>
  <si>
    <t>JUL</t>
  </si>
  <si>
    <t>AGO</t>
  </si>
  <si>
    <t>SET</t>
  </si>
  <si>
    <t>OUT</t>
  </si>
  <si>
    <t>NOV</t>
  </si>
  <si>
    <t>DEZ</t>
  </si>
  <si>
    <t>INFORMAÇÕES PARA PREENCHER A TABELA DE ONDA DE CALOR
(preencher no final do mês)</t>
  </si>
  <si>
    <t>A</t>
  </si>
  <si>
    <t>ETO-PROT104/2026</t>
  </si>
  <si>
    <t>ETO-PROT105/2026</t>
  </si>
  <si>
    <t>ETO-PROT106/2026</t>
  </si>
  <si>
    <t>ETO-PROT107/2026</t>
  </si>
  <si>
    <t>ETO-PROT108/2026</t>
  </si>
  <si>
    <t>5564367001</t>
  </si>
  <si>
    <t>12/05/2026</t>
  </si>
  <si>
    <t>ETO-PROT114/2026</t>
  </si>
  <si>
    <t>ETO-PROT103/2026</t>
  </si>
  <si>
    <t>ETO-PROT97/20266</t>
  </si>
  <si>
    <t xml:space="preserve">                                      </t>
  </si>
  <si>
    <t xml:space="preserve">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</si>
  <si>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</t>
  </si>
  <si>
    <t>ETO-PROT97/2026</t>
  </si>
  <si>
    <t>ETO-PROT116/2026</t>
  </si>
  <si>
    <t>25/05/2026</t>
  </si>
  <si>
    <t>ETO-PROT126/2026</t>
  </si>
  <si>
    <t>ETO-PROT127/2026</t>
  </si>
  <si>
    <t>ETO-PROT128/2026</t>
  </si>
  <si>
    <t>ETO-PROT129/2026</t>
  </si>
  <si>
    <t xml:space="preserve">  </t>
  </si>
  <si>
    <t>ETO-PROT137/2026</t>
  </si>
  <si>
    <t>ETO-PROT141/2026</t>
  </si>
  <si>
    <t xml:space="preserve">ETO-PROT 98/2026 </t>
  </si>
  <si>
    <t>ETO-PROT 98/2026</t>
  </si>
  <si>
    <t>ETO-PROT161/2026</t>
  </si>
  <si>
    <t>ETO-PROT162/2026</t>
  </si>
  <si>
    <t>ETO-PROT163/2026</t>
  </si>
  <si>
    <t>ETO - TELE 01038/2026</t>
  </si>
  <si>
    <t>ETO - TELE 0388/2026</t>
  </si>
  <si>
    <t>ETO-TELE 234/2026</t>
  </si>
  <si>
    <t>5553808026</t>
  </si>
  <si>
    <t>27/08/2026</t>
  </si>
  <si>
    <t>ETO-PROT169/2026</t>
  </si>
  <si>
    <t>AJUSTE A PEDIDO DA ASPO</t>
  </si>
  <si>
    <t>EQUIPAMENTO EM OPERAÇÃO</t>
  </si>
  <si>
    <t>Ja instalado em campo</t>
  </si>
  <si>
    <t>ETO-PROT171/2026</t>
  </si>
  <si>
    <t>ETO-PROT172/2026</t>
  </si>
  <si>
    <t>ETO-PROT173/2026</t>
  </si>
  <si>
    <t>ETO-PROT174/2026</t>
  </si>
  <si>
    <t>ETO-PROT175/2026</t>
  </si>
  <si>
    <t>ETO-PROT179/2026</t>
  </si>
  <si>
    <t>ETO-PROT182/2026</t>
  </si>
  <si>
    <t>ETO-PROT181/2026</t>
  </si>
  <si>
    <t>ETO-PROT180/2026</t>
  </si>
  <si>
    <t>ETO-PROT183/2026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</si>
</sst>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4" fontId="1" fillId="5" borderId="7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14" fontId="1" fillId="5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Continuous" vertical="center"/>
    </xf>
    <xf numFmtId="0" fontId="6" fillId="4" borderId="10" xfId="0" applyFont="1" applyFill="1" applyBorder="1" applyAlignment="1">
      <alignment horizontal="centerContinuous" vertical="center"/>
    </xf>
    <xf numFmtId="14" fontId="6" fillId="4" borderId="10" xfId="0" applyNumberFormat="1" applyFont="1" applyFill="1" applyBorder="1" applyAlignment="1">
      <alignment horizontal="centerContinuous" vertical="center"/>
    </xf>
    <xf numFmtId="0" fontId="6" fillId="4" borderId="10" xfId="0" applyFont="1" applyFill="1" applyBorder="1" applyAlignment="1">
      <alignment horizontal="centerContinuous" vertical="center" wrapText="1"/>
    </xf>
    <xf numFmtId="14" fontId="6" fillId="4" borderId="11" xfId="0" applyNumberFormat="1" applyFont="1" applyFill="1" applyBorder="1" applyAlignment="1">
      <alignment horizontal="centerContinuous" vertical="center"/>
    </xf>
    <xf numFmtId="49" fontId="0" fillId="0" borderId="2" xfId="0" applyNumberForma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6" fillId="6" borderId="1" xfId="0" applyFont="1" applyFill="1" applyBorder="1" applyAlignment="1">
      <alignment horizontal="centerContinuous" vertical="center"/>
    </xf>
    <xf numFmtId="0" fontId="6" fillId="6" borderId="2" xfId="0" applyFont="1" applyFill="1" applyBorder="1" applyAlignment="1">
      <alignment horizontal="centerContinuous" vertical="center"/>
    </xf>
    <xf numFmtId="14" fontId="6" fillId="6" borderId="2" xfId="0" applyNumberFormat="1" applyFont="1" applyFill="1" applyBorder="1" applyAlignment="1">
      <alignment horizontal="centerContinuous" vertical="center"/>
    </xf>
    <xf numFmtId="49" fontId="6" fillId="6" borderId="2" xfId="0" applyNumberFormat="1" applyFont="1" applyFill="1" applyBorder="1" applyAlignment="1">
      <alignment horizontal="centerContinuous" vertical="center" wrapText="1"/>
    </xf>
    <xf numFmtId="14" fontId="6" fillId="6" borderId="3" xfId="0" applyNumberFormat="1" applyFont="1" applyFill="1" applyBorder="1" applyAlignment="1">
      <alignment horizontal="centerContinuous" vertic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8" borderId="9" xfId="0" applyFont="1" applyFill="1" applyBorder="1" applyAlignment="1">
      <alignment horizontal="centerContinuous" vertical="center"/>
    </xf>
    <xf numFmtId="0" fontId="2" fillId="8" borderId="10" xfId="0" applyFont="1" applyFill="1" applyBorder="1" applyAlignment="1">
      <alignment horizontal="centerContinuous" vertical="center"/>
    </xf>
    <xf numFmtId="14" fontId="2" fillId="8" borderId="10" xfId="0" applyNumberFormat="1" applyFont="1" applyFill="1" applyBorder="1" applyAlignment="1">
      <alignment horizontal="centerContinuous" vertical="center"/>
    </xf>
    <xf numFmtId="49" fontId="2" fillId="8" borderId="10" xfId="0" applyNumberFormat="1" applyFont="1" applyFill="1" applyBorder="1" applyAlignment="1">
      <alignment horizontal="centerContinuous" vertical="center" wrapText="1"/>
    </xf>
    <xf numFmtId="14" fontId="2" fillId="8" borderId="11" xfId="0" applyNumberFormat="1" applyFont="1" applyFill="1" applyBorder="1" applyAlignment="1">
      <alignment horizontal="centerContinuous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14" fontId="1" fillId="9" borderId="10" xfId="0" applyNumberFormat="1" applyFont="1" applyFill="1" applyBorder="1" applyAlignment="1">
      <alignment horizontal="center" vertical="center"/>
    </xf>
    <xf numFmtId="49" fontId="1" fillId="9" borderId="10" xfId="0" applyNumberFormat="1" applyFont="1" applyFill="1" applyBorder="1" applyAlignment="1">
      <alignment horizontal="center" vertical="center" wrapText="1"/>
    </xf>
    <xf numFmtId="14" fontId="1" fillId="9" borderId="1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14" fontId="7" fillId="7" borderId="10" xfId="0" applyNumberFormat="1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 wrapText="1"/>
    </xf>
    <xf numFmtId="14" fontId="7" fillId="7" borderId="11" xfId="0" applyNumberFormat="1" applyFont="1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 applyAlignment="1">
      <alignment vertical="top"/>
    </xf>
    <xf numFmtId="0" fontId="0" fillId="13" borderId="0" xfId="0" applyFill="1"/>
    <xf numFmtId="0" fontId="0" fillId="0" borderId="0" xfId="0" applyAlignment="1">
      <alignment wrapText="1"/>
    </xf>
    <xf numFmtId="0" fontId="8" fillId="11" borderId="15" xfId="0" applyFont="1" applyFill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center" vertical="center" wrapText="1"/>
    </xf>
    <xf numFmtId="0" fontId="8" fillId="12" borderId="17" xfId="0" applyFont="1" applyFill="1" applyBorder="1" applyAlignment="1">
      <alignment horizontal="center" vertical="center" wrapText="1"/>
    </xf>
    <xf numFmtId="0" fontId="1" fillId="16" borderId="18" xfId="0" applyFont="1" applyFill="1" applyBorder="1" applyAlignment="1">
      <alignment horizontal="center" vertical="center"/>
    </xf>
    <xf numFmtId="0" fontId="1" fillId="16" borderId="19" xfId="0" applyFont="1" applyFill="1" applyBorder="1" applyAlignment="1">
      <alignment horizontal="center" vertical="center"/>
    </xf>
    <xf numFmtId="0" fontId="9" fillId="15" borderId="20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/>
    </xf>
    <xf numFmtId="0" fontId="9" fillId="14" borderId="14" xfId="0" applyFont="1" applyFill="1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4" xfId="0" applyBorder="1"/>
    <xf numFmtId="14" fontId="0" fillId="0" borderId="7" xfId="0" applyNumberForma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16" borderId="23" xfId="0" applyFont="1" applyFill="1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9" fillId="14" borderId="27" xfId="0" applyFont="1" applyFill="1" applyBorder="1" applyAlignment="1">
      <alignment horizontal="center"/>
    </xf>
    <xf numFmtId="0" fontId="1" fillId="16" borderId="0" xfId="0" applyFont="1" applyFill="1" applyAlignment="1">
      <alignment horizontal="center" vertical="center"/>
    </xf>
    <xf numFmtId="49" fontId="0" fillId="0" borderId="7" xfId="0" applyNumberForma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top"/>
    </xf>
    <xf numFmtId="0" fontId="6" fillId="10" borderId="9" xfId="0" applyFont="1" applyFill="1" applyBorder="1" applyAlignment="1">
      <alignment horizontal="centerContinuous" vertical="center"/>
    </xf>
    <xf numFmtId="0" fontId="6" fillId="10" borderId="10" xfId="0" applyFont="1" applyFill="1" applyBorder="1" applyAlignment="1">
      <alignment horizontal="centerContinuous" vertical="center"/>
    </xf>
    <xf numFmtId="14" fontId="6" fillId="10" borderId="10" xfId="0" applyNumberFormat="1" applyFont="1" applyFill="1" applyBorder="1" applyAlignment="1">
      <alignment horizontal="centerContinuous" vertical="center"/>
    </xf>
    <xf numFmtId="0" fontId="6" fillId="10" borderId="10" xfId="0" applyFont="1" applyFill="1" applyBorder="1" applyAlignment="1">
      <alignment horizontal="centerContinuous" vertical="center" wrapText="1"/>
    </xf>
    <xf numFmtId="14" fontId="6" fillId="10" borderId="11" xfId="0" applyNumberFormat="1" applyFont="1" applyFill="1" applyBorder="1" applyAlignment="1">
      <alignment horizontal="centerContinuous" vertical="center"/>
    </xf>
    <xf numFmtId="0" fontId="0" fillId="13" borderId="28" xfId="0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49" fontId="10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2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0" fontId="6" fillId="17" borderId="10" xfId="0" applyFont="1" applyFill="1" applyBorder="1" applyAlignment="1">
      <alignment horizontal="centerContinuous" vertical="center"/>
    </xf>
    <xf numFmtId="14" fontId="6" fillId="17" borderId="10" xfId="0" applyNumberFormat="1" applyFont="1" applyFill="1" applyBorder="1" applyAlignment="1">
      <alignment horizontal="centerContinuous" vertical="center"/>
    </xf>
    <xf numFmtId="0" fontId="6" fillId="17" borderId="10" xfId="0" applyFont="1" applyFill="1" applyBorder="1" applyAlignment="1">
      <alignment horizontal="centerContinuous" vertical="center" wrapText="1"/>
    </xf>
    <xf numFmtId="14" fontId="6" fillId="17" borderId="11" xfId="0" applyNumberFormat="1" applyFont="1" applyFill="1" applyBorder="1" applyAlignment="1">
      <alignment horizontal="centerContinuous" vertical="center"/>
    </xf>
    <xf numFmtId="0" fontId="2" fillId="17" borderId="9" xfId="0" applyFont="1" applyFill="1" applyBorder="1" applyAlignment="1">
      <alignment horizontal="centerContinuous" vertical="center"/>
    </xf>
    <xf numFmtId="14" fontId="0" fillId="0" borderId="5" xfId="0" quotePrefix="1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39" xfId="0" applyFill="1" applyBorder="1" applyAlignment="1">
      <alignment horizontal="center" vertical="center"/>
    </xf>
    <xf numFmtId="0" fontId="0" fillId="14" borderId="40" xfId="0" applyFill="1" applyBorder="1" applyAlignment="1">
      <alignment horizontal="center" vertical="center"/>
    </xf>
    <xf numFmtId="0" fontId="1" fillId="16" borderId="3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16" borderId="43" xfId="0" applyFont="1" applyFill="1" applyBorder="1" applyAlignment="1">
      <alignment horizontal="center" vertical="center"/>
    </xf>
    <xf numFmtId="14" fontId="0" fillId="19" borderId="44" xfId="0" applyNumberFormat="1" applyFill="1" applyBorder="1"/>
    <xf numFmtId="0" fontId="2" fillId="18" borderId="37" xfId="0" applyFont="1" applyFill="1" applyBorder="1" applyAlignment="1">
      <alignment horizontal="center" vertical="center" wrapText="1"/>
    </xf>
    <xf numFmtId="0" fontId="12" fillId="18" borderId="33" xfId="0" applyFont="1" applyFill="1" applyBorder="1" applyAlignment="1">
      <alignment horizontal="center" vertical="center" wrapText="1"/>
    </xf>
    <xf numFmtId="0" fontId="12" fillId="18" borderId="3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4">
    <dxf>
      <numFmt numFmtId="19" formatCode="dd/mm/yyyy"/>
    </dxf>
    <dxf>
      <numFmt numFmtId="19" formatCode="dd/mm/yyyy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</dxf>
    <dxf>
      <font>
        <b/>
        <i val="0"/>
        <color theme="8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b/>
        <i val="0"/>
        <color theme="8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1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colors>
    <mruColors>
      <color rgb="FF00FF00"/>
      <color rgb="FFFF00FF"/>
      <color rgb="FFFFCCCC"/>
      <color rgb="FF00FFFF"/>
      <color rgb="FFCCFFFF"/>
      <color rgb="FFFFFF99"/>
      <color rgb="FFFFFFCC"/>
      <color rgb="FFFFFF00"/>
      <color rgb="FFCC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2" xr16:uid="{E51348B1-8A29-4ADE-ADA9-ADFC94688480}" autoFormatId="0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CODIGO" tableColumnId="46"/>
      <queryTableField id="2" name="TIPO" tableColumnId="47"/>
      <queryTableField id="3" name="DTA_ORIG" tableColumnId="48"/>
      <queryTableField id="4" name="DTA_ULT_ALT" tableColumnId="49"/>
      <queryTableField id="5" dataBound="0" tableColumnId="5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E7838519-0746-47BC-8000-B5306037CE31}" autoFormatId="0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CODIGO" tableColumnId="66"/>
      <queryTableField id="2" name="TIPO" tableColumnId="67"/>
      <queryTableField id="3" name="DTA_ORIG" tableColumnId="68"/>
      <queryTableField id="4" name="DTA_ULT_ATU" tableColumnId="69"/>
      <queryTableField id="5" dataBound="0" tableColumnId="7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CODIGO" tableColumnId="71"/>
      <queryTableField id="2" name="TIPO" tableColumnId="72"/>
      <queryTableField id="3" name="DTA_ORIG" tableColumnId="73"/>
      <queryTableField id="4" name="DTA_ULT_ATU" tableColumnId="74"/>
      <queryTableField id="5" dataBound="0" tableColumnId="7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3" xr16:uid="{00000000-0016-0000-0100-000001000000}" autoFormatId="0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CODIGO" tableColumnId="56"/>
      <queryTableField id="2" name="TIPO" tableColumnId="57"/>
      <queryTableField id="3" name="DTA_ORIG" tableColumnId="58"/>
      <queryTableField id="4" name="DTA_ULT_ALT" tableColumnId="59"/>
      <queryTableField id="5" dataBound="0" tableColumnId="6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200-000002000000}" autoFormatId="0" applyNumberFormats="0" applyBorderFormats="0" applyFontFormats="1" applyPatternFormats="1" applyAlignmentFormats="0" applyWidthHeightFormats="0">
  <queryTableRefresh preserveSortFilterLayout="0" nextId="6" unboundColumnsRight="1">
    <queryTableFields count="5">
      <queryTableField id="1" name="CODIGO" tableColumnId="71"/>
      <queryTableField id="2" name="TIPO" tableColumnId="72"/>
      <queryTableField id="3" name="DTA_ORIG" tableColumnId="73"/>
      <queryTableField id="4" name="DTA_ULT_ALT" tableColumnId="74"/>
      <queryTableField id="5" dataBound="0" tableColumnId="7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connectionId="2" xr16:uid="{D6A0806E-3E9F-4CF0-92DB-ADFFAEFE304E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revtar_inc_aecc_CELTINS (2)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headers="0" connectionId="14" xr16:uid="{FCD41E7F-7F35-4EE8-89C4-CBBA532BF902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revtar_ins_aecc_CELTINS (2)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headers="0" connectionId="6" xr16:uid="{AB101A53-788E-444F-A449-7A7B1D0A5C3B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revtar_inr_aecc_CELTINS (2)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F7E21C-FDA2-47FC-AC46-7A8C3EB54689}" name="revtar_inrea_aecc_CELTINS__26" displayName="revtar_inrea_aecc_CELTINS__26" ref="B3:F13" tableType="queryTable" totalsRowShown="0" headerRowDxfId="42">
  <autoFilter ref="B3:F13" xr:uid="{90F7E21C-FDA2-47FC-AC46-7A8C3EB54689}"/>
  <tableColumns count="5">
    <tableColumn id="46" xr3:uid="{5BDB988F-FFAA-4522-8E1E-BBCC3910500C}" uniqueName="46" name="CODIGO" queryTableFieldId="1"/>
    <tableColumn id="47" xr3:uid="{626F3137-24DE-4256-B8E5-F6C9A92AB53F}" uniqueName="47" name="TIPO" queryTableFieldId="2"/>
    <tableColumn id="48" xr3:uid="{7D032704-CB87-4491-9B3E-CF6144E0E08B}" uniqueName="48" name="DTA_ORIG" queryTableFieldId="3"/>
    <tableColumn id="49" xr3:uid="{9E2A0687-CB3D-4203-BA5C-B2DCA0B2527C}" uniqueName="49" name="DTA_ULT_ALT" queryTableFieldId="4"/>
    <tableColumn id="50" xr3:uid="{CC4CAF57-1D02-4A46-AB24-E02507979E0B}" uniqueName="50" name="OBS" queryTableFieldId="5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273E77-AB3C-4EC6-90DD-AECD76E2ABB1}" name="revtar_inrea_aecc_CELTINS__2" displayName="revtar_inrea_aecc_CELTINS__2" ref="B3:F21" tableType="queryTable" totalsRowShown="0" headerRowDxfId="41">
  <autoFilter ref="B3:F21" xr:uid="{56273E77-AB3C-4EC6-90DD-AECD76E2ABB1}"/>
  <tableColumns count="5">
    <tableColumn id="66" xr3:uid="{712CAC54-1B4A-4D86-8111-DB518A21582A}" uniqueName="66" name="CODIGO" queryTableFieldId="1"/>
    <tableColumn id="67" xr3:uid="{0F138273-1007-4210-BE1E-011206BD8A15}" uniqueName="67" name="TIPO" queryTableFieldId="2"/>
    <tableColumn id="68" xr3:uid="{BAAB1306-59A6-4C21-827D-A99E459FF158}" uniqueName="68" name="DTA_ORIG" queryTableFieldId="3"/>
    <tableColumn id="69" xr3:uid="{9CD5611B-8384-47C2-9FF4-4A67041D7807}" uniqueName="69" name="DTA_ULT_ATU" queryTableFieldId="4"/>
    <tableColumn id="70" xr3:uid="{92340BBA-7A88-450A-8950-4FB236396B4F}" uniqueName="70" name="OBS" queryTableFieldId="5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tar_inc_aecc_CELTINS" displayName="revtar_inc_aecc_CELTINS" ref="B3:F179" tableType="queryTable" totalsRowShown="0" headerRowDxfId="40" dataDxfId="39">
  <autoFilter ref="B3:F179" xr:uid="{00000000-000C-0000-FFFF-FFFF00000000}"/>
  <tableColumns count="5">
    <tableColumn id="71" xr3:uid="{CB63A573-7F23-4F02-9797-0DE6FB220B30}" uniqueName="71" name="CODIGO" queryTableFieldId="1" dataDxfId="9"/>
    <tableColumn id="72" xr3:uid="{8D2CC2B1-CC09-4EBF-B4C9-96EA6B7BD8C0}" uniqueName="72" name="TIPO" queryTableFieldId="2" dataDxfId="8"/>
    <tableColumn id="73" xr3:uid="{532B957F-2A01-40AD-B233-9E26F5B7D197}" uniqueName="73" name="DTA_ORIG" queryTableFieldId="3" dataDxfId="7"/>
    <tableColumn id="74" xr3:uid="{16F49BD4-E520-4094-883F-C879E9593F3B}" uniqueName="74" name="DTA_ULT_ATU" queryTableFieldId="4" dataDxfId="6"/>
    <tableColumn id="75" xr3:uid="{960E9BFC-2631-4131-A525-6C2CD6143568}" uniqueName="75" name="OBS" queryTableFieldId="5" dataDxfId="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tar_ins_aecc_CELTINS" displayName="revtar_ins_aecc_CELTINS" ref="B3:F760" tableType="queryTable" totalsRowShown="0" headerRowDxfId="43">
  <autoFilter ref="B3:F760" xr:uid="{00000000-000C-0000-FFFF-FFFF01000000}"/>
  <tableColumns count="5">
    <tableColumn id="56" xr3:uid="{B60B28A4-58E3-4CD8-ABF9-FFBD672F51DE}" uniqueName="56" name="CODIGO" queryTableFieldId="1"/>
    <tableColumn id="57" xr3:uid="{A4CD5069-9FA3-4D76-BCA6-8A55454D3300}" uniqueName="57" name="TIPO" queryTableFieldId="2"/>
    <tableColumn id="58" xr3:uid="{B92EDC7D-58C3-47E5-B5EA-16C2F77755CE}" uniqueName="58" name="DTA_ORIG" queryTableFieldId="3" dataDxfId="0"/>
    <tableColumn id="59" xr3:uid="{F310DAAF-B9A9-4FCB-BB67-F3F7826FD29F}" uniqueName="59" name="DTA_ULT_ALT" queryTableFieldId="4"/>
    <tableColumn id="60" xr3:uid="{8A77C2F2-35F4-47DF-AB06-B0F1AFC411FD}" uniqueName="60" name="OBS" queryTableFieldId="5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tar_inr_aecc_CELTINS" displayName="revtar_inr_aecc_CELTINS" ref="B3:F226" tableType="queryTable" totalsRowShown="0" headerRowDxfId="38">
  <autoFilter ref="B3:F226" xr:uid="{00000000-000C-0000-FFFF-FFFF02000000}"/>
  <tableColumns count="5">
    <tableColumn id="71" xr3:uid="{79502A99-BDAB-4508-A532-E38906C4F4C3}" uniqueName="71" name="CODIGO" queryTableFieldId="1"/>
    <tableColumn id="72" xr3:uid="{D58C9E58-29EA-4072-A0E9-0139691FFF08}" uniqueName="72" name="TIPO" queryTableFieldId="2"/>
    <tableColumn id="73" xr3:uid="{DCCE4F56-A82C-42E0-8B66-D9AB97CDBD09}" uniqueName="73" name="DTA_ORIG" queryTableFieldId="3" dataDxfId="1"/>
    <tableColumn id="74" xr3:uid="{6274D305-F8AB-455E-9FBA-369060AD5507}" uniqueName="74" name="DTA_ULT_ALT" queryTableFieldId="4"/>
    <tableColumn id="75" xr3:uid="{8C7346E9-0730-4480-B2DC-CC173806784F}" uniqueName="75" name="OBS" queryTableFieldId="5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3917A0-6B77-410E-B7C7-3620F635E1B9}" name="revtar_inc_aecc_CELTINS__2" displayName="revtar_inc_aecc_CELTINS__2" ref="A4" tableType="queryTable" headerRowCount="0" totalsRowShown="0" headerRowDxfId="37" dataDxfId="36">
  <tableColumns count="1">
    <tableColumn id="1" xr3:uid="{569DD94D-16D0-4A70-A06D-637D5CA068B2}" uniqueName="1" name="revtar_inc_aecc_CELTINS (2)" queryTableFieldId="1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FB4DD9-9B92-4A6C-B1F1-60004118E8B7}" name="revtar_ins_aecc_CELTINS__2" displayName="revtar_ins_aecc_CELTINS__2" ref="A5" tableType="queryTable" headerRowCount="0" totalsRowShown="0" headerRowDxfId="35" dataDxfId="34">
  <tableColumns count="1">
    <tableColumn id="1" xr3:uid="{27FD33EF-549D-4014-B40A-BEABCAC7341D}" uniqueName="1" name="revtar_ins_aecc_CELTINS (2)" queryTableFieldId="1" dataDxf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5531A7-F302-40CD-A8E0-A956ECCE513A}" name="revtar_inr_aecc_CELTINS__2" displayName="revtar_inr_aecc_CELTINS__2" ref="A6" tableType="queryTable" headerRowCount="0" totalsRowShown="0" headerRowDxfId="33" dataDxfId="32">
  <tableColumns count="1">
    <tableColumn id="1" xr3:uid="{8627875F-651B-43BD-803B-1E0A1EDBF87D}" uniqueName="1" name="revtar_inr_aecc_CELTINS (2)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0896-E8DF-45A3-B569-0A7F2253BB60}">
  <sheetPr>
    <tabColor rgb="FF7030A0"/>
  </sheetPr>
  <dimension ref="B3:O109"/>
  <sheetViews>
    <sheetView showGridLines="0" zoomScaleNormal="100" workbookViewId="0">
      <selection activeCell="O23" sqref="O23"/>
    </sheetView>
  </sheetViews>
  <sheetFormatPr defaultRowHeight="15" x14ac:dyDescent="0.25"/>
  <cols>
    <col min="2" max="2" width="11" bestFit="1" customWidth="1"/>
    <col min="3" max="3" width="5.140625" bestFit="1" customWidth="1"/>
    <col min="4" max="4" width="10.7109375" style="1" bestFit="1" customWidth="1"/>
    <col min="5" max="5" width="13.140625" style="1" bestFit="1" customWidth="1"/>
    <col min="6" max="6" width="18.42578125" style="9" bestFit="1" customWidth="1"/>
    <col min="8" max="8" width="12.85546875" style="2" bestFit="1" customWidth="1"/>
    <col min="9" max="9" width="11" style="2" bestFit="1" customWidth="1"/>
    <col min="10" max="10" width="21.28515625" style="3" customWidth="1"/>
    <col min="11" max="11" width="15.42578125" style="3" customWidth="1"/>
    <col min="12" max="12" width="24.28515625" style="9" customWidth="1"/>
    <col min="13" max="13" width="16.42578125" style="3" customWidth="1"/>
    <col min="14" max="14" width="17" customWidth="1"/>
    <col min="15" max="15" width="14.28515625" style="1" customWidth="1"/>
    <col min="17" max="17" width="11" bestFit="1" customWidth="1"/>
  </cols>
  <sheetData>
    <row r="3" spans="2:14" ht="15.75" x14ac:dyDescent="0.25">
      <c r="B3" s="4" t="s">
        <v>0</v>
      </c>
      <c r="C3" s="4" t="s">
        <v>1</v>
      </c>
      <c r="D3" s="5" t="s">
        <v>2</v>
      </c>
      <c r="E3" s="5" t="s">
        <v>3</v>
      </c>
      <c r="F3" s="8" t="s">
        <v>112</v>
      </c>
      <c r="H3" s="127" t="s">
        <v>564</v>
      </c>
      <c r="I3" s="123"/>
      <c r="J3" s="124"/>
      <c r="K3" s="124"/>
      <c r="L3" s="125"/>
      <c r="M3" s="126"/>
    </row>
    <row r="4" spans="2:14" x14ac:dyDescent="0.25">
      <c r="B4" t="s">
        <v>575</v>
      </c>
      <c r="C4" t="s">
        <v>576</v>
      </c>
      <c r="D4" t="s">
        <v>574</v>
      </c>
      <c r="E4" t="s">
        <v>565</v>
      </c>
      <c r="F4" s="9" t="str">
        <f>_xlfn.XLOOKUP(revtar_inrea_aecc_CELTINS__26[[#This Row],[CODIGO]],H:H,L:L,"NÃO ENCONTRADO")</f>
        <v>-</v>
      </c>
      <c r="H4" s="19" t="s">
        <v>0</v>
      </c>
      <c r="I4" s="20" t="s">
        <v>1</v>
      </c>
      <c r="J4" s="21" t="s">
        <v>33</v>
      </c>
      <c r="K4" s="21" t="s">
        <v>34</v>
      </c>
      <c r="L4" s="22" t="s">
        <v>35</v>
      </c>
      <c r="M4" s="23" t="s">
        <v>36</v>
      </c>
    </row>
    <row r="5" spans="2:14" x14ac:dyDescent="0.25">
      <c r="B5" t="s">
        <v>672</v>
      </c>
      <c r="C5" t="s">
        <v>566</v>
      </c>
      <c r="D5" t="s">
        <v>673</v>
      </c>
      <c r="E5" t="s">
        <v>565</v>
      </c>
      <c r="F5" s="9" t="str">
        <f>_xlfn.XLOOKUP(revtar_inrea_aecc_CELTINS__26[[#This Row],[CODIGO]],H:H,L:L,"NÃO ENCONTRADO")</f>
        <v>NÃO ENCONTRADO</v>
      </c>
      <c r="H5" s="11" t="s">
        <v>575</v>
      </c>
      <c r="I5" s="12" t="s">
        <v>576</v>
      </c>
      <c r="J5" s="13" t="s">
        <v>574</v>
      </c>
      <c r="K5" s="13" t="s">
        <v>565</v>
      </c>
      <c r="L5" s="14" t="s">
        <v>31</v>
      </c>
      <c r="M5" s="15" t="s">
        <v>31</v>
      </c>
    </row>
    <row r="6" spans="2:14" x14ac:dyDescent="0.25">
      <c r="B6" t="s">
        <v>580</v>
      </c>
      <c r="C6" t="s">
        <v>576</v>
      </c>
      <c r="D6" t="s">
        <v>572</v>
      </c>
      <c r="E6" t="s">
        <v>567</v>
      </c>
      <c r="F6" s="9" t="str">
        <f>_xlfn.XLOOKUP(revtar_inrea_aecc_CELTINS__26[[#This Row],[CODIGO]],H:H,L:L,"NÃO ENCONTRADO")</f>
        <v>-</v>
      </c>
      <c r="H6" s="16" t="s">
        <v>580</v>
      </c>
      <c r="I6" s="2" t="s">
        <v>576</v>
      </c>
      <c r="J6" s="3" t="s">
        <v>572</v>
      </c>
      <c r="K6" s="3" t="s">
        <v>567</v>
      </c>
      <c r="L6" s="9" t="s">
        <v>31</v>
      </c>
      <c r="M6" s="17" t="s">
        <v>31</v>
      </c>
    </row>
    <row r="7" spans="2:14" x14ac:dyDescent="0.25">
      <c r="B7" t="s">
        <v>597</v>
      </c>
      <c r="C7" t="s">
        <v>576</v>
      </c>
      <c r="D7" t="s">
        <v>423</v>
      </c>
      <c r="E7" t="s">
        <v>598</v>
      </c>
      <c r="F7" s="9" t="str">
        <f>_xlfn.XLOOKUP(revtar_inrea_aecc_CELTINS__26[[#This Row],[CODIGO]],H:H,L:L,"NÃO ENCONTRADO")</f>
        <v>NÃO ENCONTRADO</v>
      </c>
      <c r="H7" s="16" t="s">
        <v>581</v>
      </c>
      <c r="I7" s="2" t="s">
        <v>576</v>
      </c>
      <c r="J7" s="3" t="s">
        <v>570</v>
      </c>
      <c r="K7" s="3" t="s">
        <v>573</v>
      </c>
      <c r="L7" s="9" t="s">
        <v>31</v>
      </c>
      <c r="M7" s="128" t="s">
        <v>31</v>
      </c>
    </row>
    <row r="8" spans="2:14" x14ac:dyDescent="0.25">
      <c r="B8" t="s">
        <v>581</v>
      </c>
      <c r="C8" t="s">
        <v>576</v>
      </c>
      <c r="D8" t="s">
        <v>570</v>
      </c>
      <c r="E8" t="s">
        <v>656</v>
      </c>
      <c r="F8" s="9" t="str">
        <f>_xlfn.XLOOKUP(revtar_inrea_aecc_CELTINS__26[[#This Row],[CODIGO]],H:H,L:L,"NÃO ENCONTRADO")</f>
        <v>-</v>
      </c>
      <c r="H8" s="16" t="s">
        <v>582</v>
      </c>
      <c r="I8" s="2" t="s">
        <v>576</v>
      </c>
      <c r="J8" s="3" t="s">
        <v>569</v>
      </c>
      <c r="K8" s="3" t="s">
        <v>578</v>
      </c>
      <c r="L8" s="9" t="s">
        <v>31</v>
      </c>
      <c r="M8" s="17" t="s">
        <v>31</v>
      </c>
    </row>
    <row r="9" spans="2:14" x14ac:dyDescent="0.25">
      <c r="B9" t="s">
        <v>582</v>
      </c>
      <c r="C9" t="s">
        <v>576</v>
      </c>
      <c r="D9" t="s">
        <v>569</v>
      </c>
      <c r="E9" t="s">
        <v>578</v>
      </c>
      <c r="F9" s="9" t="str">
        <f>_xlfn.XLOOKUP(revtar_inrea_aecc_CELTINS__26[[#This Row],[CODIGO]],H:H,L:L,"NÃO ENCONTRADO")</f>
        <v>-</v>
      </c>
      <c r="H9" s="16" t="s">
        <v>583</v>
      </c>
      <c r="I9" s="2" t="s">
        <v>568</v>
      </c>
      <c r="J9" s="3" t="s">
        <v>426</v>
      </c>
      <c r="K9" s="3" t="s">
        <v>571</v>
      </c>
      <c r="L9" s="9" t="s">
        <v>31</v>
      </c>
      <c r="M9" s="17" t="s">
        <v>31</v>
      </c>
    </row>
    <row r="10" spans="2:14" x14ac:dyDescent="0.25">
      <c r="B10" t="s">
        <v>583</v>
      </c>
      <c r="C10" t="s">
        <v>568</v>
      </c>
      <c r="D10" t="s">
        <v>426</v>
      </c>
      <c r="E10" t="s">
        <v>571</v>
      </c>
      <c r="F10" s="9" t="str">
        <f>_xlfn.XLOOKUP(revtar_inrea_aecc_CELTINS__26[[#This Row],[CODIGO]],H:H,L:L,"NÃO ENCONTRADO")</f>
        <v>-</v>
      </c>
      <c r="H10" s="16" t="s">
        <v>584</v>
      </c>
      <c r="I10" s="2" t="s">
        <v>568</v>
      </c>
      <c r="J10" s="3" t="s">
        <v>577</v>
      </c>
      <c r="K10" s="3" t="s">
        <v>579</v>
      </c>
      <c r="L10" s="9" t="s">
        <v>31</v>
      </c>
      <c r="M10" s="17" t="s">
        <v>31</v>
      </c>
    </row>
    <row r="11" spans="2:14" x14ac:dyDescent="0.25">
      <c r="B11" t="s">
        <v>646</v>
      </c>
      <c r="C11" t="s">
        <v>566</v>
      </c>
      <c r="D11" t="s">
        <v>647</v>
      </c>
      <c r="E11" t="s">
        <v>565</v>
      </c>
      <c r="H11" s="16" t="s">
        <v>586</v>
      </c>
      <c r="I11" s="2" t="s">
        <v>566</v>
      </c>
      <c r="J11" s="3" t="s">
        <v>567</v>
      </c>
      <c r="K11" s="3" t="s">
        <v>565</v>
      </c>
      <c r="L11" s="9" t="s">
        <v>31</v>
      </c>
      <c r="M11" s="17" t="s">
        <v>31</v>
      </c>
    </row>
    <row r="12" spans="2:14" x14ac:dyDescent="0.25">
      <c r="B12" t="s">
        <v>584</v>
      </c>
      <c r="C12" t="s">
        <v>576</v>
      </c>
      <c r="D12" t="s">
        <v>577</v>
      </c>
      <c r="E12" t="s">
        <v>609</v>
      </c>
      <c r="F12"/>
      <c r="H12" s="16" t="s">
        <v>585</v>
      </c>
      <c r="I12" s="2" t="s">
        <v>566</v>
      </c>
      <c r="J12" s="3" t="s">
        <v>567</v>
      </c>
      <c r="K12" s="3" t="s">
        <v>565</v>
      </c>
      <c r="L12" s="9" t="s">
        <v>31</v>
      </c>
      <c r="M12" s="17" t="s">
        <v>31</v>
      </c>
    </row>
    <row r="13" spans="2:14" x14ac:dyDescent="0.25">
      <c r="B13" t="s">
        <v>589</v>
      </c>
      <c r="C13" t="s">
        <v>576</v>
      </c>
      <c r="D13" t="s">
        <v>579</v>
      </c>
      <c r="E13" t="s">
        <v>579</v>
      </c>
      <c r="F13" t="str">
        <f>_xlfn.XLOOKUP(revtar_inrea_aecc_CELTINS__26[[#This Row],[CODIGO]],H:H,L:L,"NÃO ENCONTRADO")</f>
        <v>ETO-PROT54/2026</v>
      </c>
      <c r="H13" s="16" t="s">
        <v>588</v>
      </c>
      <c r="I13" s="2" t="s">
        <v>566</v>
      </c>
      <c r="J13" s="3" t="s">
        <v>587</v>
      </c>
      <c r="K13" s="3" t="s">
        <v>565</v>
      </c>
      <c r="L13" s="9" t="s">
        <v>31</v>
      </c>
      <c r="M13" s="17" t="s">
        <v>31</v>
      </c>
    </row>
    <row r="14" spans="2:14" x14ac:dyDescent="0.25">
      <c r="D14" s="3"/>
      <c r="E14" s="3"/>
      <c r="H14" s="65" t="s">
        <v>589</v>
      </c>
      <c r="I14" s="66" t="s">
        <v>576</v>
      </c>
      <c r="J14" s="67" t="s">
        <v>579</v>
      </c>
      <c r="K14" s="67" t="s">
        <v>579</v>
      </c>
      <c r="L14" s="70" t="s">
        <v>595</v>
      </c>
      <c r="M14" s="68">
        <v>45713</v>
      </c>
      <c r="N14" s="3" t="s">
        <v>594</v>
      </c>
    </row>
    <row r="15" spans="2:14" x14ac:dyDescent="0.25">
      <c r="H15" s="111">
        <v>5550002066</v>
      </c>
      <c r="I15" s="112">
        <v>55</v>
      </c>
      <c r="J15" s="113" t="s">
        <v>31</v>
      </c>
      <c r="K15" s="113" t="s">
        <v>31</v>
      </c>
      <c r="L15" s="120" t="s">
        <v>596</v>
      </c>
      <c r="M15" s="115">
        <v>45713</v>
      </c>
      <c r="N15" s="3" t="s">
        <v>594</v>
      </c>
    </row>
    <row r="26" spans="8:8" x14ac:dyDescent="0.25">
      <c r="H26" s="89"/>
    </row>
    <row r="29" spans="8:8" x14ac:dyDescent="0.25">
      <c r="H29" s="89"/>
    </row>
    <row r="30" spans="8:8" x14ac:dyDescent="0.25">
      <c r="H30" s="89"/>
    </row>
    <row r="31" spans="8:8" x14ac:dyDescent="0.25">
      <c r="H31" s="89"/>
    </row>
    <row r="108" spans="8:10" x14ac:dyDescent="0.25">
      <c r="H108" s="69"/>
    </row>
    <row r="109" spans="8:10" x14ac:dyDescent="0.25">
      <c r="J109" s="90"/>
    </row>
  </sheetData>
  <autoFilter ref="H4:M47" xr:uid="{00000000-0001-0000-0200-000000000000}"/>
  <conditionalFormatting sqref="H1:H1048576">
    <cfRule type="duplicateValues" dxfId="31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7A60-F4AD-4D3F-A928-EF1A051B6BE2}">
  <sheetPr codeName="Planilha1">
    <tabColor rgb="FFFFFF00"/>
  </sheetPr>
  <dimension ref="B3:O109"/>
  <sheetViews>
    <sheetView showGridLines="0" zoomScaleNormal="100" workbookViewId="0">
      <selection activeCell="I12" sqref="I12"/>
    </sheetView>
  </sheetViews>
  <sheetFormatPr defaultRowHeight="15" x14ac:dyDescent="0.25"/>
  <cols>
    <col min="2" max="2" width="11.28515625" bestFit="1" customWidth="1"/>
    <col min="3" max="3" width="5.140625" bestFit="1" customWidth="1"/>
    <col min="4" max="4" width="10.7109375" style="1" bestFit="1" customWidth="1"/>
    <col min="5" max="5" width="13.7109375" style="1" bestFit="1" customWidth="1"/>
    <col min="6" max="6" width="4.5703125" style="9" bestFit="1" customWidth="1"/>
    <col min="8" max="8" width="12.85546875" style="2" bestFit="1" customWidth="1"/>
    <col min="9" max="9" width="11" style="2" bestFit="1" customWidth="1"/>
    <col min="10" max="10" width="21.28515625" style="3" customWidth="1"/>
    <col min="11" max="11" width="15.42578125" style="3" customWidth="1"/>
    <col min="12" max="12" width="24.28515625" style="9" customWidth="1"/>
    <col min="13" max="13" width="16.42578125" style="3" customWidth="1"/>
    <col min="14" max="14" width="17" customWidth="1"/>
    <col min="15" max="15" width="14.28515625" style="1" customWidth="1"/>
    <col min="17" max="17" width="11" bestFit="1" customWidth="1"/>
  </cols>
  <sheetData>
    <row r="3" spans="2:13" ht="15.75" x14ac:dyDescent="0.25">
      <c r="B3" s="4" t="s">
        <v>0</v>
      </c>
      <c r="C3" s="4" t="s">
        <v>1</v>
      </c>
      <c r="D3" s="5" t="s">
        <v>2</v>
      </c>
      <c r="E3" s="5" t="s">
        <v>25</v>
      </c>
      <c r="F3" s="8" t="s">
        <v>112</v>
      </c>
      <c r="H3" s="100" t="s">
        <v>471</v>
      </c>
      <c r="I3" s="101"/>
      <c r="J3" s="102"/>
      <c r="K3" s="102"/>
      <c r="L3" s="103"/>
      <c r="M3" s="104"/>
    </row>
    <row r="4" spans="2:13" x14ac:dyDescent="0.25">
      <c r="B4" t="s">
        <v>388</v>
      </c>
      <c r="C4" t="s">
        <v>389</v>
      </c>
      <c r="D4" t="s">
        <v>407</v>
      </c>
      <c r="E4" t="s">
        <v>408</v>
      </c>
      <c r="F4" s="9" t="str">
        <f>VLOOKUP(revtar_inrea_aecc_CELTINS__2[[#This Row],[CODIGO]],H:M,5,)</f>
        <v>-</v>
      </c>
      <c r="H4" s="19" t="s">
        <v>0</v>
      </c>
      <c r="I4" s="20" t="s">
        <v>1</v>
      </c>
      <c r="J4" s="21" t="s">
        <v>33</v>
      </c>
      <c r="K4" s="21" t="s">
        <v>34</v>
      </c>
      <c r="L4" s="22" t="s">
        <v>35</v>
      </c>
      <c r="M4" s="23" t="s">
        <v>36</v>
      </c>
    </row>
    <row r="5" spans="2:13" x14ac:dyDescent="0.25">
      <c r="B5" t="s">
        <v>390</v>
      </c>
      <c r="C5" t="s">
        <v>389</v>
      </c>
      <c r="D5" t="s">
        <v>409</v>
      </c>
      <c r="E5" t="s">
        <v>410</v>
      </c>
      <c r="F5" s="9" t="str">
        <f>VLOOKUP(revtar_inrea_aecc_CELTINS__2[[#This Row],[CODIGO]],H:M,5,)</f>
        <v>-</v>
      </c>
      <c r="H5" s="11" t="s">
        <v>388</v>
      </c>
      <c r="I5" s="12" t="s">
        <v>389</v>
      </c>
      <c r="J5" s="13" t="s">
        <v>407</v>
      </c>
      <c r="K5" s="13" t="s">
        <v>408</v>
      </c>
      <c r="L5" s="14" t="s">
        <v>31</v>
      </c>
      <c r="M5" s="15" t="s">
        <v>31</v>
      </c>
    </row>
    <row r="6" spans="2:13" x14ac:dyDescent="0.25">
      <c r="B6" t="s">
        <v>391</v>
      </c>
      <c r="C6" t="s">
        <v>389</v>
      </c>
      <c r="D6" t="s">
        <v>411</v>
      </c>
      <c r="E6" t="s">
        <v>412</v>
      </c>
      <c r="F6" s="9" t="str">
        <f>VLOOKUP(revtar_inrea_aecc_CELTINS__2[[#This Row],[CODIGO]],H:M,5,)</f>
        <v>-</v>
      </c>
      <c r="H6" s="16" t="s">
        <v>390</v>
      </c>
      <c r="I6" s="2" t="s">
        <v>389</v>
      </c>
      <c r="J6" s="3" t="s">
        <v>409</v>
      </c>
      <c r="K6" s="3" t="s">
        <v>410</v>
      </c>
      <c r="L6" s="9" t="s">
        <v>31</v>
      </c>
      <c r="M6" s="17" t="s">
        <v>31</v>
      </c>
    </row>
    <row r="7" spans="2:13" x14ac:dyDescent="0.25">
      <c r="B7" t="s">
        <v>392</v>
      </c>
      <c r="C7" t="s">
        <v>389</v>
      </c>
      <c r="D7" t="s">
        <v>411</v>
      </c>
      <c r="E7" t="s">
        <v>412</v>
      </c>
      <c r="F7" s="9" t="str">
        <f>VLOOKUP(revtar_inrea_aecc_CELTINS__2[[#This Row],[CODIGO]],H:M,5,)</f>
        <v>-</v>
      </c>
      <c r="H7" s="16" t="s">
        <v>391</v>
      </c>
      <c r="I7" s="2" t="s">
        <v>389</v>
      </c>
      <c r="J7" s="3" t="s">
        <v>411</v>
      </c>
      <c r="K7" s="3" t="s">
        <v>412</v>
      </c>
      <c r="L7" s="9" t="s">
        <v>31</v>
      </c>
      <c r="M7" s="17" t="s">
        <v>31</v>
      </c>
    </row>
    <row r="8" spans="2:13" x14ac:dyDescent="0.25">
      <c r="B8" t="s">
        <v>393</v>
      </c>
      <c r="C8" t="s">
        <v>389</v>
      </c>
      <c r="D8" t="s">
        <v>413</v>
      </c>
      <c r="E8" t="s">
        <v>617</v>
      </c>
      <c r="F8" s="9" t="str">
        <f>VLOOKUP(revtar_inrea_aecc_CELTINS__2[[#This Row],[CODIGO]],H:M,5,)</f>
        <v>-</v>
      </c>
      <c r="H8" s="16" t="s">
        <v>392</v>
      </c>
      <c r="I8" s="2" t="s">
        <v>389</v>
      </c>
      <c r="J8" s="3" t="s">
        <v>411</v>
      </c>
      <c r="K8" s="3" t="s">
        <v>412</v>
      </c>
      <c r="L8" s="9" t="s">
        <v>31</v>
      </c>
      <c r="M8" s="17" t="s">
        <v>31</v>
      </c>
    </row>
    <row r="9" spans="2:13" x14ac:dyDescent="0.25">
      <c r="B9" t="s">
        <v>394</v>
      </c>
      <c r="C9" t="s">
        <v>389</v>
      </c>
      <c r="D9" t="s">
        <v>415</v>
      </c>
      <c r="E9" t="s">
        <v>414</v>
      </c>
      <c r="F9" s="9" t="str">
        <f>VLOOKUP(revtar_inrea_aecc_CELTINS__2[[#This Row],[CODIGO]],H:M,5,)</f>
        <v>-</v>
      </c>
      <c r="H9" s="16" t="s">
        <v>393</v>
      </c>
      <c r="I9" s="2" t="s">
        <v>389</v>
      </c>
      <c r="J9" s="3" t="s">
        <v>413</v>
      </c>
      <c r="K9" s="3" t="s">
        <v>414</v>
      </c>
      <c r="L9" s="9" t="s">
        <v>31</v>
      </c>
      <c r="M9" s="17" t="s">
        <v>31</v>
      </c>
    </row>
    <row r="10" spans="2:13" x14ac:dyDescent="0.25">
      <c r="B10" t="s">
        <v>395</v>
      </c>
      <c r="C10" t="s">
        <v>389</v>
      </c>
      <c r="D10" t="s">
        <v>416</v>
      </c>
      <c r="E10" t="s">
        <v>414</v>
      </c>
      <c r="F10" s="9" t="str">
        <f>VLOOKUP(revtar_inrea_aecc_CELTINS__2[[#This Row],[CODIGO]],H:M,5,)</f>
        <v>-</v>
      </c>
      <c r="H10" s="16" t="s">
        <v>394</v>
      </c>
      <c r="I10" s="2" t="s">
        <v>389</v>
      </c>
      <c r="J10" s="3" t="s">
        <v>415</v>
      </c>
      <c r="K10" s="3" t="s">
        <v>414</v>
      </c>
      <c r="L10" s="9" t="s">
        <v>31</v>
      </c>
      <c r="M10" s="17" t="s">
        <v>31</v>
      </c>
    </row>
    <row r="11" spans="2:13" x14ac:dyDescent="0.25">
      <c r="B11" t="s">
        <v>396</v>
      </c>
      <c r="C11" t="s">
        <v>389</v>
      </c>
      <c r="D11" t="s">
        <v>416</v>
      </c>
      <c r="E11" t="s">
        <v>417</v>
      </c>
      <c r="F11" s="9" t="str">
        <f>VLOOKUP(revtar_inrea_aecc_CELTINS__2[[#This Row],[CODIGO]],H:M,5,)</f>
        <v>-</v>
      </c>
      <c r="H11" s="16" t="s">
        <v>395</v>
      </c>
      <c r="I11" s="2" t="s">
        <v>389</v>
      </c>
      <c r="J11" s="3" t="s">
        <v>416</v>
      </c>
      <c r="K11" s="3" t="s">
        <v>414</v>
      </c>
      <c r="L11" s="9" t="s">
        <v>31</v>
      </c>
      <c r="M11" s="17" t="s">
        <v>31</v>
      </c>
    </row>
    <row r="12" spans="2:13" x14ac:dyDescent="0.25">
      <c r="B12" t="s">
        <v>397</v>
      </c>
      <c r="C12" t="s">
        <v>389</v>
      </c>
      <c r="D12" t="s">
        <v>418</v>
      </c>
      <c r="E12" t="s">
        <v>414</v>
      </c>
      <c r="F12" s="9" t="str">
        <f>VLOOKUP(revtar_inrea_aecc_CELTINS__2[[#This Row],[CODIGO]],H:M,5,)</f>
        <v>-</v>
      </c>
      <c r="H12" s="16" t="s">
        <v>396</v>
      </c>
      <c r="I12" s="2" t="s">
        <v>389</v>
      </c>
      <c r="J12" s="3" t="s">
        <v>416</v>
      </c>
      <c r="K12" s="3" t="s">
        <v>417</v>
      </c>
      <c r="L12" s="9" t="s">
        <v>31</v>
      </c>
      <c r="M12" s="17" t="s">
        <v>31</v>
      </c>
    </row>
    <row r="13" spans="2:13" x14ac:dyDescent="0.25">
      <c r="B13" t="s">
        <v>398</v>
      </c>
      <c r="C13" t="s">
        <v>389</v>
      </c>
      <c r="D13" t="s">
        <v>419</v>
      </c>
      <c r="E13" t="s">
        <v>414</v>
      </c>
      <c r="F13" s="9" t="str">
        <f>VLOOKUP(revtar_inrea_aecc_CELTINS__2[[#This Row],[CODIGO]],H:M,5,)</f>
        <v>-</v>
      </c>
      <c r="H13" s="16" t="s">
        <v>397</v>
      </c>
      <c r="I13" s="2" t="s">
        <v>389</v>
      </c>
      <c r="J13" s="3" t="s">
        <v>418</v>
      </c>
      <c r="K13" s="3" t="s">
        <v>414</v>
      </c>
      <c r="L13" s="9" t="s">
        <v>31</v>
      </c>
      <c r="M13" s="17" t="s">
        <v>31</v>
      </c>
    </row>
    <row r="14" spans="2:13" x14ac:dyDescent="0.25">
      <c r="B14" t="s">
        <v>399</v>
      </c>
      <c r="C14" t="s">
        <v>389</v>
      </c>
      <c r="D14" t="s">
        <v>420</v>
      </c>
      <c r="E14" t="s">
        <v>414</v>
      </c>
      <c r="F14" s="9" t="str">
        <f>VLOOKUP(revtar_inrea_aecc_CELTINS__2[[#This Row],[CODIGO]],H:M,5,)</f>
        <v>-</v>
      </c>
      <c r="H14" s="16" t="s">
        <v>398</v>
      </c>
      <c r="I14" s="2" t="s">
        <v>389</v>
      </c>
      <c r="J14" s="3" t="s">
        <v>419</v>
      </c>
      <c r="K14" s="3" t="s">
        <v>414</v>
      </c>
      <c r="L14" s="9" t="s">
        <v>31</v>
      </c>
      <c r="M14" s="17" t="s">
        <v>31</v>
      </c>
    </row>
    <row r="15" spans="2:13" x14ac:dyDescent="0.25">
      <c r="B15" t="s">
        <v>400</v>
      </c>
      <c r="C15" t="s">
        <v>389</v>
      </c>
      <c r="D15" t="s">
        <v>415</v>
      </c>
      <c r="E15" t="s">
        <v>414</v>
      </c>
      <c r="F15" s="9" t="str">
        <f>VLOOKUP(revtar_inrea_aecc_CELTINS__2[[#This Row],[CODIGO]],H:M,5,)</f>
        <v>-</v>
      </c>
      <c r="H15" s="16" t="s">
        <v>399</v>
      </c>
      <c r="I15" s="2" t="s">
        <v>389</v>
      </c>
      <c r="J15" s="3" t="s">
        <v>420</v>
      </c>
      <c r="K15" s="3" t="s">
        <v>414</v>
      </c>
      <c r="L15" s="9" t="s">
        <v>31</v>
      </c>
      <c r="M15" s="17" t="s">
        <v>31</v>
      </c>
    </row>
    <row r="16" spans="2:13" x14ac:dyDescent="0.25">
      <c r="B16" t="s">
        <v>401</v>
      </c>
      <c r="C16" t="s">
        <v>389</v>
      </c>
      <c r="D16" t="s">
        <v>413</v>
      </c>
      <c r="E16" t="s">
        <v>617</v>
      </c>
      <c r="F16" s="9" t="str">
        <f>VLOOKUP(revtar_inrea_aecc_CELTINS__2[[#This Row],[CODIGO]],H:M,5,)</f>
        <v>-</v>
      </c>
      <c r="H16" s="16" t="s">
        <v>400</v>
      </c>
      <c r="I16" s="2" t="s">
        <v>389</v>
      </c>
      <c r="J16" s="3" t="s">
        <v>415</v>
      </c>
      <c r="K16" s="3" t="s">
        <v>414</v>
      </c>
      <c r="L16" s="9" t="s">
        <v>31</v>
      </c>
      <c r="M16" s="17" t="s">
        <v>31</v>
      </c>
    </row>
    <row r="17" spans="2:13" x14ac:dyDescent="0.25">
      <c r="B17" t="s">
        <v>402</v>
      </c>
      <c r="C17" t="s">
        <v>389</v>
      </c>
      <c r="D17" t="s">
        <v>421</v>
      </c>
      <c r="E17" t="s">
        <v>422</v>
      </c>
      <c r="F17" s="9" t="str">
        <f>VLOOKUP(revtar_inrea_aecc_CELTINS__2[[#This Row],[CODIGO]],H:M,5,)</f>
        <v>-</v>
      </c>
      <c r="H17" s="16" t="s">
        <v>401</v>
      </c>
      <c r="I17" s="2" t="s">
        <v>389</v>
      </c>
      <c r="J17" s="3" t="s">
        <v>413</v>
      </c>
      <c r="K17" s="3" t="s">
        <v>414</v>
      </c>
      <c r="L17" s="9" t="s">
        <v>31</v>
      </c>
      <c r="M17" s="17" t="s">
        <v>31</v>
      </c>
    </row>
    <row r="18" spans="2:13" x14ac:dyDescent="0.25">
      <c r="B18" t="s">
        <v>403</v>
      </c>
      <c r="C18" t="s">
        <v>389</v>
      </c>
      <c r="D18" t="s">
        <v>423</v>
      </c>
      <c r="E18" t="s">
        <v>423</v>
      </c>
      <c r="F18" s="9" t="str">
        <f>VLOOKUP(revtar_inrea_aecc_CELTINS__2[[#This Row],[CODIGO]],H:M,5,)</f>
        <v>-</v>
      </c>
      <c r="H18" s="16" t="s">
        <v>402</v>
      </c>
      <c r="I18" s="2" t="s">
        <v>389</v>
      </c>
      <c r="J18" s="3" t="s">
        <v>421</v>
      </c>
      <c r="K18" s="3" t="s">
        <v>422</v>
      </c>
      <c r="L18" s="9" t="s">
        <v>31</v>
      </c>
      <c r="M18" s="17" t="s">
        <v>31</v>
      </c>
    </row>
    <row r="19" spans="2:13" x14ac:dyDescent="0.25">
      <c r="B19" t="s">
        <v>404</v>
      </c>
      <c r="C19" t="s">
        <v>389</v>
      </c>
      <c r="D19" t="s">
        <v>424</v>
      </c>
      <c r="E19" t="s">
        <v>425</v>
      </c>
      <c r="F19" s="9" t="str">
        <f>VLOOKUP(revtar_inrea_aecc_CELTINS__2[[#This Row],[CODIGO]],H:M,5,)</f>
        <v>-</v>
      </c>
      <c r="H19" s="16" t="s">
        <v>403</v>
      </c>
      <c r="I19" s="2" t="s">
        <v>389</v>
      </c>
      <c r="J19" s="3" t="s">
        <v>423</v>
      </c>
      <c r="K19" s="3" t="s">
        <v>423</v>
      </c>
      <c r="L19" s="9" t="s">
        <v>31</v>
      </c>
      <c r="M19" s="17" t="s">
        <v>31</v>
      </c>
    </row>
    <row r="20" spans="2:13" x14ac:dyDescent="0.25">
      <c r="B20" t="s">
        <v>405</v>
      </c>
      <c r="C20" t="s">
        <v>389</v>
      </c>
      <c r="D20" t="s">
        <v>426</v>
      </c>
      <c r="E20" t="s">
        <v>414</v>
      </c>
      <c r="F20" s="9" t="str">
        <f>VLOOKUP(revtar_inrea_aecc_CELTINS__2[[#This Row],[CODIGO]],H:M,5,)</f>
        <v>-</v>
      </c>
      <c r="H20" s="16" t="s">
        <v>404</v>
      </c>
      <c r="I20" s="2" t="s">
        <v>389</v>
      </c>
      <c r="J20" s="3" t="s">
        <v>424</v>
      </c>
      <c r="K20" s="3" t="s">
        <v>425</v>
      </c>
      <c r="L20" s="9" t="s">
        <v>31</v>
      </c>
      <c r="M20" s="17" t="s">
        <v>31</v>
      </c>
    </row>
    <row r="21" spans="2:13" x14ac:dyDescent="0.25">
      <c r="B21" t="s">
        <v>406</v>
      </c>
      <c r="C21" t="s">
        <v>389</v>
      </c>
      <c r="D21" t="s">
        <v>426</v>
      </c>
      <c r="E21" t="s">
        <v>414</v>
      </c>
      <c r="F21" s="9" t="str">
        <f>VLOOKUP(revtar_inrea_aecc_CELTINS__2[[#This Row],[CODIGO]],H:M,5,)</f>
        <v>-</v>
      </c>
      <c r="H21" s="16" t="s">
        <v>405</v>
      </c>
      <c r="I21" s="2" t="s">
        <v>389</v>
      </c>
      <c r="J21" s="3" t="s">
        <v>426</v>
      </c>
      <c r="K21" s="3" t="s">
        <v>414</v>
      </c>
      <c r="L21" s="9" t="s">
        <v>31</v>
      </c>
      <c r="M21" s="17" t="s">
        <v>31</v>
      </c>
    </row>
    <row r="22" spans="2:13" x14ac:dyDescent="0.25">
      <c r="D22" s="3"/>
      <c r="E22" s="3"/>
      <c r="H22" s="65" t="s">
        <v>406</v>
      </c>
      <c r="I22" s="66" t="s">
        <v>389</v>
      </c>
      <c r="J22" s="67" t="s">
        <v>426</v>
      </c>
      <c r="K22" s="67" t="s">
        <v>414</v>
      </c>
      <c r="L22" s="70" t="s">
        <v>31</v>
      </c>
      <c r="M22" s="68" t="s">
        <v>31</v>
      </c>
    </row>
    <row r="26" spans="2:13" x14ac:dyDescent="0.25">
      <c r="H26" s="89"/>
    </row>
    <row r="29" spans="2:13" x14ac:dyDescent="0.25">
      <c r="H29" s="89"/>
    </row>
    <row r="30" spans="2:13" x14ac:dyDescent="0.25">
      <c r="H30" s="89"/>
    </row>
    <row r="31" spans="2:13" x14ac:dyDescent="0.25">
      <c r="H31" s="89"/>
    </row>
    <row r="101" spans="8:10" ht="14.25" customHeight="1" x14ac:dyDescent="0.25"/>
    <row r="102" spans="8:10" ht="12.75" customHeight="1" x14ac:dyDescent="0.25"/>
    <row r="108" spans="8:10" x14ac:dyDescent="0.25">
      <c r="H108" s="69"/>
    </row>
    <row r="109" spans="8:10" x14ac:dyDescent="0.25">
      <c r="J109" s="90"/>
    </row>
  </sheetData>
  <autoFilter ref="H4:M47" xr:uid="{00000000-0001-0000-0200-000000000000}"/>
  <conditionalFormatting sqref="H1:H1048576">
    <cfRule type="duplicateValues" dxfId="3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rgb="FFFF00FF"/>
  </sheetPr>
  <dimension ref="B3:N188"/>
  <sheetViews>
    <sheetView showGridLines="0" zoomScaleNormal="100" workbookViewId="0">
      <selection activeCell="F14" sqref="F14"/>
    </sheetView>
  </sheetViews>
  <sheetFormatPr defaultRowHeight="15" x14ac:dyDescent="0.25"/>
  <cols>
    <col min="2" max="2" width="11" style="2" bestFit="1" customWidth="1"/>
    <col min="3" max="3" width="5.140625" style="2" bestFit="1" customWidth="1"/>
    <col min="4" max="4" width="10.7109375" style="3" bestFit="1" customWidth="1"/>
    <col min="5" max="5" width="13.7109375" style="3" bestFit="1" customWidth="1"/>
    <col min="6" max="6" width="44.5703125" style="53" bestFit="1" customWidth="1"/>
    <col min="8" max="8" width="12.85546875" style="2" bestFit="1" customWidth="1"/>
    <col min="9" max="9" width="12.5703125" style="2" customWidth="1"/>
    <col min="10" max="10" width="14.42578125" style="3" customWidth="1"/>
    <col min="11" max="11" width="16.7109375" style="3" customWidth="1"/>
    <col min="12" max="12" width="24" style="49" customWidth="1"/>
    <col min="13" max="13" width="19.5703125" style="3" customWidth="1"/>
    <col min="14" max="14" width="15.7109375" style="2" customWidth="1"/>
    <col min="15" max="15" width="11" bestFit="1" customWidth="1"/>
  </cols>
  <sheetData>
    <row r="3" spans="2:14" ht="15.75" x14ac:dyDescent="0.25">
      <c r="B3" s="2" t="s">
        <v>0</v>
      </c>
      <c r="C3" s="2" t="s">
        <v>1</v>
      </c>
      <c r="D3" s="3" t="s">
        <v>2</v>
      </c>
      <c r="E3" s="3" t="s">
        <v>25</v>
      </c>
      <c r="F3" s="53" t="s">
        <v>112</v>
      </c>
      <c r="H3" s="39" t="s">
        <v>45</v>
      </c>
      <c r="I3" s="40"/>
      <c r="J3" s="41"/>
      <c r="K3" s="41"/>
      <c r="L3" s="42"/>
      <c r="M3" s="43"/>
    </row>
    <row r="4" spans="2:14" x14ac:dyDescent="0.25">
      <c r="B4" s="2">
        <v>5900425097</v>
      </c>
      <c r="C4" s="2">
        <v>59</v>
      </c>
      <c r="D4" s="3">
        <v>45322</v>
      </c>
      <c r="E4" s="3">
        <v>45322</v>
      </c>
      <c r="F4" s="6" t="str">
        <f>VLOOKUP(revtar_inc_aecc_CELTINS[[#This Row],[CODIGO]],H:M,5,)</f>
        <v>ETO-PROT42/2024</v>
      </c>
      <c r="H4" s="44" t="s">
        <v>0</v>
      </c>
      <c r="I4" s="45" t="s">
        <v>1</v>
      </c>
      <c r="J4" s="46" t="s">
        <v>33</v>
      </c>
      <c r="K4" s="46" t="s">
        <v>34</v>
      </c>
      <c r="L4" s="47" t="s">
        <v>35</v>
      </c>
      <c r="M4" s="48" t="s">
        <v>36</v>
      </c>
    </row>
    <row r="5" spans="2:14" x14ac:dyDescent="0.25">
      <c r="B5" s="2">
        <v>5952217122</v>
      </c>
      <c r="C5" s="2">
        <v>59</v>
      </c>
      <c r="D5" s="3">
        <v>45230</v>
      </c>
      <c r="E5" s="3">
        <v>45357</v>
      </c>
      <c r="F5" s="6" t="str">
        <f>VLOOKUP(revtar_inc_aecc_CELTINS[[#This Row],[CODIGO]],H:M,5,)</f>
        <v>ETO-PROT285/2023</v>
      </c>
      <c r="H5" s="16">
        <v>5952217122</v>
      </c>
      <c r="I5" s="2">
        <v>59</v>
      </c>
      <c r="J5" s="3">
        <v>45230</v>
      </c>
      <c r="K5" s="3">
        <v>45357</v>
      </c>
      <c r="L5" s="49" t="s">
        <v>23</v>
      </c>
      <c r="M5" s="17">
        <v>45233</v>
      </c>
      <c r="N5"/>
    </row>
    <row r="6" spans="2:14" x14ac:dyDescent="0.25">
      <c r="B6" s="2">
        <v>5900067033</v>
      </c>
      <c r="C6" s="2">
        <v>59</v>
      </c>
      <c r="D6" s="3">
        <v>45377</v>
      </c>
      <c r="E6" s="3">
        <v>45379</v>
      </c>
      <c r="F6" s="6" t="str">
        <f>VLOOKUP(revtar_inc_aecc_CELTINS[[#This Row],[CODIGO]],H:M,5,)</f>
        <v>ETO-PROT80/2024</v>
      </c>
      <c r="H6" s="16">
        <v>5925552122</v>
      </c>
      <c r="I6" s="2">
        <v>59</v>
      </c>
      <c r="J6" s="3">
        <v>44855</v>
      </c>
      <c r="K6" s="3">
        <v>45348</v>
      </c>
      <c r="L6" s="49" t="s">
        <v>20</v>
      </c>
      <c r="M6" s="17">
        <v>45358</v>
      </c>
      <c r="N6"/>
    </row>
    <row r="7" spans="2:14" x14ac:dyDescent="0.25">
      <c r="B7" s="2">
        <v>5953125122</v>
      </c>
      <c r="C7" s="2">
        <v>59</v>
      </c>
      <c r="D7" s="3">
        <v>45230</v>
      </c>
      <c r="E7" s="3">
        <v>45383</v>
      </c>
      <c r="F7" s="6" t="str">
        <f>VLOOKUP(revtar_inc_aecc_CELTINS[[#This Row],[CODIGO]],H:M,5,)</f>
        <v>ETO-PROT279/2023</v>
      </c>
      <c r="H7" s="16">
        <v>5901123038</v>
      </c>
      <c r="I7" s="2">
        <v>59</v>
      </c>
      <c r="J7" s="3">
        <v>44833</v>
      </c>
      <c r="K7" s="3">
        <v>45299</v>
      </c>
      <c r="L7" s="49" t="s">
        <v>107</v>
      </c>
      <c r="M7" s="17">
        <v>45358</v>
      </c>
      <c r="N7"/>
    </row>
    <row r="8" spans="2:14" x14ac:dyDescent="0.25">
      <c r="B8" s="2">
        <v>5950334122</v>
      </c>
      <c r="C8" s="2">
        <v>59</v>
      </c>
      <c r="D8" s="3">
        <v>45149</v>
      </c>
      <c r="E8" s="3">
        <v>45383</v>
      </c>
      <c r="F8" s="6" t="str">
        <f>VLOOKUP(revtar_inc_aecc_CELTINS[[#This Row],[CODIGO]],H:M,5,)</f>
        <v>ETO-PROT209/2023</v>
      </c>
      <c r="H8" s="16">
        <v>5900425097</v>
      </c>
      <c r="I8" s="2">
        <v>59</v>
      </c>
      <c r="J8" s="3">
        <v>45322</v>
      </c>
      <c r="K8" s="3">
        <v>45322</v>
      </c>
      <c r="L8" s="49" t="s">
        <v>6</v>
      </c>
      <c r="M8" s="17">
        <v>45325</v>
      </c>
      <c r="N8"/>
    </row>
    <row r="9" spans="2:14" x14ac:dyDescent="0.25">
      <c r="B9" s="2">
        <v>5952243122</v>
      </c>
      <c r="C9" s="2">
        <v>59</v>
      </c>
      <c r="D9" s="3">
        <v>45218</v>
      </c>
      <c r="E9" s="3">
        <v>45383</v>
      </c>
      <c r="F9" s="6" t="str">
        <f>VLOOKUP(revtar_inc_aecc_CELTINS[[#This Row],[CODIGO]],H:M,5,)</f>
        <v>ETO-PROT270/2023</v>
      </c>
      <c r="H9" s="16">
        <v>5900003013</v>
      </c>
      <c r="I9" s="2">
        <v>59</v>
      </c>
      <c r="J9" s="3">
        <v>44643</v>
      </c>
      <c r="K9" s="3">
        <v>45301</v>
      </c>
      <c r="L9" s="49" t="s">
        <v>107</v>
      </c>
      <c r="M9" s="17">
        <v>45358</v>
      </c>
      <c r="N9"/>
    </row>
    <row r="10" spans="2:14" x14ac:dyDescent="0.25">
      <c r="B10" s="2">
        <v>5925556122</v>
      </c>
      <c r="C10" s="2">
        <v>59</v>
      </c>
      <c r="D10" s="3">
        <v>45384</v>
      </c>
      <c r="E10" s="3">
        <v>45384</v>
      </c>
      <c r="F10" s="6" t="str">
        <f>VLOOKUP(revtar_inc_aecc_CELTINS[[#This Row],[CODIGO]],H:M,5,)</f>
        <v>FISCALIZAÇÃO SOMBRA</v>
      </c>
      <c r="H10" s="16">
        <v>5900067033</v>
      </c>
      <c r="I10" s="2">
        <v>59</v>
      </c>
      <c r="J10" s="3">
        <v>45377</v>
      </c>
      <c r="K10" s="3">
        <v>45379</v>
      </c>
      <c r="L10" s="49" t="s">
        <v>46</v>
      </c>
      <c r="M10" s="17">
        <v>45385</v>
      </c>
      <c r="N10"/>
    </row>
    <row r="11" spans="2:14" x14ac:dyDescent="0.25">
      <c r="B11" s="2">
        <v>5900285088</v>
      </c>
      <c r="C11" s="2">
        <v>59</v>
      </c>
      <c r="D11" s="3">
        <v>45384</v>
      </c>
      <c r="E11" s="3">
        <v>45384</v>
      </c>
      <c r="F11" s="6" t="str">
        <f>VLOOKUP(revtar_inc_aecc_CELTINS[[#This Row],[CODIGO]],H:M,5,)</f>
        <v>CORREÇAO SPEC</v>
      </c>
      <c r="H11" s="16">
        <v>5952243122</v>
      </c>
      <c r="I11" s="2">
        <v>59</v>
      </c>
      <c r="J11" s="3">
        <v>45218</v>
      </c>
      <c r="K11" s="3">
        <v>45383</v>
      </c>
      <c r="L11" s="49" t="s">
        <v>47</v>
      </c>
      <c r="M11" s="17">
        <v>45229</v>
      </c>
      <c r="N11"/>
    </row>
    <row r="12" spans="2:14" x14ac:dyDescent="0.25">
      <c r="B12" s="2">
        <v>5926722122</v>
      </c>
      <c r="C12" s="2">
        <v>59</v>
      </c>
      <c r="D12" s="3">
        <v>45384</v>
      </c>
      <c r="E12" s="3">
        <v>45384</v>
      </c>
      <c r="F12" s="6" t="str">
        <f>VLOOKUP(revtar_inc_aecc_CELTINS[[#This Row],[CODIGO]],H:M,5,)</f>
        <v>FISCALIZAÇÃO SOMBRA</v>
      </c>
      <c r="H12" s="16">
        <v>5953125122</v>
      </c>
      <c r="I12" s="2">
        <v>59</v>
      </c>
      <c r="J12" s="3">
        <v>45230</v>
      </c>
      <c r="K12" s="3">
        <v>45383</v>
      </c>
      <c r="L12" s="49" t="s">
        <v>48</v>
      </c>
      <c r="M12" s="17">
        <v>45231</v>
      </c>
      <c r="N12"/>
    </row>
    <row r="13" spans="2:14" x14ac:dyDescent="0.25">
      <c r="B13" s="2">
        <v>5931607059</v>
      </c>
      <c r="C13" s="2">
        <v>59</v>
      </c>
      <c r="D13" s="3">
        <v>45384</v>
      </c>
      <c r="E13" s="3">
        <v>45384</v>
      </c>
      <c r="F13" s="6" t="str">
        <f>VLOOKUP(revtar_inc_aecc_CELTINS[[#This Row],[CODIGO]],H:M,5,)</f>
        <v>FISCALIZAÇÃO SOMBRA</v>
      </c>
      <c r="H13" s="16">
        <v>5950334122</v>
      </c>
      <c r="I13" s="2">
        <v>59</v>
      </c>
      <c r="J13" s="3">
        <v>45149</v>
      </c>
      <c r="K13" s="3">
        <v>45383</v>
      </c>
      <c r="L13" s="49" t="s">
        <v>49</v>
      </c>
      <c r="M13" s="17">
        <v>45183</v>
      </c>
      <c r="N13"/>
    </row>
    <row r="14" spans="2:14" x14ac:dyDescent="0.25">
      <c r="B14" s="2">
        <v>5926763122</v>
      </c>
      <c r="C14" s="2">
        <v>59</v>
      </c>
      <c r="D14" s="3">
        <v>45384</v>
      </c>
      <c r="E14" s="3">
        <v>45384</v>
      </c>
      <c r="F14" s="6" t="str">
        <f>VLOOKUP(revtar_inc_aecc_CELTINS[[#This Row],[CODIGO]],H:M,5,)</f>
        <v>FISCALIZAÇÃO SOMBRA</v>
      </c>
      <c r="H14" s="16">
        <v>5931607059</v>
      </c>
      <c r="I14" s="2">
        <v>59</v>
      </c>
      <c r="J14" s="3">
        <v>45384</v>
      </c>
      <c r="K14" s="3">
        <v>45384</v>
      </c>
      <c r="L14" s="49" t="s">
        <v>50</v>
      </c>
      <c r="M14" s="17">
        <v>45385</v>
      </c>
      <c r="N14"/>
    </row>
    <row r="15" spans="2:14" x14ac:dyDescent="0.25">
      <c r="B15" s="2">
        <v>5931606059</v>
      </c>
      <c r="C15" s="2">
        <v>59</v>
      </c>
      <c r="D15" s="3">
        <v>45384</v>
      </c>
      <c r="E15" s="3">
        <v>45384</v>
      </c>
      <c r="F15" s="6" t="str">
        <f>VLOOKUP(revtar_inc_aecc_CELTINS[[#This Row],[CODIGO]],H:M,5,)</f>
        <v>FISCALIZAÇÃO SOMBRA</v>
      </c>
      <c r="H15" s="16">
        <v>5926722122</v>
      </c>
      <c r="I15" s="2">
        <v>59</v>
      </c>
      <c r="J15" s="3">
        <v>45384</v>
      </c>
      <c r="K15" s="3">
        <v>45384</v>
      </c>
      <c r="L15" s="49" t="s">
        <v>50</v>
      </c>
      <c r="M15" s="17">
        <v>45385</v>
      </c>
      <c r="N15"/>
    </row>
    <row r="16" spans="2:14" x14ac:dyDescent="0.25">
      <c r="B16" s="2">
        <v>5900407025</v>
      </c>
      <c r="C16" s="2">
        <v>59</v>
      </c>
      <c r="D16" s="3">
        <v>45385</v>
      </c>
      <c r="E16" s="3">
        <v>45385</v>
      </c>
      <c r="F16" s="6" t="str">
        <f>VLOOKUP(revtar_inc_aecc_CELTINS[[#This Row],[CODIGO]],H:M,5,)</f>
        <v>CORREÇAO SPEC</v>
      </c>
      <c r="H16" s="16">
        <v>5931606059</v>
      </c>
      <c r="I16" s="2">
        <v>59</v>
      </c>
      <c r="J16" s="3">
        <v>45384</v>
      </c>
      <c r="K16" s="3">
        <v>45384</v>
      </c>
      <c r="L16" s="49" t="s">
        <v>50</v>
      </c>
      <c r="M16" s="17">
        <v>45385</v>
      </c>
      <c r="N16"/>
    </row>
    <row r="17" spans="2:14" x14ac:dyDescent="0.25">
      <c r="B17" s="2">
        <v>5900431019</v>
      </c>
      <c r="C17" s="2">
        <v>59</v>
      </c>
      <c r="D17" s="3">
        <v>45385</v>
      </c>
      <c r="E17" s="3">
        <v>45385</v>
      </c>
      <c r="F17" s="6" t="str">
        <f>VLOOKUP(revtar_inc_aecc_CELTINS[[#This Row],[CODIGO]],H:M,5,)</f>
        <v>CORREÇAO SPEC</v>
      </c>
      <c r="H17" s="16">
        <v>5926763122</v>
      </c>
      <c r="I17" s="2">
        <v>59</v>
      </c>
      <c r="J17" s="3">
        <v>45384</v>
      </c>
      <c r="K17" s="3">
        <v>45384</v>
      </c>
      <c r="L17" s="49" t="s">
        <v>50</v>
      </c>
      <c r="M17" s="17">
        <v>45385</v>
      </c>
      <c r="N17"/>
    </row>
    <row r="18" spans="2:14" x14ac:dyDescent="0.25">
      <c r="B18" s="2">
        <v>5900049098</v>
      </c>
      <c r="C18" s="2">
        <v>59</v>
      </c>
      <c r="D18" s="3">
        <v>45385</v>
      </c>
      <c r="E18" s="3">
        <v>45385</v>
      </c>
      <c r="F18" s="6" t="str">
        <f>VLOOKUP(revtar_inc_aecc_CELTINS[[#This Row],[CODIGO]],H:M,5,)</f>
        <v>CORREÇAO SPEC</v>
      </c>
      <c r="H18" s="16">
        <v>5925556122</v>
      </c>
      <c r="I18" s="2">
        <v>59</v>
      </c>
      <c r="J18" s="3">
        <v>45384</v>
      </c>
      <c r="K18" s="3">
        <v>45384</v>
      </c>
      <c r="L18" s="49" t="s">
        <v>50</v>
      </c>
      <c r="M18" s="17">
        <v>45385</v>
      </c>
      <c r="N18"/>
    </row>
    <row r="19" spans="2:14" x14ac:dyDescent="0.25">
      <c r="B19" s="2">
        <v>5900350004</v>
      </c>
      <c r="C19" s="2">
        <v>59</v>
      </c>
      <c r="D19" s="3">
        <v>45385</v>
      </c>
      <c r="E19" s="3">
        <v>45386</v>
      </c>
      <c r="F19" s="6" t="str">
        <f>VLOOKUP(revtar_inc_aecc_CELTINS[[#This Row],[CODIGO]],H:M,5,)</f>
        <v>CORREÇAO SPEC</v>
      </c>
      <c r="H19" s="16">
        <v>5900285088</v>
      </c>
      <c r="I19" s="2">
        <v>59</v>
      </c>
      <c r="J19" s="3">
        <v>45384</v>
      </c>
      <c r="K19" s="3">
        <v>45384</v>
      </c>
      <c r="L19" s="49" t="s">
        <v>51</v>
      </c>
      <c r="M19" s="17">
        <v>45385</v>
      </c>
      <c r="N19"/>
    </row>
    <row r="20" spans="2:14" x14ac:dyDescent="0.25">
      <c r="B20" s="2">
        <v>5913314004</v>
      </c>
      <c r="C20" s="2">
        <v>59</v>
      </c>
      <c r="D20" s="3">
        <v>45385</v>
      </c>
      <c r="E20" s="3">
        <v>45386</v>
      </c>
      <c r="F20" s="6" t="str">
        <f>VLOOKUP(revtar_inc_aecc_CELTINS[[#This Row],[CODIGO]],H:M,5,)</f>
        <v>CORREÇAO SPEC</v>
      </c>
      <c r="H20" s="16">
        <v>5900407025</v>
      </c>
      <c r="I20" s="2">
        <v>59</v>
      </c>
      <c r="J20" s="3">
        <v>45385</v>
      </c>
      <c r="K20" s="3">
        <v>45385</v>
      </c>
      <c r="L20" s="49" t="s">
        <v>51</v>
      </c>
      <c r="M20" s="17">
        <v>45391</v>
      </c>
      <c r="N20"/>
    </row>
    <row r="21" spans="2:14" x14ac:dyDescent="0.25">
      <c r="B21" s="2">
        <v>5951791007</v>
      </c>
      <c r="C21" s="2">
        <v>59</v>
      </c>
      <c r="D21" s="3">
        <v>45175</v>
      </c>
      <c r="E21" s="3">
        <v>45391</v>
      </c>
      <c r="F21" s="6" t="str">
        <f>VLOOKUP(revtar_inc_aecc_CELTINS[[#This Row],[CODIGO]],H:M,5,)</f>
        <v>FISCALIZAÇÃO SOMBRA</v>
      </c>
      <c r="H21" s="16">
        <v>5900431019</v>
      </c>
      <c r="I21" s="2">
        <v>59</v>
      </c>
      <c r="J21" s="3">
        <v>45385</v>
      </c>
      <c r="K21" s="3">
        <v>45385</v>
      </c>
      <c r="L21" s="49" t="s">
        <v>51</v>
      </c>
      <c r="M21" s="17">
        <v>45391</v>
      </c>
      <c r="N21"/>
    </row>
    <row r="22" spans="2:14" x14ac:dyDescent="0.25">
      <c r="B22" s="2">
        <v>6012208006</v>
      </c>
      <c r="C22" s="2">
        <v>59</v>
      </c>
      <c r="D22" s="3">
        <v>45385</v>
      </c>
      <c r="E22" s="3">
        <v>45401</v>
      </c>
      <c r="F22" s="6" t="str">
        <f>VLOOKUP(revtar_inc_aecc_CELTINS[[#This Row],[CODIGO]],H:M,5,)</f>
        <v>PARTICULAR</v>
      </c>
      <c r="H22" s="16">
        <v>5900049098</v>
      </c>
      <c r="I22" s="2">
        <v>59</v>
      </c>
      <c r="J22" s="3">
        <v>45385</v>
      </c>
      <c r="K22" s="3">
        <v>45385</v>
      </c>
      <c r="L22" s="49" t="s">
        <v>51</v>
      </c>
      <c r="M22" s="17">
        <v>45391</v>
      </c>
      <c r="N22"/>
    </row>
    <row r="23" spans="2:14" x14ac:dyDescent="0.25">
      <c r="B23" s="2">
        <v>5950081122</v>
      </c>
      <c r="C23" s="2">
        <v>59</v>
      </c>
      <c r="D23" s="3">
        <v>45148</v>
      </c>
      <c r="E23" s="3">
        <v>45406</v>
      </c>
      <c r="F23" s="6" t="str">
        <f>VLOOKUP(revtar_inc_aecc_CELTINS[[#This Row],[CODIGO]],H:M,5,)</f>
        <v>AJUSTE MI</v>
      </c>
      <c r="H23" s="16">
        <v>5913313004</v>
      </c>
      <c r="I23" s="2">
        <v>59</v>
      </c>
      <c r="J23" s="3">
        <v>45385</v>
      </c>
      <c r="K23" s="3">
        <v>45386</v>
      </c>
      <c r="L23" s="49" t="s">
        <v>51</v>
      </c>
      <c r="M23" s="17">
        <v>45391</v>
      </c>
      <c r="N23"/>
    </row>
    <row r="24" spans="2:14" x14ac:dyDescent="0.25">
      <c r="B24" s="2">
        <v>5900272004</v>
      </c>
      <c r="C24" s="2">
        <v>59</v>
      </c>
      <c r="D24" s="3">
        <v>45205</v>
      </c>
      <c r="E24" s="3">
        <v>45412</v>
      </c>
      <c r="F24" s="6" t="str">
        <f>VLOOKUP(revtar_inc_aecc_CELTINS[[#This Row],[CODIGO]],H:M,5,)</f>
        <v>SUB. POSTE</v>
      </c>
      <c r="H24" s="16">
        <v>5900350004</v>
      </c>
      <c r="I24" s="2">
        <v>59</v>
      </c>
      <c r="J24" s="3">
        <v>45385</v>
      </c>
      <c r="K24" s="3">
        <v>45386</v>
      </c>
      <c r="L24" s="49" t="s">
        <v>51</v>
      </c>
      <c r="M24" s="17">
        <v>45391</v>
      </c>
      <c r="N24"/>
    </row>
    <row r="25" spans="2:14" x14ac:dyDescent="0.25">
      <c r="B25" s="2">
        <v>5947454001</v>
      </c>
      <c r="C25" s="2">
        <v>59</v>
      </c>
      <c r="D25" s="3">
        <v>45153</v>
      </c>
      <c r="E25" s="3">
        <v>45419</v>
      </c>
      <c r="F25" s="6" t="str">
        <f>VLOOKUP(revtar_inc_aecc_CELTINS[[#This Row],[CODIGO]],H:M,5,)</f>
        <v>INSTALAÇÃO 2023</v>
      </c>
      <c r="H25" s="16">
        <v>5913314004</v>
      </c>
      <c r="I25" s="2">
        <v>59</v>
      </c>
      <c r="J25" s="3">
        <v>45385</v>
      </c>
      <c r="K25" s="3">
        <v>45386</v>
      </c>
      <c r="L25" s="49" t="s">
        <v>51</v>
      </c>
      <c r="M25" s="17">
        <v>45391</v>
      </c>
      <c r="N25"/>
    </row>
    <row r="26" spans="2:14" x14ac:dyDescent="0.25">
      <c r="B26" s="2">
        <v>5947960001</v>
      </c>
      <c r="C26" s="2">
        <v>59</v>
      </c>
      <c r="D26" s="3">
        <v>45153</v>
      </c>
      <c r="E26" s="3">
        <v>45419</v>
      </c>
      <c r="F26" s="6" t="str">
        <f>VLOOKUP(revtar_inc_aecc_CELTINS[[#This Row],[CODIGO]],H:M,5,)</f>
        <v>INSTALAÇÃO 2023</v>
      </c>
      <c r="H26" s="16"/>
      <c r="I26" s="2">
        <v>59</v>
      </c>
      <c r="J26" s="3">
        <v>45385</v>
      </c>
      <c r="K26" s="3">
        <v>45387</v>
      </c>
      <c r="M26" s="17"/>
      <c r="N26"/>
    </row>
    <row r="27" spans="2:14" x14ac:dyDescent="0.25">
      <c r="B27" s="2">
        <v>5928383081</v>
      </c>
      <c r="C27" s="2">
        <v>59</v>
      </c>
      <c r="D27" s="3">
        <v>45419</v>
      </c>
      <c r="E27" s="3">
        <v>45419</v>
      </c>
      <c r="F27" s="6" t="str">
        <f>VLOOKUP(revtar_inc_aecc_CELTINS[[#This Row],[CODIGO]],H:M,5,)</f>
        <v>CORREÇAO SPEC</v>
      </c>
      <c r="H27" s="16">
        <v>5951791007</v>
      </c>
      <c r="I27" s="2">
        <v>59</v>
      </c>
      <c r="J27" s="3">
        <v>45175</v>
      </c>
      <c r="K27" s="3">
        <v>45391</v>
      </c>
      <c r="L27" s="49" t="s">
        <v>50</v>
      </c>
      <c r="M27" s="17">
        <v>45391</v>
      </c>
      <c r="N27"/>
    </row>
    <row r="28" spans="2:14" x14ac:dyDescent="0.25">
      <c r="B28" s="2">
        <v>5914706086</v>
      </c>
      <c r="C28" s="2">
        <v>59</v>
      </c>
      <c r="D28" s="3">
        <v>44833</v>
      </c>
      <c r="E28" s="3">
        <v>45425</v>
      </c>
      <c r="F28" s="6" t="str">
        <f>VLOOKUP(revtar_inc_aecc_CELTINS[[#This Row],[CODIGO]],H:M,5,)</f>
        <v>antigo</v>
      </c>
      <c r="H28" s="16">
        <v>6012208006</v>
      </c>
      <c r="I28" s="2">
        <v>59</v>
      </c>
      <c r="J28" s="3">
        <v>45385</v>
      </c>
      <c r="K28" s="3">
        <v>45401</v>
      </c>
      <c r="L28" s="49" t="s">
        <v>55</v>
      </c>
      <c r="M28" s="17">
        <v>45404</v>
      </c>
      <c r="N28"/>
    </row>
    <row r="29" spans="2:14" x14ac:dyDescent="0.25">
      <c r="B29" s="2">
        <v>5924615042</v>
      </c>
      <c r="C29" s="2">
        <v>59</v>
      </c>
      <c r="D29" s="3">
        <v>45425</v>
      </c>
      <c r="E29" s="3">
        <v>45425</v>
      </c>
      <c r="F29" s="6" t="str">
        <f>VLOOKUP(revtar_inc_aecc_CELTINS[[#This Row],[CODIGO]],H:M,5,)</f>
        <v>antigo</v>
      </c>
      <c r="H29" s="16">
        <v>5950081122</v>
      </c>
      <c r="I29" s="2">
        <v>59</v>
      </c>
      <c r="J29" s="3">
        <v>45148</v>
      </c>
      <c r="K29" s="3">
        <v>45406</v>
      </c>
      <c r="L29" s="49" t="s">
        <v>58</v>
      </c>
      <c r="M29" s="17">
        <v>45406</v>
      </c>
      <c r="N29"/>
    </row>
    <row r="30" spans="2:14" x14ac:dyDescent="0.25">
      <c r="B30" s="2">
        <v>5900083002</v>
      </c>
      <c r="C30" s="2">
        <v>59</v>
      </c>
      <c r="D30" s="3">
        <v>44855</v>
      </c>
      <c r="E30" s="3">
        <v>45427</v>
      </c>
      <c r="F30" s="6" t="str">
        <f>VLOOKUP(revtar_inc_aecc_CELTINS[[#This Row],[CODIGO]],H:M,5,)</f>
        <v>hugo</v>
      </c>
      <c r="H30" s="16">
        <v>5902588003</v>
      </c>
      <c r="I30" s="2">
        <v>59</v>
      </c>
      <c r="J30" s="3">
        <v>45408</v>
      </c>
      <c r="K30" s="3">
        <v>45408</v>
      </c>
      <c r="L30" s="49" t="s">
        <v>58</v>
      </c>
      <c r="M30" s="17">
        <v>45411</v>
      </c>
      <c r="N30"/>
    </row>
    <row r="31" spans="2:14" x14ac:dyDescent="0.25">
      <c r="B31" s="2">
        <v>5900372044</v>
      </c>
      <c r="C31" s="2">
        <v>59</v>
      </c>
      <c r="D31" s="3">
        <v>44894</v>
      </c>
      <c r="E31" s="3">
        <v>45448</v>
      </c>
      <c r="F31" s="6" t="str">
        <f>VLOOKUP(revtar_inc_aecc_CELTINS[[#This Row],[CODIGO]],H:M,5,)</f>
        <v>correção luan/ruben</v>
      </c>
      <c r="H31" s="16">
        <v>5900272004</v>
      </c>
      <c r="I31" s="2">
        <v>59</v>
      </c>
      <c r="J31" s="3">
        <v>45205</v>
      </c>
      <c r="K31" s="3">
        <v>45412</v>
      </c>
      <c r="L31" s="49" t="s">
        <v>64</v>
      </c>
      <c r="M31" s="17">
        <v>45418</v>
      </c>
      <c r="N31"/>
    </row>
    <row r="32" spans="2:14" x14ac:dyDescent="0.25">
      <c r="B32" s="2">
        <v>5905232100</v>
      </c>
      <c r="C32" s="2">
        <v>59</v>
      </c>
      <c r="D32" s="3">
        <v>44833</v>
      </c>
      <c r="E32" s="3">
        <v>45448</v>
      </c>
      <c r="F32" s="6" t="str">
        <f>VLOOKUP(revtar_inc_aecc_CELTINS[[#This Row],[CODIGO]],H:M,5,)</f>
        <v>correção luan/ruben</v>
      </c>
      <c r="H32" s="16">
        <v>5900027065</v>
      </c>
      <c r="I32" s="2">
        <v>59</v>
      </c>
      <c r="J32" s="3">
        <v>45415</v>
      </c>
      <c r="K32" s="3">
        <v>45415</v>
      </c>
      <c r="L32" s="49" t="s">
        <v>62</v>
      </c>
      <c r="M32" s="17">
        <v>45418</v>
      </c>
      <c r="N32" s="1"/>
    </row>
    <row r="33" spans="2:13" customFormat="1" x14ac:dyDescent="0.25">
      <c r="B33" s="2">
        <v>5900085060</v>
      </c>
      <c r="C33" s="2">
        <v>59</v>
      </c>
      <c r="D33" s="3">
        <v>44648</v>
      </c>
      <c r="E33" s="3">
        <v>45448</v>
      </c>
      <c r="F33" s="6" t="str">
        <f>VLOOKUP(revtar_inc_aecc_CELTINS[[#This Row],[CODIGO]],H:M,5,)</f>
        <v>correção luan/ruben</v>
      </c>
      <c r="H33" s="16">
        <v>5947960001</v>
      </c>
      <c r="I33" s="2">
        <v>59</v>
      </c>
      <c r="J33" s="3">
        <v>45153</v>
      </c>
      <c r="K33" s="3">
        <v>45419</v>
      </c>
      <c r="L33" s="49" t="s">
        <v>63</v>
      </c>
      <c r="M33" s="17">
        <v>45425</v>
      </c>
    </row>
    <row r="34" spans="2:13" customFormat="1" x14ac:dyDescent="0.25">
      <c r="B34" s="2">
        <v>5900058098</v>
      </c>
      <c r="C34" s="2">
        <v>59</v>
      </c>
      <c r="D34" s="3">
        <v>44626</v>
      </c>
      <c r="E34" s="3">
        <v>45448</v>
      </c>
      <c r="F34" s="6" t="str">
        <f>VLOOKUP(revtar_inc_aecc_CELTINS[[#This Row],[CODIGO]],H:M,5,)</f>
        <v>correção luan/ruben</v>
      </c>
      <c r="H34" s="16">
        <v>5928383081</v>
      </c>
      <c r="I34" s="2">
        <v>59</v>
      </c>
      <c r="J34" s="3">
        <v>45419</v>
      </c>
      <c r="K34" s="3">
        <v>45419</v>
      </c>
      <c r="L34" s="49" t="s">
        <v>51</v>
      </c>
      <c r="M34" s="17">
        <v>45425</v>
      </c>
    </row>
    <row r="35" spans="2:13" customFormat="1" x14ac:dyDescent="0.25">
      <c r="B35" s="2">
        <v>5900126068</v>
      </c>
      <c r="C35" s="2">
        <v>59</v>
      </c>
      <c r="D35" s="3">
        <v>44574</v>
      </c>
      <c r="E35" s="3">
        <v>45448</v>
      </c>
      <c r="F35" s="6" t="str">
        <f>VLOOKUP(revtar_inc_aecc_CELTINS[[#This Row],[CODIGO]],H:M,5,)</f>
        <v>correção luan/ruben</v>
      </c>
      <c r="H35" s="16">
        <v>5947454001</v>
      </c>
      <c r="I35" s="2">
        <v>59</v>
      </c>
      <c r="J35" s="3">
        <v>45153</v>
      </c>
      <c r="K35" s="3">
        <v>45419</v>
      </c>
      <c r="L35" s="49" t="s">
        <v>63</v>
      </c>
      <c r="M35" s="17">
        <v>45425</v>
      </c>
    </row>
    <row r="36" spans="2:13" customFormat="1" x14ac:dyDescent="0.25">
      <c r="B36" s="2">
        <v>5902875004</v>
      </c>
      <c r="C36" s="2">
        <v>59</v>
      </c>
      <c r="D36" s="3">
        <v>44569</v>
      </c>
      <c r="E36" s="3">
        <v>45448</v>
      </c>
      <c r="F36" s="6" t="str">
        <f>VLOOKUP(revtar_inc_aecc_CELTINS[[#This Row],[CODIGO]],H:M,5,)</f>
        <v>correção luan/ruben</v>
      </c>
      <c r="H36" s="50">
        <v>5914706086</v>
      </c>
      <c r="I36" s="51">
        <v>59</v>
      </c>
      <c r="J36" s="52">
        <v>44833</v>
      </c>
      <c r="K36" s="52">
        <v>45425</v>
      </c>
      <c r="L36" s="59" t="s">
        <v>106</v>
      </c>
      <c r="M36" s="60"/>
    </row>
    <row r="37" spans="2:13" customFormat="1" x14ac:dyDescent="0.25">
      <c r="B37" s="2">
        <v>5900622016</v>
      </c>
      <c r="C37" s="2">
        <v>59</v>
      </c>
      <c r="D37" s="3">
        <v>44628</v>
      </c>
      <c r="E37" s="3">
        <v>45449</v>
      </c>
      <c r="F37" s="6" t="str">
        <f>VLOOKUP(revtar_inc_aecc_CELTINS[[#This Row],[CODIGO]],H:M,5,)</f>
        <v>correção luan/ruben</v>
      </c>
      <c r="H37" s="50">
        <v>5924615042</v>
      </c>
      <c r="I37" s="51">
        <v>59</v>
      </c>
      <c r="J37" s="52">
        <v>45425</v>
      </c>
      <c r="K37" s="52">
        <v>45425</v>
      </c>
      <c r="L37" s="59" t="s">
        <v>106</v>
      </c>
      <c r="M37" s="60"/>
    </row>
    <row r="38" spans="2:13" customFormat="1" x14ac:dyDescent="0.25">
      <c r="B38" s="2">
        <v>5900074020</v>
      </c>
      <c r="C38" s="2">
        <v>59</v>
      </c>
      <c r="D38" s="3">
        <v>44562</v>
      </c>
      <c r="E38" s="3">
        <v>45449</v>
      </c>
      <c r="F38" s="6" t="str">
        <f>VLOOKUP(revtar_inc_aecc_CELTINS[[#This Row],[CODIGO]],H:M,5,)</f>
        <v>correção luan/ruben</v>
      </c>
      <c r="H38" s="16">
        <v>5900083002</v>
      </c>
      <c r="I38" s="2">
        <v>59</v>
      </c>
      <c r="J38" s="3">
        <v>44855</v>
      </c>
      <c r="K38" s="3">
        <v>45427</v>
      </c>
      <c r="L38" s="49" t="s">
        <v>82</v>
      </c>
      <c r="M38" s="17"/>
    </row>
    <row r="39" spans="2:13" customFormat="1" x14ac:dyDescent="0.25">
      <c r="B39" s="2">
        <v>5922994039</v>
      </c>
      <c r="C39" s="2">
        <v>59</v>
      </c>
      <c r="D39" s="3">
        <v>44637</v>
      </c>
      <c r="E39" s="3">
        <v>45449</v>
      </c>
      <c r="F39" s="6" t="str">
        <f>VLOOKUP(revtar_inc_aecc_CELTINS[[#This Row],[CODIGO]],H:M,5,)</f>
        <v>correção luan/ruben</v>
      </c>
      <c r="H39" s="16">
        <v>5938754023</v>
      </c>
      <c r="I39" s="2">
        <v>59</v>
      </c>
      <c r="J39" s="3">
        <v>45428</v>
      </c>
      <c r="K39" s="3">
        <v>45428</v>
      </c>
      <c r="L39" s="49" t="s">
        <v>83</v>
      </c>
      <c r="M39" s="17">
        <v>45450</v>
      </c>
    </row>
    <row r="40" spans="2:13" customFormat="1" x14ac:dyDescent="0.25">
      <c r="B40" s="2">
        <v>5900037037</v>
      </c>
      <c r="C40" s="2">
        <v>59</v>
      </c>
      <c r="D40" s="3">
        <v>44831</v>
      </c>
      <c r="E40" s="3">
        <v>45449</v>
      </c>
      <c r="F40" s="6" t="str">
        <f>VLOOKUP(revtar_inc_aecc_CELTINS[[#This Row],[CODIGO]],H:M,5,)</f>
        <v>correção luan/ruben</v>
      </c>
      <c r="H40" s="16">
        <v>5900126068</v>
      </c>
      <c r="I40" s="2">
        <v>59</v>
      </c>
      <c r="J40" s="3">
        <v>44574</v>
      </c>
      <c r="K40" s="3">
        <v>45448</v>
      </c>
      <c r="L40" s="49" t="s">
        <v>83</v>
      </c>
      <c r="M40" s="17">
        <v>45450</v>
      </c>
    </row>
    <row r="41" spans="2:13" customFormat="1" x14ac:dyDescent="0.25">
      <c r="B41" s="2">
        <v>5900004261</v>
      </c>
      <c r="C41" s="2">
        <v>59</v>
      </c>
      <c r="D41" s="3">
        <v>44624</v>
      </c>
      <c r="E41" s="3">
        <v>45449</v>
      </c>
      <c r="F41" s="6" t="str">
        <f>VLOOKUP(revtar_inc_aecc_CELTINS[[#This Row],[CODIGO]],H:M,5,)</f>
        <v>correção luan/ruben</v>
      </c>
      <c r="H41" s="16">
        <v>5900220023</v>
      </c>
      <c r="I41" s="2">
        <v>59</v>
      </c>
      <c r="J41" s="3">
        <v>44568</v>
      </c>
      <c r="K41" s="3">
        <v>45448</v>
      </c>
      <c r="L41" s="49" t="s">
        <v>83</v>
      </c>
      <c r="M41" s="17">
        <v>45450</v>
      </c>
    </row>
    <row r="42" spans="2:13" customFormat="1" x14ac:dyDescent="0.25">
      <c r="B42" s="2">
        <v>5900263050</v>
      </c>
      <c r="C42" s="2">
        <v>59</v>
      </c>
      <c r="D42" s="3">
        <v>44831</v>
      </c>
      <c r="E42" s="3">
        <v>45449</v>
      </c>
      <c r="F42" s="6" t="str">
        <f>VLOOKUP(revtar_inc_aecc_CELTINS[[#This Row],[CODIGO]],H:M,5,)</f>
        <v>correção luan/ruben</v>
      </c>
      <c r="H42" s="16">
        <v>5905232100</v>
      </c>
      <c r="I42" s="2">
        <v>59</v>
      </c>
      <c r="J42" s="3">
        <v>44833</v>
      </c>
      <c r="K42" s="3">
        <v>45448</v>
      </c>
      <c r="L42" s="49" t="s">
        <v>83</v>
      </c>
      <c r="M42" s="17">
        <v>45450</v>
      </c>
    </row>
    <row r="43" spans="2:13" customFormat="1" x14ac:dyDescent="0.25">
      <c r="B43" s="2">
        <v>5921041034</v>
      </c>
      <c r="C43" s="2">
        <v>59</v>
      </c>
      <c r="D43" s="3">
        <v>44831</v>
      </c>
      <c r="E43" s="3">
        <v>45449</v>
      </c>
      <c r="F43" s="6" t="str">
        <f>VLOOKUP(revtar_inc_aecc_CELTINS[[#This Row],[CODIGO]],H:M,5,)</f>
        <v>correção luan/ruben</v>
      </c>
      <c r="H43" s="16">
        <v>5900372044</v>
      </c>
      <c r="I43" s="2">
        <v>59</v>
      </c>
      <c r="J43" s="3">
        <v>44894</v>
      </c>
      <c r="K43" s="3">
        <v>45448</v>
      </c>
      <c r="L43" s="49" t="s">
        <v>83</v>
      </c>
      <c r="M43" s="17">
        <v>45450</v>
      </c>
    </row>
    <row r="44" spans="2:13" customFormat="1" x14ac:dyDescent="0.25">
      <c r="B44" s="2">
        <v>5936329013</v>
      </c>
      <c r="C44" s="2">
        <v>59</v>
      </c>
      <c r="D44" s="3">
        <v>44569</v>
      </c>
      <c r="E44" s="3">
        <v>45449</v>
      </c>
      <c r="F44" s="6" t="str">
        <f>VLOOKUP(revtar_inc_aecc_CELTINS[[#This Row],[CODIGO]],H:M,5,)</f>
        <v>correção luan/ruben</v>
      </c>
      <c r="H44" s="16">
        <v>5900085060</v>
      </c>
      <c r="I44" s="2">
        <v>59</v>
      </c>
      <c r="J44" s="3">
        <v>44648</v>
      </c>
      <c r="K44" s="3">
        <v>45448</v>
      </c>
      <c r="L44" s="49" t="s">
        <v>83</v>
      </c>
      <c r="M44" s="17">
        <v>45450</v>
      </c>
    </row>
    <row r="45" spans="2:13" customFormat="1" x14ac:dyDescent="0.25">
      <c r="B45" s="2">
        <v>5925557008</v>
      </c>
      <c r="C45" s="2">
        <v>59</v>
      </c>
      <c r="D45" s="3">
        <v>44630</v>
      </c>
      <c r="E45" s="3">
        <v>45449</v>
      </c>
      <c r="F45" s="6" t="str">
        <f>VLOOKUP(revtar_inc_aecc_CELTINS[[#This Row],[CODIGO]],H:M,5,)</f>
        <v>correção luan/ruben</v>
      </c>
      <c r="H45" s="16">
        <v>5900058098</v>
      </c>
      <c r="I45" s="2">
        <v>59</v>
      </c>
      <c r="J45" s="3">
        <v>44626</v>
      </c>
      <c r="K45" s="3">
        <v>45448</v>
      </c>
      <c r="L45" s="49" t="s">
        <v>83</v>
      </c>
      <c r="M45" s="17">
        <v>45450</v>
      </c>
    </row>
    <row r="46" spans="2:13" customFormat="1" x14ac:dyDescent="0.25">
      <c r="B46" s="2">
        <v>5925121016</v>
      </c>
      <c r="C46" s="2">
        <v>59</v>
      </c>
      <c r="D46" s="3">
        <v>44628</v>
      </c>
      <c r="E46" s="3">
        <v>45449</v>
      </c>
      <c r="F46" s="6" t="str">
        <f>VLOOKUP(revtar_inc_aecc_CELTINS[[#This Row],[CODIGO]],H:M,5,)</f>
        <v>correção luan/ruben</v>
      </c>
      <c r="H46" s="16">
        <v>5900011002</v>
      </c>
      <c r="I46" s="2">
        <v>59</v>
      </c>
      <c r="J46" s="3">
        <v>44799</v>
      </c>
      <c r="K46" s="3">
        <v>45448</v>
      </c>
      <c r="L46" s="49" t="s">
        <v>83</v>
      </c>
      <c r="M46" s="17">
        <v>45450</v>
      </c>
    </row>
    <row r="47" spans="2:13" customFormat="1" x14ac:dyDescent="0.25">
      <c r="B47" s="2">
        <v>5900085007</v>
      </c>
      <c r="C47" s="2">
        <v>59</v>
      </c>
      <c r="D47" s="3">
        <v>44852</v>
      </c>
      <c r="E47" s="3">
        <v>45449</v>
      </c>
      <c r="F47" s="6" t="str">
        <f>VLOOKUP(revtar_inc_aecc_CELTINS[[#This Row],[CODIGO]],H:M,5,)</f>
        <v>correção luan/ruben</v>
      </c>
      <c r="H47" s="16">
        <v>5902875004</v>
      </c>
      <c r="I47" s="2">
        <v>59</v>
      </c>
      <c r="J47" s="3">
        <v>44569</v>
      </c>
      <c r="K47" s="3">
        <v>45448</v>
      </c>
      <c r="L47" s="49" t="s">
        <v>83</v>
      </c>
      <c r="M47" s="17">
        <v>45450</v>
      </c>
    </row>
    <row r="48" spans="2:13" customFormat="1" x14ac:dyDescent="0.25">
      <c r="B48" s="2">
        <v>5900037005</v>
      </c>
      <c r="C48" s="2">
        <v>59</v>
      </c>
      <c r="D48" s="3">
        <v>44613</v>
      </c>
      <c r="E48" s="3">
        <v>45449</v>
      </c>
      <c r="F48" s="6" t="str">
        <f>VLOOKUP(revtar_inc_aecc_CELTINS[[#This Row],[CODIGO]],H:M,5,)</f>
        <v>correção luan/ruben</v>
      </c>
      <c r="H48" s="16">
        <v>5900031039</v>
      </c>
      <c r="I48" s="2">
        <v>59</v>
      </c>
      <c r="J48" s="3">
        <v>44632</v>
      </c>
      <c r="K48" s="3">
        <v>45449</v>
      </c>
      <c r="L48" s="49" t="s">
        <v>83</v>
      </c>
      <c r="M48" s="17">
        <v>45450</v>
      </c>
    </row>
    <row r="49" spans="2:13" customFormat="1" x14ac:dyDescent="0.25">
      <c r="B49" s="2">
        <v>5930542005</v>
      </c>
      <c r="C49" s="2">
        <v>59</v>
      </c>
      <c r="D49" s="3">
        <v>44613</v>
      </c>
      <c r="E49" s="3">
        <v>45449</v>
      </c>
      <c r="F49" s="6" t="str">
        <f>VLOOKUP(revtar_inc_aecc_CELTINS[[#This Row],[CODIGO]],H:M,5,)</f>
        <v>correção luan/ruben</v>
      </c>
      <c r="H49" s="16">
        <v>5900085007</v>
      </c>
      <c r="I49" s="2">
        <v>59</v>
      </c>
      <c r="J49" s="3">
        <v>44852</v>
      </c>
      <c r="K49" s="3">
        <v>45449</v>
      </c>
      <c r="L49" s="49" t="s">
        <v>83</v>
      </c>
      <c r="M49" s="17">
        <v>45450</v>
      </c>
    </row>
    <row r="50" spans="2:13" customFormat="1" x14ac:dyDescent="0.25">
      <c r="B50" s="2">
        <v>5904192001</v>
      </c>
      <c r="C50" s="2">
        <v>59</v>
      </c>
      <c r="D50" s="3">
        <v>44553</v>
      </c>
      <c r="E50" s="3">
        <v>45449</v>
      </c>
      <c r="F50" s="6" t="str">
        <f>VLOOKUP(revtar_inc_aecc_CELTINS[[#This Row],[CODIGO]],H:M,5,)</f>
        <v>correção luan/ruben</v>
      </c>
      <c r="H50" s="16">
        <v>5930902068</v>
      </c>
      <c r="I50" s="2">
        <v>59</v>
      </c>
      <c r="J50" s="3">
        <v>44574</v>
      </c>
      <c r="K50" s="3">
        <v>45449</v>
      </c>
      <c r="L50" s="49" t="s">
        <v>83</v>
      </c>
      <c r="M50" s="17">
        <v>45450</v>
      </c>
    </row>
    <row r="51" spans="2:13" customFormat="1" x14ac:dyDescent="0.25">
      <c r="B51" s="2">
        <v>5926799122</v>
      </c>
      <c r="C51" s="2">
        <v>59</v>
      </c>
      <c r="D51" s="3">
        <v>44641</v>
      </c>
      <c r="E51" s="3">
        <v>45450</v>
      </c>
      <c r="F51" s="6" t="str">
        <f>VLOOKUP(revtar_inc_aecc_CELTINS[[#This Row],[CODIGO]],H:M,5,)</f>
        <v>correção luan/ruben</v>
      </c>
      <c r="H51" s="16">
        <v>5900037037</v>
      </c>
      <c r="I51" s="2">
        <v>59</v>
      </c>
      <c r="J51" s="3">
        <v>44831</v>
      </c>
      <c r="K51" s="3">
        <v>45449</v>
      </c>
      <c r="L51" s="49" t="s">
        <v>83</v>
      </c>
      <c r="M51" s="17">
        <v>45450</v>
      </c>
    </row>
    <row r="52" spans="2:13" customFormat="1" x14ac:dyDescent="0.25">
      <c r="B52" s="2">
        <v>5900208001</v>
      </c>
      <c r="C52" s="2">
        <v>59</v>
      </c>
      <c r="D52" s="3">
        <v>44576</v>
      </c>
      <c r="E52" s="3">
        <v>45450</v>
      </c>
      <c r="F52" s="6" t="str">
        <f>VLOOKUP(revtar_inc_aecc_CELTINS[[#This Row],[CODIGO]],H:M,5,)</f>
        <v>correção luan/ruben</v>
      </c>
      <c r="H52" s="16">
        <v>5900041002</v>
      </c>
      <c r="I52" s="2">
        <v>59</v>
      </c>
      <c r="J52" s="3">
        <v>44834</v>
      </c>
      <c r="K52" s="3">
        <v>45449</v>
      </c>
      <c r="L52" s="49" t="s">
        <v>83</v>
      </c>
      <c r="M52" s="17">
        <v>45450</v>
      </c>
    </row>
    <row r="53" spans="2:13" customFormat="1" x14ac:dyDescent="0.25">
      <c r="B53" s="2">
        <v>5900161013</v>
      </c>
      <c r="C53" s="2">
        <v>59</v>
      </c>
      <c r="D53" s="3">
        <v>44642</v>
      </c>
      <c r="E53" s="3">
        <v>45450</v>
      </c>
      <c r="F53" s="6" t="str">
        <f>VLOOKUP(revtar_inc_aecc_CELTINS[[#This Row],[CODIGO]],H:M,5,)</f>
        <v>correção luan/ruben</v>
      </c>
      <c r="H53" s="16">
        <v>5900263050</v>
      </c>
      <c r="I53" s="2">
        <v>59</v>
      </c>
      <c r="J53" s="3">
        <v>44831</v>
      </c>
      <c r="K53" s="3">
        <v>45449</v>
      </c>
      <c r="L53" s="6" t="s">
        <v>83</v>
      </c>
      <c r="M53" s="17">
        <v>45450</v>
      </c>
    </row>
    <row r="54" spans="2:13" customFormat="1" x14ac:dyDescent="0.25">
      <c r="B54" s="2">
        <v>5941534122</v>
      </c>
      <c r="C54" s="2">
        <v>59</v>
      </c>
      <c r="D54" s="3">
        <v>44632</v>
      </c>
      <c r="E54" s="3">
        <v>45450</v>
      </c>
      <c r="F54" s="6" t="str">
        <f>VLOOKUP(revtar_inc_aecc_CELTINS[[#This Row],[CODIGO]],H:M,5,)</f>
        <v>correção luan/ruben</v>
      </c>
      <c r="H54" s="16">
        <v>5930560028</v>
      </c>
      <c r="I54" s="2">
        <v>59</v>
      </c>
      <c r="J54" s="3">
        <v>44553</v>
      </c>
      <c r="K54" s="3">
        <v>45449</v>
      </c>
      <c r="L54" s="6" t="s">
        <v>83</v>
      </c>
      <c r="M54" s="17">
        <v>45450</v>
      </c>
    </row>
    <row r="55" spans="2:13" customFormat="1" x14ac:dyDescent="0.25">
      <c r="B55" s="2">
        <v>5900785076</v>
      </c>
      <c r="C55" s="2">
        <v>59</v>
      </c>
      <c r="D55" s="3">
        <v>44831</v>
      </c>
      <c r="E55" s="3">
        <v>45451</v>
      </c>
      <c r="F55" s="6" t="str">
        <f>VLOOKUP(revtar_inc_aecc_CELTINS[[#This Row],[CODIGO]],H:M,5,)</f>
        <v>correção luan/ruben</v>
      </c>
      <c r="H55" s="16">
        <v>5900074020</v>
      </c>
      <c r="I55" s="2">
        <v>59</v>
      </c>
      <c r="J55" s="3">
        <v>44562</v>
      </c>
      <c r="K55" s="3">
        <v>45449</v>
      </c>
      <c r="L55" s="6" t="s">
        <v>83</v>
      </c>
      <c r="M55" s="17">
        <v>45450</v>
      </c>
    </row>
    <row r="56" spans="2:13" customFormat="1" x14ac:dyDescent="0.25">
      <c r="B56" s="2">
        <v>5900435006</v>
      </c>
      <c r="C56" s="2">
        <v>59</v>
      </c>
      <c r="D56" s="3">
        <v>45161</v>
      </c>
      <c r="E56" s="3">
        <v>45451</v>
      </c>
      <c r="F56" s="6" t="str">
        <f>VLOOKUP(revtar_inc_aecc_CELTINS[[#This Row],[CODIGO]],H:M,5,)</f>
        <v>correção luan/ruben</v>
      </c>
      <c r="H56" s="16">
        <v>5900113039</v>
      </c>
      <c r="I56" s="2">
        <v>59</v>
      </c>
      <c r="J56" s="3">
        <v>44870</v>
      </c>
      <c r="K56" s="3">
        <v>45449</v>
      </c>
      <c r="L56" s="6" t="s">
        <v>83</v>
      </c>
      <c r="M56" s="17">
        <v>45450</v>
      </c>
    </row>
    <row r="57" spans="2:13" customFormat="1" x14ac:dyDescent="0.25">
      <c r="B57" s="2">
        <v>5900038091</v>
      </c>
      <c r="C57" s="2">
        <v>59</v>
      </c>
      <c r="D57" s="3">
        <v>44565</v>
      </c>
      <c r="E57" s="3">
        <v>45451</v>
      </c>
      <c r="F57" s="6" t="str">
        <f>VLOOKUP(revtar_inc_aecc_CELTINS[[#This Row],[CODIGO]],H:M,5,)</f>
        <v>correção luan/ruben</v>
      </c>
      <c r="H57" s="16">
        <v>5930542005</v>
      </c>
      <c r="I57" s="2">
        <v>59</v>
      </c>
      <c r="J57" s="3">
        <v>44613</v>
      </c>
      <c r="K57" s="3">
        <v>45449</v>
      </c>
      <c r="L57" s="6" t="s">
        <v>83</v>
      </c>
      <c r="M57" s="17">
        <v>45450</v>
      </c>
    </row>
    <row r="58" spans="2:13" customFormat="1" x14ac:dyDescent="0.25">
      <c r="B58" s="2">
        <v>5900073015</v>
      </c>
      <c r="C58" s="2">
        <v>59</v>
      </c>
      <c r="D58" s="3">
        <v>44614</v>
      </c>
      <c r="E58" s="3">
        <v>45451</v>
      </c>
      <c r="F58" s="6" t="str">
        <f>VLOOKUP(revtar_inc_aecc_CELTINS[[#This Row],[CODIGO]],H:M,5,)</f>
        <v>correção luan/ruben</v>
      </c>
      <c r="H58" s="16">
        <v>5900037005</v>
      </c>
      <c r="I58" s="2">
        <v>59</v>
      </c>
      <c r="J58" s="3">
        <v>44613</v>
      </c>
      <c r="K58" s="3">
        <v>45449</v>
      </c>
      <c r="L58" s="6" t="s">
        <v>83</v>
      </c>
      <c r="M58" s="17">
        <v>45450</v>
      </c>
    </row>
    <row r="59" spans="2:13" customFormat="1" x14ac:dyDescent="0.25">
      <c r="B59" s="2">
        <v>5900119013</v>
      </c>
      <c r="C59" s="2">
        <v>59</v>
      </c>
      <c r="D59" s="3">
        <v>44833</v>
      </c>
      <c r="E59" s="3">
        <v>45451</v>
      </c>
      <c r="F59" s="6" t="str">
        <f>VLOOKUP(revtar_inc_aecc_CELTINS[[#This Row],[CODIGO]],H:M,5,)</f>
        <v>correção luan/ruben</v>
      </c>
      <c r="H59" s="16">
        <v>5900622016</v>
      </c>
      <c r="I59" s="2">
        <v>59</v>
      </c>
      <c r="J59" s="3">
        <v>44628</v>
      </c>
      <c r="K59" s="3">
        <v>45449</v>
      </c>
      <c r="L59" s="6" t="s">
        <v>83</v>
      </c>
      <c r="M59" s="17">
        <v>45450</v>
      </c>
    </row>
    <row r="60" spans="2:13" customFormat="1" x14ac:dyDescent="0.25">
      <c r="B60" s="2">
        <v>5900020074</v>
      </c>
      <c r="C60" s="2">
        <v>59</v>
      </c>
      <c r="D60" s="3">
        <v>44566</v>
      </c>
      <c r="E60" s="3">
        <v>45451</v>
      </c>
      <c r="F60" s="6" t="str">
        <f>VLOOKUP(revtar_inc_aecc_CELTINS[[#This Row],[CODIGO]],H:M,5,)</f>
        <v>correção luan/ruben</v>
      </c>
      <c r="H60" s="16">
        <v>5904192001</v>
      </c>
      <c r="I60" s="2">
        <v>59</v>
      </c>
      <c r="J60" s="3">
        <v>44553</v>
      </c>
      <c r="K60" s="3">
        <v>45449</v>
      </c>
      <c r="L60" s="6" t="s">
        <v>83</v>
      </c>
      <c r="M60" s="17">
        <v>45450</v>
      </c>
    </row>
    <row r="61" spans="2:13" customFormat="1" x14ac:dyDescent="0.25">
      <c r="B61" s="2">
        <v>5923670090</v>
      </c>
      <c r="C61" s="2">
        <v>59</v>
      </c>
      <c r="D61" s="3">
        <v>44566</v>
      </c>
      <c r="E61" s="3">
        <v>45451</v>
      </c>
      <c r="F61" s="6" t="str">
        <f>VLOOKUP(revtar_inc_aecc_CELTINS[[#This Row],[CODIGO]],H:M,5,)</f>
        <v>correção luan/ruben</v>
      </c>
      <c r="H61" s="16">
        <v>5900115009</v>
      </c>
      <c r="I61" s="2">
        <v>59</v>
      </c>
      <c r="J61" s="3">
        <v>44855</v>
      </c>
      <c r="K61" s="3">
        <v>45449</v>
      </c>
      <c r="L61" s="6" t="s">
        <v>83</v>
      </c>
      <c r="M61" s="17">
        <v>45450</v>
      </c>
    </row>
    <row r="62" spans="2:13" customFormat="1" x14ac:dyDescent="0.25">
      <c r="B62" s="2">
        <v>5900066013</v>
      </c>
      <c r="C62" s="2">
        <v>59</v>
      </c>
      <c r="D62" s="3">
        <v>44626</v>
      </c>
      <c r="E62" s="3">
        <v>45452</v>
      </c>
      <c r="F62" s="6" t="str">
        <f>VLOOKUP(revtar_inc_aecc_CELTINS[[#This Row],[CODIGO]],H:M,5,)</f>
        <v>correção luan/ruben</v>
      </c>
      <c r="H62" s="16">
        <v>5922994039</v>
      </c>
      <c r="I62" s="2">
        <v>59</v>
      </c>
      <c r="J62" s="3">
        <v>44637</v>
      </c>
      <c r="K62" s="3">
        <v>45449</v>
      </c>
      <c r="L62" s="6" t="s">
        <v>83</v>
      </c>
      <c r="M62" s="17">
        <v>45450</v>
      </c>
    </row>
    <row r="63" spans="2:13" customFormat="1" x14ac:dyDescent="0.25">
      <c r="B63" s="2">
        <v>5946862122</v>
      </c>
      <c r="C63" s="2">
        <v>59</v>
      </c>
      <c r="D63" s="3">
        <v>45147</v>
      </c>
      <c r="E63" s="3">
        <v>45453</v>
      </c>
      <c r="F63" s="6" t="str">
        <f>VLOOKUP(revtar_inc_aecc_CELTINS[[#This Row],[CODIGO]],H:M,5,)</f>
        <v>correção luan/ruben</v>
      </c>
      <c r="H63" s="16">
        <v>5936329013</v>
      </c>
      <c r="I63" s="2">
        <v>59</v>
      </c>
      <c r="J63" s="3">
        <v>44569</v>
      </c>
      <c r="K63" s="3">
        <v>45449</v>
      </c>
      <c r="L63" s="6" t="s">
        <v>83</v>
      </c>
      <c r="M63" s="17">
        <v>45450</v>
      </c>
    </row>
    <row r="64" spans="2:13" customFormat="1" x14ac:dyDescent="0.25">
      <c r="B64" s="2">
        <v>5900051023</v>
      </c>
      <c r="C64" s="2">
        <v>59</v>
      </c>
      <c r="D64" s="3">
        <v>44831</v>
      </c>
      <c r="E64" s="3">
        <v>45453</v>
      </c>
      <c r="F64" s="6" t="str">
        <f>VLOOKUP(revtar_inc_aecc_CELTINS[[#This Row],[CODIGO]],H:M,5,)</f>
        <v>correção luan/ruben</v>
      </c>
      <c r="H64" s="16">
        <v>5921041034</v>
      </c>
      <c r="I64" s="2">
        <v>59</v>
      </c>
      <c r="J64" s="3">
        <v>44831</v>
      </c>
      <c r="K64" s="3">
        <v>45449</v>
      </c>
      <c r="L64" s="6" t="s">
        <v>83</v>
      </c>
      <c r="M64" s="17">
        <v>45450</v>
      </c>
    </row>
    <row r="65" spans="2:13" customFormat="1" x14ac:dyDescent="0.25">
      <c r="B65" s="2">
        <v>5946863122</v>
      </c>
      <c r="C65" s="2">
        <v>59</v>
      </c>
      <c r="D65" s="3">
        <v>45147</v>
      </c>
      <c r="E65" s="3">
        <v>45453</v>
      </c>
      <c r="F65" s="6" t="str">
        <f>VLOOKUP(revtar_inc_aecc_CELTINS[[#This Row],[CODIGO]],H:M,5,)</f>
        <v>correção luan/ruben</v>
      </c>
      <c r="H65" s="16">
        <v>5900004261</v>
      </c>
      <c r="I65" s="2">
        <v>59</v>
      </c>
      <c r="J65" s="3">
        <v>44624</v>
      </c>
      <c r="K65" s="3">
        <v>45449</v>
      </c>
      <c r="L65" s="6" t="s">
        <v>83</v>
      </c>
      <c r="M65" s="17">
        <v>45450</v>
      </c>
    </row>
    <row r="66" spans="2:13" customFormat="1" x14ac:dyDescent="0.25">
      <c r="B66" s="2">
        <v>5948168002</v>
      </c>
      <c r="C66" s="2">
        <v>59</v>
      </c>
      <c r="D66" s="3">
        <v>45454</v>
      </c>
      <c r="E66" s="3">
        <v>45454</v>
      </c>
      <c r="F66" s="6" t="str">
        <f>VLOOKUP(revtar_inc_aecc_CELTINS[[#This Row],[CODIGO]],H:M,5,)</f>
        <v>ETO-PROT207/2024</v>
      </c>
      <c r="H66" s="16">
        <v>5925121016</v>
      </c>
      <c r="I66" s="2">
        <v>59</v>
      </c>
      <c r="J66" s="3">
        <v>44628</v>
      </c>
      <c r="K66" s="3">
        <v>45449</v>
      </c>
      <c r="L66" s="6" t="s">
        <v>83</v>
      </c>
      <c r="M66" s="17">
        <v>45450</v>
      </c>
    </row>
    <row r="67" spans="2:13" customFormat="1" x14ac:dyDescent="0.25">
      <c r="B67" s="2">
        <v>5900003013</v>
      </c>
      <c r="C67" s="2">
        <v>59</v>
      </c>
      <c r="D67" s="3">
        <v>44643</v>
      </c>
      <c r="E67" s="3">
        <v>45457</v>
      </c>
      <c r="F67" s="6" t="str">
        <f>VLOOKUP(revtar_inc_aecc_CELTINS[[#This Row],[CODIGO]],H:M,5,)</f>
        <v>correção</v>
      </c>
      <c r="H67" s="16">
        <v>5925557008</v>
      </c>
      <c r="I67" s="2">
        <v>59</v>
      </c>
      <c r="J67" s="3">
        <v>44630</v>
      </c>
      <c r="K67" s="3">
        <v>45449</v>
      </c>
      <c r="L67" s="6" t="s">
        <v>83</v>
      </c>
      <c r="M67" s="17">
        <v>45450</v>
      </c>
    </row>
    <row r="68" spans="2:13" customFormat="1" x14ac:dyDescent="0.25">
      <c r="B68" s="2">
        <v>5952242122</v>
      </c>
      <c r="C68" s="2">
        <v>59</v>
      </c>
      <c r="D68" s="3">
        <v>45218</v>
      </c>
      <c r="E68" s="3">
        <v>45467</v>
      </c>
      <c r="F68" s="6" t="str">
        <f>VLOOKUP(revtar_inc_aecc_CELTINS[[#This Row],[CODIGO]],H:M,5,)</f>
        <v>ETO-PROT271/2023</v>
      </c>
      <c r="H68" s="16">
        <v>5926799122</v>
      </c>
      <c r="I68" s="2">
        <v>59</v>
      </c>
      <c r="J68" s="3">
        <v>44641</v>
      </c>
      <c r="K68" s="3">
        <v>45450</v>
      </c>
      <c r="L68" s="6" t="s">
        <v>83</v>
      </c>
      <c r="M68" s="17">
        <v>45450</v>
      </c>
    </row>
    <row r="69" spans="2:13" customFormat="1" x14ac:dyDescent="0.25">
      <c r="B69" s="2">
        <v>5952248122</v>
      </c>
      <c r="C69" s="2">
        <v>59</v>
      </c>
      <c r="D69" s="3">
        <v>45218</v>
      </c>
      <c r="E69" s="3">
        <v>45467</v>
      </c>
      <c r="F69" s="6" t="str">
        <f>VLOOKUP(revtar_inc_aecc_CELTINS[[#This Row],[CODIGO]],H:M,5,)</f>
        <v>ETO-PROT272/2023</v>
      </c>
      <c r="H69" s="16">
        <v>5900872122</v>
      </c>
      <c r="I69" s="2">
        <v>59</v>
      </c>
      <c r="J69" s="3">
        <v>44553</v>
      </c>
      <c r="K69" s="3">
        <v>45450</v>
      </c>
      <c r="L69" s="6" t="s">
        <v>83</v>
      </c>
      <c r="M69" s="17">
        <v>45450</v>
      </c>
    </row>
    <row r="70" spans="2:13" customFormat="1" x14ac:dyDescent="0.25">
      <c r="B70" s="2">
        <v>5903718004</v>
      </c>
      <c r="C70" s="2">
        <v>59</v>
      </c>
      <c r="D70" s="3">
        <v>45483</v>
      </c>
      <c r="E70" s="3">
        <v>45483</v>
      </c>
      <c r="F70" s="6" t="str">
        <f>VLOOKUP(revtar_inc_aecc_CELTINS[[#This Row],[CODIGO]],H:M,5,)</f>
        <v>AJUSTE AL</v>
      </c>
      <c r="H70" s="16">
        <v>5900208001</v>
      </c>
      <c r="I70" s="2">
        <v>59</v>
      </c>
      <c r="J70" s="3">
        <v>44576</v>
      </c>
      <c r="K70" s="3">
        <v>45450</v>
      </c>
      <c r="L70" s="6" t="s">
        <v>83</v>
      </c>
      <c r="M70" s="17">
        <v>45450</v>
      </c>
    </row>
    <row r="71" spans="2:13" customFormat="1" x14ac:dyDescent="0.25">
      <c r="B71" s="2">
        <v>5900115009</v>
      </c>
      <c r="C71" s="2">
        <v>59</v>
      </c>
      <c r="D71" s="3">
        <v>44855</v>
      </c>
      <c r="E71" s="3">
        <v>45511</v>
      </c>
      <c r="F71" s="6" t="str">
        <f>VLOOKUP(revtar_inc_aecc_CELTINS[[#This Row],[CODIGO]],H:M,5,)</f>
        <v>correção luan/ruben</v>
      </c>
      <c r="H71" s="16">
        <v>5941534122</v>
      </c>
      <c r="I71" s="2">
        <v>59</v>
      </c>
      <c r="J71" s="3">
        <v>44632</v>
      </c>
      <c r="K71" s="3">
        <v>45450</v>
      </c>
      <c r="L71" s="6" t="s">
        <v>83</v>
      </c>
      <c r="M71" s="17">
        <v>45450</v>
      </c>
    </row>
    <row r="72" spans="2:13" customFormat="1" x14ac:dyDescent="0.25">
      <c r="B72" s="2">
        <v>5955192004</v>
      </c>
      <c r="C72" s="2">
        <v>59</v>
      </c>
      <c r="D72" s="3">
        <v>45540</v>
      </c>
      <c r="E72" s="3">
        <v>45545</v>
      </c>
      <c r="F72" s="6" t="str">
        <f>VLOOKUP(revtar_inc_aecc_CELTINS[[#This Row],[CODIGO]],H:M,5,)</f>
        <v>ETO-PROT183/2024</v>
      </c>
      <c r="H72" s="16">
        <v>5913315004</v>
      </c>
      <c r="I72" s="2">
        <v>59</v>
      </c>
      <c r="J72" s="3">
        <v>44637</v>
      </c>
      <c r="K72" s="3">
        <v>45450</v>
      </c>
      <c r="L72" s="6" t="s">
        <v>83</v>
      </c>
      <c r="M72" s="17">
        <v>45450</v>
      </c>
    </row>
    <row r="73" spans="2:13" customFormat="1" x14ac:dyDescent="0.25">
      <c r="B73" s="2">
        <v>5900090122</v>
      </c>
      <c r="C73" s="2">
        <v>59</v>
      </c>
      <c r="D73" s="3">
        <v>44833</v>
      </c>
      <c r="E73" s="3">
        <v>45548</v>
      </c>
      <c r="F73" s="6" t="str">
        <f>VLOOKUP(revtar_inc_aecc_CELTINS[[#This Row],[CODIGO]],H:M,5,)</f>
        <v>correção luan/ruben</v>
      </c>
      <c r="H73" s="16">
        <v>5900109059</v>
      </c>
      <c r="I73" s="2">
        <v>59</v>
      </c>
      <c r="J73" s="3">
        <v>44855</v>
      </c>
      <c r="K73" s="3">
        <v>45450</v>
      </c>
      <c r="L73" s="6" t="s">
        <v>83</v>
      </c>
      <c r="M73" s="17">
        <v>45450</v>
      </c>
    </row>
    <row r="74" spans="2:13" customFormat="1" x14ac:dyDescent="0.25">
      <c r="B74" s="2">
        <v>5900344122</v>
      </c>
      <c r="C74" s="2">
        <v>59</v>
      </c>
      <c r="D74" s="3">
        <v>44641</v>
      </c>
      <c r="E74" s="3">
        <v>45548</v>
      </c>
      <c r="F74" s="6" t="str">
        <f>VLOOKUP(revtar_inc_aecc_CELTINS[[#This Row],[CODIGO]],H:M,5,)</f>
        <v>correção luan/ruben</v>
      </c>
      <c r="H74" s="16">
        <v>5900161013</v>
      </c>
      <c r="I74" s="2">
        <v>59</v>
      </c>
      <c r="J74" s="3">
        <v>44642</v>
      </c>
      <c r="K74" s="3">
        <v>45450</v>
      </c>
      <c r="L74" s="6" t="s">
        <v>83</v>
      </c>
      <c r="M74" s="17">
        <v>45450</v>
      </c>
    </row>
    <row r="75" spans="2:13" customFormat="1" x14ac:dyDescent="0.25">
      <c r="B75" s="2">
        <v>5900326004</v>
      </c>
      <c r="C75" s="2">
        <v>59</v>
      </c>
      <c r="D75" s="3">
        <v>44567</v>
      </c>
      <c r="E75" s="3">
        <v>45548</v>
      </c>
      <c r="F75" s="6" t="str">
        <f>VLOOKUP(revtar_inc_aecc_CELTINS[[#This Row],[CODIGO]],H:M,5,)</f>
        <v>correção luan/ruben</v>
      </c>
      <c r="H75" s="16">
        <v>5900364003</v>
      </c>
      <c r="I75" s="2">
        <v>59</v>
      </c>
      <c r="J75" s="3">
        <v>44624</v>
      </c>
      <c r="K75" s="3">
        <v>45450</v>
      </c>
      <c r="L75" s="6" t="s">
        <v>83</v>
      </c>
      <c r="M75" s="17">
        <v>45461</v>
      </c>
    </row>
    <row r="76" spans="2:13" customFormat="1" x14ac:dyDescent="0.25">
      <c r="B76" s="2">
        <v>5925552122</v>
      </c>
      <c r="C76" s="2">
        <v>59</v>
      </c>
      <c r="D76" s="3">
        <v>44855</v>
      </c>
      <c r="E76" s="3">
        <v>45548</v>
      </c>
      <c r="F76" s="6" t="str">
        <f>VLOOKUP(revtar_inc_aecc_CELTINS[[#This Row],[CODIGO]],H:M,5,)</f>
        <v>fiscal não encontrado</v>
      </c>
      <c r="H76" s="16">
        <v>5900785076</v>
      </c>
      <c r="I76" s="2">
        <v>59</v>
      </c>
      <c r="J76" s="3">
        <v>44831</v>
      </c>
      <c r="K76" s="3">
        <v>45451</v>
      </c>
      <c r="L76" s="6" t="s">
        <v>83</v>
      </c>
      <c r="M76" s="17">
        <v>45461</v>
      </c>
    </row>
    <row r="77" spans="2:13" customFormat="1" x14ac:dyDescent="0.25">
      <c r="B77" s="2">
        <v>5900470004</v>
      </c>
      <c r="C77" s="2">
        <v>59</v>
      </c>
      <c r="D77" s="3">
        <v>44850</v>
      </c>
      <c r="E77" s="3">
        <v>45548</v>
      </c>
      <c r="F77" s="6" t="str">
        <f>VLOOKUP(revtar_inc_aecc_CELTINS[[#This Row],[CODIGO]],H:M,5,)</f>
        <v>correção luan/ruben</v>
      </c>
      <c r="H77" s="16">
        <v>5900871122</v>
      </c>
      <c r="I77" s="2">
        <v>59</v>
      </c>
      <c r="J77" s="3">
        <v>44553</v>
      </c>
      <c r="K77" s="3">
        <v>45451</v>
      </c>
      <c r="L77" s="6" t="s">
        <v>83</v>
      </c>
      <c r="M77" s="17">
        <v>45461</v>
      </c>
    </row>
    <row r="78" spans="2:13" customFormat="1" x14ac:dyDescent="0.25">
      <c r="B78" s="2">
        <v>5900358003</v>
      </c>
      <c r="C78" s="2">
        <v>59</v>
      </c>
      <c r="D78" s="3">
        <v>44624</v>
      </c>
      <c r="E78" s="3">
        <v>45548</v>
      </c>
      <c r="F78" s="6" t="str">
        <f>VLOOKUP(revtar_inc_aecc_CELTINS[[#This Row],[CODIGO]],H:M,5,)</f>
        <v>correção luan/ruben</v>
      </c>
      <c r="H78" s="16">
        <v>5900119013</v>
      </c>
      <c r="I78" s="2">
        <v>59</v>
      </c>
      <c r="J78" s="3">
        <v>44833</v>
      </c>
      <c r="K78" s="3">
        <v>45451</v>
      </c>
      <c r="L78" s="6" t="s">
        <v>83</v>
      </c>
      <c r="M78" s="17">
        <v>45461</v>
      </c>
    </row>
    <row r="79" spans="2:13" customFormat="1" x14ac:dyDescent="0.25">
      <c r="B79" s="2">
        <v>5927008122</v>
      </c>
      <c r="C79" s="2">
        <v>59</v>
      </c>
      <c r="D79" s="3">
        <v>44629</v>
      </c>
      <c r="E79" s="3">
        <v>45548</v>
      </c>
      <c r="F79" s="6" t="str">
        <f>VLOOKUP(revtar_inc_aecc_CELTINS[[#This Row],[CODIGO]],H:M,5,)</f>
        <v>correção luan/ruben</v>
      </c>
      <c r="H79" s="16">
        <v>5923670090</v>
      </c>
      <c r="I79" s="2">
        <v>59</v>
      </c>
      <c r="J79" s="3">
        <v>44566</v>
      </c>
      <c r="K79" s="3">
        <v>45451</v>
      </c>
      <c r="L79" s="6" t="s">
        <v>83</v>
      </c>
      <c r="M79" s="17">
        <v>45461</v>
      </c>
    </row>
    <row r="80" spans="2:13" customFormat="1" x14ac:dyDescent="0.25">
      <c r="B80" s="2">
        <v>5900176003</v>
      </c>
      <c r="C80" s="2">
        <v>59</v>
      </c>
      <c r="D80" s="3">
        <v>44838</v>
      </c>
      <c r="E80" s="3">
        <v>45548</v>
      </c>
      <c r="F80" s="6" t="str">
        <f>VLOOKUP(revtar_inc_aecc_CELTINS[[#This Row],[CODIGO]],H:M,5,)</f>
        <v>correção luan/ruben</v>
      </c>
      <c r="H80" s="16">
        <v>5900020074</v>
      </c>
      <c r="I80" s="2">
        <v>59</v>
      </c>
      <c r="J80" s="3">
        <v>44566</v>
      </c>
      <c r="K80" s="3">
        <v>45451</v>
      </c>
      <c r="L80" s="6" t="s">
        <v>83</v>
      </c>
      <c r="M80" s="17">
        <v>45461</v>
      </c>
    </row>
    <row r="81" spans="2:13" customFormat="1" x14ac:dyDescent="0.25">
      <c r="B81" s="2">
        <v>5900600004</v>
      </c>
      <c r="C81" s="2">
        <v>59</v>
      </c>
      <c r="D81" s="3">
        <v>44632</v>
      </c>
      <c r="E81" s="3">
        <v>45548</v>
      </c>
      <c r="F81" s="6" t="str">
        <f>VLOOKUP(revtar_inc_aecc_CELTINS[[#This Row],[CODIGO]],H:M,5,)</f>
        <v>correção luan/ruben</v>
      </c>
      <c r="H81" s="16">
        <v>5900047002</v>
      </c>
      <c r="I81" s="2">
        <v>59</v>
      </c>
      <c r="J81" s="3">
        <v>44834</v>
      </c>
      <c r="K81" s="3">
        <v>45451</v>
      </c>
      <c r="L81" s="6" t="s">
        <v>83</v>
      </c>
      <c r="M81" s="17">
        <v>45461</v>
      </c>
    </row>
    <row r="82" spans="2:13" customFormat="1" x14ac:dyDescent="0.25">
      <c r="B82" s="2">
        <v>5925321043</v>
      </c>
      <c r="C82" s="2">
        <v>59</v>
      </c>
      <c r="D82" s="3">
        <v>44902</v>
      </c>
      <c r="E82" s="3">
        <v>45548</v>
      </c>
      <c r="F82" s="6" t="str">
        <f>VLOOKUP(revtar_inc_aecc_CELTINS[[#This Row],[CODIGO]],H:M,5,)</f>
        <v>correção luan/ruben</v>
      </c>
      <c r="H82" s="16">
        <v>5900038091</v>
      </c>
      <c r="I82" s="2">
        <v>59</v>
      </c>
      <c r="J82" s="3">
        <v>44565</v>
      </c>
      <c r="K82" s="3">
        <v>45451</v>
      </c>
      <c r="L82" s="6" t="s">
        <v>83</v>
      </c>
      <c r="M82" s="17">
        <v>45461</v>
      </c>
    </row>
    <row r="83" spans="2:13" customFormat="1" x14ac:dyDescent="0.25">
      <c r="B83" s="2">
        <v>5922329001</v>
      </c>
      <c r="C83" s="2">
        <v>59</v>
      </c>
      <c r="D83" s="3">
        <v>44901</v>
      </c>
      <c r="E83" s="3">
        <v>45548</v>
      </c>
      <c r="F83" s="6" t="str">
        <f>VLOOKUP(revtar_inc_aecc_CELTINS[[#This Row],[CODIGO]],H:M,5,)</f>
        <v>correção luan/ruben</v>
      </c>
      <c r="H83" s="16">
        <v>5900073015</v>
      </c>
      <c r="I83" s="2">
        <v>59</v>
      </c>
      <c r="J83" s="3">
        <v>44614</v>
      </c>
      <c r="K83" s="3">
        <v>45451</v>
      </c>
      <c r="L83" s="6" t="s">
        <v>83</v>
      </c>
      <c r="M83" s="17">
        <v>45461</v>
      </c>
    </row>
    <row r="84" spans="2:13" customFormat="1" x14ac:dyDescent="0.25">
      <c r="B84" s="2">
        <v>5900383004</v>
      </c>
      <c r="C84" s="2">
        <v>59</v>
      </c>
      <c r="D84" s="3">
        <v>44565</v>
      </c>
      <c r="E84" s="3">
        <v>45548</v>
      </c>
      <c r="F84" s="6" t="str">
        <f>VLOOKUP(revtar_inc_aecc_CELTINS[[#This Row],[CODIGO]],H:M,5,)</f>
        <v>correção luan/ruben</v>
      </c>
      <c r="H84" s="16">
        <v>5900010002</v>
      </c>
      <c r="I84" s="2">
        <v>59</v>
      </c>
      <c r="J84" s="3">
        <v>44799</v>
      </c>
      <c r="K84" s="3">
        <v>45451</v>
      </c>
      <c r="L84" s="6" t="s">
        <v>83</v>
      </c>
      <c r="M84" s="17">
        <v>45461</v>
      </c>
    </row>
    <row r="85" spans="2:13" customFormat="1" x14ac:dyDescent="0.25">
      <c r="B85" s="2">
        <v>5900143001</v>
      </c>
      <c r="C85" s="2">
        <v>59</v>
      </c>
      <c r="D85" s="3">
        <v>44567</v>
      </c>
      <c r="E85" s="3">
        <v>45549</v>
      </c>
      <c r="F85" s="6" t="str">
        <f>VLOOKUP(revtar_inc_aecc_CELTINS[[#This Row],[CODIGO]],H:M,5,)</f>
        <v>correção luan/ruben</v>
      </c>
      <c r="H85" s="16">
        <v>5901589122</v>
      </c>
      <c r="I85" s="2">
        <v>59</v>
      </c>
      <c r="J85" s="3">
        <v>44833</v>
      </c>
      <c r="K85" s="3">
        <v>45451</v>
      </c>
      <c r="L85" s="6" t="s">
        <v>83</v>
      </c>
      <c r="M85" s="17">
        <v>45461</v>
      </c>
    </row>
    <row r="86" spans="2:13" customFormat="1" x14ac:dyDescent="0.25">
      <c r="B86" s="2">
        <v>5925237001</v>
      </c>
      <c r="C86" s="2">
        <v>59</v>
      </c>
      <c r="D86" s="3">
        <v>44567</v>
      </c>
      <c r="E86" s="3">
        <v>45549</v>
      </c>
      <c r="F86" s="6" t="str">
        <f>VLOOKUP(revtar_inc_aecc_CELTINS[[#This Row],[CODIGO]],H:M,5,)</f>
        <v>correção luan/ruben</v>
      </c>
      <c r="H86" s="16">
        <v>5900435006</v>
      </c>
      <c r="I86" s="2">
        <v>59</v>
      </c>
      <c r="J86" s="3">
        <v>45161</v>
      </c>
      <c r="K86" s="3">
        <v>45451</v>
      </c>
      <c r="L86" s="6" t="s">
        <v>83</v>
      </c>
      <c r="M86" s="17">
        <v>45461</v>
      </c>
    </row>
    <row r="87" spans="2:13" customFormat="1" x14ac:dyDescent="0.25">
      <c r="B87" s="2">
        <v>5900349001</v>
      </c>
      <c r="C87" s="2">
        <v>59</v>
      </c>
      <c r="D87" s="3">
        <v>44631</v>
      </c>
      <c r="E87" s="3">
        <v>45549</v>
      </c>
      <c r="F87" s="6" t="str">
        <f>VLOOKUP(revtar_inc_aecc_CELTINS[[#This Row],[CODIGO]],H:M,5,)</f>
        <v>correção luan/ruben</v>
      </c>
      <c r="H87" s="16">
        <v>5900038039</v>
      </c>
      <c r="I87" s="2">
        <v>59</v>
      </c>
      <c r="J87" s="3">
        <v>44632</v>
      </c>
      <c r="K87" s="3">
        <v>45451</v>
      </c>
      <c r="L87" s="6" t="s">
        <v>83</v>
      </c>
      <c r="M87" s="17">
        <v>45461</v>
      </c>
    </row>
    <row r="88" spans="2:13" customFormat="1" x14ac:dyDescent="0.25">
      <c r="B88" s="2">
        <v>5927346122</v>
      </c>
      <c r="C88" s="2">
        <v>59</v>
      </c>
      <c r="D88" s="3">
        <v>44867</v>
      </c>
      <c r="E88" s="3">
        <v>45553</v>
      </c>
      <c r="F88" s="6" t="str">
        <f>VLOOKUP(revtar_inc_aecc_CELTINS[[#This Row],[CODIGO]],H:M,5,)</f>
        <v>correção luan/ruben</v>
      </c>
      <c r="H88" s="16">
        <v>5900105013</v>
      </c>
      <c r="I88" s="2">
        <v>59</v>
      </c>
      <c r="J88" s="3">
        <v>44626</v>
      </c>
      <c r="K88" s="3">
        <v>45452</v>
      </c>
      <c r="L88" s="6" t="s">
        <v>83</v>
      </c>
      <c r="M88" s="17">
        <v>45461</v>
      </c>
    </row>
    <row r="89" spans="2:13" customFormat="1" x14ac:dyDescent="0.25">
      <c r="B89" s="2">
        <v>5925551122</v>
      </c>
      <c r="C89" s="2">
        <v>59</v>
      </c>
      <c r="D89" s="3">
        <v>44641</v>
      </c>
      <c r="E89" s="3">
        <v>45553</v>
      </c>
      <c r="F89" s="6" t="str">
        <f>VLOOKUP(revtar_inc_aecc_CELTINS[[#This Row],[CODIGO]],H:M,5,)</f>
        <v>correção luan/ruben</v>
      </c>
      <c r="H89" s="16">
        <v>5900066013</v>
      </c>
      <c r="I89" s="2">
        <v>59</v>
      </c>
      <c r="J89" s="3">
        <v>44626</v>
      </c>
      <c r="K89" s="3">
        <v>45452</v>
      </c>
      <c r="L89" s="6" t="s">
        <v>83</v>
      </c>
      <c r="M89" s="17">
        <v>45461</v>
      </c>
    </row>
    <row r="90" spans="2:13" customFormat="1" x14ac:dyDescent="0.25">
      <c r="B90" s="2">
        <v>5922328001</v>
      </c>
      <c r="C90" s="2">
        <v>59</v>
      </c>
      <c r="D90" s="3">
        <v>44855</v>
      </c>
      <c r="E90" s="3">
        <v>45574</v>
      </c>
      <c r="F90" s="6" t="str">
        <f>VLOOKUP(revtar_inc_aecc_CELTINS[[#This Row],[CODIGO]],H:M,5,)</f>
        <v>correção luan/ruben</v>
      </c>
      <c r="H90" s="16">
        <v>5946862122</v>
      </c>
      <c r="I90" s="2">
        <v>59</v>
      </c>
      <c r="J90" s="3">
        <v>45147</v>
      </c>
      <c r="K90" s="3">
        <v>45453</v>
      </c>
      <c r="L90" s="6" t="s">
        <v>83</v>
      </c>
      <c r="M90" s="17">
        <v>45461</v>
      </c>
    </row>
    <row r="91" spans="2:13" customFormat="1" x14ac:dyDescent="0.25">
      <c r="B91" s="2">
        <v>5923842001</v>
      </c>
      <c r="C91" s="2">
        <v>59</v>
      </c>
      <c r="D91" s="3">
        <v>44855</v>
      </c>
      <c r="E91" s="3">
        <v>45574</v>
      </c>
      <c r="F91" s="6" t="str">
        <f>VLOOKUP(revtar_inc_aecc_CELTINS[[#This Row],[CODIGO]],H:M,5,)</f>
        <v>correção luan/ruben</v>
      </c>
      <c r="H91" s="16">
        <v>5900051023</v>
      </c>
      <c r="I91" s="2">
        <v>59</v>
      </c>
      <c r="J91" s="3">
        <v>44831</v>
      </c>
      <c r="K91" s="3">
        <v>45453</v>
      </c>
      <c r="L91" s="6" t="s">
        <v>83</v>
      </c>
      <c r="M91" s="17">
        <v>45461</v>
      </c>
    </row>
    <row r="92" spans="2:13" customFormat="1" x14ac:dyDescent="0.25">
      <c r="B92" s="2">
        <v>5900027065</v>
      </c>
      <c r="C92" s="2">
        <v>59</v>
      </c>
      <c r="D92" s="3">
        <v>45415</v>
      </c>
      <c r="E92" s="3">
        <v>45576</v>
      </c>
      <c r="F92" s="6" t="str">
        <f>VLOOKUP(revtar_inc_aecc_CELTINS[[#This Row],[CODIGO]],H:M,5,)</f>
        <v>james gomes</v>
      </c>
      <c r="H92" s="16">
        <v>5946863122</v>
      </c>
      <c r="I92" s="2">
        <v>59</v>
      </c>
      <c r="J92" s="3">
        <v>45147</v>
      </c>
      <c r="K92" s="3">
        <v>45453</v>
      </c>
      <c r="L92" s="6" t="s">
        <v>83</v>
      </c>
      <c r="M92" s="17">
        <v>45461</v>
      </c>
    </row>
    <row r="93" spans="2:13" customFormat="1" x14ac:dyDescent="0.25">
      <c r="B93" s="2">
        <v>5901589122</v>
      </c>
      <c r="C93" s="2">
        <v>59</v>
      </c>
      <c r="D93" s="3">
        <v>44833</v>
      </c>
      <c r="E93" s="3">
        <v>45582</v>
      </c>
      <c r="F93" s="6" t="str">
        <f>VLOOKUP(revtar_inc_aecc_CELTINS[[#This Row],[CODIGO]],H:M,5,)</f>
        <v>correção luan/ruben</v>
      </c>
      <c r="H93" s="16">
        <v>5900403122</v>
      </c>
      <c r="I93" s="2">
        <v>59</v>
      </c>
      <c r="J93" s="3">
        <v>44616</v>
      </c>
      <c r="K93" s="3">
        <v>45454</v>
      </c>
      <c r="L93" s="6" t="s">
        <v>83</v>
      </c>
      <c r="M93" s="17">
        <v>45461</v>
      </c>
    </row>
    <row r="94" spans="2:13" customFormat="1" x14ac:dyDescent="0.25">
      <c r="B94" s="2">
        <v>5935743193</v>
      </c>
      <c r="C94" s="2">
        <v>59</v>
      </c>
      <c r="D94" s="3">
        <v>44687</v>
      </c>
      <c r="E94" s="3">
        <v>45589</v>
      </c>
      <c r="F94" s="6" t="str">
        <f>VLOOKUP(revtar_inc_aecc_CELTINS[[#This Row],[CODIGO]],H:M,5,)</f>
        <v>correção luan/ruben</v>
      </c>
      <c r="H94" s="16">
        <v>5948168002</v>
      </c>
      <c r="I94" s="2">
        <v>59</v>
      </c>
      <c r="J94" s="3">
        <v>45454</v>
      </c>
      <c r="K94" s="3">
        <v>45454</v>
      </c>
      <c r="L94" s="49" t="s">
        <v>155</v>
      </c>
      <c r="M94" s="17">
        <v>45502</v>
      </c>
    </row>
    <row r="95" spans="2:13" customFormat="1" x14ac:dyDescent="0.25">
      <c r="B95" s="2">
        <v>5901890060</v>
      </c>
      <c r="C95" s="2">
        <v>59</v>
      </c>
      <c r="D95" s="3">
        <v>44648</v>
      </c>
      <c r="E95" s="3">
        <v>45590</v>
      </c>
      <c r="F95" s="6" t="str">
        <f>VLOOKUP(revtar_inc_aecc_CELTINS[[#This Row],[CODIGO]],H:M,5,)</f>
        <v>correção luan/ruben</v>
      </c>
      <c r="H95" s="16">
        <v>5920693073</v>
      </c>
      <c r="I95" s="2">
        <v>59</v>
      </c>
      <c r="J95" s="3">
        <v>45188</v>
      </c>
      <c r="K95" s="3">
        <v>45458</v>
      </c>
      <c r="L95" s="6" t="s">
        <v>83</v>
      </c>
      <c r="M95" s="17">
        <v>45461</v>
      </c>
    </row>
    <row r="96" spans="2:13" customFormat="1" x14ac:dyDescent="0.25">
      <c r="B96" s="2">
        <v>5913313004</v>
      </c>
      <c r="C96" s="2">
        <v>59</v>
      </c>
      <c r="D96" s="3">
        <v>45385</v>
      </c>
      <c r="E96" s="3">
        <v>45590</v>
      </c>
      <c r="F96" s="6" t="str">
        <f>VLOOKUP(revtar_inc_aecc_CELTINS[[#This Row],[CODIGO]],H:M,5,)</f>
        <v>CORREÇAO SPEC</v>
      </c>
      <c r="G96" s="72"/>
      <c r="H96" s="16">
        <v>5952242122</v>
      </c>
      <c r="I96" s="2">
        <v>59</v>
      </c>
      <c r="J96" s="3">
        <v>45218</v>
      </c>
      <c r="K96" s="3">
        <v>45467</v>
      </c>
      <c r="L96" s="49" t="s">
        <v>114</v>
      </c>
      <c r="M96" s="17">
        <v>45471</v>
      </c>
    </row>
    <row r="97" spans="2:13" customFormat="1" x14ac:dyDescent="0.25">
      <c r="B97" s="2">
        <v>5931168013</v>
      </c>
      <c r="C97" s="2">
        <v>59</v>
      </c>
      <c r="D97" s="3">
        <v>44828</v>
      </c>
      <c r="E97" s="3">
        <v>45598</v>
      </c>
      <c r="F97" s="6" t="str">
        <f>VLOOKUP(revtar_inc_aecc_CELTINS[[#This Row],[CODIGO]],H:M,5,)</f>
        <v>correção luan/ruben</v>
      </c>
      <c r="H97" s="16">
        <v>5952248122</v>
      </c>
      <c r="I97" s="2">
        <v>59</v>
      </c>
      <c r="J97" s="3">
        <v>45218</v>
      </c>
      <c r="K97" s="3">
        <v>45467</v>
      </c>
      <c r="L97" s="49" t="s">
        <v>115</v>
      </c>
      <c r="M97" s="17">
        <v>45471</v>
      </c>
    </row>
    <row r="98" spans="2:13" customFormat="1" x14ac:dyDescent="0.25">
      <c r="B98" s="2">
        <v>5907243122</v>
      </c>
      <c r="C98" s="2">
        <v>59</v>
      </c>
      <c r="D98" s="3">
        <v>44829</v>
      </c>
      <c r="E98" s="3">
        <v>45598</v>
      </c>
      <c r="F98" s="6" t="str">
        <f>VLOOKUP(revtar_inc_aecc_CELTINS[[#This Row],[CODIGO]],H:M,5,)</f>
        <v>correção luan/ruben</v>
      </c>
      <c r="H98" s="16">
        <v>5900082004</v>
      </c>
      <c r="I98" s="2">
        <v>59</v>
      </c>
      <c r="J98" s="3">
        <v>44614</v>
      </c>
      <c r="K98" s="3">
        <v>45472</v>
      </c>
      <c r="L98" s="49" t="s">
        <v>116</v>
      </c>
      <c r="M98" s="17">
        <v>45476</v>
      </c>
    </row>
    <row r="99" spans="2:13" customFormat="1" x14ac:dyDescent="0.25">
      <c r="B99" s="2">
        <v>5924849004</v>
      </c>
      <c r="C99" s="2">
        <v>59</v>
      </c>
      <c r="D99" s="3">
        <v>45184</v>
      </c>
      <c r="E99" s="3">
        <v>45599</v>
      </c>
      <c r="F99" s="6" t="str">
        <f>VLOOKUP(revtar_inc_aecc_CELTINS[[#This Row],[CODIGO]],H:M,5,)</f>
        <v>correção luan/ruben</v>
      </c>
      <c r="H99" s="71">
        <v>5955192004</v>
      </c>
      <c r="I99" s="2">
        <v>59</v>
      </c>
      <c r="J99" s="3">
        <v>45476</v>
      </c>
      <c r="K99" s="3">
        <v>45476</v>
      </c>
      <c r="L99" s="49" t="s">
        <v>134</v>
      </c>
      <c r="M99" s="17">
        <v>45482</v>
      </c>
    </row>
    <row r="100" spans="2:13" customFormat="1" x14ac:dyDescent="0.25">
      <c r="B100" s="2">
        <v>5904193001</v>
      </c>
      <c r="C100" s="2">
        <v>59</v>
      </c>
      <c r="D100" s="3">
        <v>44833</v>
      </c>
      <c r="E100" s="3">
        <v>45603</v>
      </c>
      <c r="F100" s="6" t="str">
        <f>VLOOKUP(revtar_inc_aecc_CELTINS[[#This Row],[CODIGO]],H:M,5,)</f>
        <v>correção luan/ruben</v>
      </c>
      <c r="H100" s="16">
        <v>5903718004</v>
      </c>
      <c r="I100" s="2">
        <v>59</v>
      </c>
      <c r="J100" s="3">
        <v>45502</v>
      </c>
      <c r="K100" s="3">
        <v>45502</v>
      </c>
      <c r="L100" s="49" t="s">
        <v>152</v>
      </c>
      <c r="M100" s="17">
        <v>45502</v>
      </c>
    </row>
    <row r="101" spans="2:13" customFormat="1" x14ac:dyDescent="0.25">
      <c r="B101" s="2">
        <v>5900871122</v>
      </c>
      <c r="C101" s="2">
        <v>59</v>
      </c>
      <c r="D101" s="3">
        <v>44553</v>
      </c>
      <c r="E101" s="3">
        <v>45610</v>
      </c>
      <c r="F101" s="6" t="str">
        <f>VLOOKUP(revtar_inc_aecc_CELTINS[[#This Row],[CODIGO]],H:M,5,)</f>
        <v>correção luan/ruben</v>
      </c>
      <c r="H101" s="16">
        <v>5900056004</v>
      </c>
      <c r="I101" s="2">
        <v>59</v>
      </c>
      <c r="J101" s="3">
        <v>45502</v>
      </c>
      <c r="K101" s="3">
        <v>45502</v>
      </c>
      <c r="L101" s="49" t="s">
        <v>153</v>
      </c>
      <c r="M101" s="17">
        <v>45502</v>
      </c>
    </row>
    <row r="102" spans="2:13" customFormat="1" x14ac:dyDescent="0.25">
      <c r="B102" s="2">
        <v>5900220023</v>
      </c>
      <c r="C102" s="2">
        <v>59</v>
      </c>
      <c r="D102" s="3">
        <v>44568</v>
      </c>
      <c r="E102" s="3">
        <v>45610</v>
      </c>
      <c r="F102" s="6" t="str">
        <f>VLOOKUP(revtar_inc_aecc_CELTINS[[#This Row],[CODIGO]],H:M,5,)</f>
        <v>correção luan/ruben</v>
      </c>
      <c r="H102" s="16">
        <v>5922361122</v>
      </c>
      <c r="I102" s="2">
        <v>59</v>
      </c>
      <c r="J102" s="3">
        <v>45537</v>
      </c>
      <c r="K102" s="3">
        <v>45537</v>
      </c>
      <c r="L102" s="6" t="s">
        <v>83</v>
      </c>
      <c r="M102" s="17">
        <v>45537</v>
      </c>
    </row>
    <row r="103" spans="2:13" customFormat="1" ht="45" x14ac:dyDescent="0.25">
      <c r="B103" s="2">
        <v>5900517071</v>
      </c>
      <c r="C103" s="2">
        <v>59</v>
      </c>
      <c r="D103" s="3">
        <v>45188</v>
      </c>
      <c r="E103" s="3">
        <v>45610</v>
      </c>
      <c r="F103" s="6" t="str">
        <f>VLOOKUP(revtar_inc_aecc_CELTINS[[#This Row],[CODIGO]],H:M,5,)</f>
        <v>correção luan/ruben</v>
      </c>
      <c r="H103" s="16">
        <v>5907244122</v>
      </c>
      <c r="I103" s="2">
        <v>59</v>
      </c>
      <c r="J103" s="3">
        <v>45537</v>
      </c>
      <c r="K103" s="3">
        <v>45537</v>
      </c>
      <c r="L103" s="49" t="s">
        <v>187</v>
      </c>
      <c r="M103" s="17">
        <v>45537</v>
      </c>
    </row>
    <row r="104" spans="2:13" customFormat="1" x14ac:dyDescent="0.25">
      <c r="B104" s="2">
        <v>5900858014</v>
      </c>
      <c r="C104" s="2">
        <v>59</v>
      </c>
      <c r="D104" s="3">
        <v>45195</v>
      </c>
      <c r="E104" s="3">
        <v>45610</v>
      </c>
      <c r="F104" s="6" t="str">
        <f>VLOOKUP(revtar_inc_aecc_CELTINS[[#This Row],[CODIGO]],H:M,5,)</f>
        <v>correção luan/ruben</v>
      </c>
      <c r="H104" s="16">
        <v>7955192004</v>
      </c>
      <c r="I104" s="2">
        <v>59</v>
      </c>
      <c r="J104" s="3">
        <v>45540</v>
      </c>
      <c r="K104" s="3">
        <v>45540</v>
      </c>
      <c r="L104" s="49" t="s">
        <v>212</v>
      </c>
      <c r="M104" s="17">
        <v>45541</v>
      </c>
    </row>
    <row r="105" spans="2:13" customFormat="1" x14ac:dyDescent="0.25">
      <c r="B105" s="2">
        <v>5900247034</v>
      </c>
      <c r="C105" s="2">
        <v>59</v>
      </c>
      <c r="D105" s="3">
        <v>45189</v>
      </c>
      <c r="E105" s="3">
        <v>45610</v>
      </c>
      <c r="F105" s="6" t="str">
        <f>VLOOKUP(revtar_inc_aecc_CELTINS[[#This Row],[CODIGO]],H:M,5,)</f>
        <v>correção luan/ruben</v>
      </c>
      <c r="H105" s="16">
        <v>5900324124</v>
      </c>
      <c r="I105" s="2">
        <v>59</v>
      </c>
      <c r="J105" s="3">
        <v>44626</v>
      </c>
      <c r="K105" s="3">
        <v>45548</v>
      </c>
      <c r="L105" s="6" t="s">
        <v>83</v>
      </c>
      <c r="M105" s="17">
        <v>45548</v>
      </c>
    </row>
    <row r="106" spans="2:13" customFormat="1" x14ac:dyDescent="0.25">
      <c r="B106" s="2">
        <v>5900364003</v>
      </c>
      <c r="C106" s="2">
        <v>59</v>
      </c>
      <c r="D106" s="3">
        <v>44624</v>
      </c>
      <c r="E106" s="3">
        <v>45610</v>
      </c>
      <c r="F106" s="6" t="str">
        <f>VLOOKUP(revtar_inc_aecc_CELTINS[[#This Row],[CODIGO]],H:M,5,)</f>
        <v>correção luan/ruben</v>
      </c>
      <c r="H106" s="16">
        <v>5900344122</v>
      </c>
      <c r="I106" s="2">
        <v>59</v>
      </c>
      <c r="J106" s="3">
        <v>44565</v>
      </c>
      <c r="K106" s="3">
        <v>45548</v>
      </c>
      <c r="L106" s="6" t="s">
        <v>83</v>
      </c>
      <c r="M106" s="17">
        <v>45548</v>
      </c>
    </row>
    <row r="107" spans="2:13" customFormat="1" x14ac:dyDescent="0.25">
      <c r="B107" s="2">
        <v>5900105013</v>
      </c>
      <c r="C107" s="2">
        <v>59</v>
      </c>
      <c r="D107" s="3">
        <v>44626</v>
      </c>
      <c r="E107" s="3">
        <v>45610</v>
      </c>
      <c r="F107" s="6" t="str">
        <f>VLOOKUP(revtar_inc_aecc_CELTINS[[#This Row],[CODIGO]],H:M,5,)</f>
        <v>correção luan/ruben</v>
      </c>
      <c r="H107" s="16">
        <v>5900383004</v>
      </c>
      <c r="I107" s="2">
        <v>59</v>
      </c>
      <c r="J107" s="3">
        <v>44565</v>
      </c>
      <c r="K107" s="3">
        <v>45548</v>
      </c>
      <c r="L107" s="6" t="s">
        <v>83</v>
      </c>
      <c r="M107" s="17">
        <v>45548</v>
      </c>
    </row>
    <row r="108" spans="2:13" customFormat="1" x14ac:dyDescent="0.25">
      <c r="B108" s="2">
        <v>5901182004</v>
      </c>
      <c r="C108" s="2">
        <v>59</v>
      </c>
      <c r="D108" s="3">
        <v>44614</v>
      </c>
      <c r="E108" s="3">
        <v>45610</v>
      </c>
      <c r="F108" s="6" t="str">
        <f>VLOOKUP(revtar_inc_aecc_CELTINS[[#This Row],[CODIGO]],H:M,5,)</f>
        <v>correção luan/ruben</v>
      </c>
      <c r="H108" s="16">
        <v>5900470004</v>
      </c>
      <c r="I108" s="2">
        <v>59</v>
      </c>
      <c r="J108" s="3">
        <v>44850</v>
      </c>
      <c r="K108" s="3">
        <v>45548</v>
      </c>
      <c r="L108" s="6" t="s">
        <v>83</v>
      </c>
      <c r="M108" s="17">
        <v>45548</v>
      </c>
    </row>
    <row r="109" spans="2:13" customFormat="1" x14ac:dyDescent="0.25">
      <c r="B109" s="2">
        <v>5900403122</v>
      </c>
      <c r="C109" s="2">
        <v>59</v>
      </c>
      <c r="D109" s="3">
        <v>44616</v>
      </c>
      <c r="E109" s="3">
        <v>45610</v>
      </c>
      <c r="F109" s="6" t="str">
        <f>VLOOKUP(revtar_inc_aecc_CELTINS[[#This Row],[CODIGO]],H:M,5,)</f>
        <v>correção luan/ruben</v>
      </c>
      <c r="H109" s="16">
        <v>5900326004</v>
      </c>
      <c r="I109" s="2">
        <v>59</v>
      </c>
      <c r="J109" s="3">
        <v>44567</v>
      </c>
      <c r="K109" s="3">
        <v>45548</v>
      </c>
      <c r="L109" s="6" t="s">
        <v>83</v>
      </c>
      <c r="M109" s="17">
        <v>45548</v>
      </c>
    </row>
    <row r="110" spans="2:13" customFormat="1" x14ac:dyDescent="0.25">
      <c r="B110" s="2">
        <v>5900047002</v>
      </c>
      <c r="C110" s="2">
        <v>59</v>
      </c>
      <c r="D110" s="3">
        <v>44834</v>
      </c>
      <c r="E110" s="3">
        <v>45610</v>
      </c>
      <c r="F110" s="6" t="str">
        <f>VLOOKUP(revtar_inc_aecc_CELTINS[[#This Row],[CODIGO]],H:M,5,)</f>
        <v>correção luan/ruben</v>
      </c>
      <c r="H110" s="16">
        <v>5925321043</v>
      </c>
      <c r="I110" s="2">
        <v>59</v>
      </c>
      <c r="J110" s="3">
        <v>44902</v>
      </c>
      <c r="K110" s="3">
        <v>45548</v>
      </c>
      <c r="L110" s="6" t="s">
        <v>83</v>
      </c>
      <c r="M110" s="17">
        <v>45548</v>
      </c>
    </row>
    <row r="111" spans="2:13" customFormat="1" x14ac:dyDescent="0.25">
      <c r="B111" s="2">
        <v>5900113039</v>
      </c>
      <c r="C111" s="2">
        <v>59</v>
      </c>
      <c r="D111" s="3">
        <v>44870</v>
      </c>
      <c r="E111" s="3">
        <v>45610</v>
      </c>
      <c r="F111" s="6" t="str">
        <f>VLOOKUP(revtar_inc_aecc_CELTINS[[#This Row],[CODIGO]],H:M,5,)</f>
        <v>correção luan/ruben</v>
      </c>
      <c r="H111" s="16">
        <v>5900668004</v>
      </c>
      <c r="I111" s="2">
        <v>59</v>
      </c>
      <c r="J111" s="3">
        <v>44630</v>
      </c>
      <c r="K111" s="3">
        <v>45548</v>
      </c>
      <c r="L111" s="6" t="s">
        <v>83</v>
      </c>
      <c r="M111" s="17">
        <v>45548</v>
      </c>
    </row>
    <row r="112" spans="2:13" customFormat="1" x14ac:dyDescent="0.25">
      <c r="B112" s="2">
        <v>5900594017</v>
      </c>
      <c r="C112" s="2">
        <v>59</v>
      </c>
      <c r="D112" s="3">
        <v>44632</v>
      </c>
      <c r="E112" s="3">
        <v>45610</v>
      </c>
      <c r="F112" s="6" t="str">
        <f>VLOOKUP(revtar_inc_aecc_CELTINS[[#This Row],[CODIGO]],H:M,5,)</f>
        <v>correção luan/ruben</v>
      </c>
      <c r="H112" s="16">
        <v>5923490003</v>
      </c>
      <c r="I112" s="2">
        <v>59</v>
      </c>
      <c r="J112" s="3">
        <v>44842</v>
      </c>
      <c r="K112" s="3">
        <v>45548</v>
      </c>
      <c r="L112" s="6" t="s">
        <v>83</v>
      </c>
      <c r="M112" s="17">
        <v>45548</v>
      </c>
    </row>
    <row r="113" spans="2:13" customFormat="1" x14ac:dyDescent="0.25">
      <c r="B113" s="2">
        <v>5900038039</v>
      </c>
      <c r="C113" s="2">
        <v>59</v>
      </c>
      <c r="D113" s="3">
        <v>44632</v>
      </c>
      <c r="E113" s="3">
        <v>45610</v>
      </c>
      <c r="F113" s="6" t="str">
        <f>VLOOKUP(revtar_inc_aecc_CELTINS[[#This Row],[CODIGO]],H:M,5,)</f>
        <v>correção luan/ruben</v>
      </c>
      <c r="H113" s="16">
        <v>5922329001</v>
      </c>
      <c r="I113" s="2">
        <v>59</v>
      </c>
      <c r="J113" s="3">
        <v>44901</v>
      </c>
      <c r="K113" s="3">
        <v>45548</v>
      </c>
      <c r="L113" s="6" t="s">
        <v>83</v>
      </c>
      <c r="M113" s="17">
        <v>45548</v>
      </c>
    </row>
    <row r="114" spans="2:13" customFormat="1" x14ac:dyDescent="0.25">
      <c r="B114" s="2">
        <v>5900043059</v>
      </c>
      <c r="C114" s="2">
        <v>59</v>
      </c>
      <c r="D114" s="3">
        <v>44597</v>
      </c>
      <c r="E114" s="3">
        <v>45615</v>
      </c>
      <c r="F114" s="6" t="str">
        <f>VLOOKUP(revtar_inc_aecc_CELTINS[[#This Row],[CODIGO]],H:M,5,)</f>
        <v>correção luan/ruben</v>
      </c>
      <c r="H114" s="16">
        <v>5900438097</v>
      </c>
      <c r="I114" s="2">
        <v>59</v>
      </c>
      <c r="J114" s="3">
        <v>44644</v>
      </c>
      <c r="K114" s="3">
        <v>45548</v>
      </c>
      <c r="L114" s="6" t="s">
        <v>83</v>
      </c>
      <c r="M114" s="17">
        <v>45548</v>
      </c>
    </row>
    <row r="115" spans="2:13" customFormat="1" x14ac:dyDescent="0.25">
      <c r="B115" s="2">
        <v>5938754023</v>
      </c>
      <c r="C115" s="2">
        <v>59</v>
      </c>
      <c r="D115" s="3">
        <v>45428</v>
      </c>
      <c r="E115" s="3">
        <v>45615</v>
      </c>
      <c r="F115" s="6" t="str">
        <f>VLOOKUP(revtar_inc_aecc_CELTINS[[#This Row],[CODIGO]],H:M,5,)</f>
        <v>correção luan/ruben</v>
      </c>
      <c r="H115" s="16">
        <v>5931168013</v>
      </c>
      <c r="I115" s="2">
        <v>59</v>
      </c>
      <c r="J115" s="3">
        <v>45559</v>
      </c>
      <c r="K115" s="3">
        <v>45548</v>
      </c>
      <c r="L115" s="6" t="s">
        <v>83</v>
      </c>
      <c r="M115" s="17">
        <v>45548</v>
      </c>
    </row>
    <row r="116" spans="2:13" customFormat="1" x14ac:dyDescent="0.25">
      <c r="B116" s="2">
        <v>5900583028</v>
      </c>
      <c r="C116" s="2">
        <v>59</v>
      </c>
      <c r="D116" s="3">
        <v>44831</v>
      </c>
      <c r="E116" s="3">
        <v>45615</v>
      </c>
      <c r="F116" s="6" t="str">
        <f>VLOOKUP(revtar_inc_aecc_CELTINS[[#This Row],[CODIGO]],H:M,5,)</f>
        <v>correção luan/ruben</v>
      </c>
      <c r="H116" s="16">
        <v>5900293123</v>
      </c>
      <c r="I116" s="2">
        <v>59</v>
      </c>
      <c r="J116" s="3">
        <v>44902</v>
      </c>
      <c r="K116" s="3">
        <v>45548</v>
      </c>
      <c r="L116" s="6" t="s">
        <v>83</v>
      </c>
      <c r="M116" s="17">
        <v>45548</v>
      </c>
    </row>
    <row r="117" spans="2:13" customFormat="1" x14ac:dyDescent="0.25">
      <c r="B117" s="2">
        <v>5924619052</v>
      </c>
      <c r="C117" s="2">
        <v>59</v>
      </c>
      <c r="D117" s="3">
        <v>44591</v>
      </c>
      <c r="E117" s="3">
        <v>45615</v>
      </c>
      <c r="F117" s="6" t="str">
        <f>VLOOKUP(revtar_inc_aecc_CELTINS[[#This Row],[CODIGO]],H:M,5,)</f>
        <v>correção luan/ruben</v>
      </c>
      <c r="H117" s="16">
        <v>5904575271</v>
      </c>
      <c r="I117" s="2">
        <v>59</v>
      </c>
      <c r="J117" s="3">
        <v>44849</v>
      </c>
      <c r="K117" s="3">
        <v>45548</v>
      </c>
      <c r="L117" s="6" t="s">
        <v>83</v>
      </c>
      <c r="M117" s="17">
        <v>45548</v>
      </c>
    </row>
    <row r="118" spans="2:13" customFormat="1" x14ac:dyDescent="0.25">
      <c r="B118" s="2">
        <v>5922361122</v>
      </c>
      <c r="C118" s="2">
        <v>59</v>
      </c>
      <c r="D118" s="3">
        <v>44908</v>
      </c>
      <c r="E118" s="3">
        <v>45625</v>
      </c>
      <c r="F118" s="6" t="str">
        <f>VLOOKUP(revtar_inc_aecc_CELTINS[[#This Row],[CODIGO]],H:M,5,)</f>
        <v>correção luan/ruben</v>
      </c>
      <c r="H118" s="16">
        <v>5901890060</v>
      </c>
      <c r="I118" s="2">
        <v>59</v>
      </c>
      <c r="J118" s="3">
        <v>44648</v>
      </c>
      <c r="K118" s="3">
        <v>45548</v>
      </c>
      <c r="L118" s="6" t="s">
        <v>83</v>
      </c>
      <c r="M118" s="17">
        <v>45548</v>
      </c>
    </row>
    <row r="119" spans="2:13" customFormat="1" x14ac:dyDescent="0.25">
      <c r="B119" s="2">
        <v>5901123038</v>
      </c>
      <c r="C119" s="2">
        <v>59</v>
      </c>
      <c r="D119" s="3">
        <v>44833</v>
      </c>
      <c r="E119" s="3">
        <v>45649</v>
      </c>
      <c r="F119" s="6" t="str">
        <f>VLOOKUP(revtar_inc_aecc_CELTINS[[#This Row],[CODIGO]],H:M,5,)</f>
        <v>correção</v>
      </c>
      <c r="H119" s="16">
        <v>5900358003</v>
      </c>
      <c r="I119" s="2">
        <v>59</v>
      </c>
      <c r="J119" s="3">
        <v>44624</v>
      </c>
      <c r="K119" s="3">
        <v>45548</v>
      </c>
      <c r="L119" s="6" t="s">
        <v>83</v>
      </c>
      <c r="M119" s="17">
        <v>45548</v>
      </c>
    </row>
    <row r="120" spans="2:13" customFormat="1" x14ac:dyDescent="0.25">
      <c r="B120" s="2">
        <v>5900473122</v>
      </c>
      <c r="C120" s="2">
        <v>59</v>
      </c>
      <c r="D120" s="3">
        <v>45653</v>
      </c>
      <c r="E120" s="3">
        <v>45653</v>
      </c>
      <c r="F120" s="6" t="str">
        <f>VLOOKUP(revtar_inc_aecc_CELTINS[[#This Row],[CODIGO]],H:M,5,)</f>
        <v>correção luan/ruben</v>
      </c>
      <c r="H120" s="16">
        <v>5900176003</v>
      </c>
      <c r="I120" s="2">
        <v>59</v>
      </c>
      <c r="J120" s="3">
        <v>44838</v>
      </c>
      <c r="K120" s="3">
        <v>45548</v>
      </c>
      <c r="L120" s="6" t="s">
        <v>83</v>
      </c>
      <c r="M120" s="17">
        <v>45548</v>
      </c>
    </row>
    <row r="121" spans="2:13" customFormat="1" x14ac:dyDescent="0.25">
      <c r="B121" s="2">
        <v>5900091003</v>
      </c>
      <c r="C121" s="2">
        <v>59</v>
      </c>
      <c r="D121" s="3">
        <v>45189</v>
      </c>
      <c r="E121" s="3">
        <v>45658</v>
      </c>
      <c r="F121" s="6" t="str">
        <f>VLOOKUP(revtar_inc_aecc_CELTINS[[#This Row],[CODIGO]],H:M,5,)</f>
        <v>correção luan/ruben</v>
      </c>
      <c r="H121" s="16">
        <v>5927008122</v>
      </c>
      <c r="I121" s="2">
        <v>59</v>
      </c>
      <c r="J121" s="3">
        <v>44629</v>
      </c>
      <c r="K121" s="3">
        <v>45548</v>
      </c>
      <c r="L121" s="6" t="s">
        <v>83</v>
      </c>
      <c r="M121" s="17">
        <v>45548</v>
      </c>
    </row>
    <row r="122" spans="2:13" customFormat="1" x14ac:dyDescent="0.25">
      <c r="B122" s="2">
        <v>5900056004</v>
      </c>
      <c r="C122" s="2">
        <v>59</v>
      </c>
      <c r="D122" s="3">
        <v>44583</v>
      </c>
      <c r="E122" s="3">
        <v>45678</v>
      </c>
      <c r="F122" s="6" t="str">
        <f>VLOOKUP(revtar_inc_aecc_CELTINS[[#This Row],[CODIGO]],H:M,5,)</f>
        <v>não necessita de SS</v>
      </c>
      <c r="H122" s="16">
        <v>5900090122</v>
      </c>
      <c r="I122" s="2">
        <v>59</v>
      </c>
      <c r="J122" s="3">
        <v>45564</v>
      </c>
      <c r="K122" s="3">
        <v>45548</v>
      </c>
      <c r="L122" s="6" t="s">
        <v>83</v>
      </c>
      <c r="M122" s="17">
        <v>45548</v>
      </c>
    </row>
    <row r="123" spans="2:13" customFormat="1" x14ac:dyDescent="0.25">
      <c r="B123" s="2">
        <v>5900082004</v>
      </c>
      <c r="C123" s="2">
        <v>59</v>
      </c>
      <c r="D123" s="3">
        <v>45479</v>
      </c>
      <c r="E123" s="3">
        <v>45678</v>
      </c>
      <c r="F123" s="6" t="str">
        <f>VLOOKUP(revtar_inc_aecc_CELTINS[[#This Row],[CODIGO]],H:M,5,)</f>
        <v>geniwalber</v>
      </c>
      <c r="H123" s="16">
        <v>5900600004</v>
      </c>
      <c r="I123" s="2">
        <v>59</v>
      </c>
      <c r="J123" s="3">
        <v>44632</v>
      </c>
      <c r="K123" s="3">
        <v>45548</v>
      </c>
      <c r="L123" s="6" t="s">
        <v>83</v>
      </c>
      <c r="M123" s="17">
        <v>45548</v>
      </c>
    </row>
    <row r="124" spans="2:13" customFormat="1" x14ac:dyDescent="0.25">
      <c r="B124" s="2">
        <v>5913315004</v>
      </c>
      <c r="C124" s="2">
        <v>59</v>
      </c>
      <c r="D124" s="3">
        <v>44637</v>
      </c>
      <c r="E124" s="3">
        <v>45702</v>
      </c>
      <c r="F124" s="6" t="str">
        <f>VLOOKUP(revtar_inc_aecc_CELTINS[[#This Row],[CODIGO]],H:M,5,)</f>
        <v>correção luan/ruben</v>
      </c>
      <c r="H124" s="16">
        <v>5900583028</v>
      </c>
      <c r="I124" s="2">
        <v>59</v>
      </c>
      <c r="J124" s="3">
        <v>44831</v>
      </c>
      <c r="K124" s="3">
        <v>45549</v>
      </c>
      <c r="L124" s="6" t="s">
        <v>83</v>
      </c>
      <c r="M124" s="17">
        <v>45549</v>
      </c>
    </row>
    <row r="125" spans="2:13" customFormat="1" x14ac:dyDescent="0.25">
      <c r="B125" s="2">
        <v>5928379045</v>
      </c>
      <c r="C125" s="2">
        <v>59</v>
      </c>
      <c r="D125" s="3">
        <v>45083</v>
      </c>
      <c r="E125" s="3">
        <v>45709</v>
      </c>
      <c r="F125" s="6" t="str">
        <f>VLOOKUP(revtar_inc_aecc_CELTINS[[#This Row],[CODIGO]],H:M,5,)</f>
        <v>ETO-PROT324/2024</v>
      </c>
      <c r="H125" s="16">
        <v>5925237001</v>
      </c>
      <c r="I125" s="2">
        <v>59</v>
      </c>
      <c r="J125" s="3">
        <v>44567</v>
      </c>
      <c r="K125" s="3">
        <v>45549</v>
      </c>
      <c r="L125" s="6" t="s">
        <v>83</v>
      </c>
      <c r="M125" s="17">
        <v>45549</v>
      </c>
    </row>
    <row r="126" spans="2:13" customFormat="1" x14ac:dyDescent="0.25">
      <c r="B126" s="2">
        <v>5900293123</v>
      </c>
      <c r="C126" s="2">
        <v>59</v>
      </c>
      <c r="D126" s="3">
        <v>44902</v>
      </c>
      <c r="E126" s="3">
        <v>45757</v>
      </c>
      <c r="F126" s="6" t="str">
        <f>VLOOKUP(revtar_inc_aecc_CELTINS[[#This Row],[CODIGO]],H:M,5,)</f>
        <v>correção luan/ruben</v>
      </c>
      <c r="H126" s="16">
        <v>5900143001</v>
      </c>
      <c r="I126" s="2">
        <v>59</v>
      </c>
      <c r="J126" s="3">
        <v>44567</v>
      </c>
      <c r="K126" s="3">
        <v>45549</v>
      </c>
      <c r="L126" s="6" t="s">
        <v>83</v>
      </c>
      <c r="M126" s="17">
        <v>45549</v>
      </c>
    </row>
    <row r="127" spans="2:13" customFormat="1" x14ac:dyDescent="0.25">
      <c r="B127" s="2">
        <v>5961774122</v>
      </c>
      <c r="C127" s="2">
        <v>59</v>
      </c>
      <c r="D127" s="3">
        <v>45764</v>
      </c>
      <c r="E127" s="3">
        <v>45764</v>
      </c>
      <c r="F127" s="6" t="str">
        <f>VLOOKUP(revtar_inc_aecc_CELTINS[[#This Row],[CODIGO]],H:M,5,)</f>
        <v>ETO-PROT 160/2025</v>
      </c>
      <c r="H127" s="16">
        <v>5900594017</v>
      </c>
      <c r="I127" s="2">
        <v>59</v>
      </c>
      <c r="J127" s="3">
        <v>44632</v>
      </c>
      <c r="K127" s="3">
        <v>45549</v>
      </c>
      <c r="L127" s="6" t="s">
        <v>83</v>
      </c>
      <c r="M127" s="17">
        <v>45549</v>
      </c>
    </row>
    <row r="128" spans="2:13" customFormat="1" x14ac:dyDescent="0.25">
      <c r="B128" s="2">
        <v>5961773122</v>
      </c>
      <c r="C128" s="2">
        <v>59</v>
      </c>
      <c r="D128" s="3">
        <v>45764</v>
      </c>
      <c r="E128" s="3">
        <v>45764</v>
      </c>
      <c r="F128" s="6" t="str">
        <f>VLOOKUP(revtar_inc_aecc_CELTINS[[#This Row],[CODIGO]],H:M,5,)</f>
        <v>ETO-PROT 162/2025</v>
      </c>
      <c r="H128" s="16">
        <v>5900349001</v>
      </c>
      <c r="I128" s="2">
        <v>59</v>
      </c>
      <c r="J128" s="3">
        <v>44631</v>
      </c>
      <c r="K128" s="3">
        <v>45549</v>
      </c>
      <c r="L128" s="6" t="s">
        <v>83</v>
      </c>
      <c r="M128" s="17">
        <v>45549</v>
      </c>
    </row>
    <row r="129" spans="2:13" customFormat="1" x14ac:dyDescent="0.25">
      <c r="B129" s="2">
        <v>5962029013</v>
      </c>
      <c r="C129" s="2">
        <v>59</v>
      </c>
      <c r="D129" s="3">
        <v>45769</v>
      </c>
      <c r="E129" s="3">
        <v>45769</v>
      </c>
      <c r="F129" s="6" t="str">
        <f>VLOOKUP(revtar_inc_aecc_CELTINS[[#This Row],[CODIGO]],H:M,5,)</f>
        <v>ETO-PROT 166/2025</v>
      </c>
      <c r="H129" s="16">
        <v>5900473122</v>
      </c>
      <c r="I129" s="2">
        <v>59</v>
      </c>
      <c r="J129" s="3">
        <v>44899</v>
      </c>
      <c r="K129" s="3">
        <v>45553</v>
      </c>
      <c r="L129" s="6" t="s">
        <v>83</v>
      </c>
      <c r="M129" s="17">
        <v>45553</v>
      </c>
    </row>
    <row r="130" spans="2:13" customFormat="1" x14ac:dyDescent="0.25">
      <c r="B130" s="2">
        <v>5953583122</v>
      </c>
      <c r="C130" s="2">
        <v>59</v>
      </c>
      <c r="D130" s="3">
        <v>45764</v>
      </c>
      <c r="E130" s="3">
        <v>45772</v>
      </c>
      <c r="F130" s="6" t="str">
        <f>VLOOKUP(revtar_inc_aecc_CELTINS[[#This Row],[CODIGO]],H:M,5,)</f>
        <v>ETO-PROT 163/2025</v>
      </c>
      <c r="H130" s="16">
        <v>5927346122</v>
      </c>
      <c r="I130" s="2">
        <v>59</v>
      </c>
      <c r="J130" s="3">
        <v>44867</v>
      </c>
      <c r="K130" s="3">
        <v>45553</v>
      </c>
      <c r="L130" s="6" t="s">
        <v>83</v>
      </c>
      <c r="M130" s="17">
        <v>45553</v>
      </c>
    </row>
    <row r="131" spans="2:13" customFormat="1" x14ac:dyDescent="0.25">
      <c r="B131" s="2">
        <v>5953586122</v>
      </c>
      <c r="C131" s="2">
        <v>59</v>
      </c>
      <c r="D131" s="3">
        <v>45764</v>
      </c>
      <c r="E131" s="3">
        <v>45772</v>
      </c>
      <c r="F131" s="6" t="str">
        <f>VLOOKUP(revtar_inc_aecc_CELTINS[[#This Row],[CODIGO]],H:M,5,)</f>
        <v>ETO-PROT 161/2025</v>
      </c>
      <c r="H131" s="16">
        <v>5900489122</v>
      </c>
      <c r="I131" s="2">
        <v>59</v>
      </c>
      <c r="J131" s="3">
        <v>45343</v>
      </c>
      <c r="K131" s="3">
        <v>45553</v>
      </c>
      <c r="L131" s="6" t="s">
        <v>83</v>
      </c>
      <c r="M131" s="17">
        <v>45553</v>
      </c>
    </row>
    <row r="132" spans="2:13" customFormat="1" x14ac:dyDescent="0.25">
      <c r="B132" s="2">
        <v>5922317001</v>
      </c>
      <c r="C132" s="2">
        <v>59</v>
      </c>
      <c r="D132" s="3">
        <v>45822</v>
      </c>
      <c r="E132" s="3">
        <v>45822</v>
      </c>
      <c r="F132" s="6" t="str">
        <f>VLOOKUP(revtar_inc_aecc_CELTINS[[#This Row],[CODIGO]],H:M,5,)</f>
        <v>AJUSTE MI 623377115</v>
      </c>
      <c r="H132" s="16">
        <v>5925551122</v>
      </c>
      <c r="I132" s="2">
        <v>59</v>
      </c>
      <c r="J132" s="3">
        <v>44641</v>
      </c>
      <c r="K132" s="3">
        <v>45553</v>
      </c>
      <c r="L132" s="6" t="s">
        <v>83</v>
      </c>
      <c r="M132" s="17">
        <v>45553</v>
      </c>
    </row>
    <row r="133" spans="2:13" customFormat="1" x14ac:dyDescent="0.25">
      <c r="B133" s="2">
        <v>5904575271</v>
      </c>
      <c r="C133" s="2">
        <v>59</v>
      </c>
      <c r="D133" s="3">
        <v>44849</v>
      </c>
      <c r="E133" s="3">
        <v>45835</v>
      </c>
      <c r="F133" s="6" t="str">
        <f>VLOOKUP(revtar_inc_aecc_CELTINS[[#This Row],[CODIGO]],H:M,5,)</f>
        <v>correção luan/ruben</v>
      </c>
      <c r="H133" s="16">
        <v>5928379045</v>
      </c>
      <c r="I133" s="2">
        <v>59</v>
      </c>
      <c r="J133" s="3">
        <v>45083</v>
      </c>
      <c r="K133" s="3">
        <v>45568</v>
      </c>
      <c r="L133" s="49" t="s">
        <v>238</v>
      </c>
      <c r="M133" s="17">
        <v>45572</v>
      </c>
    </row>
    <row r="134" spans="2:13" customFormat="1" x14ac:dyDescent="0.25">
      <c r="B134" s="2">
        <v>5902588003</v>
      </c>
      <c r="C134" s="2">
        <v>59</v>
      </c>
      <c r="D134" s="3">
        <v>45408</v>
      </c>
      <c r="E134" s="3">
        <v>45837</v>
      </c>
      <c r="F134" s="6" t="str">
        <f>VLOOKUP(revtar_inc_aecc_CELTINS[[#This Row],[CODIGO]],H:M,5,)</f>
        <v>AJUSTE MI</v>
      </c>
      <c r="H134" s="16">
        <v>5904193001</v>
      </c>
      <c r="I134" s="2">
        <v>59</v>
      </c>
      <c r="J134" s="3">
        <v>44833</v>
      </c>
      <c r="K134" s="3">
        <v>45574</v>
      </c>
      <c r="L134" s="6" t="s">
        <v>83</v>
      </c>
      <c r="M134" s="17">
        <v>45574</v>
      </c>
    </row>
    <row r="135" spans="2:13" customFormat="1" x14ac:dyDescent="0.25">
      <c r="B135" s="2">
        <v>5948602003</v>
      </c>
      <c r="C135" s="2">
        <v>59</v>
      </c>
      <c r="D135" s="3">
        <v>45281</v>
      </c>
      <c r="E135" s="3">
        <v>45837</v>
      </c>
      <c r="F135" s="6" t="str">
        <f>VLOOKUP(revtar_inc_aecc_CELTINS[[#This Row],[CODIGO]],H:M,5,)</f>
        <v>EM OPERAÇÃO</v>
      </c>
      <c r="H135" s="16">
        <v>5923842001</v>
      </c>
      <c r="I135" s="2">
        <v>59</v>
      </c>
      <c r="J135" s="3">
        <v>44855</v>
      </c>
      <c r="K135" s="3">
        <v>45574</v>
      </c>
      <c r="L135" s="6" t="s">
        <v>83</v>
      </c>
      <c r="M135" s="17">
        <v>45574</v>
      </c>
    </row>
    <row r="136" spans="2:13" customFormat="1" x14ac:dyDescent="0.25">
      <c r="B136" s="2">
        <v>5900010002</v>
      </c>
      <c r="C136" s="2">
        <v>59</v>
      </c>
      <c r="D136" s="3">
        <v>45848</v>
      </c>
      <c r="E136" s="3">
        <v>45848</v>
      </c>
      <c r="F136" s="6" t="str">
        <f>VLOOKUP(revtar_inc_aecc_CELTINS[[#This Row],[CODIGO]],H:M,5,)</f>
        <v>correção luan/ruben</v>
      </c>
      <c r="H136" s="16">
        <v>5922328001</v>
      </c>
      <c r="I136" s="2">
        <v>59</v>
      </c>
      <c r="J136" s="3">
        <v>44855</v>
      </c>
      <c r="K136" s="3">
        <v>45574</v>
      </c>
      <c r="L136" s="6" t="s">
        <v>83</v>
      </c>
      <c r="M136" s="17">
        <v>45574</v>
      </c>
    </row>
    <row r="137" spans="2:13" customFormat="1" x14ac:dyDescent="0.25">
      <c r="B137" s="2">
        <v>5948976003</v>
      </c>
      <c r="C137" s="2">
        <v>59</v>
      </c>
      <c r="D137" s="3">
        <v>45281</v>
      </c>
      <c r="E137" s="3">
        <v>45861</v>
      </c>
      <c r="F137" s="6" t="str">
        <f>VLOOKUP(revtar_inc_aecc_CELTINS[[#This Row],[CODIGO]],H:M,5,)</f>
        <v>ETO-PROT 14/2024</v>
      </c>
      <c r="H137" s="16">
        <v>5935743193</v>
      </c>
      <c r="I137" s="2">
        <v>59</v>
      </c>
      <c r="J137" s="3">
        <v>45586</v>
      </c>
      <c r="K137" s="3">
        <v>45574</v>
      </c>
      <c r="L137" s="6" t="s">
        <v>83</v>
      </c>
      <c r="M137" s="17">
        <v>45589</v>
      </c>
    </row>
    <row r="138" spans="2:13" customFormat="1" x14ac:dyDescent="0.25">
      <c r="B138" s="2">
        <v>5949860003</v>
      </c>
      <c r="C138" s="2">
        <v>59</v>
      </c>
      <c r="D138" s="3">
        <v>45281</v>
      </c>
      <c r="E138" s="3">
        <v>45861</v>
      </c>
      <c r="F138" s="6" t="str">
        <f>VLOOKUP(revtar_inc_aecc_CELTINS[[#This Row],[CODIGO]],H:M,5,)</f>
        <v>ETO-PROT 15/2024</v>
      </c>
      <c r="H138" s="16">
        <v>5907243122</v>
      </c>
      <c r="I138" s="2">
        <v>59</v>
      </c>
      <c r="J138" s="3">
        <v>44908</v>
      </c>
      <c r="K138" s="3">
        <v>45598</v>
      </c>
      <c r="L138" s="6" t="s">
        <v>83</v>
      </c>
      <c r="M138" s="17">
        <v>45600</v>
      </c>
    </row>
    <row r="139" spans="2:13" customFormat="1" x14ac:dyDescent="0.25">
      <c r="B139" s="2">
        <v>5900587003</v>
      </c>
      <c r="C139" s="2">
        <v>59</v>
      </c>
      <c r="D139" s="3">
        <v>45189</v>
      </c>
      <c r="E139" s="3">
        <v>45861</v>
      </c>
      <c r="F139" s="6" t="str">
        <f>VLOOKUP(revtar_inc_aecc_CELTINS[[#This Row],[CODIGO]],H:M,5,)</f>
        <v>EM OPERAÇÃO</v>
      </c>
      <c r="H139" s="16">
        <v>5924849004</v>
      </c>
      <c r="I139" s="2">
        <v>59</v>
      </c>
      <c r="J139" s="3">
        <v>44907</v>
      </c>
      <c r="K139" s="3">
        <v>45598</v>
      </c>
      <c r="L139" s="6" t="s">
        <v>83</v>
      </c>
      <c r="M139" s="17">
        <v>45600</v>
      </c>
    </row>
    <row r="140" spans="2:13" customFormat="1" x14ac:dyDescent="0.25">
      <c r="B140" s="2">
        <v>5948601003</v>
      </c>
      <c r="C140" s="2">
        <v>59</v>
      </c>
      <c r="D140" s="3">
        <v>45281</v>
      </c>
      <c r="E140" s="3">
        <v>45861</v>
      </c>
      <c r="F140" s="6" t="str">
        <f>VLOOKUP(revtar_inc_aecc_CELTINS[[#This Row],[CODIGO]],H:M,5,)</f>
        <v>ETO-PROT 17/2024</v>
      </c>
      <c r="H140" s="16">
        <v>5900247034</v>
      </c>
      <c r="I140" s="2">
        <v>59</v>
      </c>
      <c r="J140" s="3">
        <v>45189</v>
      </c>
      <c r="K140" s="3">
        <v>45610</v>
      </c>
      <c r="L140" s="6" t="s">
        <v>83</v>
      </c>
      <c r="M140" s="17">
        <v>45622</v>
      </c>
    </row>
    <row r="141" spans="2:13" customFormat="1" x14ac:dyDescent="0.25">
      <c r="B141" s="2">
        <v>5952327122</v>
      </c>
      <c r="C141" s="2">
        <v>59</v>
      </c>
      <c r="D141" s="3">
        <v>45198</v>
      </c>
      <c r="E141" s="3">
        <v>45867</v>
      </c>
      <c r="F141" s="6" t="str">
        <f>VLOOKUP(revtar_inc_aecc_CELTINS[[#This Row],[CODIGO]],H:M,5,)</f>
        <v>ETO-PROT 239/2023</v>
      </c>
      <c r="H141" s="16">
        <v>5900517071</v>
      </c>
      <c r="I141" s="2">
        <v>59</v>
      </c>
      <c r="J141" s="3">
        <v>45188</v>
      </c>
      <c r="K141" s="3">
        <v>45610</v>
      </c>
      <c r="L141" s="6" t="s">
        <v>83</v>
      </c>
      <c r="M141" s="17">
        <v>45622</v>
      </c>
    </row>
    <row r="142" spans="2:13" customFormat="1" x14ac:dyDescent="0.25">
      <c r="B142" s="2">
        <v>5923490003</v>
      </c>
      <c r="C142" s="2">
        <v>59</v>
      </c>
      <c r="D142" s="3">
        <v>44842</v>
      </c>
      <c r="E142" s="3">
        <v>45904</v>
      </c>
      <c r="F142" s="6" t="str">
        <f>VLOOKUP(revtar_inc_aecc_CELTINS[[#This Row],[CODIGO]],H:M,5,)</f>
        <v>correção luan/ruben</v>
      </c>
      <c r="H142" s="16">
        <v>5900858014</v>
      </c>
      <c r="I142" s="2">
        <v>59</v>
      </c>
      <c r="J142" s="3">
        <v>45195</v>
      </c>
      <c r="K142" s="3">
        <v>45610</v>
      </c>
      <c r="L142" s="6" t="s">
        <v>83</v>
      </c>
      <c r="M142" s="17">
        <v>45622</v>
      </c>
    </row>
    <row r="143" spans="2:13" customFormat="1" x14ac:dyDescent="0.25">
      <c r="B143" s="2">
        <v>5930902068</v>
      </c>
      <c r="C143" s="2">
        <v>59</v>
      </c>
      <c r="D143" s="3">
        <v>44574</v>
      </c>
      <c r="E143" s="3">
        <v>45909</v>
      </c>
      <c r="F143" s="6" t="str">
        <f>VLOOKUP(revtar_inc_aecc_CELTINS[[#This Row],[CODIGO]],H:M,5,)</f>
        <v>correção luan/ruben</v>
      </c>
      <c r="H143" s="16">
        <v>5901182004</v>
      </c>
      <c r="I143" s="2">
        <v>59</v>
      </c>
      <c r="J143" s="3">
        <v>44614</v>
      </c>
      <c r="K143" s="3">
        <v>45610</v>
      </c>
      <c r="L143" s="6" t="s">
        <v>83</v>
      </c>
      <c r="M143" s="17">
        <v>45622</v>
      </c>
    </row>
    <row r="144" spans="2:13" customFormat="1" x14ac:dyDescent="0.25">
      <c r="B144" s="2">
        <v>5950742122</v>
      </c>
      <c r="C144" s="2">
        <v>59</v>
      </c>
      <c r="D144" s="3">
        <v>45149</v>
      </c>
      <c r="E144" s="3">
        <v>45930</v>
      </c>
      <c r="F144" s="6" t="str">
        <f>VLOOKUP(revtar_inc_aecc_CELTINS[[#This Row],[CODIGO]],H:M,5,)</f>
        <v xml:space="preserve"> 5950133122 =&gt; 5950742122</v>
      </c>
      <c r="H144" s="16">
        <v>5900043059</v>
      </c>
      <c r="I144" s="2">
        <v>59</v>
      </c>
      <c r="J144" s="3">
        <v>44597</v>
      </c>
      <c r="K144" s="3">
        <v>45615</v>
      </c>
      <c r="L144" s="6" t="s">
        <v>83</v>
      </c>
      <c r="M144" s="17">
        <v>45622</v>
      </c>
    </row>
    <row r="145" spans="2:14" x14ac:dyDescent="0.25">
      <c r="B145" s="2">
        <v>5900489122</v>
      </c>
      <c r="C145" s="2">
        <v>59</v>
      </c>
      <c r="D145" s="3">
        <v>44613</v>
      </c>
      <c r="E145" s="3">
        <v>45936</v>
      </c>
      <c r="F145" s="6" t="str">
        <f>VLOOKUP(revtar_inc_aecc_CELTINS[[#This Row],[CODIGO]],H:M,5,)</f>
        <v>correção luan/ruben</v>
      </c>
      <c r="H145" s="16">
        <v>5924619052</v>
      </c>
      <c r="I145" s="2">
        <v>59</v>
      </c>
      <c r="J145" s="3">
        <v>44597</v>
      </c>
      <c r="K145" s="3">
        <v>45615</v>
      </c>
      <c r="L145" s="6" t="s">
        <v>83</v>
      </c>
      <c r="M145" s="17">
        <v>45622</v>
      </c>
      <c r="N145"/>
    </row>
    <row r="146" spans="2:14" x14ac:dyDescent="0.25">
      <c r="B146" s="2">
        <v>5962028013</v>
      </c>
      <c r="C146" s="2">
        <v>59</v>
      </c>
      <c r="D146" s="3">
        <v>45938</v>
      </c>
      <c r="E146" s="3">
        <v>45938</v>
      </c>
      <c r="F146" s="6" t="str">
        <f>VLOOKUP(revtar_inc_aecc_CELTINS[[#This Row],[CODIGO]],H:M,5,)</f>
        <v>ETO-PROT 326/2023</v>
      </c>
      <c r="H146" s="16">
        <v>5900091003</v>
      </c>
      <c r="I146" s="2">
        <v>59</v>
      </c>
      <c r="J146" s="3">
        <v>44833</v>
      </c>
      <c r="K146" s="3">
        <v>45649</v>
      </c>
      <c r="L146" s="6" t="s">
        <v>83</v>
      </c>
      <c r="M146" s="17">
        <v>45298</v>
      </c>
      <c r="N146"/>
    </row>
    <row r="147" spans="2:14" x14ac:dyDescent="0.25">
      <c r="B147" s="2">
        <v>5962031013</v>
      </c>
      <c r="C147" s="2">
        <v>59</v>
      </c>
      <c r="D147" s="3">
        <v>45938</v>
      </c>
      <c r="E147" s="3">
        <v>45938</v>
      </c>
      <c r="F147" s="6" t="str">
        <f>VLOOKUP(revtar_inc_aecc_CELTINS[[#This Row],[CODIGO]],H:M,5,)</f>
        <v>ETO-PROT 325/2023</v>
      </c>
      <c r="H147" s="16">
        <v>59778522</v>
      </c>
      <c r="I147" s="2">
        <v>59</v>
      </c>
      <c r="J147" s="3">
        <v>45744</v>
      </c>
      <c r="K147" s="3">
        <v>45744</v>
      </c>
      <c r="L147" s="49" t="s">
        <v>370</v>
      </c>
      <c r="M147" s="17">
        <v>45748</v>
      </c>
      <c r="N147"/>
    </row>
    <row r="148" spans="2:14" x14ac:dyDescent="0.25">
      <c r="B148" s="2">
        <v>5962091013</v>
      </c>
      <c r="C148" s="2">
        <v>59</v>
      </c>
      <c r="D148" s="3">
        <v>45938</v>
      </c>
      <c r="E148" s="3">
        <v>45938</v>
      </c>
      <c r="F148" s="6" t="str">
        <f>VLOOKUP(revtar_inc_aecc_CELTINS[[#This Row],[CODIGO]],H:M,5,)</f>
        <v>ETO-PROT 327/2023</v>
      </c>
      <c r="G148" s="72"/>
      <c r="H148" s="2">
        <v>5961774122</v>
      </c>
      <c r="I148" s="2">
        <v>59</v>
      </c>
      <c r="J148" s="3">
        <v>45764</v>
      </c>
      <c r="K148" s="3">
        <v>45764</v>
      </c>
      <c r="L148" s="49" t="s">
        <v>380</v>
      </c>
      <c r="M148" s="17">
        <v>45769</v>
      </c>
      <c r="N148" s="53" t="s">
        <v>467</v>
      </c>
    </row>
    <row r="149" spans="2:14" x14ac:dyDescent="0.25">
      <c r="B149" s="2">
        <v>5930560028</v>
      </c>
      <c r="C149" s="2">
        <v>59</v>
      </c>
      <c r="D149" s="3">
        <v>44553</v>
      </c>
      <c r="E149" s="3">
        <v>45955</v>
      </c>
      <c r="F149" s="6" t="str">
        <f>VLOOKUP(revtar_inc_aecc_CELTINS[[#This Row],[CODIGO]],H:M,5,)</f>
        <v>correção luan/ruben</v>
      </c>
      <c r="G149" s="72"/>
      <c r="H149" s="2">
        <v>5953586122</v>
      </c>
      <c r="I149" s="2">
        <v>59</v>
      </c>
      <c r="J149" s="3">
        <v>45764</v>
      </c>
      <c r="K149" s="3">
        <v>45764</v>
      </c>
      <c r="L149" s="49" t="s">
        <v>381</v>
      </c>
      <c r="M149" s="17">
        <v>45769</v>
      </c>
      <c r="N149" s="53" t="s">
        <v>467</v>
      </c>
    </row>
    <row r="150" spans="2:14" x14ac:dyDescent="0.25">
      <c r="B150" s="2">
        <v>5961684122</v>
      </c>
      <c r="C150" s="2">
        <v>59</v>
      </c>
      <c r="D150" s="3">
        <v>45959</v>
      </c>
      <c r="E150" s="3">
        <v>45959</v>
      </c>
      <c r="F150" s="6" t="str">
        <f>VLOOKUP(revtar_inc_aecc_CELTINS[[#This Row],[CODIGO]],H:M,5,)</f>
        <v>ETO-PROT351/2025</v>
      </c>
      <c r="G150" s="72"/>
      <c r="H150" s="2">
        <v>5961773122</v>
      </c>
      <c r="I150" s="2">
        <v>59</v>
      </c>
      <c r="J150" s="3">
        <v>45764</v>
      </c>
      <c r="K150" s="3">
        <v>45764</v>
      </c>
      <c r="L150" s="49" t="s">
        <v>382</v>
      </c>
      <c r="M150" s="17">
        <v>45769</v>
      </c>
      <c r="N150" s="53" t="s">
        <v>467</v>
      </c>
    </row>
    <row r="151" spans="2:14" x14ac:dyDescent="0.25">
      <c r="B151" s="2">
        <v>5961804122</v>
      </c>
      <c r="C151" s="2">
        <v>59</v>
      </c>
      <c r="D151" s="3">
        <v>45959</v>
      </c>
      <c r="E151" s="3">
        <v>45959</v>
      </c>
      <c r="F151" s="6" t="str">
        <f>VLOOKUP(revtar_inc_aecc_CELTINS[[#This Row],[CODIGO]],H:M,5,)</f>
        <v>ETO-PROT350/2025</v>
      </c>
      <c r="G151" s="72"/>
      <c r="H151" s="16">
        <v>5953583122</v>
      </c>
      <c r="I151" s="2">
        <v>59</v>
      </c>
      <c r="J151" s="3">
        <v>45764</v>
      </c>
      <c r="K151" s="3">
        <v>45764</v>
      </c>
      <c r="L151" s="49" t="s">
        <v>383</v>
      </c>
      <c r="M151" s="17">
        <v>45769</v>
      </c>
      <c r="N151" s="53" t="s">
        <v>467</v>
      </c>
    </row>
    <row r="152" spans="2:14" x14ac:dyDescent="0.25">
      <c r="B152" s="2">
        <v>5961843122</v>
      </c>
      <c r="C152" s="2">
        <v>59</v>
      </c>
      <c r="D152" s="3">
        <v>45959</v>
      </c>
      <c r="E152" s="3">
        <v>45959</v>
      </c>
      <c r="F152" s="6" t="str">
        <f>VLOOKUP(revtar_inc_aecc_CELTINS[[#This Row],[CODIGO]],H:M,5,)</f>
        <v>ETO-PROT349/2025</v>
      </c>
      <c r="G152" s="72"/>
      <c r="H152" s="16">
        <v>5962029013</v>
      </c>
      <c r="I152" s="2">
        <v>59</v>
      </c>
      <c r="J152" s="3">
        <v>45769</v>
      </c>
      <c r="K152" s="3">
        <v>45769</v>
      </c>
      <c r="L152" s="49" t="s">
        <v>385</v>
      </c>
      <c r="M152" s="17">
        <v>45771</v>
      </c>
      <c r="N152" s="53" t="s">
        <v>467</v>
      </c>
    </row>
    <row r="153" spans="2:14" x14ac:dyDescent="0.25">
      <c r="B153" s="2">
        <v>5961840122</v>
      </c>
      <c r="C153" s="2">
        <v>59</v>
      </c>
      <c r="D153" s="3">
        <v>45968</v>
      </c>
      <c r="E153" s="3">
        <v>45968</v>
      </c>
      <c r="F153" s="6" t="str">
        <f>VLOOKUP(revtar_inc_aecc_CELTINS[[#This Row],[CODIGO]],H:M,5,)</f>
        <v>ETO-PROT352/2025</v>
      </c>
      <c r="H153" s="16">
        <v>5922317001</v>
      </c>
      <c r="I153" s="2">
        <v>59</v>
      </c>
      <c r="J153" s="3">
        <v>45188</v>
      </c>
      <c r="K153" s="3">
        <v>45809</v>
      </c>
      <c r="L153" s="49" t="s">
        <v>431</v>
      </c>
      <c r="M153" s="17">
        <v>45811</v>
      </c>
      <c r="N153"/>
    </row>
    <row r="154" spans="2:14" x14ac:dyDescent="0.25">
      <c r="B154" s="2">
        <v>5961847122</v>
      </c>
      <c r="C154" s="2">
        <v>59</v>
      </c>
      <c r="D154" s="3">
        <v>45968</v>
      </c>
      <c r="E154" s="3">
        <v>45968</v>
      </c>
      <c r="F154" s="6" t="str">
        <f>VLOOKUP(revtar_inc_aecc_CELTINS[[#This Row],[CODIGO]],H:M,5,)</f>
        <v>ETO-PROT353/2025</v>
      </c>
      <c r="H154" s="16">
        <v>5948602003</v>
      </c>
      <c r="I154" s="2">
        <v>59</v>
      </c>
      <c r="J154" s="3">
        <v>45281</v>
      </c>
      <c r="K154" s="3">
        <v>45837</v>
      </c>
      <c r="L154" s="49" t="s">
        <v>442</v>
      </c>
      <c r="M154" s="17">
        <v>45841</v>
      </c>
      <c r="N154"/>
    </row>
    <row r="155" spans="2:14" x14ac:dyDescent="0.25">
      <c r="B155" s="2">
        <v>5961832122</v>
      </c>
      <c r="C155" s="2">
        <v>59</v>
      </c>
      <c r="D155" s="3">
        <v>45968</v>
      </c>
      <c r="E155" s="3">
        <v>45968</v>
      </c>
      <c r="F155" s="6" t="str">
        <f>VLOOKUP(revtar_inc_aecc_CELTINS[[#This Row],[CODIGO]],H:M,5,)</f>
        <v>ETO-PROT354/2025</v>
      </c>
      <c r="H155" s="16">
        <v>5948601003</v>
      </c>
      <c r="I155" s="2">
        <v>59</v>
      </c>
      <c r="J155" s="3">
        <v>45281</v>
      </c>
      <c r="K155" s="3">
        <v>45861</v>
      </c>
      <c r="L155" s="49" t="s">
        <v>461</v>
      </c>
      <c r="M155" s="17">
        <v>45294</v>
      </c>
      <c r="N155"/>
    </row>
    <row r="156" spans="2:14" x14ac:dyDescent="0.25">
      <c r="B156" s="2">
        <v>5961419001</v>
      </c>
      <c r="C156" s="2">
        <v>59</v>
      </c>
      <c r="D156" s="3">
        <v>45969</v>
      </c>
      <c r="E156" s="3">
        <v>45969</v>
      </c>
      <c r="F156" s="6" t="str">
        <f>VLOOKUP(revtar_inc_aecc_CELTINS[[#This Row],[CODIGO]],H:M,5,)</f>
        <v>ETO-PROT361/2025</v>
      </c>
      <c r="H156" s="16">
        <v>5949860003</v>
      </c>
      <c r="I156" s="2">
        <v>59</v>
      </c>
      <c r="J156" s="3">
        <v>45281</v>
      </c>
      <c r="K156" s="3">
        <v>45861</v>
      </c>
      <c r="L156" s="49" t="s">
        <v>462</v>
      </c>
      <c r="M156" s="17">
        <v>45294</v>
      </c>
      <c r="N156"/>
    </row>
    <row r="157" spans="2:14" x14ac:dyDescent="0.25">
      <c r="B157" s="2">
        <v>5950106122</v>
      </c>
      <c r="C157" s="2">
        <v>59</v>
      </c>
      <c r="D157" s="3">
        <v>45148</v>
      </c>
      <c r="E157" s="3">
        <v>45988</v>
      </c>
      <c r="F157" s="6" t="str">
        <f>VLOOKUP(revtar_inc_aecc_CELTINS[[#This Row],[CODIGO]],H:M,5,)</f>
        <v>ATUALIZAÇÃO</v>
      </c>
      <c r="H157" s="16">
        <v>5948976003</v>
      </c>
      <c r="I157" s="2">
        <v>59</v>
      </c>
      <c r="J157" s="3">
        <v>45281</v>
      </c>
      <c r="K157" s="3">
        <v>45861</v>
      </c>
      <c r="L157" s="49" t="s">
        <v>463</v>
      </c>
      <c r="M157" s="17">
        <v>45294</v>
      </c>
      <c r="N157"/>
    </row>
    <row r="158" spans="2:14" x14ac:dyDescent="0.25">
      <c r="B158" s="2">
        <v>5953280122</v>
      </c>
      <c r="C158" s="2">
        <v>59</v>
      </c>
      <c r="D158" s="3">
        <v>45968</v>
      </c>
      <c r="E158" s="3">
        <v>45988</v>
      </c>
      <c r="F158" s="6" t="str">
        <f>VLOOKUP(revtar_inc_aecc_CELTINS[[#This Row],[CODIGO]],H:M,5,)</f>
        <v>ETO-PROT371/2025</v>
      </c>
      <c r="H158" s="16">
        <v>5952327122</v>
      </c>
      <c r="I158" s="2">
        <v>59</v>
      </c>
      <c r="J158" s="3">
        <v>45198</v>
      </c>
      <c r="K158" s="3">
        <v>45867</v>
      </c>
      <c r="L158" s="49" t="s">
        <v>464</v>
      </c>
      <c r="M158" s="17">
        <v>45201</v>
      </c>
      <c r="N158"/>
    </row>
    <row r="159" spans="2:14" x14ac:dyDescent="0.25">
      <c r="B159" s="2">
        <v>5946473071</v>
      </c>
      <c r="C159" s="2">
        <v>59</v>
      </c>
      <c r="D159" s="3">
        <v>45148</v>
      </c>
      <c r="E159" s="3">
        <v>46050</v>
      </c>
      <c r="F159" s="6" t="str">
        <f>VLOOKUP(revtar_inc_aecc_CELTINS[[#This Row],[CODIGO]],H:M,5,)</f>
        <v>ATUALIZAÇÃO</v>
      </c>
      <c r="H159" s="16">
        <v>5900587003</v>
      </c>
      <c r="I159" s="2">
        <v>59</v>
      </c>
      <c r="J159" s="3">
        <v>45189</v>
      </c>
      <c r="K159" s="3">
        <v>45861</v>
      </c>
      <c r="L159" s="49" t="s">
        <v>442</v>
      </c>
      <c r="M159" s="17">
        <v>45873</v>
      </c>
      <c r="N159"/>
    </row>
    <row r="160" spans="2:14" x14ac:dyDescent="0.25">
      <c r="B160" s="2">
        <v>5907244122</v>
      </c>
      <c r="C160" s="2">
        <v>59</v>
      </c>
      <c r="D160" s="3">
        <v>44908</v>
      </c>
      <c r="E160" s="3">
        <v>46057</v>
      </c>
      <c r="F160" s="6" t="str">
        <f>VLOOKUP(revtar_inc_aecc_CELTINS[[#This Row],[CODIGO]],H:M,5,)</f>
        <v>correção de topologia 5907344122 =&gt; 5907244122</v>
      </c>
      <c r="H160" s="16">
        <v>5900668004</v>
      </c>
      <c r="I160" s="2">
        <v>59</v>
      </c>
      <c r="J160" s="3">
        <v>45902</v>
      </c>
      <c r="K160" s="3">
        <v>45902</v>
      </c>
      <c r="L160" s="49" t="s">
        <v>481</v>
      </c>
      <c r="M160" s="17">
        <v>45916</v>
      </c>
    </row>
    <row r="161" spans="2:13" ht="30" x14ac:dyDescent="0.25">
      <c r="B161" s="2">
        <v>5959941122</v>
      </c>
      <c r="C161" s="2">
        <v>59</v>
      </c>
      <c r="D161" s="3">
        <v>46093</v>
      </c>
      <c r="E161" s="3">
        <v>46093</v>
      </c>
      <c r="F161" s="6" t="str">
        <f>VLOOKUP(revtar_inc_aecc_CELTINS[[#This Row],[CODIGO]],H:M,5,)</f>
        <v>ETO-PROT79/2026</v>
      </c>
      <c r="H161" s="16">
        <v>5950742122</v>
      </c>
      <c r="I161" s="2">
        <v>59</v>
      </c>
      <c r="J161" s="3">
        <v>45149</v>
      </c>
      <c r="K161" s="3">
        <v>45930</v>
      </c>
      <c r="L161" s="49" t="s">
        <v>492</v>
      </c>
      <c r="M161" s="17">
        <v>45933</v>
      </c>
    </row>
    <row r="162" spans="2:13" x14ac:dyDescent="0.25">
      <c r="B162" s="2">
        <v>5964324122</v>
      </c>
      <c r="C162" s="2">
        <v>59</v>
      </c>
      <c r="D162" s="3">
        <v>46104</v>
      </c>
      <c r="E162" s="3">
        <v>46104</v>
      </c>
      <c r="F162" s="6" t="str">
        <f>VLOOKUP(revtar_inc_aecc_CELTINS[[#This Row],[CODIGO]],H:M,5,)</f>
        <v>ETO-PROT81/2026</v>
      </c>
      <c r="H162" s="16">
        <v>5962031013</v>
      </c>
      <c r="I162" s="2">
        <v>59</v>
      </c>
      <c r="J162" s="3">
        <v>45938</v>
      </c>
      <c r="K162" s="3">
        <v>45938</v>
      </c>
      <c r="L162" s="49" t="s">
        <v>506</v>
      </c>
      <c r="M162" s="17">
        <v>45953</v>
      </c>
    </row>
    <row r="163" spans="2:13" x14ac:dyDescent="0.25">
      <c r="B163" s="2">
        <v>5964322122</v>
      </c>
      <c r="C163" s="2">
        <v>59</v>
      </c>
      <c r="D163" s="3">
        <v>46104</v>
      </c>
      <c r="E163" s="3">
        <v>46104</v>
      </c>
      <c r="F163" s="6" t="str">
        <f>VLOOKUP(revtar_inc_aecc_CELTINS[[#This Row],[CODIGO]],H:M,5,)</f>
        <v>ETO-PROT82/2026</v>
      </c>
      <c r="H163" s="16">
        <v>5962028013</v>
      </c>
      <c r="I163" s="2">
        <v>59</v>
      </c>
      <c r="J163" s="3">
        <v>45938</v>
      </c>
      <c r="K163" s="3">
        <v>45938</v>
      </c>
      <c r="L163" s="49" t="s">
        <v>507</v>
      </c>
      <c r="M163" s="17">
        <v>45953</v>
      </c>
    </row>
    <row r="164" spans="2:13" x14ac:dyDescent="0.25">
      <c r="B164" s="2">
        <v>5959040122</v>
      </c>
      <c r="C164" s="2">
        <v>59</v>
      </c>
      <c r="D164" s="3">
        <v>46104</v>
      </c>
      <c r="E164" s="3">
        <v>46104</v>
      </c>
      <c r="F164" s="6" t="str">
        <f>VLOOKUP(revtar_inc_aecc_CELTINS[[#This Row],[CODIGO]],H:M,5,)</f>
        <v>ETO-PROT80/2026</v>
      </c>
      <c r="H164" s="16">
        <v>5962091013</v>
      </c>
      <c r="I164" s="2">
        <v>59</v>
      </c>
      <c r="J164" s="3">
        <v>45938</v>
      </c>
      <c r="K164" s="3">
        <v>45938</v>
      </c>
      <c r="L164" s="49" t="s">
        <v>508</v>
      </c>
      <c r="M164" s="17">
        <v>45953</v>
      </c>
    </row>
    <row r="165" spans="2:13" x14ac:dyDescent="0.25">
      <c r="B165" s="2">
        <v>5900324124</v>
      </c>
      <c r="C165" s="2">
        <v>59</v>
      </c>
      <c r="D165" s="3">
        <v>44626</v>
      </c>
      <c r="E165" s="3">
        <v>46105</v>
      </c>
      <c r="F165" s="6" t="str">
        <f>VLOOKUP(revtar_inc_aecc_CELTINS[[#This Row],[CODIGO]],H:M,5,)</f>
        <v>correção luan/ruben</v>
      </c>
      <c r="H165" s="16">
        <v>5961616059</v>
      </c>
      <c r="I165" s="2">
        <v>59</v>
      </c>
      <c r="J165" s="3">
        <v>45957</v>
      </c>
      <c r="K165" s="3">
        <v>45957</v>
      </c>
      <c r="L165" s="49" t="s">
        <v>525</v>
      </c>
      <c r="M165" s="17">
        <v>45967</v>
      </c>
    </row>
    <row r="166" spans="2:13" x14ac:dyDescent="0.25">
      <c r="B166" s="2">
        <v>5950589122</v>
      </c>
      <c r="C166" s="2">
        <v>59</v>
      </c>
      <c r="D166" s="3">
        <v>45102</v>
      </c>
      <c r="E166" s="3">
        <v>46108</v>
      </c>
      <c r="F166" s="6" t="str">
        <f>VLOOKUP(revtar_inc_aecc_CELTINS[[#This Row],[CODIGO]],H:M,5,)</f>
        <v>ATUALIZAÇÃO</v>
      </c>
      <c r="H166" s="16">
        <v>5961843122</v>
      </c>
      <c r="I166" s="2">
        <v>59</v>
      </c>
      <c r="J166" s="3">
        <v>45959</v>
      </c>
      <c r="K166" s="3">
        <v>45959</v>
      </c>
      <c r="L166" s="49" t="s">
        <v>526</v>
      </c>
      <c r="M166" s="17">
        <v>45972</v>
      </c>
    </row>
    <row r="167" spans="2:13" x14ac:dyDescent="0.25">
      <c r="B167" s="2">
        <v>5950588122</v>
      </c>
      <c r="C167" s="2">
        <v>59</v>
      </c>
      <c r="D167" s="3">
        <v>45102</v>
      </c>
      <c r="E167" s="3">
        <v>46108</v>
      </c>
      <c r="F167" s="6" t="str">
        <f>VLOOKUP(revtar_inc_aecc_CELTINS[[#This Row],[CODIGO]],H:M,5,)</f>
        <v>ATUALIZAÇÃO</v>
      </c>
      <c r="H167" s="16">
        <v>5961804122</v>
      </c>
      <c r="I167" s="2">
        <v>59</v>
      </c>
      <c r="J167" s="3">
        <v>45959</v>
      </c>
      <c r="K167" s="3">
        <v>45959</v>
      </c>
      <c r="L167" s="49" t="s">
        <v>527</v>
      </c>
      <c r="M167" s="17">
        <v>45972</v>
      </c>
    </row>
    <row r="168" spans="2:13" x14ac:dyDescent="0.25">
      <c r="B168" s="2">
        <v>5966876004</v>
      </c>
      <c r="C168" s="2">
        <v>59</v>
      </c>
      <c r="D168" s="3">
        <v>46111</v>
      </c>
      <c r="E168" s="3">
        <v>46111</v>
      </c>
      <c r="F168" s="6" t="str">
        <f>VLOOKUP(revtar_inc_aecc_CELTINS[[#This Row],[CODIGO]],H:M,5,)</f>
        <v>ETO-PROT84/2026</v>
      </c>
      <c r="H168" s="16">
        <v>5961684122</v>
      </c>
      <c r="I168" s="2">
        <v>59</v>
      </c>
      <c r="J168" s="3">
        <v>45959</v>
      </c>
      <c r="K168" s="3">
        <v>45959</v>
      </c>
      <c r="L168" s="49" t="s">
        <v>528</v>
      </c>
      <c r="M168" s="17">
        <v>45972</v>
      </c>
    </row>
    <row r="169" spans="2:13" x14ac:dyDescent="0.25">
      <c r="B169" s="2">
        <v>5966868004</v>
      </c>
      <c r="C169" s="2">
        <v>59</v>
      </c>
      <c r="D169" s="3">
        <v>46111</v>
      </c>
      <c r="E169" s="3">
        <v>46111</v>
      </c>
      <c r="F169" s="6" t="str">
        <f>VLOOKUP(revtar_inc_aecc_CELTINS[[#This Row],[CODIGO]],H:M,5,)</f>
        <v>ETO-PROT85/2026</v>
      </c>
      <c r="H169" s="16">
        <v>5961840122</v>
      </c>
      <c r="I169" s="2">
        <v>59</v>
      </c>
      <c r="J169" s="3">
        <v>45968</v>
      </c>
      <c r="K169" s="3">
        <v>45968</v>
      </c>
      <c r="L169" s="49" t="s">
        <v>529</v>
      </c>
      <c r="M169" s="17">
        <v>45972</v>
      </c>
    </row>
    <row r="170" spans="2:13" x14ac:dyDescent="0.25">
      <c r="B170" s="2">
        <v>5966822004</v>
      </c>
      <c r="C170" s="2">
        <v>59</v>
      </c>
      <c r="D170" s="3">
        <v>46111</v>
      </c>
      <c r="E170" s="3">
        <v>46111</v>
      </c>
      <c r="F170" s="6" t="str">
        <f>VLOOKUP(revtar_inc_aecc_CELTINS[[#This Row],[CODIGO]],H:M,5,)</f>
        <v>ETO-PROT86/2026</v>
      </c>
      <c r="H170" s="16">
        <v>5961847122</v>
      </c>
      <c r="I170" s="2">
        <v>59</v>
      </c>
      <c r="J170" s="3">
        <v>45968</v>
      </c>
      <c r="K170" s="3">
        <v>45968</v>
      </c>
      <c r="L170" s="49" t="s">
        <v>530</v>
      </c>
      <c r="M170" s="17">
        <v>45972</v>
      </c>
    </row>
    <row r="171" spans="2:13" x14ac:dyDescent="0.25">
      <c r="B171" s="2">
        <v>5966878004</v>
      </c>
      <c r="C171" s="2">
        <v>59</v>
      </c>
      <c r="D171" s="3">
        <v>46111</v>
      </c>
      <c r="E171" s="3">
        <v>46111</v>
      </c>
      <c r="F171" s="6" t="str">
        <f>VLOOKUP(revtar_inc_aecc_CELTINS[[#This Row],[CODIGO]],H:M,5,)</f>
        <v>ETO-PROT87/2026</v>
      </c>
      <c r="H171" s="16">
        <v>5961832122</v>
      </c>
      <c r="I171" s="2">
        <v>59</v>
      </c>
      <c r="J171" s="3">
        <v>45968</v>
      </c>
      <c r="K171" s="3">
        <v>45968</v>
      </c>
      <c r="L171" s="49" t="s">
        <v>531</v>
      </c>
      <c r="M171" s="17">
        <v>45972</v>
      </c>
    </row>
    <row r="172" spans="2:13" x14ac:dyDescent="0.25">
      <c r="B172" s="2">
        <v>5966877004</v>
      </c>
      <c r="C172" s="2">
        <v>59</v>
      </c>
      <c r="D172" s="3">
        <v>46111</v>
      </c>
      <c r="E172" s="3">
        <v>46111</v>
      </c>
      <c r="F172" s="6" t="str">
        <f>VLOOKUP(revtar_inc_aecc_CELTINS[[#This Row],[CODIGO]],H:M,5,)</f>
        <v>ETO-PROT83/2026</v>
      </c>
      <c r="H172" s="16">
        <v>5961419001</v>
      </c>
      <c r="I172" s="2">
        <v>59</v>
      </c>
      <c r="J172" s="3">
        <v>45969</v>
      </c>
      <c r="K172" s="3">
        <v>45969</v>
      </c>
      <c r="L172" s="49" t="s">
        <v>532</v>
      </c>
      <c r="M172" s="17">
        <v>45979</v>
      </c>
    </row>
    <row r="173" spans="2:13" x14ac:dyDescent="0.25">
      <c r="B173" s="2">
        <v>5900668004</v>
      </c>
      <c r="C173" s="2">
        <v>59</v>
      </c>
      <c r="D173" s="3">
        <v>45902</v>
      </c>
      <c r="E173" s="3">
        <v>46112</v>
      </c>
      <c r="F173" s="6" t="str">
        <f>VLOOKUP(revtar_inc_aecc_CELTINS[[#This Row],[CODIGO]],H:M,5,)</f>
        <v>correção luan/ruben</v>
      </c>
      <c r="H173" s="16">
        <v>5953280122</v>
      </c>
      <c r="I173" s="2">
        <v>59</v>
      </c>
      <c r="J173" s="3">
        <v>45968</v>
      </c>
      <c r="K173" s="3">
        <v>45988</v>
      </c>
      <c r="L173" s="49" t="s">
        <v>537</v>
      </c>
      <c r="M173" s="17">
        <v>45993</v>
      </c>
    </row>
    <row r="174" spans="2:13" x14ac:dyDescent="0.25">
      <c r="B174" s="2">
        <v>5900109059</v>
      </c>
      <c r="C174" s="2">
        <v>59</v>
      </c>
      <c r="D174" s="3">
        <v>44855</v>
      </c>
      <c r="E174" s="3">
        <v>46125</v>
      </c>
      <c r="F174" s="6" t="str">
        <f>VLOOKUP(revtar_inc_aecc_CELTINS[[#This Row],[CODIGO]],H:M,5,)</f>
        <v>correção luan/ruben</v>
      </c>
      <c r="H174" s="65">
        <v>5950106122</v>
      </c>
      <c r="I174" s="66">
        <v>59</v>
      </c>
      <c r="J174" s="67">
        <v>45148</v>
      </c>
      <c r="K174" s="67">
        <v>45988</v>
      </c>
      <c r="L174" s="86" t="s">
        <v>511</v>
      </c>
      <c r="M174" s="68">
        <v>45993</v>
      </c>
    </row>
    <row r="175" spans="2:13" x14ac:dyDescent="0.25">
      <c r="B175" s="2">
        <v>5961616059</v>
      </c>
      <c r="C175" s="2">
        <v>59</v>
      </c>
      <c r="D175" s="3">
        <v>45957</v>
      </c>
      <c r="E175" s="3">
        <v>46125</v>
      </c>
      <c r="F175" s="6" t="str">
        <f>VLOOKUP(revtar_inc_aecc_CELTINS[[#This Row],[CODIGO]],H:M,5,)</f>
        <v>ETO-PROT348/2025</v>
      </c>
      <c r="H175" s="111">
        <v>5946473071</v>
      </c>
      <c r="I175" s="112">
        <v>59</v>
      </c>
      <c r="J175" s="113">
        <v>45148</v>
      </c>
      <c r="K175" s="113">
        <v>46050</v>
      </c>
      <c r="L175" s="119" t="s">
        <v>511</v>
      </c>
      <c r="M175" s="115">
        <v>46052</v>
      </c>
    </row>
    <row r="176" spans="2:13" x14ac:dyDescent="0.25">
      <c r="B176" s="2">
        <v>5920693073</v>
      </c>
      <c r="C176" s="2">
        <v>59</v>
      </c>
      <c r="D176" s="3">
        <v>45188</v>
      </c>
      <c r="E176" s="3">
        <v>46164</v>
      </c>
      <c r="F176" s="6" t="str">
        <f>VLOOKUP(revtar_inc_aecc_CELTINS[[#This Row],[CODIGO]],H:M,5,)</f>
        <v>correção luan/ruben</v>
      </c>
      <c r="H176" s="2">
        <v>5959941122</v>
      </c>
      <c r="I176" s="2">
        <v>59</v>
      </c>
      <c r="J176" s="3">
        <v>46093</v>
      </c>
      <c r="K176" s="3">
        <v>46093</v>
      </c>
      <c r="L176" s="49" t="s">
        <v>612</v>
      </c>
      <c r="M176" s="17">
        <v>46111</v>
      </c>
    </row>
    <row r="177" spans="2:13" x14ac:dyDescent="0.25">
      <c r="B177" s="2">
        <v>5968209013</v>
      </c>
      <c r="C177" s="2">
        <v>59</v>
      </c>
      <c r="D177" s="3">
        <v>46197</v>
      </c>
      <c r="E177" s="3">
        <v>46197</v>
      </c>
      <c r="F177" s="6" t="s">
        <v>511</v>
      </c>
      <c r="H177" s="2">
        <v>5959040122</v>
      </c>
      <c r="I177" s="2">
        <v>59</v>
      </c>
      <c r="J177" s="3">
        <v>46104</v>
      </c>
      <c r="K177" s="3">
        <v>46104</v>
      </c>
      <c r="L177" s="49" t="s">
        <v>613</v>
      </c>
      <c r="M177" s="3">
        <v>46111</v>
      </c>
    </row>
    <row r="178" spans="2:13" x14ac:dyDescent="0.25">
      <c r="B178" s="2">
        <v>5901069122</v>
      </c>
      <c r="C178" s="2">
        <v>59</v>
      </c>
      <c r="D178" s="2">
        <v>45015</v>
      </c>
      <c r="E178" s="2">
        <v>46207</v>
      </c>
      <c r="F178" s="2" t="s">
        <v>511</v>
      </c>
      <c r="H178" s="2">
        <v>5964324122</v>
      </c>
      <c r="I178" s="2">
        <v>59</v>
      </c>
      <c r="J178" s="3">
        <v>46104</v>
      </c>
      <c r="K178" s="3">
        <v>46104</v>
      </c>
      <c r="L178" s="49" t="s">
        <v>614</v>
      </c>
      <c r="M178" s="3">
        <v>46111</v>
      </c>
    </row>
    <row r="179" spans="2:13" x14ac:dyDescent="0.25">
      <c r="B179" s="2">
        <v>5900438097</v>
      </c>
      <c r="C179" s="2">
        <v>59</v>
      </c>
      <c r="D179" s="2">
        <v>44644</v>
      </c>
      <c r="E179" s="2">
        <v>46241</v>
      </c>
      <c r="F179" s="2" t="str">
        <f>VLOOKUP(revtar_inc_aecc_CELTINS[[#This Row],[CODIGO]],H:M,5,)</f>
        <v>correção luan/ruben</v>
      </c>
      <c r="H179" s="2">
        <v>5964322122</v>
      </c>
      <c r="I179" s="2">
        <v>59</v>
      </c>
      <c r="J179" s="3">
        <v>46104</v>
      </c>
      <c r="K179" s="3">
        <v>46104</v>
      </c>
      <c r="L179" s="49" t="s">
        <v>615</v>
      </c>
      <c r="M179" s="3">
        <v>46111</v>
      </c>
    </row>
    <row r="180" spans="2:13" x14ac:dyDescent="0.25">
      <c r="H180" s="2">
        <v>5950589122</v>
      </c>
      <c r="I180" s="2">
        <v>59</v>
      </c>
      <c r="J180" s="3">
        <v>45102</v>
      </c>
      <c r="K180" s="3">
        <v>46108</v>
      </c>
      <c r="L180" s="49" t="s">
        <v>511</v>
      </c>
      <c r="M180" s="3">
        <v>46111</v>
      </c>
    </row>
    <row r="181" spans="2:13" x14ac:dyDescent="0.25">
      <c r="H181" s="2">
        <v>5950588122</v>
      </c>
      <c r="I181" s="2">
        <v>59</v>
      </c>
      <c r="J181" s="3">
        <v>45102</v>
      </c>
      <c r="K181" s="3">
        <v>46108</v>
      </c>
      <c r="L181" s="49" t="s">
        <v>511</v>
      </c>
      <c r="M181" s="3">
        <v>46111</v>
      </c>
    </row>
    <row r="182" spans="2:13" x14ac:dyDescent="0.25">
      <c r="F182" s="107"/>
      <c r="H182" s="2">
        <v>5966877004</v>
      </c>
      <c r="I182" s="2">
        <v>59</v>
      </c>
      <c r="J182" s="3">
        <v>46111</v>
      </c>
      <c r="K182" s="3">
        <v>46111</v>
      </c>
      <c r="L182" s="49" t="s">
        <v>618</v>
      </c>
      <c r="M182" s="3">
        <v>46118</v>
      </c>
    </row>
    <row r="183" spans="2:13" x14ac:dyDescent="0.25">
      <c r="H183" s="2">
        <v>5966876004</v>
      </c>
      <c r="I183" s="2">
        <v>59</v>
      </c>
      <c r="J183" s="3">
        <v>46111</v>
      </c>
      <c r="K183" s="3">
        <v>46111</v>
      </c>
      <c r="L183" s="49" t="s">
        <v>619</v>
      </c>
      <c r="M183" s="3">
        <v>46118</v>
      </c>
    </row>
    <row r="184" spans="2:13" x14ac:dyDescent="0.25">
      <c r="H184" s="2">
        <v>5966868004</v>
      </c>
      <c r="I184" s="2">
        <v>59</v>
      </c>
      <c r="J184" s="3">
        <v>46111</v>
      </c>
      <c r="K184" s="3">
        <v>46111</v>
      </c>
      <c r="L184" s="49" t="s">
        <v>620</v>
      </c>
      <c r="M184" s="3">
        <v>46118</v>
      </c>
    </row>
    <row r="185" spans="2:13" x14ac:dyDescent="0.25">
      <c r="H185" s="2">
        <v>5966822004</v>
      </c>
      <c r="I185" s="2">
        <v>59</v>
      </c>
      <c r="J185" s="3">
        <v>46111</v>
      </c>
      <c r="K185" s="3">
        <v>46111</v>
      </c>
      <c r="L185" s="49" t="s">
        <v>621</v>
      </c>
      <c r="M185" s="3">
        <v>46118</v>
      </c>
    </row>
    <row r="186" spans="2:13" x14ac:dyDescent="0.25">
      <c r="H186" s="2">
        <v>5966878004</v>
      </c>
      <c r="I186" s="2">
        <v>59</v>
      </c>
      <c r="J186" s="3">
        <v>46111</v>
      </c>
      <c r="K186" s="3">
        <v>46111</v>
      </c>
      <c r="L186" s="49" t="s">
        <v>622</v>
      </c>
      <c r="M186" s="3">
        <v>46118</v>
      </c>
    </row>
    <row r="187" spans="2:13" x14ac:dyDescent="0.25">
      <c r="H187" s="2">
        <v>5968209013</v>
      </c>
      <c r="I187" s="2">
        <v>59</v>
      </c>
      <c r="J187" s="3">
        <v>46197</v>
      </c>
      <c r="K187" s="3">
        <v>46197</v>
      </c>
      <c r="L187" s="49" t="s">
        <v>662</v>
      </c>
      <c r="M187" s="3">
        <v>46203</v>
      </c>
    </row>
    <row r="188" spans="2:13" x14ac:dyDescent="0.25">
      <c r="H188" s="2">
        <v>5901069122</v>
      </c>
      <c r="I188" s="2">
        <v>59</v>
      </c>
      <c r="J188" s="3">
        <v>45015</v>
      </c>
      <c r="K188" s="3">
        <v>46207</v>
      </c>
      <c r="L188" s="49" t="s">
        <v>511</v>
      </c>
    </row>
  </sheetData>
  <autoFilter ref="H4:M159" xr:uid="{00000000-0001-0000-0000-000000000000}"/>
  <phoneticPr fontId="3" type="noConversion"/>
  <conditionalFormatting sqref="H1:H101 H103:H1048576">
    <cfRule type="duplicateValues" dxfId="29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00FFFF"/>
  </sheetPr>
  <dimension ref="B3:Q760"/>
  <sheetViews>
    <sheetView showGridLines="0" tabSelected="1" zoomScaleNormal="100" workbookViewId="0">
      <selection activeCell="D5" sqref="D5"/>
    </sheetView>
  </sheetViews>
  <sheetFormatPr defaultRowHeight="15" x14ac:dyDescent="0.25"/>
  <cols>
    <col min="1" max="1" width="10.42578125" customWidth="1"/>
    <col min="2" max="2" width="11" bestFit="1" customWidth="1"/>
    <col min="3" max="3" width="5.140625" bestFit="1" customWidth="1"/>
    <col min="4" max="4" width="10.7109375" style="1" bestFit="1" customWidth="1"/>
    <col min="5" max="5" width="13.140625" style="1" bestFit="1" customWidth="1"/>
    <col min="6" max="6" width="80" style="37" bestFit="1" customWidth="1"/>
    <col min="8" max="8" width="12.85546875" style="2" bestFit="1" customWidth="1"/>
    <col min="9" max="9" width="9.7109375" style="2" bestFit="1" customWidth="1"/>
    <col min="10" max="10" width="17.140625" style="3" customWidth="1"/>
    <col min="11" max="11" width="14" style="3" customWidth="1"/>
    <col min="12" max="12" width="24.85546875" style="6" customWidth="1"/>
    <col min="13" max="13" width="25.85546875" style="3" customWidth="1"/>
    <col min="14" max="14" width="13.28515625" style="99" customWidth="1"/>
    <col min="15" max="15" width="10.85546875" style="98" customWidth="1"/>
  </cols>
  <sheetData>
    <row r="3" spans="2:15" ht="15.75" x14ac:dyDescent="0.25">
      <c r="B3" s="4" t="s">
        <v>0</v>
      </c>
      <c r="C3" s="4" t="s">
        <v>1</v>
      </c>
      <c r="D3" s="5" t="s">
        <v>2</v>
      </c>
      <c r="E3" s="5" t="s">
        <v>3</v>
      </c>
      <c r="F3" s="38" t="s">
        <v>112</v>
      </c>
      <c r="H3" s="32" t="s">
        <v>37</v>
      </c>
      <c r="I3" s="33"/>
      <c r="J3" s="34"/>
      <c r="K3" s="34"/>
      <c r="L3" s="35"/>
      <c r="M3" s="36"/>
    </row>
    <row r="4" spans="2:15" x14ac:dyDescent="0.25">
      <c r="B4">
        <v>7926839055</v>
      </c>
      <c r="C4">
        <v>79</v>
      </c>
      <c r="D4" s="1">
        <v>45479</v>
      </c>
      <c r="E4" s="1">
        <v>46273</v>
      </c>
      <c r="F4" s="37" t="str">
        <f>VLOOKUP(revtar_ins_aecc_CELTINS[[#This Row],[CODIGO]],H:M,5,)</f>
        <v>atualização de cadastro</v>
      </c>
      <c r="H4" s="54" t="s">
        <v>0</v>
      </c>
      <c r="I4" s="55" t="s">
        <v>1</v>
      </c>
      <c r="J4" s="56" t="s">
        <v>33</v>
      </c>
      <c r="K4" s="56" t="s">
        <v>34</v>
      </c>
      <c r="L4" s="57" t="s">
        <v>35</v>
      </c>
      <c r="M4" s="58" t="s">
        <v>36</v>
      </c>
    </row>
    <row r="5" spans="2:15" x14ac:dyDescent="0.25">
      <c r="B5">
        <v>7900663086</v>
      </c>
      <c r="C5">
        <v>79</v>
      </c>
      <c r="D5" s="1">
        <v>45456</v>
      </c>
      <c r="E5" s="1">
        <v>46277</v>
      </c>
      <c r="F5" s="37" t="str">
        <f>VLOOKUP(revtar_ins_aecc_CELTINS[[#This Row],[CODIGO]],H:M,5,)</f>
        <v>FORÇA TAREFA FLUXO INVERTIDA</v>
      </c>
      <c r="H5" s="11">
        <v>7951946041</v>
      </c>
      <c r="I5" s="12">
        <v>79</v>
      </c>
      <c r="J5" s="13">
        <v>45319</v>
      </c>
      <c r="K5" s="13">
        <v>45328</v>
      </c>
      <c r="L5" s="29" t="s">
        <v>12</v>
      </c>
      <c r="M5" s="15">
        <v>45330</v>
      </c>
      <c r="N5" s="10"/>
      <c r="O5"/>
    </row>
    <row r="6" spans="2:15" x14ac:dyDescent="0.25">
      <c r="B6">
        <v>7930359149</v>
      </c>
      <c r="C6">
        <v>79</v>
      </c>
      <c r="D6" s="1">
        <v>45456</v>
      </c>
      <c r="E6" s="1">
        <v>46277</v>
      </c>
      <c r="F6" s="37" t="str">
        <f>VLOOKUP(revtar_ins_aecc_CELTINS[[#This Row],[CODIGO]],H:M,5,)</f>
        <v>RELGADOR REMANEJADO - FISCAL JHONATTAS</v>
      </c>
      <c r="H6" s="16">
        <v>7900774036</v>
      </c>
      <c r="I6" s="2">
        <v>79</v>
      </c>
      <c r="J6" s="3">
        <v>45315</v>
      </c>
      <c r="K6" s="3">
        <v>45350</v>
      </c>
      <c r="L6" s="6" t="s">
        <v>18</v>
      </c>
      <c r="M6" s="17">
        <v>45352</v>
      </c>
      <c r="N6" s="10"/>
      <c r="O6"/>
    </row>
    <row r="7" spans="2:15" x14ac:dyDescent="0.25">
      <c r="B7">
        <v>7900888055</v>
      </c>
      <c r="C7">
        <v>79</v>
      </c>
      <c r="D7" s="1">
        <v>45955</v>
      </c>
      <c r="E7" s="1">
        <v>46273</v>
      </c>
      <c r="F7" s="37" t="str">
        <f>VLOOKUP(revtar_ins_aecc_CELTINS[[#This Row],[CODIGO]],H:M,5,)</f>
        <v>ATUALIZAÇÃO</v>
      </c>
      <c r="H7" s="16">
        <v>7951844001</v>
      </c>
      <c r="I7" s="2">
        <v>79</v>
      </c>
      <c r="J7" s="3">
        <v>45350</v>
      </c>
      <c r="K7" s="3">
        <v>45350</v>
      </c>
      <c r="L7" s="6" t="s">
        <v>13</v>
      </c>
      <c r="M7" s="17">
        <v>45351</v>
      </c>
      <c r="N7" s="10"/>
      <c r="O7"/>
    </row>
    <row r="8" spans="2:15" x14ac:dyDescent="0.25">
      <c r="B8">
        <v>7900654055</v>
      </c>
      <c r="C8">
        <v>79</v>
      </c>
      <c r="D8" s="1">
        <v>45955</v>
      </c>
      <c r="E8" s="1">
        <v>46273</v>
      </c>
      <c r="F8" s="37" t="str">
        <f>VLOOKUP(revtar_ins_aecc_CELTINS[[#This Row],[CODIGO]],H:M,5,)</f>
        <v>ATUALIZAÇÃO</v>
      </c>
      <c r="H8" s="16">
        <v>7953364073</v>
      </c>
      <c r="I8" s="2">
        <v>79</v>
      </c>
      <c r="J8" s="3">
        <v>45302</v>
      </c>
      <c r="K8" s="3">
        <v>45352</v>
      </c>
      <c r="L8" s="6" t="s">
        <v>9</v>
      </c>
      <c r="M8" s="17">
        <v>45351</v>
      </c>
      <c r="N8" s="10"/>
      <c r="O8"/>
    </row>
    <row r="9" spans="2:15" x14ac:dyDescent="0.25">
      <c r="B9">
        <v>7925563149</v>
      </c>
      <c r="C9">
        <v>79</v>
      </c>
      <c r="D9" s="1">
        <v>45547</v>
      </c>
      <c r="E9" s="1">
        <v>46273</v>
      </c>
      <c r="F9" s="37" t="str">
        <f>VLOOKUP(revtar_ins_aecc_CELTINS[[#This Row],[CODIGO]],H:M,5,)</f>
        <v xml:space="preserve"> atualização de cadastro</v>
      </c>
      <c r="H9" s="16">
        <v>7953139059</v>
      </c>
      <c r="I9" s="2">
        <v>79</v>
      </c>
      <c r="J9" s="3">
        <v>45308</v>
      </c>
      <c r="K9" s="3">
        <v>45355</v>
      </c>
      <c r="L9" s="6" t="s">
        <v>22</v>
      </c>
      <c r="M9" s="17">
        <v>45323</v>
      </c>
      <c r="N9" s="10"/>
      <c r="O9"/>
    </row>
    <row r="10" spans="2:15" ht="30" x14ac:dyDescent="0.25">
      <c r="B10">
        <v>7938135086</v>
      </c>
      <c r="C10">
        <v>79</v>
      </c>
      <c r="D10" s="1">
        <v>45425</v>
      </c>
      <c r="E10" s="1">
        <v>46277</v>
      </c>
      <c r="F10" s="37" t="str">
        <f>VLOOKUP(revtar_ins_aecc_CELTINS[[#This Row],[CODIGO]],H:M,5,)</f>
        <v>31/08/2022 sem ss
não sei o numero da obra</v>
      </c>
      <c r="H10" s="16">
        <v>7900032086</v>
      </c>
      <c r="I10" s="2">
        <v>79</v>
      </c>
      <c r="J10" s="3">
        <v>45330</v>
      </c>
      <c r="K10" s="3">
        <v>45357</v>
      </c>
      <c r="L10" s="6" t="s">
        <v>10</v>
      </c>
      <c r="M10" s="17">
        <v>45330</v>
      </c>
      <c r="N10" s="10"/>
      <c r="O10"/>
    </row>
    <row r="11" spans="2:15" x14ac:dyDescent="0.25">
      <c r="B11">
        <v>7925563149</v>
      </c>
      <c r="C11">
        <v>79</v>
      </c>
      <c r="D11" s="1">
        <v>45479</v>
      </c>
      <c r="E11" s="1">
        <v>45547</v>
      </c>
      <c r="F11" s="37" t="str">
        <f>VLOOKUP(revtar_ins_aecc_CELTINS[[#This Row],[CODIGO]],H:M,5,)</f>
        <v xml:space="preserve"> atualização de cadastro</v>
      </c>
      <c r="H11" s="16">
        <v>7909579077</v>
      </c>
      <c r="I11" s="2">
        <v>79</v>
      </c>
      <c r="J11" s="3">
        <v>45326</v>
      </c>
      <c r="K11" s="3">
        <v>45357</v>
      </c>
      <c r="L11" s="6" t="s">
        <v>17</v>
      </c>
      <c r="M11" s="17">
        <v>45351</v>
      </c>
      <c r="N11" s="10"/>
      <c r="O11"/>
    </row>
    <row r="12" spans="2:15" x14ac:dyDescent="0.25">
      <c r="B12">
        <v>7930359149</v>
      </c>
      <c r="C12">
        <v>79</v>
      </c>
      <c r="D12" s="1">
        <v>45425</v>
      </c>
      <c r="E12" s="1">
        <v>45456</v>
      </c>
      <c r="F12" s="37" t="str">
        <f>VLOOKUP(revtar_ins_aecc_CELTINS[[#This Row],[CODIGO]],H:M,5,)</f>
        <v>RELGADOR REMANEJADO - FISCAL JHONATTAS</v>
      </c>
      <c r="H12" s="16">
        <v>7953695077</v>
      </c>
      <c r="I12" s="2">
        <v>79</v>
      </c>
      <c r="J12" s="3">
        <v>45350</v>
      </c>
      <c r="K12" s="3">
        <v>45357</v>
      </c>
      <c r="L12" s="6" t="s">
        <v>7</v>
      </c>
      <c r="M12" s="17">
        <v>45351</v>
      </c>
      <c r="N12" s="10"/>
      <c r="O12"/>
    </row>
    <row r="13" spans="2:15" x14ac:dyDescent="0.25">
      <c r="B13">
        <v>7900663086</v>
      </c>
      <c r="C13">
        <v>79</v>
      </c>
      <c r="D13" s="1">
        <v>45425</v>
      </c>
      <c r="E13" s="1">
        <v>45456</v>
      </c>
      <c r="F13" s="37" t="str">
        <f>VLOOKUP(revtar_ins_aecc_CELTINS[[#This Row],[CODIGO]],H:M,5,)</f>
        <v>FORÇA TAREFA FLUXO INVERTIDA</v>
      </c>
      <c r="H13" s="16">
        <v>7954050193</v>
      </c>
      <c r="I13" s="2">
        <v>79</v>
      </c>
      <c r="J13" s="3">
        <v>45329</v>
      </c>
      <c r="K13" s="3">
        <v>45357</v>
      </c>
      <c r="L13" s="6" t="s">
        <v>4</v>
      </c>
      <c r="M13" s="17">
        <v>45349</v>
      </c>
      <c r="N13" s="10"/>
      <c r="O13"/>
    </row>
    <row r="14" spans="2:15" x14ac:dyDescent="0.25">
      <c r="B14">
        <v>7927751004</v>
      </c>
      <c r="C14">
        <v>79</v>
      </c>
      <c r="D14" s="1">
        <v>45953</v>
      </c>
      <c r="E14" s="1">
        <v>46274</v>
      </c>
      <c r="F14" s="37" t="str">
        <f>VLOOKUP(revtar_ins_aecc_CELTINS[[#This Row],[CODIGO]],H:M,5,)</f>
        <v>já está em operação</v>
      </c>
      <c r="H14" s="16">
        <v>7950870127</v>
      </c>
      <c r="I14" s="2">
        <v>79</v>
      </c>
      <c r="J14" s="3">
        <v>45307</v>
      </c>
      <c r="K14" s="3">
        <v>45358</v>
      </c>
      <c r="L14" s="6" t="s">
        <v>8</v>
      </c>
      <c r="M14" s="17">
        <v>45351</v>
      </c>
      <c r="N14" s="10"/>
      <c r="O14"/>
    </row>
    <row r="15" spans="2:15" x14ac:dyDescent="0.25">
      <c r="B15">
        <v>7927751004</v>
      </c>
      <c r="C15">
        <v>79</v>
      </c>
      <c r="D15" s="1">
        <v>45702</v>
      </c>
      <c r="E15" s="1">
        <v>46274</v>
      </c>
      <c r="F15" s="37" t="str">
        <f>VLOOKUP(revtar_ins_aecc_CELTINS[[#This Row],[CODIGO]],H:M,5,)</f>
        <v>já está em operação</v>
      </c>
      <c r="H15" s="16">
        <v>7951634086</v>
      </c>
      <c r="I15" s="2">
        <v>79</v>
      </c>
      <c r="J15" s="3">
        <v>45329</v>
      </c>
      <c r="K15" s="3">
        <v>45358</v>
      </c>
      <c r="L15" s="6" t="s">
        <v>14</v>
      </c>
      <c r="M15" s="17">
        <v>45336</v>
      </c>
      <c r="N15" s="10"/>
      <c r="O15"/>
    </row>
    <row r="16" spans="2:15" x14ac:dyDescent="0.25">
      <c r="B16">
        <v>7924930088</v>
      </c>
      <c r="C16">
        <v>79</v>
      </c>
      <c r="D16" s="1">
        <v>45969</v>
      </c>
      <c r="E16" s="1">
        <v>46271</v>
      </c>
      <c r="F16" s="37" t="str">
        <f>VLOOKUP(revtar_ins_aecc_CELTINS[[#This Row],[CODIGO]],H:M,5,)</f>
        <v>ATUALIZAÇÃO</v>
      </c>
      <c r="H16" s="16">
        <v>7953610256</v>
      </c>
      <c r="I16" s="2">
        <v>79</v>
      </c>
      <c r="J16" s="3">
        <v>45350</v>
      </c>
      <c r="K16" s="3">
        <v>45358</v>
      </c>
      <c r="L16" s="6" t="s">
        <v>11</v>
      </c>
      <c r="M16" s="17">
        <v>45350</v>
      </c>
      <c r="N16" s="10"/>
      <c r="O16"/>
    </row>
    <row r="17" spans="2:14" customFormat="1" x14ac:dyDescent="0.25">
      <c r="B17">
        <v>7921201014</v>
      </c>
      <c r="C17">
        <v>79</v>
      </c>
      <c r="D17" s="1">
        <v>45970</v>
      </c>
      <c r="E17" s="1">
        <v>46270</v>
      </c>
      <c r="F17" s="37" t="str">
        <f>VLOOKUP(revtar_ins_aecc_CELTINS[[#This Row],[CODIGO]],H:M,5,)</f>
        <v>ATUALIZAÇÃO</v>
      </c>
      <c r="H17" s="18">
        <v>7900001071</v>
      </c>
      <c r="I17" s="2">
        <v>79</v>
      </c>
      <c r="J17" s="3">
        <v>45370</v>
      </c>
      <c r="K17" s="3">
        <v>45370</v>
      </c>
      <c r="L17" s="6" t="s">
        <v>29</v>
      </c>
      <c r="M17" s="17">
        <v>45385</v>
      </c>
      <c r="N17" s="10"/>
    </row>
    <row r="18" spans="2:14" customFormat="1" ht="60" x14ac:dyDescent="0.25">
      <c r="B18">
        <v>7927138110</v>
      </c>
      <c r="C18">
        <v>79</v>
      </c>
      <c r="D18" s="1">
        <v>45970</v>
      </c>
      <c r="E18" s="1">
        <v>46270</v>
      </c>
      <c r="F18" s="37" t="str">
        <f>VLOOKUP(revtar_ins_aecc_CELTINS[[#This Row],[CODIGO]],H:M,5,)</f>
        <v>ATUALIZAÇÃO</v>
      </c>
      <c r="H18" s="18">
        <v>7924620042</v>
      </c>
      <c r="I18" s="2">
        <v>79</v>
      </c>
      <c r="J18" s="3">
        <v>45373</v>
      </c>
      <c r="K18" s="3">
        <v>45373</v>
      </c>
      <c r="L18" s="6" t="s">
        <v>44</v>
      </c>
      <c r="M18" s="17">
        <v>45385</v>
      </c>
      <c r="N18" s="10"/>
    </row>
    <row r="19" spans="2:14" customFormat="1" x14ac:dyDescent="0.25">
      <c r="B19">
        <v>7919270014</v>
      </c>
      <c r="C19">
        <v>79</v>
      </c>
      <c r="D19" s="1">
        <v>46077</v>
      </c>
      <c r="E19" s="1">
        <v>46256</v>
      </c>
      <c r="F19" s="37" t="str">
        <f>VLOOKUP(revtar_ins_aecc_CELTINS[[#This Row],[CODIGO]],H:M,5,)</f>
        <v>ETO-PROT53/2026</v>
      </c>
      <c r="H19" s="16">
        <v>7948129130</v>
      </c>
      <c r="I19" s="2">
        <v>79</v>
      </c>
      <c r="J19" s="3">
        <v>45365</v>
      </c>
      <c r="K19" s="3">
        <v>45374</v>
      </c>
      <c r="L19" s="6" t="s">
        <v>38</v>
      </c>
      <c r="M19" s="17">
        <v>45216</v>
      </c>
      <c r="N19" s="10"/>
    </row>
    <row r="20" spans="2:14" customFormat="1" x14ac:dyDescent="0.25">
      <c r="B20">
        <v>7920008152</v>
      </c>
      <c r="C20">
        <v>79</v>
      </c>
      <c r="D20" s="1">
        <v>45992</v>
      </c>
      <c r="E20" s="1">
        <v>46263</v>
      </c>
      <c r="F20" s="69" t="str">
        <f>VLOOKUP(revtar_ins_aecc_CELTINS[[#This Row],[CODIGO]],H:M,5,)</f>
        <v>ATUALIZAÇÃO</v>
      </c>
      <c r="H20" s="16">
        <v>7952416122</v>
      </c>
      <c r="I20" s="2">
        <v>79</v>
      </c>
      <c r="J20" s="3">
        <v>45377</v>
      </c>
      <c r="K20" s="3">
        <v>45379</v>
      </c>
      <c r="L20" s="6" t="s">
        <v>39</v>
      </c>
      <c r="M20" s="17">
        <v>45383</v>
      </c>
      <c r="N20" s="10"/>
    </row>
    <row r="21" spans="2:14" customFormat="1" x14ac:dyDescent="0.25">
      <c r="B21">
        <v>7925081028</v>
      </c>
      <c r="C21">
        <v>79</v>
      </c>
      <c r="D21" s="1">
        <v>45992</v>
      </c>
      <c r="E21" s="1">
        <v>46256</v>
      </c>
      <c r="F21" s="37" t="str">
        <f>VLOOKUP(revtar_ins_aecc_CELTINS[[#This Row],[CODIGO]],H:M,5,)</f>
        <v>ATUALIZAÇÃO</v>
      </c>
      <c r="H21" s="16">
        <v>7952138122</v>
      </c>
      <c r="I21" s="2">
        <v>79</v>
      </c>
      <c r="J21" s="3">
        <v>45377</v>
      </c>
      <c r="K21" s="3">
        <v>45379</v>
      </c>
      <c r="L21" s="6" t="s">
        <v>40</v>
      </c>
      <c r="M21" s="17">
        <v>45383</v>
      </c>
      <c r="N21" s="10"/>
    </row>
    <row r="22" spans="2:14" customFormat="1" ht="30" x14ac:dyDescent="0.25">
      <c r="B22">
        <v>7925081028</v>
      </c>
      <c r="C22">
        <v>79</v>
      </c>
      <c r="D22" s="1">
        <v>45953</v>
      </c>
      <c r="E22" s="1">
        <v>46263</v>
      </c>
      <c r="F22" s="37" t="str">
        <f>VLOOKUP(revtar_ins_aecc_CELTINS[[#This Row],[CODIGO]],H:M,5,)</f>
        <v>ATUALIZAÇÃO</v>
      </c>
      <c r="H22" s="18">
        <v>7950310122</v>
      </c>
      <c r="I22" s="61">
        <v>79</v>
      </c>
      <c r="J22" s="62">
        <v>45384</v>
      </c>
      <c r="K22" s="62">
        <v>45384</v>
      </c>
      <c r="L22" s="63" t="s">
        <v>42</v>
      </c>
      <c r="M22" s="30" t="s">
        <v>41</v>
      </c>
      <c r="N22" s="10"/>
    </row>
    <row r="23" spans="2:14" customFormat="1" x14ac:dyDescent="0.25">
      <c r="B23">
        <v>7961041073</v>
      </c>
      <c r="C23">
        <v>79</v>
      </c>
      <c r="D23" s="1">
        <v>45933</v>
      </c>
      <c r="E23" s="1">
        <v>46234</v>
      </c>
      <c r="F23" s="37" t="str">
        <f>VLOOKUP(revtar_ins_aecc_CELTINS[[#This Row],[CODIGO]],H:M,5,)</f>
        <v>ETO-PROT300/2025</v>
      </c>
      <c r="G23" s="7"/>
      <c r="H23" s="16">
        <v>7952613004</v>
      </c>
      <c r="I23" s="2">
        <v>79</v>
      </c>
      <c r="J23" s="3">
        <v>45370</v>
      </c>
      <c r="K23" s="3">
        <v>45384</v>
      </c>
      <c r="L23" s="6" t="s">
        <v>43</v>
      </c>
      <c r="M23" s="17">
        <v>45373</v>
      </c>
      <c r="N23" s="10"/>
    </row>
    <row r="24" spans="2:14" customFormat="1" x14ac:dyDescent="0.25">
      <c r="B24">
        <v>7964815091</v>
      </c>
      <c r="C24">
        <v>79</v>
      </c>
      <c r="D24" s="1">
        <v>45960</v>
      </c>
      <c r="E24" s="1">
        <v>46261</v>
      </c>
      <c r="F24" s="37" t="str">
        <f>VLOOKUP(revtar_ins_aecc_CELTINS[[#This Row],[CODIGO]],H:M,5,)</f>
        <v>ETO-PROT344/2025</v>
      </c>
      <c r="H24" s="16">
        <v>7925126060</v>
      </c>
      <c r="I24" s="2">
        <v>79</v>
      </c>
      <c r="J24" s="3">
        <v>45385</v>
      </c>
      <c r="K24" s="3">
        <v>45385</v>
      </c>
      <c r="L24" s="6" t="s">
        <v>52</v>
      </c>
      <c r="M24" s="17">
        <v>45385</v>
      </c>
      <c r="N24" s="10"/>
    </row>
    <row r="25" spans="2:14" customFormat="1" x14ac:dyDescent="0.25">
      <c r="B25">
        <v>7965133015</v>
      </c>
      <c r="C25">
        <v>79</v>
      </c>
      <c r="D25" s="1">
        <v>46063</v>
      </c>
      <c r="E25" s="1">
        <v>46265</v>
      </c>
      <c r="F25" s="37" t="str">
        <f>VLOOKUP(revtar_ins_aecc_CELTINS[[#This Row],[CODIGO]],H:M,5,)</f>
        <v>ETO-PROT38/2026</v>
      </c>
      <c r="H25" s="16">
        <v>7954864073</v>
      </c>
      <c r="I25" s="2">
        <v>79</v>
      </c>
      <c r="J25" s="3">
        <v>45391</v>
      </c>
      <c r="K25" s="3">
        <v>45391</v>
      </c>
      <c r="L25" s="6" t="s">
        <v>54</v>
      </c>
      <c r="M25" s="17">
        <v>45394</v>
      </c>
      <c r="N25" s="10"/>
    </row>
    <row r="26" spans="2:14" customFormat="1" x14ac:dyDescent="0.25">
      <c r="B26">
        <v>7955942014</v>
      </c>
      <c r="C26">
        <v>79</v>
      </c>
      <c r="D26" s="1">
        <v>45520</v>
      </c>
      <c r="E26" s="1">
        <v>46270</v>
      </c>
      <c r="F26" s="37" t="str">
        <f>VLOOKUP(revtar_ins_aecc_CELTINS[[#This Row],[CODIGO]],H:M,5,)</f>
        <v>ETO-PROT235/2024</v>
      </c>
      <c r="H26" s="16">
        <v>7952841155</v>
      </c>
      <c r="I26" s="2">
        <v>79</v>
      </c>
      <c r="J26" s="3">
        <v>45399</v>
      </c>
      <c r="K26" s="3">
        <v>45399</v>
      </c>
      <c r="L26" s="6" t="s">
        <v>57</v>
      </c>
      <c r="M26" s="17">
        <v>45404</v>
      </c>
      <c r="N26" s="10"/>
    </row>
    <row r="27" spans="2:14" customFormat="1" ht="30" x14ac:dyDescent="0.25">
      <c r="B27">
        <v>7954900073</v>
      </c>
      <c r="C27">
        <v>79</v>
      </c>
      <c r="D27" s="1">
        <v>45478</v>
      </c>
      <c r="E27" s="1">
        <v>46234</v>
      </c>
      <c r="F27" s="37" t="str">
        <f>VLOOKUP(revtar_ins_aecc_CELTINS[[#This Row],[CODIGO]],H:M,5,)</f>
        <v>ETO-PROT176/2024</v>
      </c>
      <c r="H27" s="16">
        <v>7935588122</v>
      </c>
      <c r="I27" s="2">
        <v>79</v>
      </c>
      <c r="J27" s="3">
        <v>45401</v>
      </c>
      <c r="K27" s="3">
        <v>45401</v>
      </c>
      <c r="L27" s="6" t="s">
        <v>56</v>
      </c>
      <c r="M27" s="17">
        <v>45404</v>
      </c>
      <c r="N27" s="10"/>
    </row>
    <row r="28" spans="2:14" customFormat="1" x14ac:dyDescent="0.25">
      <c r="B28">
        <v>7900732001</v>
      </c>
      <c r="C28">
        <v>79</v>
      </c>
      <c r="D28" s="1">
        <v>45988</v>
      </c>
      <c r="E28" s="1">
        <v>46276</v>
      </c>
      <c r="F28" s="37" t="str">
        <f>VLOOKUP(revtar_ins_aecc_CELTINS[[#This Row],[CODIGO]],H:M,5,)</f>
        <v>ATUALIZAÇÃO</v>
      </c>
      <c r="H28" s="16">
        <v>7954668084</v>
      </c>
      <c r="I28" s="2"/>
      <c r="J28" s="3"/>
      <c r="K28" s="3"/>
      <c r="L28" s="6" t="s">
        <v>59</v>
      </c>
      <c r="M28" s="17">
        <v>45425</v>
      </c>
      <c r="N28" s="10"/>
    </row>
    <row r="29" spans="2:14" customFormat="1" x14ac:dyDescent="0.25">
      <c r="B29">
        <v>7900059009</v>
      </c>
      <c r="C29">
        <v>79</v>
      </c>
      <c r="D29" s="1">
        <v>45511</v>
      </c>
      <c r="E29" s="1">
        <v>46234</v>
      </c>
      <c r="F29" s="37" t="str">
        <f>VLOOKUP(revtar_ins_aecc_CELTINS[[#This Row],[CODIGO]],H:M,5,)</f>
        <v>já está em operação</v>
      </c>
      <c r="H29" s="18">
        <v>7927413001</v>
      </c>
      <c r="I29" s="2">
        <v>79</v>
      </c>
      <c r="J29" s="3">
        <v>45418</v>
      </c>
      <c r="K29" s="3">
        <v>45418</v>
      </c>
      <c r="L29" s="6" t="s">
        <v>65</v>
      </c>
      <c r="M29" s="17">
        <v>45425</v>
      </c>
      <c r="N29" s="10"/>
    </row>
    <row r="30" spans="2:14" customFormat="1" ht="30" x14ac:dyDescent="0.25">
      <c r="B30">
        <v>7924620042</v>
      </c>
      <c r="C30">
        <v>79</v>
      </c>
      <c r="D30" s="1">
        <v>45953</v>
      </c>
      <c r="E30" s="1">
        <v>46240</v>
      </c>
      <c r="F30" s="37" t="str">
        <f>VLOOKUP(revtar_ins_aecc_CELTINS[[#This Row],[CODIGO]],H:M,5,)</f>
        <v xml:space="preserve">CASO QUE SUMIU RL DA BASE, E FOI ABERTO RECONFIGURAÇÃO DE REDE PARA AJUSTES. </v>
      </c>
      <c r="H30" s="18">
        <v>7931381013</v>
      </c>
      <c r="I30" s="2">
        <v>79</v>
      </c>
      <c r="J30" s="3">
        <v>45419</v>
      </c>
      <c r="K30" s="3">
        <v>45420</v>
      </c>
      <c r="L30" s="6" t="s">
        <v>56</v>
      </c>
      <c r="M30" s="17">
        <v>45425</v>
      </c>
      <c r="N30" s="10"/>
    </row>
    <row r="31" spans="2:14" customFormat="1" x14ac:dyDescent="0.25">
      <c r="B31">
        <v>7938136007</v>
      </c>
      <c r="C31">
        <v>79</v>
      </c>
      <c r="D31" s="1">
        <v>45953</v>
      </c>
      <c r="E31" s="1">
        <v>46273</v>
      </c>
      <c r="F31" s="37" t="str">
        <f>VLOOKUP(revtar_ins_aecc_CELTINS[[#This Row],[CODIGO]],H:M,5,)</f>
        <v>ATUALIZAÇÃO</v>
      </c>
      <c r="H31" s="18">
        <v>7938139013</v>
      </c>
      <c r="I31" s="2">
        <v>79</v>
      </c>
      <c r="J31" s="3">
        <v>45419</v>
      </c>
      <c r="K31" s="3">
        <v>45420</v>
      </c>
      <c r="L31" s="6" t="s">
        <v>66</v>
      </c>
      <c r="M31" s="17">
        <v>45425</v>
      </c>
      <c r="N31" s="10"/>
    </row>
    <row r="32" spans="2:14" customFormat="1" x14ac:dyDescent="0.25">
      <c r="B32">
        <v>7938136007</v>
      </c>
      <c r="C32">
        <v>79</v>
      </c>
      <c r="D32" s="1">
        <v>45967</v>
      </c>
      <c r="E32" s="1">
        <v>46239</v>
      </c>
      <c r="F32" s="37" t="str">
        <f>VLOOKUP(revtar_ins_aecc_CELTINS[[#This Row],[CODIGO]],H:M,5,)</f>
        <v>ATUALIZAÇÃO</v>
      </c>
      <c r="H32" s="16">
        <v>7954476060</v>
      </c>
      <c r="I32" s="2">
        <v>79</v>
      </c>
      <c r="J32" s="3">
        <v>45428</v>
      </c>
      <c r="K32" s="3">
        <v>45428</v>
      </c>
      <c r="L32" s="6" t="s">
        <v>68</v>
      </c>
      <c r="M32" s="17">
        <v>45428</v>
      </c>
      <c r="N32" s="10"/>
    </row>
    <row r="33" spans="2:14" customFormat="1" x14ac:dyDescent="0.25">
      <c r="B33">
        <v>7900059009</v>
      </c>
      <c r="C33">
        <v>79</v>
      </c>
      <c r="D33" s="1">
        <v>45961</v>
      </c>
      <c r="E33" s="1">
        <v>46234</v>
      </c>
      <c r="F33" s="37" t="str">
        <f>VLOOKUP(revtar_ins_aecc_CELTINS[[#This Row],[CODIGO]],H:M,5,)</f>
        <v>já está em operação</v>
      </c>
      <c r="H33" s="16">
        <v>7934387004</v>
      </c>
      <c r="I33" s="2">
        <v>79</v>
      </c>
      <c r="J33" s="3">
        <v>45407</v>
      </c>
      <c r="K33" s="3">
        <v>45407</v>
      </c>
      <c r="L33" s="6" t="s">
        <v>70</v>
      </c>
      <c r="M33" s="17">
        <v>45428</v>
      </c>
      <c r="N33" s="10"/>
    </row>
    <row r="34" spans="2:14" customFormat="1" ht="30" x14ac:dyDescent="0.25">
      <c r="B34">
        <v>7957023094</v>
      </c>
      <c r="C34">
        <v>79</v>
      </c>
      <c r="D34" s="1">
        <v>45589</v>
      </c>
      <c r="E34" s="1">
        <v>46261</v>
      </c>
      <c r="F34" s="37" t="str">
        <f>VLOOKUP(revtar_ins_aecc_CELTINS[[#This Row],[CODIGO]],H:M,5,)</f>
        <v>ETO-PROT359/2024</v>
      </c>
      <c r="H34" s="31">
        <v>7924620042</v>
      </c>
      <c r="I34" s="2">
        <v>79</v>
      </c>
      <c r="J34" s="3">
        <v>45439</v>
      </c>
      <c r="K34" s="3">
        <v>45439</v>
      </c>
      <c r="L34" s="6" t="s">
        <v>78</v>
      </c>
      <c r="M34" s="17">
        <v>45439</v>
      </c>
      <c r="N34" s="10" t="s">
        <v>73</v>
      </c>
    </row>
    <row r="35" spans="2:14" customFormat="1" x14ac:dyDescent="0.25">
      <c r="B35">
        <v>7950310122</v>
      </c>
      <c r="C35">
        <v>79</v>
      </c>
      <c r="D35" s="1">
        <v>45953</v>
      </c>
      <c r="E35" s="1">
        <v>46270</v>
      </c>
      <c r="F35" s="37" t="str">
        <f>VLOOKUP(revtar_ins_aecc_CELTINS[[#This Row],[CODIGO]],H:M,5,)</f>
        <v>23/11/22 FISCALIZAÇÃO FINAL APROVADA</v>
      </c>
      <c r="H35" s="31">
        <v>7952852014</v>
      </c>
      <c r="I35" s="2">
        <v>79</v>
      </c>
      <c r="J35" s="3">
        <v>45435</v>
      </c>
      <c r="K35" s="3">
        <v>45435</v>
      </c>
      <c r="L35" s="6" t="s">
        <v>71</v>
      </c>
      <c r="M35" s="17">
        <v>45435</v>
      </c>
      <c r="N35" s="10"/>
    </row>
    <row r="36" spans="2:14" customFormat="1" x14ac:dyDescent="0.25">
      <c r="B36">
        <v>7950310122</v>
      </c>
      <c r="C36">
        <v>79</v>
      </c>
      <c r="D36" s="1">
        <v>45418</v>
      </c>
      <c r="E36" s="1">
        <v>46247</v>
      </c>
      <c r="F36" s="37" t="str">
        <f>VLOOKUP(revtar_ins_aecc_CELTINS[[#This Row],[CODIGO]],H:M,5,)</f>
        <v>23/11/22 FISCALIZAÇÃO FINAL APROVADA</v>
      </c>
      <c r="H36" s="31">
        <v>7954534046</v>
      </c>
      <c r="I36" s="2">
        <v>79</v>
      </c>
      <c r="J36" s="3">
        <v>45436</v>
      </c>
      <c r="K36" s="3">
        <v>45436</v>
      </c>
      <c r="L36" s="6" t="s">
        <v>72</v>
      </c>
      <c r="M36" s="17">
        <v>45436</v>
      </c>
      <c r="N36" s="10"/>
    </row>
    <row r="37" spans="2:14" customFormat="1" ht="30" x14ac:dyDescent="0.25">
      <c r="B37">
        <v>7941530122</v>
      </c>
      <c r="C37">
        <v>79</v>
      </c>
      <c r="D37" s="1">
        <v>45955</v>
      </c>
      <c r="E37" s="1">
        <v>46234</v>
      </c>
      <c r="F37" s="37" t="str">
        <f>VLOOKUP(revtar_ins_aecc_CELTINS[[#This Row],[CODIGO]],H:M,5,)</f>
        <v>ATUALIZAÇÃO</v>
      </c>
      <c r="H37" s="16">
        <v>7930359149</v>
      </c>
      <c r="I37" s="2">
        <v>79</v>
      </c>
      <c r="J37" s="3">
        <v>45425</v>
      </c>
      <c r="K37" s="3">
        <v>45435</v>
      </c>
      <c r="L37" s="6" t="s">
        <v>74</v>
      </c>
      <c r="M37" s="17">
        <v>45439</v>
      </c>
      <c r="N37" s="10" t="s">
        <v>75</v>
      </c>
    </row>
    <row r="38" spans="2:14" customFormat="1" ht="30" x14ac:dyDescent="0.25">
      <c r="B38">
        <v>7900732001</v>
      </c>
      <c r="C38">
        <v>79</v>
      </c>
      <c r="D38" s="1">
        <v>45953</v>
      </c>
      <c r="E38" s="1">
        <v>46234</v>
      </c>
      <c r="F38" s="37" t="str">
        <f>VLOOKUP(revtar_ins_aecc_CELTINS[[#This Row],[CODIGO]],H:M,5,)</f>
        <v>ATUALIZAÇÃO</v>
      </c>
      <c r="H38" s="16">
        <v>7938135086</v>
      </c>
      <c r="I38" s="2">
        <v>79</v>
      </c>
      <c r="J38" s="3">
        <v>45425</v>
      </c>
      <c r="K38" s="3">
        <v>45435</v>
      </c>
      <c r="L38" s="6" t="s">
        <v>76</v>
      </c>
      <c r="M38" s="17">
        <v>45439</v>
      </c>
      <c r="N38" s="10" t="s">
        <v>75</v>
      </c>
    </row>
    <row r="39" spans="2:14" customFormat="1" ht="30" x14ac:dyDescent="0.25">
      <c r="B39">
        <v>7936332013</v>
      </c>
      <c r="C39">
        <v>79</v>
      </c>
      <c r="D39" s="1">
        <v>45853</v>
      </c>
      <c r="E39" s="1">
        <v>46234</v>
      </c>
      <c r="F39" s="37" t="str">
        <f>VLOOKUP(revtar_ins_aecc_CELTINS[[#This Row],[CODIGO]],H:M,5,)</f>
        <v>já está em operação</v>
      </c>
      <c r="H39" s="16">
        <v>7908709122</v>
      </c>
      <c r="I39" s="2">
        <v>79</v>
      </c>
      <c r="J39" s="3">
        <v>45422</v>
      </c>
      <c r="K39" s="3">
        <v>45424</v>
      </c>
      <c r="L39" s="6" t="s">
        <v>77</v>
      </c>
      <c r="M39" s="17">
        <v>45439</v>
      </c>
      <c r="N39" s="10" t="s">
        <v>75</v>
      </c>
    </row>
    <row r="40" spans="2:14" customFormat="1" ht="45" x14ac:dyDescent="0.25">
      <c r="B40">
        <v>7921201014</v>
      </c>
      <c r="C40">
        <v>79</v>
      </c>
      <c r="D40" s="1">
        <v>45958</v>
      </c>
      <c r="E40" s="1">
        <v>46278</v>
      </c>
      <c r="F40" s="37" t="str">
        <f>VLOOKUP(revtar_ins_aecc_CELTINS[[#This Row],[CODIGO]],H:M,5,)</f>
        <v>ATUALIZAÇÃO</v>
      </c>
      <c r="H40" s="16">
        <v>7910051041</v>
      </c>
      <c r="I40" s="2">
        <v>79</v>
      </c>
      <c r="J40" s="3">
        <v>45429</v>
      </c>
      <c r="K40" s="3">
        <v>45433</v>
      </c>
      <c r="L40" s="6" t="s">
        <v>158</v>
      </c>
      <c r="M40" s="17">
        <v>45439</v>
      </c>
      <c r="N40" s="10" t="s">
        <v>73</v>
      </c>
    </row>
    <row r="41" spans="2:14" customFormat="1" x14ac:dyDescent="0.25">
      <c r="B41">
        <v>7900032086</v>
      </c>
      <c r="C41">
        <v>79</v>
      </c>
      <c r="D41" s="1">
        <v>45330</v>
      </c>
      <c r="E41" s="1">
        <v>46278</v>
      </c>
      <c r="F41" s="37" t="str">
        <f>VLOOKUP(revtar_ins_aecc_CELTINS[[#This Row],[CODIGO]],H:M,5,)</f>
        <v>ETO-PROT48/2024</v>
      </c>
      <c r="H41" s="16">
        <v>7948105088</v>
      </c>
      <c r="I41" s="2">
        <v>79</v>
      </c>
      <c r="J41" s="3">
        <v>45447</v>
      </c>
      <c r="K41" s="3">
        <v>45447</v>
      </c>
      <c r="L41" s="6" t="s">
        <v>80</v>
      </c>
      <c r="M41" s="17">
        <v>45447</v>
      </c>
      <c r="N41" s="10"/>
    </row>
    <row r="42" spans="2:14" customFormat="1" x14ac:dyDescent="0.25">
      <c r="B42">
        <v>7954900073</v>
      </c>
      <c r="C42">
        <v>79</v>
      </c>
      <c r="D42" s="1">
        <v>45953</v>
      </c>
      <c r="E42" s="1">
        <v>46271</v>
      </c>
      <c r="F42" s="37" t="str">
        <f>VLOOKUP(revtar_ins_aecc_CELTINS[[#This Row],[CODIGO]],H:M,5,)</f>
        <v>ETO-PROT176/2024</v>
      </c>
      <c r="H42" s="16">
        <v>7950004155</v>
      </c>
      <c r="I42" s="2"/>
      <c r="J42" s="3"/>
      <c r="K42" s="3"/>
      <c r="L42" s="6" t="s">
        <v>84</v>
      </c>
      <c r="M42" s="17">
        <v>45453</v>
      </c>
      <c r="N42" s="10"/>
    </row>
    <row r="43" spans="2:14" customFormat="1" x14ac:dyDescent="0.25">
      <c r="B43">
        <v>7948129130</v>
      </c>
      <c r="C43">
        <v>79</v>
      </c>
      <c r="D43" s="1">
        <v>45521</v>
      </c>
      <c r="E43" s="1">
        <v>46271</v>
      </c>
      <c r="F43" s="37" t="str">
        <f>VLOOKUP(revtar_ins_aecc_CELTINS[[#This Row],[CODIGO]],H:M,5,)</f>
        <v>ETO-PROT262/2023</v>
      </c>
      <c r="H43" s="16">
        <v>7954491004</v>
      </c>
      <c r="I43" s="2"/>
      <c r="J43" s="3"/>
      <c r="K43" s="3"/>
      <c r="L43" s="6" t="s">
        <v>86</v>
      </c>
      <c r="M43" s="17">
        <v>45453</v>
      </c>
      <c r="N43" s="10"/>
    </row>
    <row r="44" spans="2:14" customFormat="1" x14ac:dyDescent="0.25">
      <c r="B44">
        <v>7924621097</v>
      </c>
      <c r="C44">
        <v>79</v>
      </c>
      <c r="D44" s="1">
        <v>46241</v>
      </c>
      <c r="E44" s="1">
        <v>46269</v>
      </c>
      <c r="F44" s="37" t="str">
        <f>VLOOKUP(revtar_ins_aecc_CELTINS[[#This Row],[CODIGO]],H:M,5,)</f>
        <v>NF =&gt; NA</v>
      </c>
      <c r="H44" s="16">
        <v>7934500003</v>
      </c>
      <c r="I44" s="2">
        <v>79</v>
      </c>
      <c r="J44" s="3">
        <v>45451</v>
      </c>
      <c r="K44" s="3">
        <v>45452</v>
      </c>
      <c r="L44" s="53" t="s">
        <v>87</v>
      </c>
      <c r="M44" s="17">
        <v>45453</v>
      </c>
      <c r="N44" s="10"/>
    </row>
    <row r="45" spans="2:14" customFormat="1" x14ac:dyDescent="0.25">
      <c r="B45">
        <v>7931865074</v>
      </c>
      <c r="C45">
        <v>79</v>
      </c>
      <c r="D45" s="1">
        <v>45953</v>
      </c>
      <c r="E45" s="1">
        <v>46246</v>
      </c>
      <c r="F45" s="69" t="str">
        <f>VLOOKUP(revtar_ins_aecc_CELTINS[[#This Row],[CODIGO]],H:M,5,)</f>
        <v>ATUALIZAÇÃO</v>
      </c>
      <c r="H45" s="16">
        <v>7954910004</v>
      </c>
      <c r="I45" s="2">
        <v>79</v>
      </c>
      <c r="J45" s="3">
        <v>45439</v>
      </c>
      <c r="K45" s="3">
        <v>45440</v>
      </c>
      <c r="L45" s="6" t="s">
        <v>88</v>
      </c>
      <c r="M45" s="17">
        <v>45453</v>
      </c>
      <c r="N45" s="10"/>
    </row>
    <row r="46" spans="2:14" customFormat="1" x14ac:dyDescent="0.25">
      <c r="B46">
        <v>7931865074</v>
      </c>
      <c r="C46">
        <v>79</v>
      </c>
      <c r="D46" s="1">
        <v>45967</v>
      </c>
      <c r="E46" s="1">
        <v>46276</v>
      </c>
      <c r="F46" s="37" t="str">
        <f>VLOOKUP(revtar_ins_aecc_CELTINS[[#This Row],[CODIGO]],H:M,5,)</f>
        <v>ATUALIZAÇÃO</v>
      </c>
      <c r="H46" s="16">
        <v>7948105221</v>
      </c>
      <c r="I46" s="2">
        <v>79</v>
      </c>
      <c r="J46" s="3">
        <v>45442</v>
      </c>
      <c r="K46" s="3">
        <v>45451</v>
      </c>
      <c r="L46" s="6" t="s">
        <v>89</v>
      </c>
      <c r="M46" s="17">
        <v>45450</v>
      </c>
      <c r="N46" s="10"/>
    </row>
    <row r="47" spans="2:14" customFormat="1" ht="30" x14ac:dyDescent="0.25">
      <c r="B47">
        <v>7900100147</v>
      </c>
      <c r="C47">
        <v>79</v>
      </c>
      <c r="D47" s="1">
        <v>45967</v>
      </c>
      <c r="E47" s="1">
        <v>46256</v>
      </c>
      <c r="F47" s="37" t="str">
        <f>VLOOKUP(revtar_ins_aecc_CELTINS[[#This Row],[CODIGO]],H:M,5,)</f>
        <v>ATUALIZAÇÃO</v>
      </c>
      <c r="H47" s="16">
        <v>7943790134</v>
      </c>
      <c r="I47" s="2">
        <v>79</v>
      </c>
      <c r="J47" s="3">
        <v>45440</v>
      </c>
      <c r="K47" s="3">
        <v>45449</v>
      </c>
      <c r="L47" s="6" t="s">
        <v>56</v>
      </c>
      <c r="M47" s="17">
        <v>45453</v>
      </c>
      <c r="N47" s="10"/>
    </row>
    <row r="48" spans="2:14" customFormat="1" x14ac:dyDescent="0.25">
      <c r="B48">
        <v>7900888055</v>
      </c>
      <c r="C48">
        <v>79</v>
      </c>
      <c r="D48" s="1">
        <v>45967</v>
      </c>
      <c r="E48" s="1">
        <v>46276</v>
      </c>
      <c r="F48" s="69" t="str">
        <f>VLOOKUP(revtar_ins_aecc_CELTINS[[#This Row],[CODIGO]],H:M,5,)</f>
        <v>ATUALIZAÇÃO</v>
      </c>
      <c r="H48" s="16">
        <v>7948140088</v>
      </c>
      <c r="I48" s="2">
        <v>79</v>
      </c>
      <c r="J48" s="3">
        <v>45442</v>
      </c>
      <c r="K48" s="3">
        <v>45448</v>
      </c>
      <c r="L48" s="6" t="s">
        <v>90</v>
      </c>
      <c r="M48" s="17">
        <v>45450</v>
      </c>
      <c r="N48" s="10"/>
    </row>
    <row r="49" spans="2:14" customFormat="1" x14ac:dyDescent="0.25">
      <c r="B49">
        <v>7900161017</v>
      </c>
      <c r="C49">
        <v>79</v>
      </c>
      <c r="D49" s="1">
        <v>45953</v>
      </c>
      <c r="E49" s="1">
        <v>46276</v>
      </c>
      <c r="F49" s="69" t="str">
        <f>VLOOKUP(revtar_ins_aecc_CELTINS[[#This Row],[CODIGO]],H:M,5,)</f>
        <v>ATUALIZAÇÃO</v>
      </c>
      <c r="H49" s="16">
        <v>7931556013</v>
      </c>
      <c r="I49" s="2">
        <v>79</v>
      </c>
      <c r="J49" s="3">
        <v>45449</v>
      </c>
      <c r="K49" s="3">
        <v>45450</v>
      </c>
      <c r="L49" s="64" t="s">
        <v>83</v>
      </c>
      <c r="M49" s="17">
        <v>45453</v>
      </c>
      <c r="N49" s="10"/>
    </row>
    <row r="50" spans="2:14" customFormat="1" x14ac:dyDescent="0.25">
      <c r="B50">
        <v>7924623200</v>
      </c>
      <c r="C50">
        <v>79</v>
      </c>
      <c r="D50" s="1">
        <v>46056</v>
      </c>
      <c r="E50" s="1">
        <v>46269</v>
      </c>
      <c r="F50" s="37" t="str">
        <f>VLOOKUP(revtar_ins_aecc_CELTINS[[#This Row],[CODIGO]],H:M,5,)</f>
        <v>ATUALIZAÇÃO</v>
      </c>
      <c r="H50" s="16">
        <v>7949914001</v>
      </c>
      <c r="I50" s="2">
        <v>79</v>
      </c>
      <c r="J50" s="3">
        <v>45448</v>
      </c>
      <c r="K50" s="3">
        <v>45452</v>
      </c>
      <c r="L50" s="6" t="s">
        <v>91</v>
      </c>
      <c r="M50" s="17">
        <v>45453</v>
      </c>
      <c r="N50" s="10"/>
    </row>
    <row r="51" spans="2:14" customFormat="1" x14ac:dyDescent="0.25">
      <c r="B51">
        <v>7927820008</v>
      </c>
      <c r="C51">
        <v>79</v>
      </c>
      <c r="D51" s="1">
        <v>45653</v>
      </c>
      <c r="E51" s="1">
        <v>46278</v>
      </c>
      <c r="F51" s="37" t="str">
        <f>VLOOKUP(revtar_ins_aecc_CELTINS[[#This Row],[CODIGO]],H:M,5,)</f>
        <v>ajuste de rota</v>
      </c>
      <c r="H51" s="16">
        <v>7958319136</v>
      </c>
      <c r="I51" s="2">
        <v>79</v>
      </c>
      <c r="J51" s="3">
        <v>45454</v>
      </c>
      <c r="K51" s="3">
        <v>45455</v>
      </c>
      <c r="L51" s="6" t="s">
        <v>103</v>
      </c>
      <c r="M51" s="17">
        <v>45460</v>
      </c>
      <c r="N51" s="10"/>
    </row>
    <row r="52" spans="2:14" customFormat="1" x14ac:dyDescent="0.25">
      <c r="B52">
        <v>7924622052</v>
      </c>
      <c r="C52">
        <v>79</v>
      </c>
      <c r="D52" s="1">
        <v>45953</v>
      </c>
      <c r="E52" s="1">
        <v>46259</v>
      </c>
      <c r="F52" s="37" t="str">
        <f>VLOOKUP(revtar_ins_aecc_CELTINS[[#This Row],[CODIGO]],H:M,5,)</f>
        <v>ATUALIZAÇÃO</v>
      </c>
      <c r="H52" s="16">
        <v>7958320136</v>
      </c>
      <c r="I52" s="2">
        <v>79</v>
      </c>
      <c r="J52" s="3">
        <v>45454</v>
      </c>
      <c r="K52" s="3">
        <v>45455</v>
      </c>
      <c r="L52" s="6" t="s">
        <v>96</v>
      </c>
      <c r="M52" s="17">
        <v>45456</v>
      </c>
      <c r="N52" s="10"/>
    </row>
    <row r="53" spans="2:14" customFormat="1" ht="30" x14ac:dyDescent="0.25">
      <c r="B53">
        <v>7900654055</v>
      </c>
      <c r="C53">
        <v>79</v>
      </c>
      <c r="D53" s="1">
        <v>46063</v>
      </c>
      <c r="E53" s="1">
        <v>46261</v>
      </c>
      <c r="F53" s="37" t="str">
        <f>VLOOKUP(revtar_ins_aecc_CELTINS[[#This Row],[CODIGO]],H:M,5,)</f>
        <v>ATUALIZAÇÃO</v>
      </c>
      <c r="H53" s="16">
        <v>7900297152</v>
      </c>
      <c r="I53" s="2">
        <v>79</v>
      </c>
      <c r="J53" s="3">
        <v>45454</v>
      </c>
      <c r="K53" s="3">
        <v>45455</v>
      </c>
      <c r="L53" s="6" t="s">
        <v>98</v>
      </c>
      <c r="M53" s="17">
        <v>45456</v>
      </c>
      <c r="N53" s="10"/>
    </row>
    <row r="54" spans="2:14" customFormat="1" x14ac:dyDescent="0.25">
      <c r="B54">
        <v>7900100147</v>
      </c>
      <c r="C54">
        <v>79</v>
      </c>
      <c r="D54" s="1">
        <v>45953</v>
      </c>
      <c r="E54" s="1">
        <v>46265</v>
      </c>
      <c r="F54" s="37" t="str">
        <f>VLOOKUP(revtar_ins_aecc_CELTINS[[#This Row],[CODIGO]],H:M,5,)</f>
        <v>ATUALIZAÇÃO</v>
      </c>
      <c r="H54" s="16">
        <v>7954440074</v>
      </c>
      <c r="I54" s="2">
        <v>79</v>
      </c>
      <c r="J54" s="3">
        <v>45453</v>
      </c>
      <c r="K54" s="3">
        <v>45455</v>
      </c>
      <c r="L54" s="6" t="s">
        <v>97</v>
      </c>
      <c r="M54" s="17">
        <v>45456</v>
      </c>
      <c r="N54" s="10"/>
    </row>
    <row r="55" spans="2:14" customFormat="1" ht="30" x14ac:dyDescent="0.25">
      <c r="B55">
        <v>7932030072</v>
      </c>
      <c r="C55">
        <v>79</v>
      </c>
      <c r="D55" s="1">
        <v>45967</v>
      </c>
      <c r="E55" s="1">
        <v>46256</v>
      </c>
      <c r="F55" s="37" t="str">
        <f>VLOOKUP(revtar_ins_aecc_CELTINS[[#This Row],[CODIGO]],H:M,5,)</f>
        <v>ATUALIZAÇÃO</v>
      </c>
      <c r="H55" s="16">
        <v>7900663086</v>
      </c>
      <c r="I55" s="2">
        <v>79</v>
      </c>
      <c r="J55" s="3">
        <v>45425</v>
      </c>
      <c r="K55" s="3">
        <v>45455</v>
      </c>
      <c r="L55" s="6" t="s">
        <v>98</v>
      </c>
      <c r="M55" s="17">
        <v>45456</v>
      </c>
      <c r="N55" s="10"/>
    </row>
    <row r="56" spans="2:14" customFormat="1" x14ac:dyDescent="0.25">
      <c r="B56">
        <v>7900552010</v>
      </c>
      <c r="C56">
        <v>79</v>
      </c>
      <c r="D56" s="1">
        <v>45971</v>
      </c>
      <c r="E56" s="1">
        <v>46275</v>
      </c>
      <c r="F56" s="37" t="str">
        <f>VLOOKUP(revtar_ins_aecc_CELTINS[[#This Row],[CODIGO]],H:M,5,)</f>
        <v>ATUALIZAÇÃO</v>
      </c>
      <c r="H56" s="16">
        <v>7950298038</v>
      </c>
      <c r="I56" s="2">
        <v>79</v>
      </c>
      <c r="J56" s="3">
        <v>45453</v>
      </c>
      <c r="K56" s="3">
        <v>45455</v>
      </c>
      <c r="L56" s="6" t="s">
        <v>99</v>
      </c>
      <c r="M56" s="17">
        <v>45293</v>
      </c>
      <c r="N56" s="10"/>
    </row>
    <row r="57" spans="2:14" customFormat="1" x14ac:dyDescent="0.25">
      <c r="B57">
        <v>7931629122</v>
      </c>
      <c r="C57">
        <v>79</v>
      </c>
      <c r="D57" s="1">
        <v>45954</v>
      </c>
      <c r="E57" s="1">
        <v>46270</v>
      </c>
      <c r="F57" s="37" t="str">
        <f>VLOOKUP(revtar_ins_aecc_CELTINS[[#This Row],[CODIGO]],H:M,5,)</f>
        <v>ajuste de rota</v>
      </c>
      <c r="H57" s="16">
        <v>7953269122</v>
      </c>
      <c r="I57" s="2">
        <v>79</v>
      </c>
      <c r="J57" s="3">
        <v>45454</v>
      </c>
      <c r="K57" s="3">
        <v>45455</v>
      </c>
      <c r="L57" s="6" t="s">
        <v>100</v>
      </c>
      <c r="M57" s="17">
        <v>45456</v>
      </c>
      <c r="N57" s="10"/>
    </row>
    <row r="58" spans="2:14" customFormat="1" x14ac:dyDescent="0.25">
      <c r="B58">
        <v>7931629122</v>
      </c>
      <c r="C58">
        <v>79</v>
      </c>
      <c r="D58" s="1">
        <v>45679</v>
      </c>
      <c r="E58" s="1">
        <v>46270</v>
      </c>
      <c r="F58" s="37" t="str">
        <f>VLOOKUP(revtar_ins_aecc_CELTINS[[#This Row],[CODIGO]],H:M,5,)</f>
        <v>ajuste de rota</v>
      </c>
      <c r="H58" s="16">
        <v>7950291049</v>
      </c>
      <c r="I58" s="2">
        <v>79</v>
      </c>
      <c r="J58" s="3">
        <v>45453</v>
      </c>
      <c r="K58" s="3">
        <v>45455</v>
      </c>
      <c r="L58" s="6" t="s">
        <v>105</v>
      </c>
      <c r="M58" s="17">
        <v>45461</v>
      </c>
      <c r="N58" s="10"/>
    </row>
    <row r="59" spans="2:14" customFormat="1" x14ac:dyDescent="0.25">
      <c r="B59">
        <v>7905361122</v>
      </c>
      <c r="C59">
        <v>79</v>
      </c>
      <c r="D59" s="1">
        <v>45988</v>
      </c>
      <c r="E59" s="1">
        <v>46270</v>
      </c>
      <c r="F59" s="37" t="str">
        <f>VLOOKUP(revtar_ins_aecc_CELTINS[[#This Row],[CODIGO]],H:M,5,)</f>
        <v>ATUALIZAÇÃO</v>
      </c>
      <c r="H59" s="16">
        <v>7931682122</v>
      </c>
      <c r="I59" s="2">
        <v>79</v>
      </c>
      <c r="J59" s="3">
        <v>45453</v>
      </c>
      <c r="K59" s="3">
        <v>45455</v>
      </c>
      <c r="L59" s="6" t="s">
        <v>108</v>
      </c>
      <c r="M59" s="17">
        <v>45461</v>
      </c>
      <c r="N59" s="10"/>
    </row>
    <row r="60" spans="2:14" customFormat="1" x14ac:dyDescent="0.25">
      <c r="B60">
        <v>7926842001</v>
      </c>
      <c r="C60">
        <v>79</v>
      </c>
      <c r="D60" s="1">
        <v>45980</v>
      </c>
      <c r="E60" s="1">
        <v>46261</v>
      </c>
      <c r="F60" s="37" t="str">
        <f>VLOOKUP(revtar_ins_aecc_CELTINS[[#This Row],[CODIGO]],H:M,5,)</f>
        <v>ATUALIZAÇÃO</v>
      </c>
      <c r="H60" s="16">
        <v>7955394085</v>
      </c>
      <c r="I60" s="2"/>
      <c r="J60" s="3">
        <v>45460</v>
      </c>
      <c r="K60" s="3">
        <v>45460</v>
      </c>
      <c r="L60" s="6" t="s">
        <v>101</v>
      </c>
      <c r="M60" s="17">
        <v>45460</v>
      </c>
      <c r="N60" s="10"/>
    </row>
    <row r="61" spans="2:14" customFormat="1" x14ac:dyDescent="0.25">
      <c r="B61">
        <v>7931682122</v>
      </c>
      <c r="C61">
        <v>79</v>
      </c>
      <c r="D61" s="1">
        <v>45985</v>
      </c>
      <c r="E61" s="1">
        <v>46267</v>
      </c>
      <c r="F61" s="37" t="s">
        <v>674</v>
      </c>
      <c r="H61" s="16">
        <v>7955395085</v>
      </c>
      <c r="I61" s="2">
        <v>79</v>
      </c>
      <c r="J61" s="3">
        <v>45469</v>
      </c>
      <c r="K61" s="3">
        <v>45470</v>
      </c>
      <c r="L61" s="6" t="s">
        <v>113</v>
      </c>
      <c r="M61" s="17">
        <v>45471</v>
      </c>
      <c r="N61" s="10"/>
    </row>
    <row r="62" spans="2:14" customFormat="1" x14ac:dyDescent="0.25">
      <c r="B62">
        <v>7931682122</v>
      </c>
      <c r="C62">
        <v>79</v>
      </c>
      <c r="D62" s="1">
        <v>45953</v>
      </c>
      <c r="E62" s="1">
        <v>46270</v>
      </c>
      <c r="F62" s="37" t="str">
        <f>VLOOKUP(revtar_ins_aecc_CELTINS[[#This Row],[CODIGO]],H:M,5,)</f>
        <v>já está em operação</v>
      </c>
      <c r="H62" s="16">
        <v>7947531073</v>
      </c>
      <c r="I62" s="2">
        <v>79</v>
      </c>
      <c r="J62" s="3">
        <v>45482</v>
      </c>
      <c r="K62" s="3">
        <v>45482</v>
      </c>
      <c r="L62" s="6" t="s">
        <v>126</v>
      </c>
      <c r="M62" s="17">
        <v>45482</v>
      </c>
      <c r="N62" s="10"/>
    </row>
    <row r="63" spans="2:14" customFormat="1" x14ac:dyDescent="0.25">
      <c r="B63">
        <v>7927604001</v>
      </c>
      <c r="C63">
        <v>79</v>
      </c>
      <c r="D63" s="1">
        <v>45967</v>
      </c>
      <c r="E63" s="1">
        <v>46255</v>
      </c>
      <c r="F63" s="37" t="str">
        <f>VLOOKUP(revtar_ins_aecc_CELTINS[[#This Row],[CODIGO]],H:M,5,)</f>
        <v>ATUALIZAÇÃO</v>
      </c>
      <c r="H63" s="16">
        <v>7954762001</v>
      </c>
      <c r="I63" s="2">
        <v>79</v>
      </c>
      <c r="J63" s="3">
        <v>45469</v>
      </c>
      <c r="K63" s="3">
        <v>45469</v>
      </c>
      <c r="L63" s="6" t="s">
        <v>154</v>
      </c>
      <c r="M63" s="17">
        <v>45502</v>
      </c>
      <c r="N63" s="10"/>
    </row>
    <row r="64" spans="2:14" customFormat="1" x14ac:dyDescent="0.25">
      <c r="B64">
        <v>7931611122</v>
      </c>
      <c r="C64">
        <v>79</v>
      </c>
      <c r="D64" s="1">
        <v>45962</v>
      </c>
      <c r="E64" s="1">
        <v>46239</v>
      </c>
      <c r="F64" s="37" t="str">
        <f>VLOOKUP(revtar_ins_aecc_CELTINS[[#This Row],[CODIGO]],H:M,5,)</f>
        <v>ATUALIZAÇÃO</v>
      </c>
      <c r="H64" s="16">
        <v>7958324004</v>
      </c>
      <c r="I64" s="2">
        <v>79</v>
      </c>
      <c r="J64" s="3">
        <v>45482</v>
      </c>
      <c r="K64" s="3">
        <v>45482</v>
      </c>
      <c r="L64" s="6" t="s">
        <v>117</v>
      </c>
      <c r="M64" s="17">
        <v>45482</v>
      </c>
      <c r="N64" s="10"/>
    </row>
    <row r="65" spans="2:14" customFormat="1" x14ac:dyDescent="0.25">
      <c r="B65">
        <v>7927604001</v>
      </c>
      <c r="C65">
        <v>79</v>
      </c>
      <c r="D65" s="1">
        <v>45953</v>
      </c>
      <c r="E65" s="1">
        <v>46255</v>
      </c>
      <c r="F65" s="37" t="str">
        <f>VLOOKUP(revtar_ins_aecc_CELTINS[[#This Row],[CODIGO]],H:M,5,)</f>
        <v>ATUALIZAÇÃO</v>
      </c>
      <c r="H65" s="16">
        <v>7951276103</v>
      </c>
      <c r="I65" s="2">
        <v>79</v>
      </c>
      <c r="J65" s="3">
        <v>45482</v>
      </c>
      <c r="K65" s="3">
        <v>45482</v>
      </c>
      <c r="L65" s="6" t="s">
        <v>118</v>
      </c>
      <c r="M65" s="17">
        <v>45482</v>
      </c>
      <c r="N65" s="10"/>
    </row>
    <row r="66" spans="2:14" customFormat="1" x14ac:dyDescent="0.25">
      <c r="B66">
        <v>7926842001</v>
      </c>
      <c r="C66">
        <v>79</v>
      </c>
      <c r="D66" s="1">
        <v>45960</v>
      </c>
      <c r="E66" s="1">
        <v>46261</v>
      </c>
      <c r="F66" s="37" t="str">
        <f>VLOOKUP(revtar_ins_aecc_CELTINS[[#This Row],[CODIGO]],H:M,5,)</f>
        <v>ATUALIZAÇÃO</v>
      </c>
      <c r="H66" s="16">
        <v>7956333111</v>
      </c>
      <c r="I66" s="2">
        <v>79</v>
      </c>
      <c r="J66" s="3">
        <v>45482</v>
      </c>
      <c r="K66" s="3">
        <v>45482</v>
      </c>
      <c r="L66" s="6" t="s">
        <v>122</v>
      </c>
      <c r="M66" s="17">
        <v>45482</v>
      </c>
      <c r="N66" s="10"/>
    </row>
    <row r="67" spans="2:14" customFormat="1" ht="30" x14ac:dyDescent="0.25">
      <c r="B67">
        <v>7931682122</v>
      </c>
      <c r="C67">
        <v>79</v>
      </c>
      <c r="D67" s="1">
        <v>45473</v>
      </c>
      <c r="E67" s="1">
        <v>46267</v>
      </c>
      <c r="F67" s="37" t="str">
        <f>VLOOKUP(revtar_ins_aecc_CELTINS[[#This Row],[CODIGO]],H:M,5,)</f>
        <v>já está em operação</v>
      </c>
      <c r="H67" s="16">
        <v>7958303004</v>
      </c>
      <c r="I67" s="2">
        <v>79</v>
      </c>
      <c r="J67" s="3">
        <v>45482</v>
      </c>
      <c r="K67" s="3">
        <v>45482</v>
      </c>
      <c r="L67" s="6" t="s">
        <v>120</v>
      </c>
      <c r="M67" s="17">
        <v>45482</v>
      </c>
      <c r="N67" s="10"/>
    </row>
    <row r="68" spans="2:14" customFormat="1" x14ac:dyDescent="0.25">
      <c r="B68">
        <v>7905366122</v>
      </c>
      <c r="C68">
        <v>79</v>
      </c>
      <c r="D68" s="1">
        <v>45955</v>
      </c>
      <c r="E68" s="1">
        <v>46234</v>
      </c>
      <c r="F68" s="37" t="str">
        <f>VLOOKUP(revtar_ins_aecc_CELTINS[[#This Row],[CODIGO]],H:M,5,)</f>
        <v>ATUALIZAÇÃO</v>
      </c>
      <c r="H68" s="16">
        <v>7940868065</v>
      </c>
      <c r="I68" s="2">
        <v>79</v>
      </c>
      <c r="J68" s="3">
        <v>45482</v>
      </c>
      <c r="K68" s="3">
        <v>45482</v>
      </c>
      <c r="L68" s="6" t="s">
        <v>123</v>
      </c>
      <c r="M68" s="17">
        <v>45482</v>
      </c>
      <c r="N68" s="10"/>
    </row>
    <row r="69" spans="2:14" customFormat="1" x14ac:dyDescent="0.25">
      <c r="B69">
        <v>7900297152</v>
      </c>
      <c r="C69">
        <v>79</v>
      </c>
      <c r="D69" s="1">
        <v>45454</v>
      </c>
      <c r="E69" s="1">
        <v>46277</v>
      </c>
      <c r="F69" s="37" t="str">
        <f>VLOOKUP(revtar_ins_aecc_CELTINS[[#This Row],[CODIGO]],H:M,5,)</f>
        <v>FORÇA TAREFA FLUXO INVERTIDA</v>
      </c>
      <c r="H69" s="16">
        <v>7954900073</v>
      </c>
      <c r="I69" s="2">
        <v>79</v>
      </c>
      <c r="J69" s="3">
        <v>45482</v>
      </c>
      <c r="K69" s="3">
        <v>45482</v>
      </c>
      <c r="L69" s="6" t="s">
        <v>124</v>
      </c>
      <c r="M69" s="17">
        <v>45482</v>
      </c>
      <c r="N69" s="10"/>
    </row>
    <row r="70" spans="2:14" customFormat="1" x14ac:dyDescent="0.25">
      <c r="B70">
        <v>7920008152</v>
      </c>
      <c r="C70">
        <v>79</v>
      </c>
      <c r="D70" s="1">
        <v>45953</v>
      </c>
      <c r="E70" s="1">
        <v>46277</v>
      </c>
      <c r="F70" s="37" t="str">
        <f>VLOOKUP(revtar_ins_aecc_CELTINS[[#This Row],[CODIGO]],H:M,5,)</f>
        <v>ATUALIZAÇÃO</v>
      </c>
      <c r="H70" s="16">
        <v>7954654073</v>
      </c>
      <c r="I70" s="2">
        <v>79</v>
      </c>
      <c r="J70" s="3">
        <v>45482</v>
      </c>
      <c r="K70" s="3">
        <v>45482</v>
      </c>
      <c r="L70" s="6" t="s">
        <v>121</v>
      </c>
      <c r="M70" s="17">
        <v>45482</v>
      </c>
      <c r="N70" s="10"/>
    </row>
    <row r="71" spans="2:14" customFormat="1" x14ac:dyDescent="0.25">
      <c r="B71">
        <v>7927446001</v>
      </c>
      <c r="C71">
        <v>79</v>
      </c>
      <c r="D71" s="1">
        <v>45485</v>
      </c>
      <c r="E71" s="1">
        <v>46277</v>
      </c>
      <c r="F71" s="37" t="str">
        <f>VLOOKUP(revtar_ins_aecc_CELTINS[[#This Row],[CODIGO]],H:M,5,)</f>
        <v xml:space="preserve">alteração de chave aberta para fechada </v>
      </c>
      <c r="H71" s="16">
        <v>7956373149</v>
      </c>
      <c r="I71" s="2">
        <v>79</v>
      </c>
      <c r="J71" s="3">
        <v>45482</v>
      </c>
      <c r="K71" s="3">
        <v>45482</v>
      </c>
      <c r="L71" s="6" t="s">
        <v>125</v>
      </c>
      <c r="M71" s="17">
        <v>45482</v>
      </c>
      <c r="N71" s="10"/>
    </row>
    <row r="72" spans="2:14" customFormat="1" x14ac:dyDescent="0.25">
      <c r="B72">
        <v>7900666071</v>
      </c>
      <c r="C72">
        <v>79</v>
      </c>
      <c r="D72" s="1">
        <v>45967</v>
      </c>
      <c r="E72" s="1">
        <v>46269</v>
      </c>
      <c r="F72" s="37" t="str">
        <f>VLOOKUP(revtar_ins_aecc_CELTINS[[#This Row],[CODIGO]],H:M,5,)</f>
        <v>ATUALIZAÇÃO</v>
      </c>
      <c r="H72" s="16">
        <v>7956374073</v>
      </c>
      <c r="I72" s="2">
        <v>79</v>
      </c>
      <c r="J72" s="3">
        <v>45482</v>
      </c>
      <c r="K72" s="3">
        <v>45482</v>
      </c>
      <c r="L72" s="6" t="s">
        <v>127</v>
      </c>
      <c r="M72" s="17">
        <v>45482</v>
      </c>
      <c r="N72" s="10"/>
    </row>
    <row r="73" spans="2:14" customFormat="1" x14ac:dyDescent="0.25">
      <c r="B73">
        <v>7905358122</v>
      </c>
      <c r="C73">
        <v>79</v>
      </c>
      <c r="D73" s="1">
        <v>45970</v>
      </c>
      <c r="E73" s="1">
        <v>46239</v>
      </c>
      <c r="F73" s="37" t="str">
        <f>VLOOKUP(revtar_ins_aecc_CELTINS[[#This Row],[CODIGO]],H:M,5,)</f>
        <v>ATUALIZAÇÃO</v>
      </c>
      <c r="H73" s="16">
        <v>7950184103</v>
      </c>
      <c r="I73" s="2">
        <v>79</v>
      </c>
      <c r="J73" s="3">
        <v>45482</v>
      </c>
      <c r="K73" s="3">
        <v>45482</v>
      </c>
      <c r="L73" s="6" t="s">
        <v>128</v>
      </c>
      <c r="M73" s="17">
        <v>45482</v>
      </c>
      <c r="N73" s="10"/>
    </row>
    <row r="74" spans="2:14" customFormat="1" x14ac:dyDescent="0.25">
      <c r="B74">
        <v>7905358122</v>
      </c>
      <c r="C74">
        <v>79</v>
      </c>
      <c r="D74" s="1">
        <v>45962</v>
      </c>
      <c r="E74" s="1">
        <v>46239</v>
      </c>
      <c r="F74" s="37" t="str">
        <f>VLOOKUP(revtar_ins_aecc_CELTINS[[#This Row],[CODIGO]],H:M,5,)</f>
        <v>ATUALIZAÇÃO</v>
      </c>
      <c r="H74" s="16">
        <v>7925563149</v>
      </c>
      <c r="I74" s="2">
        <v>79</v>
      </c>
      <c r="J74" s="3">
        <v>45479</v>
      </c>
      <c r="K74" s="3">
        <v>45479</v>
      </c>
      <c r="L74" s="6" t="s">
        <v>367</v>
      </c>
      <c r="M74" s="17">
        <v>45482</v>
      </c>
      <c r="N74" s="10"/>
    </row>
    <row r="75" spans="2:14" customFormat="1" x14ac:dyDescent="0.25">
      <c r="B75">
        <v>7927413001</v>
      </c>
      <c r="C75">
        <v>79</v>
      </c>
      <c r="D75" s="1">
        <v>45418</v>
      </c>
      <c r="E75" s="1">
        <v>46263</v>
      </c>
      <c r="F75" s="37" t="str">
        <f>VLOOKUP(revtar_ins_aecc_CELTINS[[#This Row],[CODIGO]],H:M,5,)</f>
        <v>AJUSTE CHAVE BIFURCADA</v>
      </c>
      <c r="H75" s="16">
        <v>7926839055</v>
      </c>
      <c r="I75" s="2">
        <v>79</v>
      </c>
      <c r="J75" s="3">
        <v>45479</v>
      </c>
      <c r="K75" s="3">
        <v>45479</v>
      </c>
      <c r="L75" s="6" t="s">
        <v>366</v>
      </c>
      <c r="M75" s="17">
        <v>45482</v>
      </c>
      <c r="N75" s="10"/>
    </row>
    <row r="76" spans="2:14" customFormat="1" x14ac:dyDescent="0.25">
      <c r="B76">
        <v>7931619122</v>
      </c>
      <c r="C76">
        <v>79</v>
      </c>
      <c r="D76" s="1">
        <v>45961</v>
      </c>
      <c r="E76" s="1">
        <v>46270</v>
      </c>
      <c r="F76" s="37" t="str">
        <f>VLOOKUP(revtar_ins_aecc_CELTINS[[#This Row],[CODIGO]],H:M,5,)</f>
        <v>ATUALIZAÇÃO</v>
      </c>
      <c r="H76" s="16">
        <v>7957609153</v>
      </c>
      <c r="I76" s="2">
        <v>79</v>
      </c>
      <c r="J76" s="3">
        <v>45477</v>
      </c>
      <c r="K76" s="3">
        <v>45478</v>
      </c>
      <c r="L76" s="6" t="s">
        <v>139</v>
      </c>
      <c r="M76" s="17">
        <v>45478</v>
      </c>
      <c r="N76" s="10"/>
    </row>
    <row r="77" spans="2:14" customFormat="1" x14ac:dyDescent="0.25">
      <c r="B77">
        <v>7931619122</v>
      </c>
      <c r="C77">
        <v>79</v>
      </c>
      <c r="D77" s="1">
        <v>45988</v>
      </c>
      <c r="E77" s="1">
        <v>46270</v>
      </c>
      <c r="F77" s="37" t="str">
        <f>VLOOKUP(revtar_ins_aecc_CELTINS[[#This Row],[CODIGO]],H:M,5,)</f>
        <v>ATUALIZAÇÃO</v>
      </c>
      <c r="H77" s="16">
        <v>7925580059</v>
      </c>
      <c r="I77" s="2">
        <v>79</v>
      </c>
      <c r="J77" s="3">
        <v>45473</v>
      </c>
      <c r="K77" s="3">
        <v>45479</v>
      </c>
      <c r="L77" s="6" t="s">
        <v>365</v>
      </c>
      <c r="M77" s="17">
        <v>45482</v>
      </c>
      <c r="N77" s="10"/>
    </row>
    <row r="78" spans="2:14" customFormat="1" x14ac:dyDescent="0.25">
      <c r="B78">
        <v>7956040101</v>
      </c>
      <c r="C78">
        <v>79</v>
      </c>
      <c r="D78" s="1">
        <v>45623</v>
      </c>
      <c r="E78" s="1">
        <v>46261</v>
      </c>
      <c r="F78" s="37" t="str">
        <f>VLOOKUP(revtar_ins_aecc_CELTINS[[#This Row],[CODIGO]],H:M,5,)</f>
        <v>ETO-PROT456/2024</v>
      </c>
      <c r="H78" s="16">
        <v>7955572081</v>
      </c>
      <c r="I78" s="2">
        <v>79</v>
      </c>
      <c r="J78" s="3">
        <v>45476</v>
      </c>
      <c r="K78" s="3">
        <v>45477</v>
      </c>
      <c r="L78" s="6" t="s">
        <v>130</v>
      </c>
      <c r="M78" s="17">
        <v>45478</v>
      </c>
      <c r="N78" s="10"/>
    </row>
    <row r="79" spans="2:14" customFormat="1" x14ac:dyDescent="0.25">
      <c r="B79" s="2">
        <v>7961785122</v>
      </c>
      <c r="C79">
        <v>79</v>
      </c>
      <c r="D79" s="1">
        <v>45821</v>
      </c>
      <c r="E79" s="1">
        <v>46234</v>
      </c>
      <c r="F79" s="37" t="str">
        <f>VLOOKUP(revtar_ins_aecc_CELTINS[[#This Row],[CODIGO]],H:M,5,)</f>
        <v>ETO-PROT206/2025</v>
      </c>
      <c r="H79" s="16">
        <v>7952401151</v>
      </c>
      <c r="I79" s="2">
        <v>79</v>
      </c>
      <c r="J79" s="3">
        <v>45473</v>
      </c>
      <c r="K79" s="3">
        <v>45479</v>
      </c>
      <c r="L79" s="6" t="s">
        <v>131</v>
      </c>
      <c r="M79" s="17">
        <v>45482</v>
      </c>
      <c r="N79" s="10"/>
    </row>
    <row r="80" spans="2:14" customFormat="1" x14ac:dyDescent="0.25">
      <c r="B80">
        <v>7954395015</v>
      </c>
      <c r="C80">
        <v>79</v>
      </c>
      <c r="D80" s="1">
        <v>46114</v>
      </c>
      <c r="E80" s="1">
        <v>46278</v>
      </c>
      <c r="F80" s="37" t="str">
        <f>VLOOKUP(revtar_ins_aecc_CELTINS[[#This Row],[CODIGO]],H:M,5,)</f>
        <v>ETO-PROT88/2026</v>
      </c>
      <c r="H80" s="16">
        <v>7949587113</v>
      </c>
      <c r="I80" s="2">
        <v>79</v>
      </c>
      <c r="J80" s="3" t="s">
        <v>135</v>
      </c>
      <c r="K80" s="3" t="s">
        <v>135</v>
      </c>
      <c r="L80" s="6" t="s">
        <v>137</v>
      </c>
      <c r="M80" s="17">
        <v>45491</v>
      </c>
      <c r="N80" s="10"/>
    </row>
    <row r="81" spans="2:17" x14ac:dyDescent="0.25">
      <c r="B81">
        <v>7931629122</v>
      </c>
      <c r="C81">
        <v>79</v>
      </c>
      <c r="D81" s="1">
        <v>45572</v>
      </c>
      <c r="E81" s="1">
        <v>46270</v>
      </c>
      <c r="F81" s="37" t="s">
        <v>675</v>
      </c>
      <c r="H81" s="16">
        <v>7957622153</v>
      </c>
      <c r="I81" s="2">
        <v>79</v>
      </c>
      <c r="J81" s="3" t="s">
        <v>135</v>
      </c>
      <c r="K81" s="3" t="s">
        <v>135</v>
      </c>
      <c r="L81" s="6" t="s">
        <v>136</v>
      </c>
      <c r="M81" s="17" t="s">
        <v>135</v>
      </c>
      <c r="N81" s="10"/>
      <c r="O81"/>
    </row>
    <row r="82" spans="2:17" ht="30" x14ac:dyDescent="0.25">
      <c r="B82">
        <v>7936096015</v>
      </c>
      <c r="C82">
        <v>79</v>
      </c>
      <c r="D82" s="1">
        <v>46167</v>
      </c>
      <c r="E82" s="1">
        <v>46268</v>
      </c>
      <c r="F82" s="37" t="str">
        <f>VLOOKUP(revtar_ins_aecc_CELTINS[[#This Row],[CODIGO]],H:M,5,)</f>
        <v xml:space="preserve">ajuste </v>
      </c>
      <c r="H82" s="16">
        <v>7930359149</v>
      </c>
      <c r="I82" s="2">
        <v>79</v>
      </c>
      <c r="J82" s="3">
        <v>45456</v>
      </c>
      <c r="K82" s="3">
        <v>45476</v>
      </c>
      <c r="L82" s="6" t="s">
        <v>156</v>
      </c>
      <c r="M82" s="17">
        <v>45503</v>
      </c>
      <c r="N82" s="10"/>
      <c r="O82"/>
    </row>
    <row r="83" spans="2:17" x14ac:dyDescent="0.25">
      <c r="B83">
        <v>7936096015</v>
      </c>
      <c r="C83">
        <v>79</v>
      </c>
      <c r="D83" s="1">
        <v>45543</v>
      </c>
      <c r="E83" s="1">
        <v>46278</v>
      </c>
      <c r="F83" s="37" t="s">
        <v>108</v>
      </c>
      <c r="H83" s="16">
        <v>7957921153</v>
      </c>
      <c r="I83" s="2">
        <v>79</v>
      </c>
      <c r="J83" s="3">
        <v>45485</v>
      </c>
      <c r="K83" s="3">
        <v>45485</v>
      </c>
      <c r="L83" s="6" t="s">
        <v>138</v>
      </c>
      <c r="M83" s="17">
        <v>45491</v>
      </c>
      <c r="N83" s="10"/>
      <c r="O83"/>
    </row>
    <row r="84" spans="2:17" ht="30" x14ac:dyDescent="0.25">
      <c r="B84">
        <v>7931682122</v>
      </c>
      <c r="C84">
        <v>79</v>
      </c>
      <c r="D84" s="1">
        <v>45453</v>
      </c>
      <c r="E84" s="1">
        <v>46270</v>
      </c>
      <c r="F84" s="37" t="str">
        <f>VLOOKUP(revtar_ins_aecc_CELTINS[[#This Row],[CODIGO]],H:M,5,)</f>
        <v>já está em operação</v>
      </c>
      <c r="H84" s="16">
        <v>7934680004</v>
      </c>
      <c r="I84" s="2">
        <v>79</v>
      </c>
      <c r="J84" s="3">
        <v>45484</v>
      </c>
      <c r="K84" s="3">
        <v>45484</v>
      </c>
      <c r="L84" s="6" t="s">
        <v>140</v>
      </c>
      <c r="M84" s="17">
        <v>45491</v>
      </c>
      <c r="N84" s="10"/>
      <c r="O84"/>
    </row>
    <row r="85" spans="2:17" ht="30" x14ac:dyDescent="0.25">
      <c r="B85">
        <v>7951276130</v>
      </c>
      <c r="C85">
        <v>79</v>
      </c>
      <c r="D85" s="1">
        <v>45993</v>
      </c>
      <c r="E85" s="1">
        <v>46271</v>
      </c>
      <c r="F85" s="37" t="str">
        <f>VLOOKUP(revtar_ins_aecc_CELTINS[[#This Row],[CODIGO]],H:M,5,)</f>
        <v>7951276103 =&gt; 7951276130</v>
      </c>
      <c r="H85" s="16">
        <v>7927795004</v>
      </c>
      <c r="I85" s="2">
        <v>79</v>
      </c>
      <c r="J85" s="3">
        <v>45483</v>
      </c>
      <c r="K85" s="3">
        <v>45484</v>
      </c>
      <c r="L85" s="6" t="s">
        <v>157</v>
      </c>
      <c r="M85" s="17"/>
      <c r="N85" s="10"/>
      <c r="O85"/>
    </row>
    <row r="86" spans="2:17" x14ac:dyDescent="0.25">
      <c r="B86">
        <v>7941992012</v>
      </c>
      <c r="C86">
        <v>79</v>
      </c>
      <c r="D86" s="1">
        <v>45958</v>
      </c>
      <c r="E86" s="1">
        <v>46278</v>
      </c>
      <c r="F86" s="37" t="str">
        <f>VLOOKUP(revtar_ins_aecc_CELTINS[[#This Row],[CODIGO]],H:M,5,)</f>
        <v>ATUALIZAÇÃO</v>
      </c>
      <c r="H86" s="16">
        <v>7958346065</v>
      </c>
      <c r="I86" s="2">
        <v>79</v>
      </c>
      <c r="J86" s="3">
        <v>45489</v>
      </c>
      <c r="K86" s="3">
        <v>45489</v>
      </c>
      <c r="L86" s="6" t="s">
        <v>141</v>
      </c>
      <c r="M86" s="17">
        <v>45491</v>
      </c>
      <c r="N86" s="10"/>
      <c r="O86"/>
    </row>
    <row r="87" spans="2:17" x14ac:dyDescent="0.25">
      <c r="B87" s="2">
        <v>7954704001</v>
      </c>
      <c r="C87">
        <v>79</v>
      </c>
      <c r="D87" s="1">
        <v>46035</v>
      </c>
      <c r="E87" s="1">
        <v>46234</v>
      </c>
      <c r="F87" s="37" t="str">
        <f>VLOOKUP(revtar_ins_aecc_CELTINS[[#This Row],[CODIGO]],H:M,5,)</f>
        <v>ETO-PROT254/2024</v>
      </c>
      <c r="H87" s="16">
        <v>7942707040</v>
      </c>
      <c r="I87" s="2">
        <v>79</v>
      </c>
      <c r="J87" s="3">
        <v>45486</v>
      </c>
      <c r="K87" s="3">
        <v>45489</v>
      </c>
      <c r="L87" s="6" t="s">
        <v>163</v>
      </c>
      <c r="M87" s="17">
        <v>45505</v>
      </c>
      <c r="N87" s="10"/>
      <c r="O87"/>
    </row>
    <row r="88" spans="2:17" ht="30" x14ac:dyDescent="0.25">
      <c r="B88">
        <v>7954704001</v>
      </c>
      <c r="C88">
        <v>79</v>
      </c>
      <c r="D88" s="1">
        <v>45953</v>
      </c>
      <c r="E88" s="1">
        <v>46234</v>
      </c>
      <c r="F88" s="37" t="str">
        <f>VLOOKUP(revtar_ins_aecc_CELTINS[[#This Row],[CODIGO]],H:M,5,)</f>
        <v>ETO-PROT254/2024</v>
      </c>
      <c r="H88" s="16">
        <v>7927446001</v>
      </c>
      <c r="I88" s="2">
        <v>79</v>
      </c>
      <c r="J88" s="3">
        <v>45485</v>
      </c>
      <c r="K88" s="3">
        <v>45485</v>
      </c>
      <c r="L88" s="63" t="s">
        <v>129</v>
      </c>
      <c r="M88" s="17">
        <v>45499</v>
      </c>
      <c r="N88" s="10"/>
      <c r="O88"/>
    </row>
    <row r="89" spans="2:17" x14ac:dyDescent="0.25">
      <c r="B89">
        <v>7951634086</v>
      </c>
      <c r="C89">
        <v>79</v>
      </c>
      <c r="D89" s="1">
        <v>45953</v>
      </c>
      <c r="E89" s="1">
        <v>46277</v>
      </c>
      <c r="F89" s="37" t="str">
        <f>VLOOKUP(revtar_ins_aecc_CELTINS[[#This Row],[CODIGO]],H:M,5,)</f>
        <v>ETO-PROT50/2024</v>
      </c>
      <c r="H89" s="16">
        <v>7955586111</v>
      </c>
      <c r="I89" s="2">
        <v>79</v>
      </c>
      <c r="J89" s="3">
        <v>45497</v>
      </c>
      <c r="K89" s="3">
        <v>45497</v>
      </c>
      <c r="L89" s="6" t="s">
        <v>143</v>
      </c>
      <c r="M89" s="17">
        <v>45492</v>
      </c>
      <c r="N89" s="10"/>
      <c r="O89"/>
    </row>
    <row r="90" spans="2:17" x14ac:dyDescent="0.25">
      <c r="B90" s="85">
        <v>7956374073</v>
      </c>
      <c r="C90">
        <v>79</v>
      </c>
      <c r="D90" s="1">
        <v>45477</v>
      </c>
      <c r="E90" s="1">
        <v>46272</v>
      </c>
      <c r="F90" s="37" t="str">
        <f>VLOOKUP(revtar_ins_aecc_CELTINS[[#This Row],[CODIGO]],H:M,5,)</f>
        <v>ETO-PROT179/2024</v>
      </c>
      <c r="H90" s="16">
        <v>7909599004</v>
      </c>
      <c r="I90" s="2">
        <v>79</v>
      </c>
      <c r="J90" s="3">
        <v>45499</v>
      </c>
      <c r="K90" s="3">
        <v>45499</v>
      </c>
      <c r="L90" s="6" t="s">
        <v>145</v>
      </c>
      <c r="M90" s="17">
        <v>45497</v>
      </c>
      <c r="N90" s="10"/>
      <c r="O90"/>
    </row>
    <row r="91" spans="2:17" x14ac:dyDescent="0.25">
      <c r="B91" s="85">
        <v>7954561110</v>
      </c>
      <c r="C91">
        <v>79</v>
      </c>
      <c r="D91" s="1">
        <v>45606</v>
      </c>
      <c r="E91" s="1">
        <v>46270</v>
      </c>
      <c r="F91" s="37" t="str">
        <f>VLOOKUP(revtar_ins_aecc_CELTINS[[#This Row],[CODIGO]],H:M,5,)</f>
        <v>ETO-PROT409/2024</v>
      </c>
      <c r="H91" s="16">
        <v>7955414007</v>
      </c>
      <c r="I91" s="2">
        <v>79</v>
      </c>
      <c r="J91" s="3">
        <v>45499</v>
      </c>
      <c r="K91" s="3">
        <v>45499</v>
      </c>
      <c r="L91" s="6" t="s">
        <v>146</v>
      </c>
      <c r="M91" s="17">
        <v>45499</v>
      </c>
      <c r="N91" s="10"/>
      <c r="O91"/>
      <c r="Q91" s="6"/>
    </row>
    <row r="92" spans="2:17" x14ac:dyDescent="0.25">
      <c r="B92">
        <v>7957021094</v>
      </c>
      <c r="C92">
        <v>79</v>
      </c>
      <c r="D92" s="1">
        <v>45594</v>
      </c>
      <c r="E92" s="1">
        <v>46261</v>
      </c>
      <c r="F92" s="37" t="str">
        <f>VLOOKUP(revtar_ins_aecc_CELTINS[[#This Row],[CODIGO]],H:M,5,)</f>
        <v>ETO-PROT369/2024</v>
      </c>
      <c r="H92" s="16">
        <v>7954779001</v>
      </c>
      <c r="I92" s="2">
        <v>79</v>
      </c>
      <c r="J92" s="3">
        <v>45499</v>
      </c>
      <c r="K92" s="3">
        <v>45499</v>
      </c>
      <c r="L92" s="6" t="s">
        <v>149</v>
      </c>
      <c r="M92" s="17">
        <v>45499</v>
      </c>
      <c r="N92" s="10"/>
      <c r="O92"/>
    </row>
    <row r="93" spans="2:17" x14ac:dyDescent="0.25">
      <c r="B93">
        <v>7959990070</v>
      </c>
      <c r="C93">
        <v>79</v>
      </c>
      <c r="D93" s="1">
        <v>45562</v>
      </c>
      <c r="E93" s="1">
        <v>46278</v>
      </c>
      <c r="F93" s="37" t="str">
        <f>VLOOKUP(revtar_ins_aecc_CELTINS[[#This Row],[CODIGO]],H:M,5,)</f>
        <v>ETO-PROT311/2024</v>
      </c>
      <c r="H93" s="16">
        <v>7927413001</v>
      </c>
      <c r="I93" s="2">
        <v>79</v>
      </c>
      <c r="J93" s="3">
        <v>45499</v>
      </c>
      <c r="K93" s="3">
        <v>45499</v>
      </c>
      <c r="L93" s="6" t="s">
        <v>147</v>
      </c>
      <c r="M93" s="17">
        <v>45499</v>
      </c>
      <c r="N93" s="10"/>
      <c r="O93"/>
    </row>
    <row r="94" spans="2:17" x14ac:dyDescent="0.25">
      <c r="B94">
        <v>7958332098</v>
      </c>
      <c r="C94">
        <v>79</v>
      </c>
      <c r="D94" s="1">
        <v>45507</v>
      </c>
      <c r="E94" s="1">
        <v>46274</v>
      </c>
      <c r="F94" s="37" t="str">
        <f>VLOOKUP(revtar_ins_aecc_CELTINS[[#This Row],[CODIGO]],H:M,5,)</f>
        <v>ETO-PROT213/2024</v>
      </c>
      <c r="H94" s="16">
        <v>7954778001</v>
      </c>
      <c r="I94" s="2">
        <v>79</v>
      </c>
      <c r="J94" s="3">
        <v>45499</v>
      </c>
      <c r="K94" s="3">
        <v>45499</v>
      </c>
      <c r="L94" s="6" t="s">
        <v>148</v>
      </c>
      <c r="M94" s="17">
        <v>45499</v>
      </c>
      <c r="N94" s="10"/>
      <c r="O94"/>
    </row>
    <row r="95" spans="2:17" x14ac:dyDescent="0.25">
      <c r="B95">
        <v>7954704001</v>
      </c>
      <c r="C95">
        <v>79</v>
      </c>
      <c r="D95" s="1">
        <v>45770</v>
      </c>
      <c r="E95" s="1">
        <v>46234</v>
      </c>
      <c r="F95" s="37" t="str">
        <f>VLOOKUP(revtar_ins_aecc_CELTINS[[#This Row],[CODIGO]],H:M,5,)</f>
        <v>ETO-PROT254/2024</v>
      </c>
      <c r="H95" s="16">
        <v>7954284003</v>
      </c>
      <c r="I95" s="2">
        <v>79</v>
      </c>
      <c r="J95" s="3">
        <v>45502</v>
      </c>
      <c r="K95" s="3">
        <v>45502</v>
      </c>
      <c r="L95" s="6" t="s">
        <v>159</v>
      </c>
      <c r="M95" s="17">
        <v>45504</v>
      </c>
      <c r="N95" s="10"/>
      <c r="O95"/>
    </row>
    <row r="96" spans="2:17" x14ac:dyDescent="0.25">
      <c r="B96">
        <v>7955223016</v>
      </c>
      <c r="C96">
        <v>79</v>
      </c>
      <c r="D96" s="1">
        <v>45519</v>
      </c>
      <c r="E96" s="1">
        <v>46238</v>
      </c>
      <c r="F96" s="37" t="str">
        <f>VLOOKUP(revtar_ins_aecc_CELTINS[[#This Row],[CODIGO]],H:M,5,)</f>
        <v>ETO-PROT229/2024</v>
      </c>
      <c r="H96" s="16">
        <v>7958332098</v>
      </c>
      <c r="I96" s="2">
        <v>79</v>
      </c>
      <c r="J96" s="3">
        <v>45507</v>
      </c>
      <c r="K96" s="3">
        <v>45507</v>
      </c>
      <c r="L96" s="6" t="s">
        <v>160</v>
      </c>
      <c r="M96" s="17">
        <v>45509</v>
      </c>
      <c r="N96" s="10"/>
      <c r="O96"/>
    </row>
    <row r="97" spans="2:14" customFormat="1" x14ac:dyDescent="0.25">
      <c r="B97" s="85">
        <v>7961515047</v>
      </c>
      <c r="C97">
        <v>79</v>
      </c>
      <c r="D97" s="1">
        <v>45833</v>
      </c>
      <c r="E97" s="1">
        <v>46246</v>
      </c>
      <c r="F97" s="37" t="str">
        <f>VLOOKUP(revtar_ins_aecc_CELTINS[[#This Row],[CODIGO]],H:M,5,)</f>
        <v>ETO-PROT201/2025</v>
      </c>
      <c r="H97" s="16">
        <v>7957878033</v>
      </c>
      <c r="I97" s="2">
        <v>79</v>
      </c>
      <c r="J97" s="3">
        <v>45519</v>
      </c>
      <c r="K97" s="3">
        <v>45519</v>
      </c>
      <c r="L97" s="6" t="s">
        <v>171</v>
      </c>
      <c r="M97" s="17">
        <v>45519</v>
      </c>
      <c r="N97" s="10"/>
    </row>
    <row r="98" spans="2:14" customFormat="1" x14ac:dyDescent="0.25">
      <c r="B98">
        <v>7954564001</v>
      </c>
      <c r="C98">
        <v>79</v>
      </c>
      <c r="D98" s="1">
        <v>45610</v>
      </c>
      <c r="E98" s="1">
        <v>46273</v>
      </c>
      <c r="F98" s="37" t="str">
        <f>VLOOKUP(revtar_ins_aecc_CELTINS[[#This Row],[CODIGO]],H:M,5,)</f>
        <v>ETO-PROT422/2024</v>
      </c>
      <c r="H98" s="16">
        <v>7955539039</v>
      </c>
      <c r="I98" s="2">
        <v>79</v>
      </c>
      <c r="J98" s="3">
        <v>45512</v>
      </c>
      <c r="K98" s="3">
        <v>45512</v>
      </c>
      <c r="L98" s="6" t="s">
        <v>164</v>
      </c>
      <c r="M98" s="17">
        <v>45512</v>
      </c>
      <c r="N98" s="10"/>
    </row>
    <row r="99" spans="2:14" customFormat="1" x14ac:dyDescent="0.25">
      <c r="B99">
        <v>7955452007</v>
      </c>
      <c r="C99">
        <v>79</v>
      </c>
      <c r="D99" s="1">
        <v>45592</v>
      </c>
      <c r="E99" s="1">
        <v>46239</v>
      </c>
      <c r="F99" s="69" t="s">
        <v>648</v>
      </c>
      <c r="H99" s="16">
        <v>7955207004</v>
      </c>
      <c r="I99" s="2">
        <v>79</v>
      </c>
      <c r="J99" s="3">
        <v>45512</v>
      </c>
      <c r="K99" s="3">
        <v>45512</v>
      </c>
      <c r="L99" s="6" t="s">
        <v>165</v>
      </c>
      <c r="M99" s="17">
        <v>45512</v>
      </c>
      <c r="N99" s="10"/>
    </row>
    <row r="100" spans="2:14" customFormat="1" x14ac:dyDescent="0.25">
      <c r="B100">
        <v>7955790094</v>
      </c>
      <c r="C100">
        <v>79</v>
      </c>
      <c r="D100" s="1">
        <v>45608</v>
      </c>
      <c r="E100" s="1">
        <v>46241</v>
      </c>
      <c r="F100" s="69" t="str">
        <f>VLOOKUP(revtar_ins_aecc_CELTINS[[#This Row],[CODIGO]],H:M,5,)</f>
        <v>ETO-PROT412/2024</v>
      </c>
      <c r="H100" s="16">
        <v>7955856193</v>
      </c>
      <c r="I100" s="2">
        <v>79</v>
      </c>
      <c r="J100" s="3">
        <v>45512</v>
      </c>
      <c r="K100" s="3">
        <v>45512</v>
      </c>
      <c r="L100" s="6" t="s">
        <v>166</v>
      </c>
      <c r="M100" s="17">
        <v>45512</v>
      </c>
      <c r="N100" s="10"/>
    </row>
    <row r="101" spans="2:14" customFormat="1" x14ac:dyDescent="0.25">
      <c r="B101" s="2">
        <v>7954704001</v>
      </c>
      <c r="C101">
        <v>79</v>
      </c>
      <c r="D101" s="1">
        <v>45537</v>
      </c>
      <c r="E101" s="1">
        <v>46235</v>
      </c>
      <c r="F101" s="37" t="str">
        <f>VLOOKUP(revtar_ins_aecc_CELTINS[[#This Row],[CODIGO]],H:M,5,)</f>
        <v>ETO-PROT254/2024</v>
      </c>
      <c r="H101" s="16">
        <v>7955886193</v>
      </c>
      <c r="I101" s="2">
        <v>79</v>
      </c>
      <c r="J101" s="3">
        <v>45512</v>
      </c>
      <c r="K101" s="3">
        <v>45512</v>
      </c>
      <c r="L101" s="6" t="s">
        <v>179</v>
      </c>
      <c r="M101" s="17">
        <v>45512</v>
      </c>
      <c r="N101" s="10"/>
    </row>
    <row r="102" spans="2:14" customFormat="1" x14ac:dyDescent="0.25">
      <c r="B102">
        <v>7962734119</v>
      </c>
      <c r="C102">
        <v>79</v>
      </c>
      <c r="D102" s="1">
        <v>46018</v>
      </c>
      <c r="E102" s="1">
        <v>46274</v>
      </c>
      <c r="F102" s="37" t="str">
        <f>VLOOKUP(revtar_ins_aecc_CELTINS[[#This Row],[CODIGO]],H:M,5,)</f>
        <v>ETO-PROT5/2026</v>
      </c>
      <c r="H102" s="16">
        <v>7900059009</v>
      </c>
      <c r="I102" s="2">
        <v>79</v>
      </c>
      <c r="J102" s="3">
        <v>45512</v>
      </c>
      <c r="K102" s="3">
        <v>45512</v>
      </c>
      <c r="L102" s="6" t="s">
        <v>108</v>
      </c>
      <c r="M102" s="17">
        <v>45512</v>
      </c>
      <c r="N102" s="10"/>
    </row>
    <row r="103" spans="2:14" customFormat="1" x14ac:dyDescent="0.25">
      <c r="B103">
        <v>7954704001</v>
      </c>
      <c r="C103">
        <v>79</v>
      </c>
      <c r="D103" s="1">
        <v>45835</v>
      </c>
      <c r="E103" s="1">
        <v>46276</v>
      </c>
      <c r="F103" s="37" t="str">
        <f>VLOOKUP(revtar_ins_aecc_CELTINS[[#This Row],[CODIGO]],H:M,5,)</f>
        <v>ETO-PROT254/2024</v>
      </c>
      <c r="H103" s="16">
        <v>7955862004</v>
      </c>
      <c r="I103" s="2">
        <v>79</v>
      </c>
      <c r="J103" s="3">
        <v>45516</v>
      </c>
      <c r="K103" s="3">
        <v>45516</v>
      </c>
      <c r="L103" s="6" t="s">
        <v>167</v>
      </c>
      <c r="M103" s="17">
        <v>45518</v>
      </c>
      <c r="N103" s="10"/>
    </row>
    <row r="104" spans="2:14" customFormat="1" x14ac:dyDescent="0.25">
      <c r="B104">
        <v>7966500001</v>
      </c>
      <c r="C104">
        <v>79</v>
      </c>
      <c r="D104" s="1">
        <v>46220</v>
      </c>
      <c r="E104" s="1">
        <v>46234</v>
      </c>
      <c r="F104" s="37" t="str">
        <f>VLOOKUP(revtar_ins_aecc_CELTINS[[#This Row],[CODIGO]],H:M,5,)</f>
        <v>ETO-PROT161/2026</v>
      </c>
      <c r="H104" s="16">
        <v>7955559103</v>
      </c>
      <c r="I104" s="2">
        <v>79</v>
      </c>
      <c r="J104" s="3">
        <v>45518</v>
      </c>
      <c r="K104" s="3">
        <v>45518</v>
      </c>
      <c r="L104" s="6" t="s">
        <v>173</v>
      </c>
      <c r="M104" s="17">
        <v>45520</v>
      </c>
      <c r="N104" s="10"/>
    </row>
    <row r="105" spans="2:14" customFormat="1" x14ac:dyDescent="0.25">
      <c r="B105">
        <v>7957018094</v>
      </c>
      <c r="C105">
        <v>79</v>
      </c>
      <c r="D105" s="1">
        <v>45594</v>
      </c>
      <c r="E105" s="1">
        <v>46269</v>
      </c>
      <c r="F105" s="37" t="str">
        <f>VLOOKUP(revtar_ins_aecc_CELTINS[[#This Row],[CODIGO]],H:M,5,)</f>
        <v>ETO-PROT368/2024</v>
      </c>
      <c r="H105" s="16">
        <v>7957608034</v>
      </c>
      <c r="I105" s="2">
        <v>79</v>
      </c>
      <c r="J105" s="3">
        <v>45518</v>
      </c>
      <c r="K105" s="3">
        <v>45518</v>
      </c>
      <c r="L105" s="6" t="s">
        <v>175</v>
      </c>
      <c r="M105" s="17">
        <v>45520</v>
      </c>
      <c r="N105" s="10"/>
    </row>
    <row r="106" spans="2:14" customFormat="1" x14ac:dyDescent="0.25">
      <c r="B106">
        <v>7957024200</v>
      </c>
      <c r="C106">
        <v>79</v>
      </c>
      <c r="D106" s="1">
        <v>45605</v>
      </c>
      <c r="E106" s="1">
        <v>46269</v>
      </c>
      <c r="F106" s="37" t="str">
        <f>VLOOKUP(revtar_ins_aecc_CELTINS[[#This Row],[CODIGO]],H:M,5,)</f>
        <v>ETO-PROT403/2024</v>
      </c>
      <c r="H106" s="16">
        <v>7954516026</v>
      </c>
      <c r="I106" s="2">
        <v>79</v>
      </c>
      <c r="J106" s="3">
        <v>45518</v>
      </c>
      <c r="K106" s="3">
        <v>45518</v>
      </c>
      <c r="L106" s="6" t="s">
        <v>168</v>
      </c>
      <c r="M106" s="17">
        <v>45518</v>
      </c>
      <c r="N106" s="10"/>
    </row>
    <row r="107" spans="2:14" customFormat="1" x14ac:dyDescent="0.25">
      <c r="B107">
        <v>7968002001</v>
      </c>
      <c r="C107">
        <v>79</v>
      </c>
      <c r="D107" s="1">
        <v>46112</v>
      </c>
      <c r="E107" s="1">
        <v>46273</v>
      </c>
      <c r="F107" s="37" t="str">
        <f>VLOOKUP(revtar_ins_aecc_CELTINS[[#This Row],[CODIGO]],H:M,5,)</f>
        <v>ETO-PROT90/2026</v>
      </c>
      <c r="H107" s="16">
        <v>7954632001</v>
      </c>
      <c r="I107" s="2">
        <v>79</v>
      </c>
      <c r="J107" s="3">
        <v>45518</v>
      </c>
      <c r="K107" s="3">
        <v>45518</v>
      </c>
      <c r="L107" s="6" t="s">
        <v>176</v>
      </c>
      <c r="M107" s="17">
        <v>45520</v>
      </c>
      <c r="N107" s="10"/>
    </row>
    <row r="108" spans="2:14" customFormat="1" x14ac:dyDescent="0.25">
      <c r="B108">
        <v>7968003001</v>
      </c>
      <c r="C108">
        <v>79</v>
      </c>
      <c r="D108" s="1">
        <v>46112</v>
      </c>
      <c r="E108" s="1">
        <v>46276</v>
      </c>
      <c r="F108" s="37" t="str">
        <f>VLOOKUP(revtar_ins_aecc_CELTINS[[#This Row],[CODIGO]],H:M,5,)</f>
        <v>ETO-PROT89/2026</v>
      </c>
      <c r="H108" s="16">
        <v>7955946007</v>
      </c>
      <c r="I108" s="2">
        <v>79</v>
      </c>
      <c r="J108" s="3">
        <v>45518</v>
      </c>
      <c r="K108" s="3">
        <v>45518</v>
      </c>
      <c r="L108" s="6" t="s">
        <v>169</v>
      </c>
      <c r="M108" s="17">
        <v>45518</v>
      </c>
      <c r="N108" s="10"/>
    </row>
    <row r="109" spans="2:14" customFormat="1" x14ac:dyDescent="0.25">
      <c r="B109">
        <v>7956373149</v>
      </c>
      <c r="C109">
        <v>79</v>
      </c>
      <c r="D109" s="1">
        <v>45523</v>
      </c>
      <c r="E109" s="1">
        <v>46277</v>
      </c>
      <c r="F109" s="37" t="str">
        <f>VLOOKUP(revtar_ins_aecc_CELTINS[[#This Row],[CODIGO]],H:M,5,)</f>
        <v>ETO-PROT177/2024</v>
      </c>
      <c r="H109" s="16">
        <v>7955429075</v>
      </c>
      <c r="I109" s="2">
        <v>79</v>
      </c>
      <c r="J109" s="3">
        <v>45518</v>
      </c>
      <c r="K109" s="3">
        <v>45518</v>
      </c>
      <c r="L109" s="6" t="s">
        <v>170</v>
      </c>
      <c r="M109" s="17">
        <v>45518</v>
      </c>
      <c r="N109" s="10"/>
    </row>
    <row r="110" spans="2:14" customFormat="1" x14ac:dyDescent="0.25">
      <c r="B110">
        <v>7956373149</v>
      </c>
      <c r="C110">
        <v>79</v>
      </c>
      <c r="D110" s="1">
        <v>45473</v>
      </c>
      <c r="E110" s="1">
        <v>46277</v>
      </c>
      <c r="F110" s="37" t="str">
        <f>VLOOKUP(revtar_ins_aecc_CELTINS[[#This Row],[CODIGO]],H:M,5,)</f>
        <v>ETO-PROT177/2024</v>
      </c>
      <c r="H110" s="16">
        <v>7955357022</v>
      </c>
      <c r="I110" s="2">
        <v>79</v>
      </c>
      <c r="J110" s="3">
        <v>45518</v>
      </c>
      <c r="K110" s="3">
        <v>45518</v>
      </c>
      <c r="L110" s="6" t="s">
        <v>172</v>
      </c>
      <c r="M110" s="17">
        <v>45520</v>
      </c>
      <c r="N110" s="10"/>
    </row>
    <row r="111" spans="2:14" customFormat="1" x14ac:dyDescent="0.25">
      <c r="B111">
        <v>7951276130</v>
      </c>
      <c r="C111">
        <v>79</v>
      </c>
      <c r="D111" s="1">
        <v>45958</v>
      </c>
      <c r="E111" s="1">
        <v>46271</v>
      </c>
      <c r="F111" s="37" t="str">
        <f>VLOOKUP(revtar_ins_aecc_CELTINS[[#This Row],[CODIGO]],H:M,5,)</f>
        <v>7951276103 =&gt; 7951276130</v>
      </c>
      <c r="H111" s="16">
        <v>7955223016</v>
      </c>
      <c r="I111" s="2">
        <v>79</v>
      </c>
      <c r="J111" s="3">
        <v>45518</v>
      </c>
      <c r="K111" s="3">
        <v>45518</v>
      </c>
      <c r="L111" s="6" t="s">
        <v>174</v>
      </c>
      <c r="M111" s="17">
        <v>45520</v>
      </c>
      <c r="N111" s="10"/>
    </row>
    <row r="112" spans="2:14" customFormat="1" x14ac:dyDescent="0.25">
      <c r="B112">
        <v>7965032004</v>
      </c>
      <c r="C112">
        <v>79</v>
      </c>
      <c r="D112" s="1">
        <v>45960</v>
      </c>
      <c r="E112" s="1">
        <v>46278</v>
      </c>
      <c r="F112" s="37" t="str">
        <f>VLOOKUP(revtar_ins_aecc_CELTINS[[#This Row],[CODIGO]],H:M,5,)</f>
        <v>ETO-PROT345/2025</v>
      </c>
      <c r="H112" s="16">
        <v>7955949013</v>
      </c>
      <c r="I112" s="2">
        <v>79</v>
      </c>
      <c r="J112" s="3">
        <v>45518</v>
      </c>
      <c r="K112" s="3">
        <v>45518</v>
      </c>
      <c r="L112" s="6" t="s">
        <v>177</v>
      </c>
      <c r="M112" s="17">
        <v>45520</v>
      </c>
      <c r="N112" s="10"/>
    </row>
    <row r="113" spans="2:14" customFormat="1" x14ac:dyDescent="0.25">
      <c r="B113">
        <v>7957466015</v>
      </c>
      <c r="C113">
        <v>79</v>
      </c>
      <c r="D113" s="1">
        <v>45610</v>
      </c>
      <c r="E113" s="1">
        <v>46268</v>
      </c>
      <c r="F113" s="37" t="str">
        <f>VLOOKUP(revtar_ins_aecc_CELTINS[[#This Row],[CODIGO]],H:M,5,)</f>
        <v>ETO-PROT425/2024</v>
      </c>
      <c r="H113" s="16">
        <v>7955942014</v>
      </c>
      <c r="I113" s="2">
        <v>79</v>
      </c>
      <c r="J113" s="3">
        <v>45520</v>
      </c>
      <c r="K113" s="3">
        <v>45520</v>
      </c>
      <c r="L113" s="6" t="s">
        <v>178</v>
      </c>
      <c r="M113" s="17">
        <v>45523</v>
      </c>
      <c r="N113" s="10"/>
    </row>
    <row r="114" spans="2:14" customFormat="1" x14ac:dyDescent="0.25">
      <c r="B114">
        <v>7951276130</v>
      </c>
      <c r="C114">
        <v>79</v>
      </c>
      <c r="D114" s="1">
        <v>45476</v>
      </c>
      <c r="E114" s="1">
        <v>46271</v>
      </c>
      <c r="F114" s="37" t="str">
        <f>VLOOKUP(revtar_ins_aecc_CELTINS[[#This Row],[CODIGO]],H:M,5,)</f>
        <v>7951276103 =&gt; 7951276130</v>
      </c>
      <c r="H114" s="16">
        <v>7955702037</v>
      </c>
      <c r="I114" s="2">
        <v>79</v>
      </c>
      <c r="J114" s="3">
        <v>45526</v>
      </c>
      <c r="K114" s="3">
        <v>45526</v>
      </c>
      <c r="L114" s="6" t="s">
        <v>211</v>
      </c>
      <c r="M114" s="17">
        <v>45526</v>
      </c>
      <c r="N114" s="10"/>
    </row>
    <row r="115" spans="2:14" customFormat="1" x14ac:dyDescent="0.25">
      <c r="B115">
        <v>7947531073</v>
      </c>
      <c r="C115">
        <v>79</v>
      </c>
      <c r="D115" s="1">
        <v>45469</v>
      </c>
      <c r="E115" s="1">
        <v>46234</v>
      </c>
      <c r="F115" s="37" t="str">
        <f>VLOOKUP(revtar_ins_aecc_CELTINS[[#This Row],[CODIGO]],H:M,5,)</f>
        <v>ETO-PROT178/2024</v>
      </c>
      <c r="H115" s="16">
        <v>7955948013</v>
      </c>
      <c r="I115" s="2">
        <v>79</v>
      </c>
      <c r="J115" s="3">
        <v>45526</v>
      </c>
      <c r="K115" s="3">
        <v>45526</v>
      </c>
      <c r="L115" s="6" t="s">
        <v>183</v>
      </c>
      <c r="M115" s="17">
        <v>45527</v>
      </c>
      <c r="N115" s="10"/>
    </row>
    <row r="116" spans="2:14" customFormat="1" x14ac:dyDescent="0.25">
      <c r="B116">
        <v>7948129130</v>
      </c>
      <c r="C116">
        <v>79</v>
      </c>
      <c r="D116" s="1">
        <v>45958</v>
      </c>
      <c r="E116" s="1">
        <v>46271</v>
      </c>
      <c r="F116" s="37" t="str">
        <f>VLOOKUP(revtar_ins_aecc_CELTINS[[#This Row],[CODIGO]],H:M,5,)</f>
        <v>ETO-PROT262/2023</v>
      </c>
      <c r="H116" s="16">
        <v>7955956073</v>
      </c>
      <c r="I116" s="2">
        <v>79</v>
      </c>
      <c r="J116" s="3">
        <v>45527</v>
      </c>
      <c r="K116" s="3">
        <v>45527</v>
      </c>
      <c r="L116" s="6" t="s">
        <v>182</v>
      </c>
      <c r="M116" s="17">
        <v>45527</v>
      </c>
      <c r="N116" s="10"/>
    </row>
    <row r="117" spans="2:14" customFormat="1" x14ac:dyDescent="0.25">
      <c r="B117">
        <v>7964816091</v>
      </c>
      <c r="C117">
        <v>79</v>
      </c>
      <c r="D117" s="1">
        <v>45939</v>
      </c>
      <c r="E117" s="1">
        <v>46234</v>
      </c>
      <c r="F117" s="37" t="str">
        <f>VLOOKUP(revtar_ins_aecc_CELTINS[[#This Row],[CODIGO]],H:M,5,)</f>
        <v>ETO-PROT308/2025</v>
      </c>
      <c r="H117" s="16">
        <v>7955360183</v>
      </c>
      <c r="I117" s="2">
        <v>79</v>
      </c>
      <c r="J117" s="3">
        <v>45538</v>
      </c>
      <c r="K117" s="3">
        <v>45538</v>
      </c>
      <c r="L117" s="6" t="s">
        <v>188</v>
      </c>
      <c r="M117" s="17">
        <v>45541</v>
      </c>
      <c r="N117" s="10"/>
    </row>
    <row r="118" spans="2:14" customFormat="1" x14ac:dyDescent="0.25">
      <c r="B118">
        <v>7954900073</v>
      </c>
      <c r="C118">
        <v>79</v>
      </c>
      <c r="D118" s="1">
        <v>46000</v>
      </c>
      <c r="E118" s="1">
        <v>46234</v>
      </c>
      <c r="F118" s="37" t="str">
        <f>VLOOKUP(revtar_ins_aecc_CELTINS[[#This Row],[CODIGO]],H:M,5,)</f>
        <v>ETO-PROT176/2024</v>
      </c>
      <c r="H118" s="16">
        <v>7954704001</v>
      </c>
      <c r="I118" s="2">
        <v>79</v>
      </c>
      <c r="J118" s="3">
        <v>45537</v>
      </c>
      <c r="K118" s="3">
        <v>45537</v>
      </c>
      <c r="L118" s="6" t="s">
        <v>181</v>
      </c>
      <c r="M118" s="17">
        <v>45538</v>
      </c>
      <c r="N118" s="10"/>
    </row>
    <row r="119" spans="2:14" customFormat="1" x14ac:dyDescent="0.25">
      <c r="B119">
        <v>7955559103</v>
      </c>
      <c r="C119">
        <v>79</v>
      </c>
      <c r="D119" s="1">
        <v>45514</v>
      </c>
      <c r="E119" s="1">
        <v>46271</v>
      </c>
      <c r="F119" s="37" t="str">
        <f>VLOOKUP(revtar_ins_aecc_CELTINS[[#This Row],[CODIGO]],H:M,5,)</f>
        <v>ETO-PROT228/2024</v>
      </c>
      <c r="H119" s="16">
        <v>7954703256</v>
      </c>
      <c r="I119" s="2">
        <v>79</v>
      </c>
      <c r="J119" s="3">
        <v>45530</v>
      </c>
      <c r="K119" s="3">
        <v>45530</v>
      </c>
      <c r="L119" s="6" t="s">
        <v>184</v>
      </c>
      <c r="M119" s="17">
        <v>45530</v>
      </c>
      <c r="N119" s="10"/>
    </row>
    <row r="120" spans="2:14" customFormat="1" x14ac:dyDescent="0.25">
      <c r="B120">
        <v>7955207004</v>
      </c>
      <c r="C120">
        <v>79</v>
      </c>
      <c r="D120" s="1">
        <v>45512</v>
      </c>
      <c r="E120" s="1">
        <v>46278</v>
      </c>
      <c r="F120" s="37" t="str">
        <f>VLOOKUP(revtar_ins_aecc_CELTINS[[#This Row],[CODIGO]],H:M,5,)</f>
        <v>ETO-PROT218/2024</v>
      </c>
      <c r="H120" s="16">
        <v>7955713003</v>
      </c>
      <c r="I120" s="2">
        <v>79</v>
      </c>
      <c r="J120" s="3">
        <v>45538</v>
      </c>
      <c r="K120" s="3">
        <v>45538</v>
      </c>
      <c r="L120" s="6" t="s">
        <v>189</v>
      </c>
      <c r="M120" s="17">
        <v>45538</v>
      </c>
      <c r="N120" s="10"/>
    </row>
    <row r="121" spans="2:14" customFormat="1" x14ac:dyDescent="0.25">
      <c r="B121">
        <v>7955430075</v>
      </c>
      <c r="C121">
        <v>79</v>
      </c>
      <c r="D121" s="1">
        <v>45559</v>
      </c>
      <c r="E121" s="1">
        <v>46276</v>
      </c>
      <c r="F121" s="37" t="str">
        <f>VLOOKUP(revtar_ins_aecc_CELTINS[[#This Row],[CODIGO]],H:M,5,)</f>
        <v>ETO-PROT306/2024</v>
      </c>
      <c r="H121" s="16">
        <v>7957557094</v>
      </c>
      <c r="I121" s="2">
        <v>79</v>
      </c>
      <c r="J121" s="3">
        <v>45528</v>
      </c>
      <c r="K121" s="3">
        <v>45528</v>
      </c>
      <c r="L121" s="6" t="s">
        <v>185</v>
      </c>
      <c r="M121" s="17">
        <v>45530</v>
      </c>
      <c r="N121" s="10"/>
    </row>
    <row r="122" spans="2:14" customFormat="1" x14ac:dyDescent="0.25">
      <c r="B122">
        <v>7950291049</v>
      </c>
      <c r="C122">
        <v>79</v>
      </c>
      <c r="D122" s="1">
        <v>45649</v>
      </c>
      <c r="E122" s="1">
        <v>46276</v>
      </c>
      <c r="F122" s="37" t="str">
        <f>VLOOKUP(revtar_ins_aecc_CELTINS[[#This Row],[CODIGO]],H:M,5,)</f>
        <v>ETO-PROT38/2023</v>
      </c>
      <c r="H122" s="16">
        <v>7957874223</v>
      </c>
      <c r="I122" s="2">
        <v>79</v>
      </c>
      <c r="J122" s="3">
        <v>45524</v>
      </c>
      <c r="K122" s="3">
        <v>45524</v>
      </c>
      <c r="L122" s="6" t="s">
        <v>180</v>
      </c>
      <c r="M122" s="17">
        <v>45526</v>
      </c>
      <c r="N122" s="10"/>
    </row>
    <row r="123" spans="2:14" customFormat="1" x14ac:dyDescent="0.25">
      <c r="B123">
        <v>7947024076</v>
      </c>
      <c r="C123">
        <v>79</v>
      </c>
      <c r="D123" s="1">
        <v>46037</v>
      </c>
      <c r="E123" s="1">
        <v>46272</v>
      </c>
      <c r="F123" s="37" t="str">
        <f>VLOOKUP(revtar_ins_aecc_CELTINS[[#This Row],[CODIGO]],H:M,5,)</f>
        <v>ATUALIZAÇÃO</v>
      </c>
      <c r="H123" s="16">
        <v>7956068152</v>
      </c>
      <c r="I123" s="2">
        <v>79</v>
      </c>
      <c r="J123" s="3">
        <v>45541</v>
      </c>
      <c r="K123" s="3">
        <v>45541</v>
      </c>
      <c r="L123" s="6" t="s">
        <v>192</v>
      </c>
      <c r="M123" s="17">
        <v>45544</v>
      </c>
      <c r="N123" s="10"/>
    </row>
    <row r="124" spans="2:14" customFormat="1" x14ac:dyDescent="0.25">
      <c r="B124">
        <v>7948129130</v>
      </c>
      <c r="C124">
        <v>79</v>
      </c>
      <c r="D124" s="1">
        <v>45520</v>
      </c>
      <c r="E124" s="1">
        <v>46271</v>
      </c>
      <c r="F124" s="37" t="str">
        <f>VLOOKUP(revtar_ins_aecc_CELTINS[[#This Row],[CODIGO]],H:M,5,)</f>
        <v>ETO-PROT262/2023</v>
      </c>
      <c r="H124" s="16">
        <v>7954481004</v>
      </c>
      <c r="I124" s="2">
        <v>79</v>
      </c>
      <c r="J124" s="3">
        <v>45540</v>
      </c>
      <c r="K124" s="3">
        <v>45540</v>
      </c>
      <c r="L124" s="6" t="s">
        <v>194</v>
      </c>
      <c r="M124" s="17">
        <v>45545</v>
      </c>
      <c r="N124" s="10"/>
    </row>
    <row r="125" spans="2:14" customFormat="1" x14ac:dyDescent="0.25">
      <c r="B125">
        <v>7956040101</v>
      </c>
      <c r="C125">
        <v>79</v>
      </c>
      <c r="D125" s="1">
        <v>45604</v>
      </c>
      <c r="E125" s="1">
        <v>45623</v>
      </c>
      <c r="F125" s="37" t="str">
        <f>VLOOKUP(revtar_ins_aecc_CELTINS[[#This Row],[CODIGO]],H:M,5,)</f>
        <v>ETO-PROT456/2024</v>
      </c>
      <c r="H125" s="16">
        <v>7955858004</v>
      </c>
      <c r="I125" s="2">
        <f>$I$124</f>
        <v>79</v>
      </c>
      <c r="J125" s="3">
        <v>45541</v>
      </c>
      <c r="K125" s="3">
        <v>45541</v>
      </c>
      <c r="L125" s="6" t="s">
        <v>196</v>
      </c>
      <c r="M125" s="17">
        <v>45545</v>
      </c>
      <c r="N125" s="10"/>
    </row>
    <row r="126" spans="2:14" customFormat="1" x14ac:dyDescent="0.25">
      <c r="B126">
        <v>7955429075</v>
      </c>
      <c r="C126">
        <v>79</v>
      </c>
      <c r="D126" s="1">
        <v>45517</v>
      </c>
      <c r="E126" s="1">
        <v>46276</v>
      </c>
      <c r="F126" s="37" t="str">
        <f>VLOOKUP(revtar_ins_aecc_CELTINS[[#This Row],[CODIGO]],H:M,5,)</f>
        <v>ETO-PROT225/2024</v>
      </c>
      <c r="H126" s="16">
        <v>7955175004</v>
      </c>
      <c r="I126" s="2">
        <f>$I$124</f>
        <v>79</v>
      </c>
      <c r="J126" s="3">
        <v>45541</v>
      </c>
      <c r="K126" s="3">
        <v>45541</v>
      </c>
      <c r="L126" s="6" t="s">
        <v>197</v>
      </c>
      <c r="M126" s="17">
        <v>45545</v>
      </c>
      <c r="N126" s="10"/>
    </row>
    <row r="127" spans="2:14" customFormat="1" x14ac:dyDescent="0.25">
      <c r="B127">
        <v>7957557094</v>
      </c>
      <c r="C127">
        <v>79</v>
      </c>
      <c r="D127" s="1">
        <v>45528</v>
      </c>
      <c r="E127" s="1">
        <v>46261</v>
      </c>
      <c r="F127" s="37" t="str">
        <f>VLOOKUP(revtar_ins_aecc_CELTINS[[#This Row],[CODIGO]],H:M,5,)</f>
        <v>ETO-PROT248/2024</v>
      </c>
      <c r="H127" s="16">
        <v>7955372016</v>
      </c>
      <c r="I127" s="2">
        <f>$I$124</f>
        <v>79</v>
      </c>
      <c r="J127" s="3">
        <v>45541</v>
      </c>
      <c r="K127" s="3">
        <v>45541</v>
      </c>
      <c r="L127" s="6" t="s">
        <v>191</v>
      </c>
      <c r="M127" s="17">
        <v>45545</v>
      </c>
      <c r="N127" s="10"/>
    </row>
    <row r="128" spans="2:14" customFormat="1" x14ac:dyDescent="0.25">
      <c r="B128">
        <v>7950298038</v>
      </c>
      <c r="C128">
        <v>79</v>
      </c>
      <c r="D128" s="1">
        <v>45649</v>
      </c>
      <c r="E128" s="1">
        <v>46276</v>
      </c>
      <c r="F128" s="37" t="str">
        <f>VLOOKUP(revtar_ins_aecc_CELTINS[[#This Row],[CODIGO]],H:M,5,)</f>
        <v>ETO-PROT0001/2024</v>
      </c>
      <c r="H128" s="16">
        <v>7955859022</v>
      </c>
      <c r="I128" s="2">
        <v>79</v>
      </c>
      <c r="J128" s="3">
        <v>45541</v>
      </c>
      <c r="K128" s="3">
        <v>45541</v>
      </c>
      <c r="L128" s="6" t="s">
        <v>195</v>
      </c>
      <c r="M128" s="17">
        <v>45541</v>
      </c>
      <c r="N128" s="10"/>
    </row>
    <row r="129" spans="2:14" customFormat="1" x14ac:dyDescent="0.25">
      <c r="B129">
        <v>7929777147</v>
      </c>
      <c r="C129">
        <v>79</v>
      </c>
      <c r="D129" s="1">
        <v>45826</v>
      </c>
      <c r="E129" s="1">
        <v>46256</v>
      </c>
      <c r="F129" s="37" t="str">
        <f>VLOOKUP(revtar_ins_aecc_CELTINS[[#This Row],[CODIGO]],H:M,5,)</f>
        <v>ETO-PROT204/2025</v>
      </c>
      <c r="H129" s="16">
        <v>7957163122</v>
      </c>
      <c r="I129" s="2">
        <f>$I$124</f>
        <v>79</v>
      </c>
      <c r="J129" s="3">
        <v>45541</v>
      </c>
      <c r="K129" s="3">
        <v>45541</v>
      </c>
      <c r="L129" s="6" t="s">
        <v>198</v>
      </c>
      <c r="M129" s="17">
        <v>45547</v>
      </c>
      <c r="N129" s="10"/>
    </row>
    <row r="130" spans="2:14" customFormat="1" x14ac:dyDescent="0.25">
      <c r="B130">
        <v>7927396052</v>
      </c>
      <c r="C130">
        <v>79</v>
      </c>
      <c r="D130" s="1">
        <v>45953</v>
      </c>
      <c r="E130" s="1">
        <v>46259</v>
      </c>
      <c r="F130" s="37" t="str">
        <f>VLOOKUP(revtar_ins_aecc_CELTINS[[#This Row],[CODIGO]],H:M,5,)</f>
        <v>ATUALIZAÇÃO</v>
      </c>
      <c r="H130" s="16">
        <v>7955839063</v>
      </c>
      <c r="I130" s="2">
        <f>$I$124</f>
        <v>79</v>
      </c>
      <c r="J130" s="3">
        <v>45541</v>
      </c>
      <c r="K130" s="3">
        <v>45541</v>
      </c>
      <c r="L130" s="6" t="s">
        <v>190</v>
      </c>
      <c r="M130" s="17">
        <v>45541</v>
      </c>
      <c r="N130" s="10"/>
    </row>
    <row r="131" spans="2:14" customFormat="1" x14ac:dyDescent="0.25">
      <c r="B131">
        <v>7957878033</v>
      </c>
      <c r="C131">
        <v>79</v>
      </c>
      <c r="D131" s="1">
        <v>45512</v>
      </c>
      <c r="E131" s="1">
        <v>46272</v>
      </c>
      <c r="F131" s="37" t="str">
        <f>VLOOKUP(revtar_ins_aecc_CELTINS[[#This Row],[CODIGO]],H:M,5,)</f>
        <v>ETO-PROT226/2024</v>
      </c>
      <c r="H131" s="16">
        <v>7956063152</v>
      </c>
      <c r="I131" s="2">
        <f>$I$124</f>
        <v>79</v>
      </c>
      <c r="J131" s="3">
        <v>45541</v>
      </c>
      <c r="K131" s="3">
        <v>45541</v>
      </c>
      <c r="L131" s="6" t="s">
        <v>193</v>
      </c>
      <c r="M131" s="17">
        <v>45541</v>
      </c>
      <c r="N131" s="10"/>
    </row>
    <row r="132" spans="2:14" customFormat="1" x14ac:dyDescent="0.25">
      <c r="B132">
        <v>7948129130</v>
      </c>
      <c r="C132">
        <v>79</v>
      </c>
      <c r="D132" s="1">
        <v>45615</v>
      </c>
      <c r="E132" s="1">
        <v>46271</v>
      </c>
      <c r="F132" s="37" t="str">
        <f>VLOOKUP(revtar_ins_aecc_CELTINS[[#This Row],[CODIGO]],H:M,5,)</f>
        <v>ETO-PROT262/2023</v>
      </c>
      <c r="H132" s="16">
        <v>7936096015</v>
      </c>
      <c r="I132" s="2">
        <v>79</v>
      </c>
      <c r="J132" s="3">
        <v>45543</v>
      </c>
      <c r="K132" s="3">
        <v>45543</v>
      </c>
      <c r="L132" s="6" t="s">
        <v>199</v>
      </c>
      <c r="M132" s="17">
        <v>45547</v>
      </c>
      <c r="N132" s="10"/>
    </row>
    <row r="133" spans="2:14" customFormat="1" x14ac:dyDescent="0.25">
      <c r="B133" s="2">
        <v>7957620015</v>
      </c>
      <c r="C133">
        <v>79</v>
      </c>
      <c r="D133" s="1">
        <v>45577</v>
      </c>
      <c r="E133" s="1">
        <v>46267</v>
      </c>
      <c r="F133" s="37" t="str">
        <f>VLOOKUP(revtar_ins_aecc_CELTINS[[#This Row],[CODIGO]],H:M,5,)</f>
        <v>ETO-PROT344/2024</v>
      </c>
      <c r="H133" s="16">
        <v>7955582039</v>
      </c>
      <c r="I133" s="2">
        <v>79</v>
      </c>
      <c r="J133" s="3">
        <v>45541</v>
      </c>
      <c r="K133" s="3">
        <v>45541</v>
      </c>
      <c r="L133" s="6" t="s">
        <v>200</v>
      </c>
      <c r="M133" s="17">
        <v>45547</v>
      </c>
      <c r="N133" s="10"/>
    </row>
    <row r="134" spans="2:14" customFormat="1" x14ac:dyDescent="0.25">
      <c r="B134">
        <v>7955520116</v>
      </c>
      <c r="C134">
        <v>79</v>
      </c>
      <c r="D134" s="1">
        <v>45659</v>
      </c>
      <c r="E134" s="1">
        <v>46263</v>
      </c>
      <c r="F134" s="37" t="str">
        <f>VLOOKUP(revtar_ins_aecc_CELTINS[[#This Row],[CODIGO]],H:M,5,)</f>
        <v>ETO-PROT418/2024</v>
      </c>
      <c r="H134" s="16">
        <v>7907467059</v>
      </c>
      <c r="I134" s="2">
        <v>79</v>
      </c>
      <c r="J134" s="3">
        <v>45543</v>
      </c>
      <c r="K134" s="3">
        <v>45543</v>
      </c>
      <c r="L134" s="6" t="s">
        <v>108</v>
      </c>
      <c r="M134" s="17">
        <v>45547</v>
      </c>
      <c r="N134" s="10"/>
    </row>
    <row r="135" spans="2:14" customFormat="1" x14ac:dyDescent="0.25">
      <c r="B135">
        <v>7948129130</v>
      </c>
      <c r="C135">
        <v>79</v>
      </c>
      <c r="D135" s="1">
        <v>45993</v>
      </c>
      <c r="E135" s="1">
        <v>46271</v>
      </c>
      <c r="F135" s="37" t="str">
        <f>VLOOKUP(revtar_ins_aecc_CELTINS[[#This Row],[CODIGO]],H:M,5,)</f>
        <v>ETO-PROT262/2023</v>
      </c>
      <c r="H135" s="16">
        <v>7955986084</v>
      </c>
      <c r="I135" s="2">
        <v>79</v>
      </c>
      <c r="J135" s="3">
        <v>45548</v>
      </c>
      <c r="K135" s="3">
        <v>45548</v>
      </c>
      <c r="L135" s="6" t="s">
        <v>202</v>
      </c>
      <c r="M135" s="17">
        <v>45548</v>
      </c>
      <c r="N135" s="10"/>
    </row>
    <row r="136" spans="2:14" customFormat="1" x14ac:dyDescent="0.25">
      <c r="B136">
        <v>7954654073</v>
      </c>
      <c r="C136">
        <v>79</v>
      </c>
      <c r="D136" s="1">
        <v>45473</v>
      </c>
      <c r="E136" s="1">
        <v>46271</v>
      </c>
      <c r="F136" s="37" t="str">
        <f>VLOOKUP(revtar_ins_aecc_CELTINS[[#This Row],[CODIGO]],H:M,5,)</f>
        <v>ETO-PROT173/2024</v>
      </c>
      <c r="H136" s="16">
        <v>7957558003</v>
      </c>
      <c r="I136" s="2">
        <v>79</v>
      </c>
      <c r="J136" s="3">
        <v>45548</v>
      </c>
      <c r="K136" s="3">
        <v>45548</v>
      </c>
      <c r="L136" s="6" t="s">
        <v>203</v>
      </c>
      <c r="M136" s="17">
        <v>45548</v>
      </c>
      <c r="N136" s="10"/>
    </row>
    <row r="137" spans="2:14" customFormat="1" x14ac:dyDescent="0.25">
      <c r="B137">
        <v>7950291049</v>
      </c>
      <c r="C137">
        <v>79</v>
      </c>
      <c r="D137" s="1">
        <v>45473</v>
      </c>
      <c r="E137" s="1">
        <v>46259</v>
      </c>
      <c r="F137" s="37" t="str">
        <f>VLOOKUP(revtar_ins_aecc_CELTINS[[#This Row],[CODIGO]],H:M,5,)</f>
        <v>ETO-PROT38/2023</v>
      </c>
      <c r="H137" s="16">
        <v>7957719009</v>
      </c>
      <c r="I137" s="2">
        <v>79</v>
      </c>
      <c r="J137" s="3">
        <v>45548</v>
      </c>
      <c r="K137" s="3">
        <v>45548</v>
      </c>
      <c r="L137" s="6" t="s">
        <v>204</v>
      </c>
      <c r="M137" s="17">
        <v>45551</v>
      </c>
      <c r="N137" s="10"/>
    </row>
    <row r="138" spans="2:14" customFormat="1" x14ac:dyDescent="0.25">
      <c r="B138">
        <v>7950298038</v>
      </c>
      <c r="C138">
        <v>79</v>
      </c>
      <c r="D138" s="1">
        <v>45473</v>
      </c>
      <c r="E138" s="1">
        <v>46259</v>
      </c>
      <c r="F138" s="37" t="str">
        <f>VLOOKUP(revtar_ins_aecc_CELTINS[[#This Row],[CODIGO]],H:M,5,)</f>
        <v>ETO-PROT0001/2024</v>
      </c>
      <c r="H138" s="16">
        <v>7954971011</v>
      </c>
      <c r="I138" s="2">
        <v>79</v>
      </c>
      <c r="J138" s="3">
        <v>45548</v>
      </c>
      <c r="K138" s="3">
        <v>45548</v>
      </c>
      <c r="L138" s="6" t="s">
        <v>205</v>
      </c>
      <c r="M138" s="17">
        <v>45551</v>
      </c>
      <c r="N138" s="10"/>
    </row>
    <row r="139" spans="2:14" customFormat="1" x14ac:dyDescent="0.25">
      <c r="B139">
        <v>7956702007</v>
      </c>
      <c r="C139">
        <v>79</v>
      </c>
      <c r="D139" s="1">
        <v>45939</v>
      </c>
      <c r="E139" s="1">
        <v>46276</v>
      </c>
      <c r="F139" s="37" t="str">
        <f>VLOOKUP(revtar_ins_aecc_CELTINS[[#This Row],[CODIGO]],H:M,5,)</f>
        <v>ETO-PROT309/2025</v>
      </c>
      <c r="H139" s="16">
        <v>7957920111</v>
      </c>
      <c r="I139" s="2">
        <v>79</v>
      </c>
      <c r="J139" s="3">
        <v>45548</v>
      </c>
      <c r="K139" s="3">
        <v>45548</v>
      </c>
      <c r="L139" s="6" t="s">
        <v>207</v>
      </c>
      <c r="M139" s="17">
        <v>45551</v>
      </c>
      <c r="N139" s="10"/>
    </row>
    <row r="140" spans="2:14" customFormat="1" x14ac:dyDescent="0.25">
      <c r="B140">
        <v>7963500031</v>
      </c>
      <c r="C140">
        <v>79</v>
      </c>
      <c r="D140" s="1">
        <v>46003</v>
      </c>
      <c r="E140" s="1">
        <v>46246</v>
      </c>
      <c r="F140" s="37" t="str">
        <f>VLOOKUP(revtar_ins_aecc_CELTINS[[#This Row],[CODIGO]],H:M,5,)</f>
        <v>ETO-PROT390/2025</v>
      </c>
      <c r="H140" s="16">
        <v>7956927122</v>
      </c>
      <c r="I140" s="2">
        <v>79</v>
      </c>
      <c r="J140" s="3">
        <v>45548</v>
      </c>
      <c r="K140" s="3">
        <v>45548</v>
      </c>
      <c r="L140" s="6" t="s">
        <v>208</v>
      </c>
      <c r="M140" s="17">
        <v>45551</v>
      </c>
      <c r="N140" s="10"/>
    </row>
    <row r="141" spans="2:14" customFormat="1" x14ac:dyDescent="0.25">
      <c r="B141">
        <v>7956041038</v>
      </c>
      <c r="C141">
        <v>79</v>
      </c>
      <c r="D141" s="1">
        <v>45588</v>
      </c>
      <c r="E141" s="1">
        <v>46269</v>
      </c>
      <c r="F141" s="37" t="str">
        <f>VLOOKUP(revtar_ins_aecc_CELTINS[[#This Row],[CODIGO]],H:M,5,)</f>
        <v>ETO-PROT355/2024</v>
      </c>
      <c r="H141" s="16">
        <v>7955882060</v>
      </c>
      <c r="I141" s="2">
        <v>79</v>
      </c>
      <c r="J141" s="3">
        <v>45551</v>
      </c>
      <c r="K141" s="3">
        <v>45551</v>
      </c>
      <c r="L141" s="6" t="s">
        <v>206</v>
      </c>
      <c r="M141" s="17">
        <v>45551</v>
      </c>
      <c r="N141" s="10"/>
    </row>
    <row r="142" spans="2:14" customFormat="1" x14ac:dyDescent="0.25">
      <c r="B142">
        <v>7962837017</v>
      </c>
      <c r="C142">
        <v>79</v>
      </c>
      <c r="D142" s="1">
        <v>45979</v>
      </c>
      <c r="E142" s="1">
        <v>46276</v>
      </c>
      <c r="F142" s="37" t="str">
        <f>VLOOKUP(revtar_ins_aecc_CELTINS[[#This Row],[CODIGO]],H:M,5,)</f>
        <v>ETO-PROT362/2025</v>
      </c>
      <c r="H142" s="16">
        <v>7954283003</v>
      </c>
      <c r="I142" s="2">
        <v>79</v>
      </c>
      <c r="J142" s="3">
        <v>45551</v>
      </c>
      <c r="K142" s="3">
        <v>45551</v>
      </c>
      <c r="L142" s="6" t="s">
        <v>209</v>
      </c>
      <c r="M142" s="17">
        <v>45551</v>
      </c>
      <c r="N142" s="10"/>
    </row>
    <row r="143" spans="2:14" customFormat="1" x14ac:dyDescent="0.25">
      <c r="B143">
        <v>7956117005</v>
      </c>
      <c r="C143">
        <v>79</v>
      </c>
      <c r="D143" s="1">
        <v>45605</v>
      </c>
      <c r="E143" s="1">
        <v>46247</v>
      </c>
      <c r="F143" s="37" t="str">
        <f>VLOOKUP(revtar_ins_aecc_CELTINS[[#This Row],[CODIGO]],H:M,5,)</f>
        <v>ETO-PROT406/2024</v>
      </c>
      <c r="H143" s="16">
        <v>7955711003</v>
      </c>
      <c r="I143" s="2">
        <v>79</v>
      </c>
      <c r="J143" s="3">
        <v>45551</v>
      </c>
      <c r="K143" s="3">
        <v>45551</v>
      </c>
      <c r="L143" s="6" t="s">
        <v>210</v>
      </c>
      <c r="M143" s="17">
        <v>45551</v>
      </c>
      <c r="N143" s="10"/>
    </row>
    <row r="144" spans="2:14" customFormat="1" x14ac:dyDescent="0.25">
      <c r="B144">
        <v>7956131005</v>
      </c>
      <c r="C144">
        <v>79</v>
      </c>
      <c r="D144" s="1">
        <v>45615</v>
      </c>
      <c r="E144" s="1">
        <v>45623</v>
      </c>
      <c r="F144" s="37" t="str">
        <f>VLOOKUP(revtar_ins_aecc_CELTINS[[#This Row],[CODIGO]],H:M,5,)</f>
        <v>ETO-PROT457/2024</v>
      </c>
      <c r="H144" s="16">
        <v>7955677003</v>
      </c>
      <c r="I144" s="2">
        <v>79</v>
      </c>
      <c r="J144" s="3">
        <v>45548</v>
      </c>
      <c r="K144" s="3">
        <v>45548</v>
      </c>
      <c r="L144" s="6" t="s">
        <v>213</v>
      </c>
      <c r="M144" s="17">
        <v>45552</v>
      </c>
      <c r="N144" s="10"/>
    </row>
    <row r="145" spans="2:14" customFormat="1" x14ac:dyDescent="0.25">
      <c r="B145">
        <v>7956131005</v>
      </c>
      <c r="C145">
        <v>79</v>
      </c>
      <c r="D145" s="1">
        <v>45623</v>
      </c>
      <c r="E145" s="1">
        <v>46247</v>
      </c>
      <c r="F145" s="37" t="str">
        <f>VLOOKUP(revtar_ins_aecc_CELTINS[[#This Row],[CODIGO]],H:M,5,)</f>
        <v>ETO-PROT457/2024</v>
      </c>
      <c r="H145" s="16">
        <v>7957882153</v>
      </c>
      <c r="I145" s="2">
        <v>79</v>
      </c>
      <c r="J145" s="3">
        <v>45552</v>
      </c>
      <c r="K145" s="3">
        <v>45552</v>
      </c>
      <c r="L145" s="6" t="s">
        <v>214</v>
      </c>
      <c r="M145" s="17">
        <v>45552</v>
      </c>
      <c r="N145" s="10"/>
    </row>
    <row r="146" spans="2:14" customFormat="1" x14ac:dyDescent="0.25">
      <c r="B146">
        <v>7963997027</v>
      </c>
      <c r="C146">
        <v>79</v>
      </c>
      <c r="D146" s="1">
        <v>46047</v>
      </c>
      <c r="E146" s="1">
        <v>46255</v>
      </c>
      <c r="F146" s="37" t="str">
        <f>VLOOKUP(revtar_ins_aecc_CELTINS[[#This Row],[CODIGO]],H:M,5,)</f>
        <v>ETO-PROT32/2026</v>
      </c>
      <c r="H146" s="16">
        <v>7957658155</v>
      </c>
      <c r="I146" s="2">
        <v>79</v>
      </c>
      <c r="J146" s="3">
        <v>45552</v>
      </c>
      <c r="K146" s="3">
        <v>45552</v>
      </c>
      <c r="L146" s="6" t="s">
        <v>217</v>
      </c>
      <c r="M146" s="17">
        <v>45553</v>
      </c>
      <c r="N146" s="10"/>
    </row>
    <row r="147" spans="2:14" customFormat="1" x14ac:dyDescent="0.25">
      <c r="B147">
        <v>7950298038</v>
      </c>
      <c r="C147">
        <v>79</v>
      </c>
      <c r="D147" s="1">
        <v>45747</v>
      </c>
      <c r="E147" s="1">
        <v>46269</v>
      </c>
      <c r="F147" s="37" t="str">
        <f>VLOOKUP(revtar_ins_aecc_CELTINS[[#This Row],[CODIGO]],H:M,5,)</f>
        <v>ETO-PROT0001/2024</v>
      </c>
      <c r="H147" s="16">
        <v>7956903122</v>
      </c>
      <c r="I147" s="2">
        <v>79</v>
      </c>
      <c r="J147" s="3">
        <v>45552</v>
      </c>
      <c r="K147" s="3">
        <v>45552</v>
      </c>
      <c r="L147" s="6" t="s">
        <v>215</v>
      </c>
      <c r="M147" s="17">
        <v>45552</v>
      </c>
      <c r="N147" s="10"/>
    </row>
    <row r="148" spans="2:14" customFormat="1" x14ac:dyDescent="0.25">
      <c r="B148">
        <v>7950291049</v>
      </c>
      <c r="C148">
        <v>79</v>
      </c>
      <c r="D148" s="1">
        <v>45747</v>
      </c>
      <c r="E148" s="1">
        <v>46269</v>
      </c>
      <c r="F148" s="37" t="str">
        <f>VLOOKUP(revtar_ins_aecc_CELTINS[[#This Row],[CODIGO]],H:M,5,)</f>
        <v>ETO-PROT38/2023</v>
      </c>
      <c r="H148" s="16">
        <v>7938920003</v>
      </c>
      <c r="I148" s="2">
        <v>79</v>
      </c>
      <c r="J148" s="3">
        <v>45553</v>
      </c>
      <c r="K148" s="3">
        <v>45554</v>
      </c>
      <c r="L148" s="6" t="s">
        <v>219</v>
      </c>
      <c r="M148" s="17">
        <v>45555</v>
      </c>
      <c r="N148" s="10"/>
    </row>
    <row r="149" spans="2:14" customFormat="1" x14ac:dyDescent="0.25">
      <c r="B149">
        <v>7954971011</v>
      </c>
      <c r="C149">
        <v>79</v>
      </c>
      <c r="D149" s="1">
        <v>45548</v>
      </c>
      <c r="E149" s="1">
        <v>46274</v>
      </c>
      <c r="F149" s="37" t="str">
        <f>VLOOKUP(revtar_ins_aecc_CELTINS[[#This Row],[CODIGO]],H:M,5,)</f>
        <v>ETO-PROT281/2024</v>
      </c>
      <c r="H149" s="16">
        <v>7957834039</v>
      </c>
      <c r="I149" s="2">
        <v>79</v>
      </c>
      <c r="J149" s="3">
        <v>45554</v>
      </c>
      <c r="K149" s="3">
        <v>45554</v>
      </c>
      <c r="L149" s="6" t="s">
        <v>218</v>
      </c>
      <c r="M149" s="17">
        <v>45555</v>
      </c>
      <c r="N149" s="10"/>
    </row>
    <row r="150" spans="2:14" customFormat="1" x14ac:dyDescent="0.25">
      <c r="B150">
        <v>7948129130</v>
      </c>
      <c r="C150">
        <v>79</v>
      </c>
      <c r="D150" s="1">
        <v>45365</v>
      </c>
      <c r="E150" s="1">
        <v>46271</v>
      </c>
      <c r="F150" s="37" t="str">
        <f>VLOOKUP(revtar_ins_aecc_CELTINS[[#This Row],[CODIGO]],H:M,5,)</f>
        <v>ETO-PROT262/2023</v>
      </c>
      <c r="H150" s="16">
        <v>7956939122</v>
      </c>
      <c r="I150" s="2">
        <v>79</v>
      </c>
      <c r="J150" s="3">
        <v>45558</v>
      </c>
      <c r="K150" s="3">
        <v>45558</v>
      </c>
      <c r="L150" s="6" t="s">
        <v>223</v>
      </c>
      <c r="M150" s="17">
        <v>45558</v>
      </c>
      <c r="N150" s="10"/>
    </row>
    <row r="151" spans="2:14" customFormat="1" x14ac:dyDescent="0.25">
      <c r="B151">
        <v>7953298122</v>
      </c>
      <c r="C151">
        <v>79</v>
      </c>
      <c r="D151" s="1">
        <v>45608</v>
      </c>
      <c r="E151" s="1">
        <v>46274</v>
      </c>
      <c r="F151" s="37" t="str">
        <f>VLOOKUP(revtar_ins_aecc_CELTINS[[#This Row],[CODIGO]],H:M,5,)</f>
        <v>ETO-PROT420/2024</v>
      </c>
      <c r="H151" s="16">
        <v>7955999039</v>
      </c>
      <c r="I151" s="2">
        <v>79</v>
      </c>
      <c r="J151" s="3">
        <v>45558</v>
      </c>
      <c r="K151" s="3">
        <v>45558</v>
      </c>
      <c r="L151" s="6" t="s">
        <v>220</v>
      </c>
      <c r="M151" s="17">
        <v>45560</v>
      </c>
      <c r="N151" s="10"/>
    </row>
    <row r="152" spans="2:14" customFormat="1" x14ac:dyDescent="0.25">
      <c r="B152">
        <v>7955913122</v>
      </c>
      <c r="C152">
        <v>79</v>
      </c>
      <c r="D152" s="1">
        <v>45687</v>
      </c>
      <c r="E152" s="1">
        <v>46267</v>
      </c>
      <c r="F152" s="37" t="str">
        <f>VLOOKUP(revtar_ins_aecc_CELTINS[[#This Row],[CODIGO]],H:M,5,)</f>
        <v>ETO-PROT471/2024</v>
      </c>
      <c r="H152" s="16">
        <v>7955430075</v>
      </c>
      <c r="I152" s="2">
        <v>79</v>
      </c>
      <c r="J152" s="3">
        <v>45559</v>
      </c>
      <c r="K152" s="3">
        <v>45559</v>
      </c>
      <c r="L152" s="6" t="s">
        <v>224</v>
      </c>
      <c r="M152" s="17">
        <v>45562</v>
      </c>
      <c r="N152" s="10"/>
    </row>
    <row r="153" spans="2:14" customFormat="1" x14ac:dyDescent="0.25">
      <c r="B153">
        <v>7941530122</v>
      </c>
      <c r="C153">
        <v>79</v>
      </c>
      <c r="D153" s="1">
        <v>45988</v>
      </c>
      <c r="E153" s="1">
        <v>46261</v>
      </c>
      <c r="F153" s="37" t="str">
        <f>VLOOKUP(revtar_ins_aecc_CELTINS[[#This Row],[CODIGO]],H:M,5,)</f>
        <v>ATUALIZAÇÃO</v>
      </c>
      <c r="H153" s="16">
        <v>7957896034</v>
      </c>
      <c r="I153" s="2">
        <v>79</v>
      </c>
      <c r="J153" s="3">
        <v>45559</v>
      </c>
      <c r="K153" s="3">
        <v>45559</v>
      </c>
      <c r="L153" s="6" t="s">
        <v>221</v>
      </c>
      <c r="M153" s="17">
        <v>45560</v>
      </c>
      <c r="N153" s="10"/>
    </row>
    <row r="154" spans="2:14" customFormat="1" x14ac:dyDescent="0.25">
      <c r="B154">
        <v>7950310122</v>
      </c>
      <c r="C154">
        <v>79</v>
      </c>
      <c r="D154" s="1">
        <v>45988</v>
      </c>
      <c r="E154" s="1">
        <v>46247</v>
      </c>
      <c r="F154" s="37" t="str">
        <f>VLOOKUP(revtar_ins_aecc_CELTINS[[#This Row],[CODIGO]],H:M,5,)</f>
        <v>23/11/22 FISCALIZAÇÃO FINAL APROVADA</v>
      </c>
      <c r="H154" s="16">
        <v>7955211004</v>
      </c>
      <c r="I154" s="2">
        <v>79</v>
      </c>
      <c r="J154" s="3">
        <v>45560</v>
      </c>
      <c r="K154" s="3">
        <v>45560</v>
      </c>
      <c r="L154" s="6" t="s">
        <v>226</v>
      </c>
      <c r="M154" s="17">
        <v>45565</v>
      </c>
      <c r="N154" s="10"/>
    </row>
    <row r="155" spans="2:14" customFormat="1" x14ac:dyDescent="0.25">
      <c r="B155">
        <v>7956927122</v>
      </c>
      <c r="C155">
        <v>79</v>
      </c>
      <c r="D155" s="1">
        <v>45549</v>
      </c>
      <c r="E155" s="1">
        <v>46275</v>
      </c>
      <c r="F155" s="37" t="str">
        <f>VLOOKUP(revtar_ins_aecc_CELTINS[[#This Row],[CODIGO]],H:M,5,)</f>
        <v>ETO-PROT284/2024</v>
      </c>
      <c r="H155" s="16">
        <v>7959990070</v>
      </c>
      <c r="I155" s="2">
        <v>79</v>
      </c>
      <c r="J155" s="3">
        <v>45562</v>
      </c>
      <c r="K155" s="3">
        <v>45562</v>
      </c>
      <c r="L155" s="6" t="s">
        <v>227</v>
      </c>
      <c r="M155" s="17">
        <v>45565</v>
      </c>
      <c r="N155" s="10"/>
    </row>
    <row r="156" spans="2:14" customFormat="1" x14ac:dyDescent="0.25">
      <c r="B156">
        <v>7941992012</v>
      </c>
      <c r="C156">
        <v>79</v>
      </c>
      <c r="D156" s="1">
        <v>45970</v>
      </c>
      <c r="E156" s="1">
        <v>46270</v>
      </c>
      <c r="F156" s="37" t="str">
        <f>VLOOKUP(revtar_ins_aecc_CELTINS[[#This Row],[CODIGO]],H:M,5,)</f>
        <v>ATUALIZAÇÃO</v>
      </c>
      <c r="H156" s="16">
        <v>7955731003</v>
      </c>
      <c r="I156" s="2">
        <v>79</v>
      </c>
      <c r="J156" s="3">
        <v>45562</v>
      </c>
      <c r="K156" s="3">
        <v>45562</v>
      </c>
      <c r="L156" s="6" t="s">
        <v>225</v>
      </c>
      <c r="M156" s="17">
        <v>45566</v>
      </c>
      <c r="N156" s="10"/>
    </row>
    <row r="157" spans="2:14" customFormat="1" x14ac:dyDescent="0.25">
      <c r="B157">
        <v>7955521116</v>
      </c>
      <c r="C157">
        <v>79</v>
      </c>
      <c r="D157" s="1">
        <v>45596</v>
      </c>
      <c r="E157" s="1">
        <v>46263</v>
      </c>
      <c r="F157" s="37" t="str">
        <f>VLOOKUP(revtar_ins_aecc_CELTINS[[#This Row],[CODIGO]],H:M,5,)</f>
        <v>alteração de topologia</v>
      </c>
      <c r="H157" s="16">
        <v>7954748001</v>
      </c>
      <c r="I157" s="2">
        <v>79</v>
      </c>
      <c r="J157" s="3">
        <v>45562</v>
      </c>
      <c r="K157" s="3">
        <v>45562</v>
      </c>
      <c r="L157" s="6" t="s">
        <v>229</v>
      </c>
      <c r="M157" s="17">
        <v>45566</v>
      </c>
      <c r="N157" s="10"/>
    </row>
    <row r="158" spans="2:14" customFormat="1" x14ac:dyDescent="0.25">
      <c r="B158">
        <v>7947534073</v>
      </c>
      <c r="C158">
        <v>79</v>
      </c>
      <c r="D158" s="1">
        <v>45953</v>
      </c>
      <c r="E158" s="1">
        <v>46234</v>
      </c>
      <c r="F158" s="37" t="str">
        <f>VLOOKUP(revtar_ins_aecc_CELTINS[[#This Row],[CODIGO]],H:M,5,)</f>
        <v>ATUALIZAÇÃO</v>
      </c>
      <c r="H158" s="16">
        <v>7957834045</v>
      </c>
      <c r="I158" s="2">
        <v>79</v>
      </c>
      <c r="J158" s="3">
        <v>45566</v>
      </c>
      <c r="K158" s="3">
        <v>45566</v>
      </c>
      <c r="L158" s="6" t="s">
        <v>228</v>
      </c>
      <c r="M158" s="17">
        <v>45567</v>
      </c>
      <c r="N158" s="10"/>
    </row>
    <row r="159" spans="2:14" customFormat="1" x14ac:dyDescent="0.25">
      <c r="B159">
        <v>7956127190</v>
      </c>
      <c r="C159">
        <v>79</v>
      </c>
      <c r="D159" s="1">
        <v>45649</v>
      </c>
      <c r="E159" s="1">
        <v>46259</v>
      </c>
      <c r="F159" s="37" t="str">
        <f>VLOOKUP(revtar_ins_aecc_CELTINS[[#This Row],[CODIGO]],H:M,5,)</f>
        <v>ETO-PROT509/2024</v>
      </c>
      <c r="H159" s="16">
        <v>7954721001</v>
      </c>
      <c r="I159" s="2">
        <v>79</v>
      </c>
      <c r="J159" s="3">
        <v>45566</v>
      </c>
      <c r="K159" s="3">
        <v>45566</v>
      </c>
      <c r="L159" s="6" t="s">
        <v>230</v>
      </c>
      <c r="M159" s="17">
        <v>45567</v>
      </c>
      <c r="N159" s="10"/>
    </row>
    <row r="160" spans="2:14" customFormat="1" x14ac:dyDescent="0.25">
      <c r="B160">
        <v>7954490001</v>
      </c>
      <c r="C160">
        <v>79</v>
      </c>
      <c r="D160" s="1">
        <v>45641</v>
      </c>
      <c r="E160" s="1">
        <v>46255</v>
      </c>
      <c r="F160" s="37" t="str">
        <f>VLOOKUP(revtar_ins_aecc_CELTINS[[#This Row],[CODIGO]],H:M,5,)</f>
        <v>ETO-PROT500/2024</v>
      </c>
      <c r="H160" s="16">
        <v>7954717001</v>
      </c>
      <c r="I160" s="2">
        <v>79</v>
      </c>
      <c r="J160" s="3">
        <v>45567</v>
      </c>
      <c r="K160" s="3">
        <v>45568</v>
      </c>
      <c r="L160" s="6" t="s">
        <v>231</v>
      </c>
      <c r="M160" s="17">
        <v>45569</v>
      </c>
      <c r="N160" s="10"/>
    </row>
    <row r="161" spans="2:14" customFormat="1" x14ac:dyDescent="0.25">
      <c r="B161">
        <v>7955956073</v>
      </c>
      <c r="C161">
        <v>79</v>
      </c>
      <c r="D161" s="1">
        <v>45527</v>
      </c>
      <c r="E161" s="1">
        <v>46270</v>
      </c>
      <c r="F161" s="37" t="str">
        <f>VLOOKUP(revtar_ins_aecc_CELTINS[[#This Row],[CODIGO]],H:M,5,)</f>
        <v>ETO-PROT245/2024</v>
      </c>
      <c r="H161" s="16">
        <v>7957822039</v>
      </c>
      <c r="I161" s="2">
        <v>79</v>
      </c>
      <c r="J161" s="3">
        <v>45570</v>
      </c>
      <c r="K161" s="3">
        <v>45570</v>
      </c>
      <c r="L161" s="6" t="s">
        <v>232</v>
      </c>
      <c r="M161" s="17">
        <v>45572</v>
      </c>
      <c r="N161" s="10"/>
    </row>
    <row r="162" spans="2:14" customFormat="1" x14ac:dyDescent="0.25">
      <c r="B162">
        <v>7954583110</v>
      </c>
      <c r="C162">
        <v>79</v>
      </c>
      <c r="D162" s="1">
        <v>45608</v>
      </c>
      <c r="E162" s="1">
        <v>46270</v>
      </c>
      <c r="F162" s="69" t="str">
        <f>VLOOKUP(revtar_ins_aecc_CELTINS[[#This Row],[CODIGO]],H:M,5,)</f>
        <v>ETO-PROT417/2024</v>
      </c>
      <c r="H162" s="16">
        <v>7957715064</v>
      </c>
      <c r="I162" s="2">
        <v>79</v>
      </c>
      <c r="J162" s="3">
        <v>45570</v>
      </c>
      <c r="K162" s="3">
        <v>45570</v>
      </c>
      <c r="L162" s="6" t="s">
        <v>233</v>
      </c>
      <c r="M162" s="17">
        <v>45572</v>
      </c>
      <c r="N162" s="10"/>
    </row>
    <row r="163" spans="2:14" customFormat="1" x14ac:dyDescent="0.25">
      <c r="B163">
        <v>7955414007</v>
      </c>
      <c r="C163">
        <v>79</v>
      </c>
      <c r="D163" s="1">
        <v>45494</v>
      </c>
      <c r="E163" s="1">
        <v>46275</v>
      </c>
      <c r="F163" s="37" t="str">
        <f>VLOOKUP(revtar_ins_aecc_CELTINS[[#This Row],[CODIGO]],H:M,5,)</f>
        <v>ETO-PROT199/2024</v>
      </c>
      <c r="H163" s="16">
        <v>7957817039</v>
      </c>
      <c r="I163" s="2">
        <v>79</v>
      </c>
      <c r="J163" s="3">
        <v>45570</v>
      </c>
      <c r="K163" s="3">
        <v>45570</v>
      </c>
      <c r="L163" s="6" t="s">
        <v>234</v>
      </c>
      <c r="M163" s="17">
        <v>45572</v>
      </c>
      <c r="N163" s="10"/>
    </row>
    <row r="164" spans="2:14" customFormat="1" x14ac:dyDescent="0.25">
      <c r="B164">
        <v>7947534073</v>
      </c>
      <c r="C164">
        <v>79</v>
      </c>
      <c r="D164" s="1">
        <v>46037</v>
      </c>
      <c r="E164" s="1">
        <v>46272</v>
      </c>
      <c r="F164" s="37" t="str">
        <f>VLOOKUP(revtar_ins_aecc_CELTINS[[#This Row],[CODIGO]],H:M,5,)</f>
        <v>ATUALIZAÇÃO</v>
      </c>
      <c r="H164" s="16">
        <v>7955546065</v>
      </c>
      <c r="I164" s="2">
        <v>79</v>
      </c>
      <c r="J164" s="3">
        <v>45570</v>
      </c>
      <c r="K164" s="3">
        <v>45570</v>
      </c>
      <c r="L164" s="6" t="s">
        <v>235</v>
      </c>
      <c r="M164" s="17">
        <v>45572</v>
      </c>
      <c r="N164" s="10"/>
    </row>
    <row r="165" spans="2:14" customFormat="1" x14ac:dyDescent="0.25">
      <c r="B165">
        <v>7955946007</v>
      </c>
      <c r="C165">
        <v>79</v>
      </c>
      <c r="D165" s="1">
        <v>45517</v>
      </c>
      <c r="E165" s="1">
        <v>46275</v>
      </c>
      <c r="F165" s="37" t="str">
        <f>VLOOKUP(revtar_ins_aecc_CELTINS[[#This Row],[CODIGO]],H:M,5,)</f>
        <v>ETO-PROT224/2024</v>
      </c>
      <c r="H165" s="16">
        <v>7955576039</v>
      </c>
      <c r="I165" s="2">
        <v>79</v>
      </c>
      <c r="J165" s="3">
        <v>45570</v>
      </c>
      <c r="K165" s="3">
        <v>45570</v>
      </c>
      <c r="L165" s="6" t="s">
        <v>236</v>
      </c>
      <c r="M165" s="17">
        <v>45572</v>
      </c>
      <c r="N165" s="10"/>
    </row>
    <row r="166" spans="2:14" customFormat="1" x14ac:dyDescent="0.25">
      <c r="B166">
        <v>7957460018</v>
      </c>
      <c r="C166">
        <v>79</v>
      </c>
      <c r="D166" s="1">
        <v>45622</v>
      </c>
      <c r="E166" s="1">
        <v>46268</v>
      </c>
      <c r="F166" s="37" t="str">
        <f>VLOOKUP(revtar_ins_aecc_CELTINS[[#This Row],[CODIGO]],H:M,5,)</f>
        <v>ETO-PROT444/2024</v>
      </c>
      <c r="H166" s="16">
        <v>7931629122</v>
      </c>
      <c r="I166" s="2">
        <v>79</v>
      </c>
      <c r="J166" s="3">
        <v>45572</v>
      </c>
      <c r="K166" s="3">
        <v>45572</v>
      </c>
      <c r="L166" s="6" t="s">
        <v>239</v>
      </c>
      <c r="M166" s="17">
        <v>45573</v>
      </c>
      <c r="N166" s="10"/>
    </row>
    <row r="167" spans="2:14" customFormat="1" x14ac:dyDescent="0.25">
      <c r="B167">
        <v>7930419122</v>
      </c>
      <c r="C167">
        <v>79</v>
      </c>
      <c r="D167" s="1">
        <v>45615</v>
      </c>
      <c r="E167" s="1">
        <v>46267</v>
      </c>
      <c r="F167" s="37" t="str">
        <f>VLOOKUP(revtar_ins_aecc_CELTINS[[#This Row],[CODIGO]],H:M,5,)</f>
        <v>ETO-PROT434/2024</v>
      </c>
      <c r="H167" s="16">
        <v>7931609122</v>
      </c>
      <c r="I167" s="2">
        <v>79</v>
      </c>
      <c r="J167" s="3">
        <v>45572</v>
      </c>
      <c r="K167" s="3">
        <v>45572</v>
      </c>
      <c r="L167" s="6" t="s">
        <v>239</v>
      </c>
      <c r="M167" s="17">
        <v>45573</v>
      </c>
      <c r="N167" s="10"/>
    </row>
    <row r="168" spans="2:14" customFormat="1" x14ac:dyDescent="0.25">
      <c r="B168">
        <v>7963511038</v>
      </c>
      <c r="C168">
        <v>79</v>
      </c>
      <c r="D168" s="1">
        <v>46089</v>
      </c>
      <c r="E168" s="1">
        <v>46269</v>
      </c>
      <c r="F168" s="37" t="str">
        <f>VLOOKUP(revtar_ins_aecc_CELTINS[[#This Row],[CODIGO]],H:M,5,)</f>
        <v>ETO-PROT67/2026</v>
      </c>
      <c r="H168" s="16">
        <v>7957126035</v>
      </c>
      <c r="I168" s="2">
        <v>79</v>
      </c>
      <c r="J168" s="3">
        <v>45574</v>
      </c>
      <c r="K168" s="3">
        <v>45574</v>
      </c>
      <c r="L168" s="6" t="s">
        <v>257</v>
      </c>
      <c r="M168" s="17">
        <v>45575</v>
      </c>
      <c r="N168" s="10"/>
    </row>
    <row r="169" spans="2:14" customFormat="1" x14ac:dyDescent="0.25">
      <c r="B169">
        <v>7956932122</v>
      </c>
      <c r="C169">
        <v>79</v>
      </c>
      <c r="D169" s="1">
        <v>45632</v>
      </c>
      <c r="E169" s="1">
        <v>46247</v>
      </c>
      <c r="F169" s="37" t="str">
        <f>VLOOKUP(revtar_ins_aecc_CELTINS[[#This Row],[CODIGO]],H:M,5,)</f>
        <v>ETO-PROT445/2024</v>
      </c>
      <c r="H169" s="16">
        <v>7923718036</v>
      </c>
      <c r="I169" s="2">
        <v>79</v>
      </c>
      <c r="J169" s="3">
        <v>45575</v>
      </c>
      <c r="K169" s="3">
        <v>45575</v>
      </c>
      <c r="L169" s="6" t="s">
        <v>258</v>
      </c>
      <c r="M169" s="17">
        <v>45575</v>
      </c>
      <c r="N169" s="10"/>
    </row>
    <row r="170" spans="2:14" customFormat="1" x14ac:dyDescent="0.25">
      <c r="B170">
        <v>7963521038</v>
      </c>
      <c r="C170">
        <v>79</v>
      </c>
      <c r="D170" s="1">
        <v>45995</v>
      </c>
      <c r="E170" s="1">
        <v>46255</v>
      </c>
      <c r="F170" s="37" t="str">
        <f>VLOOKUP(revtar_ins_aecc_CELTINS[[#This Row],[CODIGO]],H:M,5,)</f>
        <v>ETO-PROT383/2025</v>
      </c>
      <c r="H170" s="16">
        <v>7957838081</v>
      </c>
      <c r="I170" s="2">
        <v>79</v>
      </c>
      <c r="J170" s="3">
        <v>45575</v>
      </c>
      <c r="K170" s="3">
        <v>45575</v>
      </c>
      <c r="L170" s="6" t="s">
        <v>260</v>
      </c>
      <c r="M170" s="17">
        <v>45579</v>
      </c>
      <c r="N170" s="10"/>
    </row>
    <row r="171" spans="2:14" customFormat="1" x14ac:dyDescent="0.25">
      <c r="B171">
        <v>7963508027</v>
      </c>
      <c r="C171">
        <v>79</v>
      </c>
      <c r="D171" s="1">
        <v>45995</v>
      </c>
      <c r="E171" s="1">
        <v>46255</v>
      </c>
      <c r="F171" s="37" t="str">
        <f>VLOOKUP(revtar_ins_aecc_CELTINS[[#This Row],[CODIGO]],H:M,5,)</f>
        <v>ETO-PROT382/2025</v>
      </c>
      <c r="H171" s="16">
        <v>7956003081</v>
      </c>
      <c r="I171" s="2">
        <v>79</v>
      </c>
      <c r="J171" s="3">
        <v>45575</v>
      </c>
      <c r="K171" s="3">
        <v>45575</v>
      </c>
      <c r="L171" s="6" t="s">
        <v>259</v>
      </c>
      <c r="M171" s="17">
        <v>45579</v>
      </c>
      <c r="N171" s="10"/>
    </row>
    <row r="172" spans="2:14" customFormat="1" x14ac:dyDescent="0.25">
      <c r="B172">
        <v>7956039101</v>
      </c>
      <c r="C172">
        <v>79</v>
      </c>
      <c r="D172" s="1">
        <v>45581</v>
      </c>
      <c r="E172" s="1">
        <v>46261</v>
      </c>
      <c r="F172" s="37" t="str">
        <f>VLOOKUP(revtar_ins_aecc_CELTINS[[#This Row],[CODIGO]],H:M,5,)</f>
        <v>ETO-PROT346/2024</v>
      </c>
      <c r="H172" s="16">
        <v>7955347193</v>
      </c>
      <c r="I172" s="2">
        <v>79</v>
      </c>
      <c r="J172" s="3">
        <v>45575</v>
      </c>
      <c r="K172" s="3">
        <v>45575</v>
      </c>
      <c r="L172" s="6" t="s">
        <v>259</v>
      </c>
      <c r="M172" s="17">
        <v>45579</v>
      </c>
      <c r="N172" s="10"/>
    </row>
    <row r="173" spans="2:14" customFormat="1" x14ac:dyDescent="0.25">
      <c r="B173">
        <v>7954864073</v>
      </c>
      <c r="C173">
        <v>79</v>
      </c>
      <c r="D173" s="1">
        <v>45391</v>
      </c>
      <c r="E173" s="1">
        <v>46272</v>
      </c>
      <c r="F173" s="37" t="str">
        <f>VLOOKUP(revtar_ins_aecc_CELTINS[[#This Row],[CODIGO]],H:M,5,)</f>
        <v>ETO-PROT93/2024</v>
      </c>
      <c r="H173" s="16">
        <v>7957571200</v>
      </c>
      <c r="I173" s="2">
        <v>79</v>
      </c>
      <c r="J173" s="3">
        <v>45581</v>
      </c>
      <c r="K173" s="3">
        <v>45581</v>
      </c>
      <c r="L173" s="6" t="s">
        <v>261</v>
      </c>
      <c r="M173" s="17">
        <v>45581</v>
      </c>
      <c r="N173" s="10"/>
    </row>
    <row r="174" spans="2:14" customFormat="1" x14ac:dyDescent="0.25">
      <c r="B174">
        <v>7950298038</v>
      </c>
      <c r="C174">
        <v>79</v>
      </c>
      <c r="D174" s="1">
        <v>45453</v>
      </c>
      <c r="E174" s="1">
        <v>46276</v>
      </c>
      <c r="F174" s="37" t="str">
        <f>VLOOKUP(revtar_ins_aecc_CELTINS[[#This Row],[CODIGO]],H:M,5,)</f>
        <v>ETO-PROT0001/2024</v>
      </c>
      <c r="H174" s="16">
        <v>7957126085</v>
      </c>
      <c r="I174" s="2">
        <v>79</v>
      </c>
      <c r="J174" s="3">
        <v>45574</v>
      </c>
      <c r="K174" s="3">
        <v>45580</v>
      </c>
      <c r="L174" s="6" t="s">
        <v>256</v>
      </c>
      <c r="M174" s="17">
        <v>45581</v>
      </c>
      <c r="N174" s="10"/>
    </row>
    <row r="175" spans="2:14" customFormat="1" x14ac:dyDescent="0.25">
      <c r="B175" s="2">
        <v>7950291049</v>
      </c>
      <c r="C175">
        <v>79</v>
      </c>
      <c r="D175" s="1">
        <v>45453</v>
      </c>
      <c r="E175" s="1">
        <v>46276</v>
      </c>
      <c r="F175" s="37" t="s">
        <v>684</v>
      </c>
      <c r="H175" s="16">
        <v>7957620015</v>
      </c>
      <c r="I175" s="2">
        <v>79</v>
      </c>
      <c r="J175" s="3">
        <v>45577</v>
      </c>
      <c r="K175" s="3">
        <v>45577</v>
      </c>
      <c r="L175" s="6" t="s">
        <v>255</v>
      </c>
      <c r="M175" s="17">
        <v>45579</v>
      </c>
      <c r="N175" s="10"/>
    </row>
    <row r="176" spans="2:14" customFormat="1" x14ac:dyDescent="0.25">
      <c r="B176">
        <v>7956129005</v>
      </c>
      <c r="C176">
        <v>79</v>
      </c>
      <c r="D176" s="1">
        <v>45608</v>
      </c>
      <c r="E176" s="1">
        <v>46247</v>
      </c>
      <c r="F176" s="37" t="str">
        <f>VLOOKUP(revtar_ins_aecc_CELTINS[[#This Row],[CODIGO]],H:M,5,)</f>
        <v>ETO-PROT413/2024</v>
      </c>
      <c r="H176" s="16">
        <v>7956039101</v>
      </c>
      <c r="I176" s="2">
        <v>79</v>
      </c>
      <c r="J176" s="3">
        <v>45581</v>
      </c>
      <c r="K176" s="3">
        <v>45581</v>
      </c>
      <c r="L176" s="6" t="s">
        <v>254</v>
      </c>
      <c r="M176" s="17">
        <v>45581</v>
      </c>
      <c r="N176" s="10"/>
    </row>
    <row r="177" spans="2:14" customFormat="1" x14ac:dyDescent="0.25">
      <c r="B177">
        <v>7955635116</v>
      </c>
      <c r="C177">
        <v>79</v>
      </c>
      <c r="D177" s="1">
        <v>45616</v>
      </c>
      <c r="E177" s="1">
        <v>46263</v>
      </c>
      <c r="F177" s="37" t="str">
        <f>VLOOKUP(revtar_ins_aecc_CELTINS[[#This Row],[CODIGO]],H:M,5,)</f>
        <v>ETO-PROT432/2024</v>
      </c>
      <c r="H177" s="16">
        <v>7955658107</v>
      </c>
      <c r="I177" s="2">
        <v>79</v>
      </c>
      <c r="J177" s="3">
        <v>45581</v>
      </c>
      <c r="K177" s="3">
        <v>45581</v>
      </c>
      <c r="L177" s="6" t="s">
        <v>253</v>
      </c>
      <c r="M177" s="17">
        <v>45581</v>
      </c>
      <c r="N177" s="10"/>
    </row>
    <row r="178" spans="2:14" customFormat="1" x14ac:dyDescent="0.25">
      <c r="B178">
        <v>7955700073</v>
      </c>
      <c r="C178">
        <v>79</v>
      </c>
      <c r="D178" s="1">
        <v>45595</v>
      </c>
      <c r="E178" s="1">
        <v>46272</v>
      </c>
      <c r="F178" s="37" t="str">
        <f>VLOOKUP(revtar_ins_aecc_CELTINS[[#This Row],[CODIGO]],H:M,5,)</f>
        <v>ETO-PROT372/2024</v>
      </c>
      <c r="H178" s="16">
        <v>7957607113</v>
      </c>
      <c r="I178" s="2">
        <v>79</v>
      </c>
      <c r="J178" s="3">
        <v>45579</v>
      </c>
      <c r="K178" s="3">
        <v>45579</v>
      </c>
      <c r="L178" s="6" t="s">
        <v>252</v>
      </c>
      <c r="M178" s="17">
        <v>45579</v>
      </c>
      <c r="N178" s="10"/>
    </row>
    <row r="179" spans="2:14" customFormat="1" x14ac:dyDescent="0.25">
      <c r="B179">
        <v>7957020076</v>
      </c>
      <c r="C179">
        <v>79</v>
      </c>
      <c r="D179" s="1">
        <v>45595</v>
      </c>
      <c r="E179" s="1">
        <v>46272</v>
      </c>
      <c r="F179" s="37" t="str">
        <f>VLOOKUP(revtar_ins_aecc_CELTINS[[#This Row],[CODIGO]],H:M,5,)</f>
        <v>ETO-PROT380/2024</v>
      </c>
      <c r="H179" s="16">
        <v>7957564052</v>
      </c>
      <c r="I179" s="2">
        <v>79</v>
      </c>
      <c r="J179" s="3">
        <v>45579</v>
      </c>
      <c r="K179" s="3">
        <v>45579</v>
      </c>
      <c r="L179" s="6" t="s">
        <v>252</v>
      </c>
      <c r="M179" s="17">
        <v>45579</v>
      </c>
      <c r="N179" s="10"/>
    </row>
    <row r="180" spans="2:14" customFormat="1" x14ac:dyDescent="0.25">
      <c r="B180">
        <v>7955520116</v>
      </c>
      <c r="C180">
        <v>79</v>
      </c>
      <c r="D180" s="1">
        <v>45608</v>
      </c>
      <c r="E180" s="1">
        <v>45659</v>
      </c>
      <c r="F180" s="37" t="str">
        <f>VLOOKUP(revtar_ins_aecc_CELTINS[[#This Row],[CODIGO]],H:M,5,)</f>
        <v>ETO-PROT418/2024</v>
      </c>
      <c r="H180" s="16">
        <v>7957553097</v>
      </c>
      <c r="I180" s="2">
        <v>79</v>
      </c>
      <c r="J180" s="3">
        <v>45580</v>
      </c>
      <c r="K180" s="3">
        <v>45580</v>
      </c>
      <c r="L180" s="6" t="s">
        <v>251</v>
      </c>
      <c r="M180" s="17">
        <v>45581</v>
      </c>
      <c r="N180" s="10"/>
    </row>
    <row r="181" spans="2:14" customFormat="1" x14ac:dyDescent="0.25">
      <c r="B181">
        <v>7955523028</v>
      </c>
      <c r="C181">
        <v>79</v>
      </c>
      <c r="D181" s="1">
        <v>45596</v>
      </c>
      <c r="E181" s="1">
        <v>46263</v>
      </c>
      <c r="F181" s="37" t="str">
        <f>VLOOKUP(revtar_ins_aecc_CELTINS[[#This Row],[CODIGO]],H:M,5,)</f>
        <v>ETO-PROT377/2024</v>
      </c>
      <c r="H181" s="16">
        <v>7936134193</v>
      </c>
      <c r="I181" s="2">
        <v>79</v>
      </c>
      <c r="J181" s="3">
        <v>45547</v>
      </c>
      <c r="K181" s="3">
        <v>45574</v>
      </c>
      <c r="L181" s="6" t="s">
        <v>240</v>
      </c>
      <c r="M181" s="17">
        <v>45582</v>
      </c>
      <c r="N181" s="10"/>
    </row>
    <row r="182" spans="2:14" customFormat="1" x14ac:dyDescent="0.25">
      <c r="B182">
        <v>7954440074</v>
      </c>
      <c r="C182">
        <v>79</v>
      </c>
      <c r="D182" s="1">
        <v>45453</v>
      </c>
      <c r="E182" s="1">
        <v>46241</v>
      </c>
      <c r="F182" s="37" t="str">
        <f>VLOOKUP(revtar_ins_aecc_CELTINS[[#This Row],[CODIGO]],H:M,5,)</f>
        <v>ETO-PROT153/2024</v>
      </c>
      <c r="H182" s="16">
        <v>7902701014</v>
      </c>
      <c r="I182" s="2">
        <v>79</v>
      </c>
      <c r="J182" s="3">
        <v>45581</v>
      </c>
      <c r="K182" s="3">
        <v>45582</v>
      </c>
      <c r="L182" s="6" t="s">
        <v>241</v>
      </c>
      <c r="M182" s="17">
        <v>45582</v>
      </c>
      <c r="N182" s="10"/>
    </row>
    <row r="183" spans="2:14" customFormat="1" x14ac:dyDescent="0.25">
      <c r="B183">
        <v>7954762001</v>
      </c>
      <c r="C183">
        <v>79</v>
      </c>
      <c r="D183" s="1">
        <v>45469</v>
      </c>
      <c r="E183" s="1">
        <v>46263</v>
      </c>
      <c r="F183" s="37" t="str">
        <f>VLOOKUP(revtar_ins_aecc_CELTINS[[#This Row],[CODIGO]],H:M,5,)</f>
        <v>ETO-PROT206/2024</v>
      </c>
      <c r="H183" s="16">
        <v>7956993021</v>
      </c>
      <c r="I183" s="2">
        <v>79</v>
      </c>
      <c r="J183" s="3">
        <v>45583</v>
      </c>
      <c r="K183" s="3">
        <v>45583</v>
      </c>
      <c r="L183" s="6" t="s">
        <v>243</v>
      </c>
      <c r="M183" s="17">
        <v>45583</v>
      </c>
      <c r="N183" s="10"/>
    </row>
    <row r="184" spans="2:14" customFormat="1" x14ac:dyDescent="0.25">
      <c r="B184">
        <v>7955832052</v>
      </c>
      <c r="C184">
        <v>79</v>
      </c>
      <c r="D184" s="1">
        <v>45595</v>
      </c>
      <c r="E184" s="1">
        <v>46259</v>
      </c>
      <c r="F184" s="37" t="str">
        <f>VLOOKUP(revtar_ins_aecc_CELTINS[[#This Row],[CODIGO]],H:M,5,)</f>
        <v>ETO-PROT373/2024</v>
      </c>
      <c r="H184" s="16">
        <v>7931601122</v>
      </c>
      <c r="I184" s="2">
        <v>79</v>
      </c>
      <c r="J184" s="3">
        <v>45582</v>
      </c>
      <c r="K184" s="3">
        <v>45582</v>
      </c>
      <c r="L184" s="6" t="s">
        <v>108</v>
      </c>
      <c r="M184" s="17">
        <v>45583</v>
      </c>
      <c r="N184" s="10"/>
    </row>
    <row r="185" spans="2:14" customFormat="1" x14ac:dyDescent="0.25">
      <c r="B185">
        <v>7955372016</v>
      </c>
      <c r="C185">
        <v>79</v>
      </c>
      <c r="D185" s="1">
        <v>45541</v>
      </c>
      <c r="E185" s="1">
        <v>46276</v>
      </c>
      <c r="F185" s="37" t="str">
        <f>VLOOKUP(revtar_ins_aecc_CELTINS[[#This Row],[CODIGO]],H:M,5,)</f>
        <v>ETO-PROT267/2024</v>
      </c>
      <c r="H185" s="16">
        <v>7931604122</v>
      </c>
      <c r="I185" s="2">
        <v>79</v>
      </c>
      <c r="J185" s="3">
        <v>45582</v>
      </c>
      <c r="K185" s="3">
        <v>45582</v>
      </c>
      <c r="L185" s="6" t="s">
        <v>108</v>
      </c>
      <c r="M185" s="17">
        <v>45583</v>
      </c>
      <c r="N185" s="10"/>
    </row>
    <row r="186" spans="2:14" customFormat="1" ht="45" x14ac:dyDescent="0.25">
      <c r="B186">
        <v>7963253008</v>
      </c>
      <c r="C186">
        <v>79</v>
      </c>
      <c r="D186" s="1">
        <v>46101</v>
      </c>
      <c r="E186" s="1">
        <v>46276</v>
      </c>
      <c r="F186" s="37" t="str">
        <f>VLOOKUP(revtar_ins_aecc_CELTINS[[#This Row],[CODIGO]],H:M,5,)</f>
        <v>ETO-PROT72/2026</v>
      </c>
      <c r="H186" s="16">
        <v>7955730003</v>
      </c>
      <c r="I186" s="2">
        <v>79</v>
      </c>
      <c r="J186" s="3">
        <v>45553</v>
      </c>
      <c r="K186" s="3">
        <v>45587</v>
      </c>
      <c r="L186" s="6" t="s">
        <v>245</v>
      </c>
      <c r="M186" s="17">
        <v>45587</v>
      </c>
      <c r="N186" s="10"/>
    </row>
    <row r="187" spans="2:14" customFormat="1" x14ac:dyDescent="0.25">
      <c r="B187">
        <v>7954560043</v>
      </c>
      <c r="C187">
        <v>79</v>
      </c>
      <c r="D187" s="1">
        <v>45645</v>
      </c>
      <c r="E187" s="1">
        <v>46234</v>
      </c>
      <c r="F187" s="37" t="str">
        <f>VLOOKUP(revtar_ins_aecc_CELTINS[[#This Row],[CODIGO]],H:M,5,)</f>
        <v>ETO-PROT499/2024</v>
      </c>
      <c r="H187" s="16">
        <v>7956041038</v>
      </c>
      <c r="I187" s="2">
        <v>79</v>
      </c>
      <c r="J187" s="3">
        <v>45588</v>
      </c>
      <c r="K187" s="3">
        <v>45588</v>
      </c>
      <c r="L187" s="6" t="s">
        <v>250</v>
      </c>
      <c r="M187" s="17">
        <v>45588</v>
      </c>
      <c r="N187" s="10"/>
    </row>
    <row r="188" spans="2:14" customFormat="1" x14ac:dyDescent="0.25">
      <c r="B188">
        <v>7961368005</v>
      </c>
      <c r="C188">
        <v>79</v>
      </c>
      <c r="D188" s="1">
        <v>45864</v>
      </c>
      <c r="E188" s="1">
        <v>46265</v>
      </c>
      <c r="F188" s="37" t="str">
        <f>VLOOKUP(revtar_ins_aecc_CELTINS[[#This Row],[CODIGO]],H:M,5,)</f>
        <v>ETO-PROT233/2025</v>
      </c>
      <c r="H188" s="16">
        <v>7955644076</v>
      </c>
      <c r="I188" s="2">
        <v>79</v>
      </c>
      <c r="J188" s="3">
        <v>45588</v>
      </c>
      <c r="K188" s="3">
        <v>45588</v>
      </c>
      <c r="L188" s="6" t="s">
        <v>249</v>
      </c>
      <c r="M188" s="17">
        <v>45590</v>
      </c>
      <c r="N188" s="10"/>
    </row>
    <row r="189" spans="2:14" customFormat="1" x14ac:dyDescent="0.25">
      <c r="B189">
        <v>7961377005</v>
      </c>
      <c r="C189">
        <v>79</v>
      </c>
      <c r="D189" s="1">
        <v>45864</v>
      </c>
      <c r="E189" s="1">
        <v>46265</v>
      </c>
      <c r="F189" s="37" t="str">
        <f>VLOOKUP(revtar_ins_aecc_CELTINS[[#This Row],[CODIGO]],H:M,5,)</f>
        <v>ETO-PROT234/2025</v>
      </c>
      <c r="H189" s="16">
        <v>7957004076</v>
      </c>
      <c r="I189" s="2">
        <v>79</v>
      </c>
      <c r="J189" s="3">
        <v>45588</v>
      </c>
      <c r="K189" s="3">
        <v>45588</v>
      </c>
      <c r="L189" s="6" t="s">
        <v>248</v>
      </c>
      <c r="M189" s="17">
        <v>45590</v>
      </c>
      <c r="N189" s="10"/>
    </row>
    <row r="190" spans="2:14" customFormat="1" x14ac:dyDescent="0.25">
      <c r="B190">
        <v>7958244094</v>
      </c>
      <c r="C190">
        <v>79</v>
      </c>
      <c r="D190" s="1">
        <v>45747</v>
      </c>
      <c r="E190" s="1">
        <v>46261</v>
      </c>
      <c r="F190" s="37" t="str">
        <f>VLOOKUP(revtar_ins_aecc_CELTINS[[#This Row],[CODIGO]],H:M,5,)</f>
        <v>ajuste de rota</v>
      </c>
      <c r="H190" s="16">
        <v>7957023094</v>
      </c>
      <c r="I190" s="2">
        <v>79</v>
      </c>
      <c r="J190" s="3">
        <v>45589</v>
      </c>
      <c r="K190" s="3">
        <v>45589</v>
      </c>
      <c r="L190" s="6" t="s">
        <v>247</v>
      </c>
      <c r="M190" s="17">
        <v>45590</v>
      </c>
      <c r="N190" s="10"/>
    </row>
    <row r="191" spans="2:14" customFormat="1" x14ac:dyDescent="0.25">
      <c r="B191">
        <v>7954559001</v>
      </c>
      <c r="C191">
        <v>79</v>
      </c>
      <c r="D191" s="1">
        <v>45655</v>
      </c>
      <c r="E191" s="1">
        <v>46234</v>
      </c>
      <c r="F191" s="37" t="str">
        <f>VLOOKUP(revtar_ins_aecc_CELTINS[[#This Row],[CODIGO]],H:M,5,)</f>
        <v>ETO-PROT520/2024</v>
      </c>
      <c r="H191" s="16">
        <v>7956998021</v>
      </c>
      <c r="I191" s="2">
        <v>79</v>
      </c>
      <c r="J191" s="3">
        <v>45590</v>
      </c>
      <c r="K191" s="3">
        <v>45590</v>
      </c>
      <c r="L191" s="6" t="s">
        <v>246</v>
      </c>
      <c r="M191" s="17">
        <v>45590</v>
      </c>
      <c r="N191" s="10"/>
    </row>
    <row r="192" spans="2:14" customFormat="1" x14ac:dyDescent="0.25">
      <c r="B192">
        <v>7956932122</v>
      </c>
      <c r="C192">
        <v>79</v>
      </c>
      <c r="D192" s="1">
        <v>45617</v>
      </c>
      <c r="E192" s="1">
        <v>45624</v>
      </c>
      <c r="F192" s="37" t="str">
        <f>VLOOKUP(revtar_ins_aecc_CELTINS[[#This Row],[CODIGO]],H:M,5,)</f>
        <v>ETO-PROT445/2024</v>
      </c>
      <c r="H192" s="16">
        <v>7955715032</v>
      </c>
      <c r="I192" s="2">
        <v>79</v>
      </c>
      <c r="J192" s="3">
        <v>45592</v>
      </c>
      <c r="K192" s="3">
        <v>45592</v>
      </c>
      <c r="L192" s="6" t="s">
        <v>262</v>
      </c>
      <c r="M192" s="17">
        <v>45593</v>
      </c>
      <c r="N192" s="10"/>
    </row>
    <row r="193" spans="2:14" customFormat="1" x14ac:dyDescent="0.25">
      <c r="B193">
        <v>7955913122</v>
      </c>
      <c r="C193">
        <v>79</v>
      </c>
      <c r="D193" s="1">
        <v>45630</v>
      </c>
      <c r="E193" s="1">
        <v>46267</v>
      </c>
      <c r="F193" s="37" t="str">
        <f>VLOOKUP(revtar_ins_aecc_CELTINS[[#This Row],[CODIGO]],H:M,5,)</f>
        <v>ETO-PROT471/2024</v>
      </c>
      <c r="H193" s="16">
        <v>7955452007</v>
      </c>
      <c r="I193" s="2">
        <v>79</v>
      </c>
      <c r="J193" s="3">
        <v>45592</v>
      </c>
      <c r="K193" s="3">
        <v>45592</v>
      </c>
      <c r="L193" s="6" t="s">
        <v>263</v>
      </c>
      <c r="M193" s="17">
        <v>45593</v>
      </c>
      <c r="N193" s="10"/>
    </row>
    <row r="194" spans="2:14" customFormat="1" x14ac:dyDescent="0.25">
      <c r="B194">
        <v>7950310122</v>
      </c>
      <c r="C194">
        <v>79</v>
      </c>
      <c r="D194" s="1">
        <v>45384</v>
      </c>
      <c r="E194" s="1">
        <v>46270</v>
      </c>
      <c r="F194" s="37" t="str">
        <f>VLOOKUP(revtar_ins_aecc_CELTINS[[#This Row],[CODIGO]],H:M,5,)</f>
        <v>23/11/22 FISCALIZAÇÃO FINAL APROVADA</v>
      </c>
      <c r="H194" s="16">
        <v>7956992021</v>
      </c>
      <c r="I194" s="2">
        <v>79</v>
      </c>
      <c r="J194" s="3">
        <v>45592</v>
      </c>
      <c r="K194" s="3">
        <v>45592</v>
      </c>
      <c r="L194" s="6" t="s">
        <v>264</v>
      </c>
      <c r="M194" s="17">
        <v>45593</v>
      </c>
      <c r="N194" s="10" t="s">
        <v>303</v>
      </c>
    </row>
    <row r="195" spans="2:14" customFormat="1" x14ac:dyDescent="0.25">
      <c r="B195">
        <v>7964751038</v>
      </c>
      <c r="C195">
        <v>79</v>
      </c>
      <c r="D195" s="1">
        <v>46245</v>
      </c>
      <c r="E195" s="1">
        <v>46269</v>
      </c>
      <c r="F195" s="37" t="str">
        <f>VLOOKUP(revtar_ins_aecc_CELTINS[[#This Row],[CODIGO]],H:M,5,)</f>
        <v>ETO-PROT169/2026</v>
      </c>
      <c r="H195" s="16">
        <v>7957008037</v>
      </c>
      <c r="I195" s="2">
        <v>79</v>
      </c>
      <c r="J195" s="3">
        <v>45592</v>
      </c>
      <c r="K195" s="3">
        <v>45592</v>
      </c>
      <c r="L195" s="6" t="s">
        <v>265</v>
      </c>
      <c r="M195" s="17">
        <v>45593</v>
      </c>
      <c r="N195" s="10" t="s">
        <v>303</v>
      </c>
    </row>
    <row r="196" spans="2:14" customFormat="1" x14ac:dyDescent="0.25">
      <c r="B196">
        <v>7957655033</v>
      </c>
      <c r="C196">
        <v>79</v>
      </c>
      <c r="D196" s="1">
        <v>45604</v>
      </c>
      <c r="E196" s="1">
        <v>46272</v>
      </c>
      <c r="F196" s="37" t="str">
        <f>VLOOKUP(revtar_ins_aecc_CELTINS[[#This Row],[CODIGO]],H:M,5,)</f>
        <v>ETO-PROT405/2024</v>
      </c>
      <c r="H196" s="16">
        <v>7957018094</v>
      </c>
      <c r="I196" s="2">
        <v>79</v>
      </c>
      <c r="J196" s="3">
        <v>45594</v>
      </c>
      <c r="K196" s="3">
        <v>45594</v>
      </c>
      <c r="L196" s="6" t="s">
        <v>266</v>
      </c>
      <c r="M196" s="17">
        <v>45594</v>
      </c>
      <c r="N196" s="10" t="s">
        <v>303</v>
      </c>
    </row>
    <row r="197" spans="2:14" customFormat="1" x14ac:dyDescent="0.25">
      <c r="B197">
        <v>7965487122</v>
      </c>
      <c r="C197">
        <v>79</v>
      </c>
      <c r="D197" s="1">
        <v>46228</v>
      </c>
      <c r="E197" s="1">
        <v>46275</v>
      </c>
      <c r="F197" s="37" t="str">
        <f>VLOOKUP(revtar_ins_aecc_CELTINS[[#This Row],[CODIGO]],H:M,5,)</f>
        <v>ETO-PROT163/2026</v>
      </c>
      <c r="H197" s="16">
        <v>7957021094</v>
      </c>
      <c r="I197" s="2">
        <v>79</v>
      </c>
      <c r="J197" s="3">
        <v>45594</v>
      </c>
      <c r="K197" s="3">
        <v>45594</v>
      </c>
      <c r="L197" s="6" t="s">
        <v>267</v>
      </c>
      <c r="M197" s="17">
        <v>45594</v>
      </c>
      <c r="N197" s="10" t="s">
        <v>303</v>
      </c>
    </row>
    <row r="198" spans="2:14" customFormat="1" x14ac:dyDescent="0.25">
      <c r="B198">
        <v>7960070001</v>
      </c>
      <c r="C198">
        <v>79</v>
      </c>
      <c r="D198" s="1">
        <v>46095</v>
      </c>
      <c r="E198" s="1">
        <v>46255</v>
      </c>
      <c r="F198" s="37" t="str">
        <f>VLOOKUP(revtar_ins_aecc_CELTINS[[#This Row],[CODIGO]],H:M,5,)</f>
        <v>ETO-PROT73/2026</v>
      </c>
      <c r="H198" s="16">
        <v>7955700003</v>
      </c>
      <c r="I198" s="2">
        <v>79</v>
      </c>
      <c r="J198" s="3">
        <v>45595</v>
      </c>
      <c r="K198" s="3">
        <v>45595</v>
      </c>
      <c r="L198" s="6" t="s">
        <v>269</v>
      </c>
      <c r="M198" s="17">
        <v>45596</v>
      </c>
      <c r="N198" s="10" t="s">
        <v>348</v>
      </c>
    </row>
    <row r="199" spans="2:14" customFormat="1" x14ac:dyDescent="0.25">
      <c r="B199">
        <v>7956068152</v>
      </c>
      <c r="C199">
        <v>79</v>
      </c>
      <c r="D199" s="1">
        <v>45541</v>
      </c>
      <c r="E199" s="1">
        <v>46277</v>
      </c>
      <c r="F199" s="37" t="str">
        <f>VLOOKUP(revtar_ins_aecc_CELTINS[[#This Row],[CODIGO]],H:M,5,)</f>
        <v>ETO-PROT261/2024</v>
      </c>
      <c r="H199" s="16">
        <v>7957020076</v>
      </c>
      <c r="I199" s="2">
        <v>79</v>
      </c>
      <c r="J199" s="3">
        <v>45595</v>
      </c>
      <c r="K199" s="3">
        <v>45595</v>
      </c>
      <c r="L199" s="6" t="s">
        <v>268</v>
      </c>
      <c r="M199" s="17">
        <v>45596</v>
      </c>
      <c r="N199" s="10" t="s">
        <v>303</v>
      </c>
    </row>
    <row r="200" spans="2:14" customFormat="1" x14ac:dyDescent="0.25">
      <c r="B200">
        <v>7956063152</v>
      </c>
      <c r="C200">
        <v>79</v>
      </c>
      <c r="D200" s="1">
        <v>45541</v>
      </c>
      <c r="E200" s="1">
        <v>46277</v>
      </c>
      <c r="F200" s="37" t="str">
        <f>VLOOKUP(revtar_ins_aecc_CELTINS[[#This Row],[CODIGO]],H:M,5,)</f>
        <v>ETO-PROT260/2024</v>
      </c>
      <c r="H200" s="16">
        <v>7955832052</v>
      </c>
      <c r="I200" s="2">
        <v>79</v>
      </c>
      <c r="J200" s="3">
        <v>45595</v>
      </c>
      <c r="K200" s="3">
        <v>45595</v>
      </c>
      <c r="L200" s="6" t="s">
        <v>270</v>
      </c>
      <c r="M200" s="17">
        <v>45596</v>
      </c>
      <c r="N200" s="10" t="s">
        <v>303</v>
      </c>
    </row>
    <row r="201" spans="2:14" customFormat="1" x14ac:dyDescent="0.25">
      <c r="B201">
        <v>7924621097</v>
      </c>
      <c r="C201">
        <v>79</v>
      </c>
      <c r="D201" s="1">
        <v>45894</v>
      </c>
      <c r="E201" s="1">
        <v>46267</v>
      </c>
      <c r="F201" s="37" t="str">
        <f>VLOOKUP(revtar_ins_aecc_CELTINS[[#This Row],[CODIGO]],H:M,5,)</f>
        <v>NF =&gt; NA</v>
      </c>
      <c r="H201" s="16">
        <v>7955922122</v>
      </c>
      <c r="I201" s="2">
        <v>79</v>
      </c>
      <c r="J201" s="3">
        <v>45595</v>
      </c>
      <c r="K201" s="3">
        <v>45595</v>
      </c>
      <c r="L201" s="6" t="s">
        <v>271</v>
      </c>
      <c r="M201" s="17">
        <v>45596</v>
      </c>
      <c r="N201" s="10" t="s">
        <v>303</v>
      </c>
    </row>
    <row r="202" spans="2:14" customFormat="1" x14ac:dyDescent="0.25">
      <c r="B202">
        <v>7936031003</v>
      </c>
      <c r="C202">
        <v>79</v>
      </c>
      <c r="D202" s="1">
        <v>45978</v>
      </c>
      <c r="E202" s="1">
        <v>46259</v>
      </c>
      <c r="F202" s="69" t="str">
        <f>VLOOKUP(revtar_ins_aecc_CELTINS[[#This Row],[CODIGO]],H:M,5,)</f>
        <v>ATUALIZAÇÃO</v>
      </c>
      <c r="H202" s="16">
        <v>7955523028</v>
      </c>
      <c r="I202" s="2">
        <v>79</v>
      </c>
      <c r="J202" s="3">
        <v>45596</v>
      </c>
      <c r="K202" s="3">
        <v>45596</v>
      </c>
      <c r="L202" s="6" t="s">
        <v>272</v>
      </c>
      <c r="M202" s="17">
        <v>45596</v>
      </c>
      <c r="N202" s="10" t="s">
        <v>303</v>
      </c>
    </row>
    <row r="203" spans="2:14" customFormat="1" x14ac:dyDescent="0.25">
      <c r="B203">
        <v>7934669004</v>
      </c>
      <c r="C203">
        <v>79</v>
      </c>
      <c r="D203" s="1">
        <v>45954</v>
      </c>
      <c r="E203" s="1">
        <v>46235</v>
      </c>
      <c r="F203" s="69" t="str">
        <f>VLOOKUP(revtar_ins_aecc_CELTINS[[#This Row],[CODIGO]],H:M,5,)</f>
        <v>ATUALIZAÇÃO</v>
      </c>
      <c r="H203" s="16">
        <v>7955792076</v>
      </c>
      <c r="I203" s="2">
        <v>79</v>
      </c>
      <c r="J203" s="3">
        <v>45596</v>
      </c>
      <c r="K203" s="3">
        <v>45596</v>
      </c>
      <c r="L203" s="6" t="s">
        <v>273</v>
      </c>
      <c r="M203" s="17">
        <v>45596</v>
      </c>
      <c r="N203" s="10" t="s">
        <v>303</v>
      </c>
    </row>
    <row r="204" spans="2:14" customFormat="1" x14ac:dyDescent="0.25">
      <c r="B204">
        <v>7934669004</v>
      </c>
      <c r="C204">
        <v>79</v>
      </c>
      <c r="D204" s="1">
        <v>45968</v>
      </c>
      <c r="E204" s="1">
        <v>46234</v>
      </c>
      <c r="F204" s="37" t="str">
        <f>VLOOKUP(revtar_ins_aecc_CELTINS[[#This Row],[CODIGO]],H:M,5,)</f>
        <v>ATUALIZAÇÃO</v>
      </c>
      <c r="H204" s="16">
        <v>7956041116</v>
      </c>
      <c r="I204" s="2">
        <v>79</v>
      </c>
      <c r="J204" s="3">
        <v>45596</v>
      </c>
      <c r="K204" s="3">
        <v>45596</v>
      </c>
      <c r="L204" s="6" t="s">
        <v>274</v>
      </c>
      <c r="M204" s="17">
        <v>45596</v>
      </c>
      <c r="N204" s="10" t="s">
        <v>347</v>
      </c>
    </row>
    <row r="205" spans="2:14" customFormat="1" x14ac:dyDescent="0.25">
      <c r="B205">
        <v>7933640003</v>
      </c>
      <c r="C205">
        <v>79</v>
      </c>
      <c r="D205" s="1">
        <v>45967</v>
      </c>
      <c r="E205" s="1">
        <v>46241</v>
      </c>
      <c r="F205" s="37" t="str">
        <f>VLOOKUP(revtar_ins_aecc_CELTINS[[#This Row],[CODIGO]],H:M,5,)</f>
        <v>ATUALIZAÇÃO</v>
      </c>
      <c r="H205" s="16">
        <v>7955789032</v>
      </c>
      <c r="I205" s="2">
        <v>79</v>
      </c>
      <c r="J205" s="3">
        <v>45596</v>
      </c>
      <c r="K205" s="3">
        <v>45596</v>
      </c>
      <c r="L205" s="6" t="s">
        <v>275</v>
      </c>
      <c r="M205" s="17">
        <v>45596</v>
      </c>
      <c r="N205" s="10" t="s">
        <v>303</v>
      </c>
    </row>
    <row r="206" spans="2:14" customFormat="1" x14ac:dyDescent="0.25">
      <c r="B206" s="2">
        <v>7934170045</v>
      </c>
      <c r="C206">
        <v>79</v>
      </c>
      <c r="D206" s="1">
        <v>45953</v>
      </c>
      <c r="E206" s="1">
        <v>46276</v>
      </c>
      <c r="F206" s="37" t="str">
        <f>VLOOKUP(revtar_ins_aecc_CELTINS[[#This Row],[CODIGO]],H:M,5,)</f>
        <v>ATUALIZAÇÃO</v>
      </c>
      <c r="H206" s="16">
        <v>7955825003</v>
      </c>
      <c r="I206" s="2">
        <v>79</v>
      </c>
      <c r="J206" s="3">
        <v>45596</v>
      </c>
      <c r="K206" s="3">
        <v>45596</v>
      </c>
      <c r="L206" s="6" t="s">
        <v>276</v>
      </c>
      <c r="M206" s="17">
        <v>45596</v>
      </c>
      <c r="N206" s="10"/>
    </row>
    <row r="207" spans="2:14" customFormat="1" x14ac:dyDescent="0.25">
      <c r="B207" s="2">
        <v>7955677003</v>
      </c>
      <c r="C207">
        <v>79</v>
      </c>
      <c r="D207" s="1">
        <v>45548</v>
      </c>
      <c r="E207" s="1">
        <v>46234</v>
      </c>
      <c r="F207" s="37" t="str">
        <f>VLOOKUP(revtar_ins_aecc_CELTINS[[#This Row],[CODIGO]],H:M,5,)</f>
        <v>ETO-PROT289/2024</v>
      </c>
      <c r="H207" s="16">
        <v>7956130072</v>
      </c>
      <c r="I207" s="2">
        <v>79</v>
      </c>
      <c r="J207" s="3">
        <v>45598</v>
      </c>
      <c r="K207" s="3">
        <v>45598</v>
      </c>
      <c r="L207" s="6" t="s">
        <v>277</v>
      </c>
      <c r="M207" s="17">
        <v>45600</v>
      </c>
      <c r="N207" s="10" t="s">
        <v>303</v>
      </c>
    </row>
    <row r="208" spans="2:14" customFormat="1" x14ac:dyDescent="0.25">
      <c r="B208">
        <v>7927751004</v>
      </c>
      <c r="C208">
        <v>79</v>
      </c>
      <c r="D208" s="1">
        <v>45968</v>
      </c>
      <c r="E208" s="1">
        <v>46267</v>
      </c>
      <c r="F208" s="37" t="str">
        <f>VLOOKUP(revtar_ins_aecc_CELTINS[[#This Row],[CODIGO]],H:M,5,)</f>
        <v>já está em operação</v>
      </c>
      <c r="H208" s="16">
        <v>7955700073</v>
      </c>
      <c r="I208" s="2">
        <v>79</v>
      </c>
      <c r="J208" s="3">
        <v>45595</v>
      </c>
      <c r="K208" s="3">
        <v>45598</v>
      </c>
      <c r="L208" s="6" t="s">
        <v>269</v>
      </c>
      <c r="M208" s="17">
        <v>45596</v>
      </c>
      <c r="N208" s="10" t="s">
        <v>303</v>
      </c>
    </row>
    <row r="209" spans="2:14" customFormat="1" x14ac:dyDescent="0.25">
      <c r="B209">
        <v>7927751004</v>
      </c>
      <c r="C209">
        <v>79</v>
      </c>
      <c r="D209" s="1">
        <v>45747</v>
      </c>
      <c r="E209" s="1">
        <v>46267</v>
      </c>
      <c r="F209" s="37" t="str">
        <f>VLOOKUP(revtar_ins_aecc_CELTINS[[#This Row],[CODIGO]],H:M,5,)</f>
        <v>já está em operação</v>
      </c>
      <c r="H209" s="16">
        <v>7957025089</v>
      </c>
      <c r="I209" s="2">
        <v>79</v>
      </c>
      <c r="J209" s="3">
        <v>45598</v>
      </c>
      <c r="K209" s="3">
        <v>45598</v>
      </c>
      <c r="L209" s="6" t="s">
        <v>278</v>
      </c>
      <c r="M209" s="17">
        <v>45600</v>
      </c>
      <c r="N209" s="10" t="s">
        <v>303</v>
      </c>
    </row>
    <row r="210" spans="2:14" customFormat="1" x14ac:dyDescent="0.25">
      <c r="B210">
        <v>7931381013</v>
      </c>
      <c r="C210">
        <v>79</v>
      </c>
      <c r="D210" s="1">
        <v>45419</v>
      </c>
      <c r="E210" s="1">
        <v>46274</v>
      </c>
      <c r="F210" s="37" t="str">
        <f>VLOOKUP(revtar_ins_aecc_CELTINS[[#This Row],[CODIGO]],H:M,5,)</f>
        <v>AJUSTE MONITOR DE INTERFACE</v>
      </c>
      <c r="H210" s="16">
        <v>7957017089</v>
      </c>
      <c r="I210" s="2">
        <v>79</v>
      </c>
      <c r="J210" s="3">
        <v>45598</v>
      </c>
      <c r="K210" s="3">
        <v>45598</v>
      </c>
      <c r="L210" s="6" t="s">
        <v>278</v>
      </c>
      <c r="M210" s="17">
        <v>45600</v>
      </c>
      <c r="N210" s="10" t="s">
        <v>303</v>
      </c>
    </row>
    <row r="211" spans="2:14" customFormat="1" x14ac:dyDescent="0.25">
      <c r="B211">
        <v>7938139013</v>
      </c>
      <c r="C211">
        <v>79</v>
      </c>
      <c r="D211" s="1">
        <v>45419</v>
      </c>
      <c r="E211" s="1">
        <v>45457</v>
      </c>
      <c r="F211" s="37" t="str">
        <f>VLOOKUP(revtar_ins_aecc_CELTINS[[#This Row],[CODIGO]],H:M,5,)</f>
        <v>AJUSTE CH</v>
      </c>
      <c r="H211" s="16">
        <v>7957022094</v>
      </c>
      <c r="I211" s="2">
        <v>79</v>
      </c>
      <c r="J211" s="3">
        <v>45601</v>
      </c>
      <c r="K211" s="3">
        <v>45601</v>
      </c>
      <c r="L211" s="6" t="s">
        <v>281</v>
      </c>
      <c r="M211" s="17">
        <v>45602</v>
      </c>
      <c r="N211" s="10" t="s">
        <v>303</v>
      </c>
    </row>
    <row r="212" spans="2:14" customFormat="1" x14ac:dyDescent="0.25">
      <c r="B212">
        <v>7903572004</v>
      </c>
      <c r="C212">
        <v>79</v>
      </c>
      <c r="D212" s="1">
        <v>45954</v>
      </c>
      <c r="E212" s="1">
        <v>46235</v>
      </c>
      <c r="F212" s="37" t="str">
        <f>VLOOKUP(revtar_ins_aecc_CELTINS[[#This Row],[CODIGO]],H:M,5,)</f>
        <v>ATUALIZAÇÃO</v>
      </c>
      <c r="H212" s="16">
        <v>7957659223</v>
      </c>
      <c r="I212" s="2">
        <v>79</v>
      </c>
      <c r="J212" s="3">
        <v>45601</v>
      </c>
      <c r="K212" s="3">
        <v>45601</v>
      </c>
      <c r="L212" s="6" t="s">
        <v>279</v>
      </c>
      <c r="M212" s="17">
        <v>45602</v>
      </c>
      <c r="N212" s="10" t="s">
        <v>303</v>
      </c>
    </row>
    <row r="213" spans="2:14" customFormat="1" x14ac:dyDescent="0.25">
      <c r="B213">
        <v>7936332013</v>
      </c>
      <c r="C213">
        <v>79</v>
      </c>
      <c r="D213" s="1">
        <v>45770</v>
      </c>
      <c r="E213" s="1">
        <v>46260</v>
      </c>
      <c r="F213" s="37" t="str">
        <f>VLOOKUP(revtar_ins_aecc_CELTINS[[#This Row],[CODIGO]],H:M,5,)</f>
        <v>já está em operação</v>
      </c>
      <c r="H213" s="16">
        <v>7958237186</v>
      </c>
      <c r="I213" s="2">
        <v>79</v>
      </c>
      <c r="J213" s="3">
        <v>45601</v>
      </c>
      <c r="K213" s="3">
        <v>45601</v>
      </c>
      <c r="L213" s="6" t="s">
        <v>280</v>
      </c>
      <c r="M213" s="17">
        <v>45602</v>
      </c>
      <c r="N213" s="10" t="s">
        <v>303</v>
      </c>
    </row>
    <row r="214" spans="2:14" customFormat="1" x14ac:dyDescent="0.25">
      <c r="B214">
        <v>7965092045</v>
      </c>
      <c r="C214">
        <v>79</v>
      </c>
      <c r="D214" s="1">
        <v>45926</v>
      </c>
      <c r="E214" s="1">
        <v>46276</v>
      </c>
      <c r="F214" s="37" t="str">
        <f>VLOOKUP(revtar_ins_aecc_CELTINS[[#This Row],[CODIGO]],H:M,5,)</f>
        <v>ETO-PROT284/2025</v>
      </c>
      <c r="H214" s="16">
        <v>7957019003</v>
      </c>
      <c r="I214" s="2">
        <v>79</v>
      </c>
      <c r="J214" s="3">
        <v>45602</v>
      </c>
      <c r="K214" s="3">
        <v>45602</v>
      </c>
      <c r="L214" s="6" t="s">
        <v>282</v>
      </c>
      <c r="M214" s="17">
        <v>45602</v>
      </c>
      <c r="N214" s="10" t="s">
        <v>303</v>
      </c>
    </row>
    <row r="215" spans="2:14" customFormat="1" x14ac:dyDescent="0.25">
      <c r="B215">
        <v>7928466004</v>
      </c>
      <c r="C215">
        <v>79</v>
      </c>
      <c r="D215" s="1">
        <v>46252</v>
      </c>
      <c r="E215" s="1">
        <v>46267</v>
      </c>
      <c r="F215" s="37" t="str">
        <f>VLOOKUP(revtar_ins_aecc_CELTINS[[#This Row],[CODIGO]],H:M,5,)</f>
        <v>ATUALIZAÇÃO</v>
      </c>
      <c r="H215" s="16">
        <v>7955936122</v>
      </c>
      <c r="I215" s="2">
        <v>79</v>
      </c>
      <c r="J215" s="3">
        <v>45602</v>
      </c>
      <c r="K215" s="3">
        <v>45602</v>
      </c>
      <c r="L215" s="6" t="s">
        <v>283</v>
      </c>
      <c r="M215" s="17">
        <v>45602</v>
      </c>
      <c r="N215" s="10" t="s">
        <v>303</v>
      </c>
    </row>
    <row r="216" spans="2:14" customFormat="1" x14ac:dyDescent="0.25">
      <c r="B216">
        <v>7928466004</v>
      </c>
      <c r="C216">
        <v>79</v>
      </c>
      <c r="D216" s="1">
        <v>46176</v>
      </c>
      <c r="E216" s="1">
        <v>46178</v>
      </c>
      <c r="F216" s="37" t="str">
        <f>VLOOKUP(revtar_ins_aecc_CELTINS[[#This Row],[CODIGO]],H:M,5,)</f>
        <v>ATUALIZAÇÃO</v>
      </c>
      <c r="H216" s="16">
        <v>7957853064</v>
      </c>
      <c r="I216" s="2">
        <v>79</v>
      </c>
      <c r="J216" s="3">
        <v>45604</v>
      </c>
      <c r="K216" s="3">
        <v>45604</v>
      </c>
      <c r="L216" s="6" t="s">
        <v>284</v>
      </c>
      <c r="M216" s="17">
        <v>45604</v>
      </c>
      <c r="N216" s="10" t="s">
        <v>303</v>
      </c>
    </row>
    <row r="217" spans="2:14" customFormat="1" x14ac:dyDescent="0.25">
      <c r="B217">
        <v>7902701014</v>
      </c>
      <c r="C217">
        <v>79</v>
      </c>
      <c r="D217" s="1">
        <v>45581</v>
      </c>
      <c r="E217" s="1">
        <v>46234</v>
      </c>
      <c r="F217" s="37" t="str">
        <f>VLOOKUP(revtar_ins_aecc_CELTINS[[#This Row],[CODIGO]],H:M,5,)</f>
        <v>AJUSTE NA=&gt;NF</v>
      </c>
      <c r="H217" s="16">
        <v>7956220006</v>
      </c>
      <c r="I217" s="2">
        <v>79</v>
      </c>
      <c r="J217" s="3">
        <v>45605</v>
      </c>
      <c r="K217" s="3">
        <v>45605</v>
      </c>
      <c r="L217" s="6" t="s">
        <v>285</v>
      </c>
      <c r="M217" s="17">
        <v>45607</v>
      </c>
      <c r="N217" s="10"/>
    </row>
    <row r="218" spans="2:14" customFormat="1" x14ac:dyDescent="0.25">
      <c r="B218">
        <v>7900238054</v>
      </c>
      <c r="C218">
        <v>79</v>
      </c>
      <c r="D218" s="1">
        <v>45967</v>
      </c>
      <c r="E218" s="1">
        <v>46239</v>
      </c>
      <c r="F218" s="37" t="str">
        <f>VLOOKUP(revtar_ins_aecc_CELTINS[[#This Row],[CODIGO]],H:M,5,)</f>
        <v>ATUALIZAÇÃO</v>
      </c>
      <c r="H218" s="16">
        <v>7957024200</v>
      </c>
      <c r="I218" s="2">
        <v>79</v>
      </c>
      <c r="J218" s="3">
        <v>45605</v>
      </c>
      <c r="K218" s="3">
        <v>45605</v>
      </c>
      <c r="L218" s="6" t="s">
        <v>286</v>
      </c>
      <c r="M218" s="17">
        <v>45607</v>
      </c>
      <c r="N218" s="10" t="s">
        <v>303</v>
      </c>
    </row>
    <row r="219" spans="2:14" customFormat="1" x14ac:dyDescent="0.25">
      <c r="B219">
        <v>7924938131</v>
      </c>
      <c r="C219">
        <v>79</v>
      </c>
      <c r="D219" s="1">
        <v>45953</v>
      </c>
      <c r="E219" s="1">
        <v>46276</v>
      </c>
      <c r="F219" s="63" t="str">
        <f>VLOOKUP(revtar_ins_aecc_CELTINS[[#This Row],[CODIGO]],H:M,5,)</f>
        <v>ATUALIZAÇÃO</v>
      </c>
      <c r="H219" s="16">
        <v>7956117005</v>
      </c>
      <c r="I219" s="2">
        <v>79</v>
      </c>
      <c r="J219" s="3">
        <v>45605</v>
      </c>
      <c r="K219" s="3">
        <v>45605</v>
      </c>
      <c r="L219" s="6" t="s">
        <v>287</v>
      </c>
      <c r="M219" s="17">
        <v>45607</v>
      </c>
      <c r="N219" s="10" t="s">
        <v>303</v>
      </c>
    </row>
    <row r="220" spans="2:14" customFormat="1" x14ac:dyDescent="0.25">
      <c r="B220">
        <v>7924930088</v>
      </c>
      <c r="C220">
        <v>79</v>
      </c>
      <c r="D220" s="1">
        <v>45953</v>
      </c>
      <c r="E220" s="1">
        <v>46276</v>
      </c>
      <c r="F220" s="6" t="str">
        <f>VLOOKUP(revtar_ins_aecc_CELTINS[[#This Row],[CODIGO]],H:M,5,)</f>
        <v>ATUALIZAÇÃO</v>
      </c>
      <c r="H220" s="16">
        <v>7956040101</v>
      </c>
      <c r="I220" s="2">
        <v>79</v>
      </c>
      <c r="J220" s="3">
        <v>45605</v>
      </c>
      <c r="K220" s="3">
        <v>45605</v>
      </c>
      <c r="L220" s="6" t="s">
        <v>326</v>
      </c>
      <c r="M220" s="17">
        <v>45624</v>
      </c>
      <c r="N220" s="10" t="s">
        <v>303</v>
      </c>
    </row>
    <row r="221" spans="2:14" customFormat="1" x14ac:dyDescent="0.25">
      <c r="B221">
        <v>7936038076</v>
      </c>
      <c r="C221">
        <v>79</v>
      </c>
      <c r="D221" s="1">
        <v>45807</v>
      </c>
      <c r="E221" s="1">
        <v>46245</v>
      </c>
      <c r="F221" s="6" t="str">
        <f>VLOOKUP(revtar_ins_aecc_CELTINS[[#This Row],[CODIGO]],H:M,5,)</f>
        <v>ajuste de rota</v>
      </c>
      <c r="H221" s="16">
        <v>7955914059</v>
      </c>
      <c r="I221" s="2">
        <v>79</v>
      </c>
      <c r="J221" s="3">
        <v>45605</v>
      </c>
      <c r="K221" s="3">
        <v>45605</v>
      </c>
      <c r="L221" s="6" t="s">
        <v>288</v>
      </c>
      <c r="M221" s="17">
        <v>45607</v>
      </c>
      <c r="N221" s="10" t="s">
        <v>303</v>
      </c>
    </row>
    <row r="222" spans="2:14" customFormat="1" x14ac:dyDescent="0.25">
      <c r="B222">
        <v>7924115034</v>
      </c>
      <c r="C222">
        <v>79</v>
      </c>
      <c r="D222" s="1">
        <v>46063</v>
      </c>
      <c r="E222" s="1">
        <v>46272</v>
      </c>
      <c r="F222" s="37" t="str">
        <f>VLOOKUP(revtar_ins_aecc_CELTINS[[#This Row],[CODIGO]],H:M,5,)</f>
        <v>ATUALIZAÇÃO</v>
      </c>
      <c r="H222" s="16">
        <v>7955804021</v>
      </c>
      <c r="I222" s="2">
        <v>79</v>
      </c>
      <c r="J222" s="3">
        <v>45605</v>
      </c>
      <c r="K222" s="3">
        <v>45605</v>
      </c>
      <c r="L222" s="6" t="s">
        <v>289</v>
      </c>
      <c r="M222" s="17">
        <v>45607</v>
      </c>
      <c r="N222" s="10" t="s">
        <v>303</v>
      </c>
    </row>
    <row r="223" spans="2:14" customFormat="1" x14ac:dyDescent="0.25">
      <c r="B223">
        <v>7928553045</v>
      </c>
      <c r="C223">
        <v>79</v>
      </c>
      <c r="D223" s="1">
        <v>45799</v>
      </c>
      <c r="E223" s="1">
        <v>46277</v>
      </c>
      <c r="F223" s="37" t="str">
        <f>VLOOKUP(revtar_ins_aecc_CELTINS[[#This Row],[CODIGO]],H:M,5,)</f>
        <v>ETO-PROT189/2025</v>
      </c>
      <c r="H223" s="16">
        <v>7957655033</v>
      </c>
      <c r="I223" s="2">
        <v>79</v>
      </c>
      <c r="J223" s="3">
        <v>45605</v>
      </c>
      <c r="K223" s="3">
        <v>45605</v>
      </c>
      <c r="L223" s="6" t="s">
        <v>291</v>
      </c>
      <c r="M223" s="17">
        <v>45607</v>
      </c>
      <c r="N223" s="10" t="s">
        <v>303</v>
      </c>
    </row>
    <row r="224" spans="2:14" customFormat="1" x14ac:dyDescent="0.25">
      <c r="B224">
        <v>7924920068</v>
      </c>
      <c r="C224">
        <v>79</v>
      </c>
      <c r="D224" s="1">
        <v>45846</v>
      </c>
      <c r="E224" s="1">
        <v>46277</v>
      </c>
      <c r="F224" s="37" t="str">
        <f>VLOOKUP(revtar_ins_aecc_CELTINS[[#This Row],[CODIGO]],H:M,5,)</f>
        <v>ETO-PROT221/2025</v>
      </c>
      <c r="H224" s="16">
        <v>7954561110</v>
      </c>
      <c r="I224" s="2">
        <v>79</v>
      </c>
      <c r="J224" s="3">
        <v>45605</v>
      </c>
      <c r="K224" s="3">
        <v>45605</v>
      </c>
      <c r="L224" s="6" t="s">
        <v>292</v>
      </c>
      <c r="M224" s="17">
        <v>45607</v>
      </c>
      <c r="N224" s="10" t="s">
        <v>303</v>
      </c>
    </row>
    <row r="225" spans="2:14" customFormat="1" x14ac:dyDescent="0.25">
      <c r="B225">
        <v>7932045003</v>
      </c>
      <c r="C225">
        <v>79</v>
      </c>
      <c r="D225" s="1">
        <v>45967</v>
      </c>
      <c r="E225" s="1">
        <v>46241</v>
      </c>
      <c r="F225" s="37" t="str">
        <f>VLOOKUP(revtar_ins_aecc_CELTINS[[#This Row],[CODIGO]],H:M,5,)</f>
        <v>ATUALIZAÇÃO</v>
      </c>
      <c r="H225" s="16">
        <v>7955825037</v>
      </c>
      <c r="I225" s="2">
        <v>79</v>
      </c>
      <c r="J225" s="3">
        <v>45604</v>
      </c>
      <c r="K225" s="3">
        <v>45604</v>
      </c>
      <c r="L225" s="6" t="s">
        <v>290</v>
      </c>
      <c r="M225" s="17">
        <v>45604</v>
      </c>
      <c r="N225" s="10" t="s">
        <v>303</v>
      </c>
    </row>
    <row r="226" spans="2:14" customFormat="1" x14ac:dyDescent="0.25">
      <c r="B226">
        <v>7902102003</v>
      </c>
      <c r="C226">
        <v>79</v>
      </c>
      <c r="D226" s="1">
        <v>45967</v>
      </c>
      <c r="E226" s="1">
        <v>46241</v>
      </c>
      <c r="F226" s="37" t="str">
        <f>VLOOKUP(revtar_ins_aecc_CELTINS[[#This Row],[CODIGO]],H:M,5,)</f>
        <v>ATUALIZAÇÃO</v>
      </c>
      <c r="H226" s="16">
        <v>7956129005</v>
      </c>
      <c r="I226" s="2">
        <v>79</v>
      </c>
      <c r="J226" s="3">
        <v>45608</v>
      </c>
      <c r="K226" s="3">
        <v>45608</v>
      </c>
      <c r="L226" s="6" t="s">
        <v>293</v>
      </c>
      <c r="M226" s="17">
        <v>45608</v>
      </c>
      <c r="N226" s="10" t="s">
        <v>303</v>
      </c>
    </row>
    <row r="227" spans="2:14" customFormat="1" x14ac:dyDescent="0.25">
      <c r="B227">
        <v>7924938131</v>
      </c>
      <c r="C227">
        <v>79</v>
      </c>
      <c r="D227" s="1">
        <v>45971</v>
      </c>
      <c r="E227" s="1">
        <v>46276</v>
      </c>
      <c r="F227" s="37" t="str">
        <f>VLOOKUP(revtar_ins_aecc_CELTINS[[#This Row],[CODIGO]],H:M,5,)</f>
        <v>ATUALIZAÇÃO</v>
      </c>
      <c r="H227" s="16">
        <v>7955908083</v>
      </c>
      <c r="I227" s="2">
        <v>79</v>
      </c>
      <c r="J227" s="3">
        <v>45608</v>
      </c>
      <c r="K227" s="3">
        <v>45609</v>
      </c>
      <c r="L227" s="6" t="s">
        <v>294</v>
      </c>
      <c r="M227" s="17">
        <v>45609</v>
      </c>
      <c r="N227" s="10" t="s">
        <v>303</v>
      </c>
    </row>
    <row r="228" spans="2:14" customFormat="1" x14ac:dyDescent="0.25">
      <c r="B228">
        <v>7928553045</v>
      </c>
      <c r="C228">
        <v>79</v>
      </c>
      <c r="D228" s="1">
        <v>45953</v>
      </c>
      <c r="E228" s="1">
        <v>46276</v>
      </c>
      <c r="F228" s="37" t="str">
        <f>VLOOKUP(revtar_ins_aecc_CELTINS[[#This Row],[CODIGO]],H:M,5,)</f>
        <v>ETO-PROT189/2025</v>
      </c>
      <c r="H228" s="16">
        <v>7955790094</v>
      </c>
      <c r="I228" s="2">
        <v>79</v>
      </c>
      <c r="J228" s="3">
        <v>45608</v>
      </c>
      <c r="K228" s="3">
        <v>45608</v>
      </c>
      <c r="L228" s="6" t="s">
        <v>295</v>
      </c>
      <c r="M228" s="17">
        <v>45608</v>
      </c>
      <c r="N228" s="10" t="s">
        <v>303</v>
      </c>
    </row>
    <row r="229" spans="2:14" customFormat="1" x14ac:dyDescent="0.25">
      <c r="B229" s="2">
        <v>7955730003</v>
      </c>
      <c r="C229">
        <v>79</v>
      </c>
      <c r="D229" s="1">
        <v>45553</v>
      </c>
      <c r="E229" s="1">
        <v>45847</v>
      </c>
      <c r="F229" s="37" t="str">
        <f>VLOOKUP(revtar_ins_aecc_CELTINS[[#This Row],[CODIGO]],H:M,5,)</f>
        <v>correção de topo após remanejamento 7938920003=&gt;7955730003</v>
      </c>
      <c r="H229" s="16">
        <v>7957089155</v>
      </c>
      <c r="I229" s="2">
        <v>79</v>
      </c>
      <c r="J229" s="3">
        <v>45609</v>
      </c>
      <c r="K229" s="3">
        <v>45609</v>
      </c>
      <c r="L229" s="6" t="s">
        <v>305</v>
      </c>
      <c r="M229" s="17">
        <v>45610</v>
      </c>
      <c r="N229" s="10" t="s">
        <v>303</v>
      </c>
    </row>
    <row r="230" spans="2:14" customFormat="1" x14ac:dyDescent="0.25">
      <c r="B230">
        <v>7925873193</v>
      </c>
      <c r="C230">
        <v>79</v>
      </c>
      <c r="D230" s="1">
        <v>45897</v>
      </c>
      <c r="E230" s="1">
        <v>46262</v>
      </c>
      <c r="F230" s="37" t="str">
        <f>VLOOKUP(revtar_ins_aecc_CELTINS[[#This Row],[CODIGO]],H:M,5,)</f>
        <v>NA =&gt; NF</v>
      </c>
      <c r="H230" s="16">
        <v>7955520116</v>
      </c>
      <c r="I230" s="2">
        <v>79</v>
      </c>
      <c r="J230" s="3">
        <v>45609</v>
      </c>
      <c r="K230" s="3">
        <v>45609</v>
      </c>
      <c r="L230" s="6" t="s">
        <v>296</v>
      </c>
      <c r="M230" s="17">
        <v>45609</v>
      </c>
      <c r="N230" s="10" t="s">
        <v>303</v>
      </c>
    </row>
    <row r="231" spans="2:14" customFormat="1" x14ac:dyDescent="0.25">
      <c r="B231">
        <v>7936134193</v>
      </c>
      <c r="C231">
        <v>79</v>
      </c>
      <c r="D231" s="1">
        <v>45582</v>
      </c>
      <c r="E231" s="1">
        <v>46262</v>
      </c>
      <c r="F231" s="37" t="s">
        <v>666</v>
      </c>
      <c r="H231" s="16">
        <v>7955810021</v>
      </c>
      <c r="I231" s="2">
        <v>79</v>
      </c>
      <c r="J231" s="3">
        <v>45609</v>
      </c>
      <c r="K231" s="3">
        <v>45609</v>
      </c>
      <c r="L231" s="6" t="s">
        <v>297</v>
      </c>
      <c r="M231" s="17">
        <v>45609</v>
      </c>
      <c r="N231" s="73" t="s">
        <v>303</v>
      </c>
    </row>
    <row r="232" spans="2:14" customFormat="1" x14ac:dyDescent="0.25">
      <c r="B232">
        <v>7902102003</v>
      </c>
      <c r="C232">
        <v>79</v>
      </c>
      <c r="D232" s="1">
        <v>45953</v>
      </c>
      <c r="E232" s="1">
        <v>46234</v>
      </c>
      <c r="F232" s="37" t="str">
        <f>VLOOKUP(revtar_ins_aecc_CELTINS[[#This Row],[CODIGO]],H:M,5,)</f>
        <v>ATUALIZAÇÃO</v>
      </c>
      <c r="H232" s="16">
        <v>7953298122</v>
      </c>
      <c r="I232" s="2">
        <v>79</v>
      </c>
      <c r="J232" s="3" t="s">
        <v>298</v>
      </c>
      <c r="K232" s="3">
        <v>45609</v>
      </c>
      <c r="L232" s="6" t="s">
        <v>299</v>
      </c>
      <c r="M232" s="17">
        <v>45609</v>
      </c>
      <c r="N232" s="10" t="s">
        <v>303</v>
      </c>
    </row>
    <row r="233" spans="2:14" customFormat="1" x14ac:dyDescent="0.25">
      <c r="B233">
        <v>7929376022</v>
      </c>
      <c r="C233">
        <v>79</v>
      </c>
      <c r="D233" s="1">
        <v>45953</v>
      </c>
      <c r="E233" s="1">
        <v>46277</v>
      </c>
      <c r="F233" s="37" t="str">
        <f>VLOOKUP(revtar_ins_aecc_CELTINS[[#This Row],[CODIGO]],H:M,5,)</f>
        <v>ATUALIZAÇÃO</v>
      </c>
      <c r="H233" s="16">
        <v>7955889122</v>
      </c>
      <c r="I233" s="2">
        <v>79</v>
      </c>
      <c r="J233" s="3">
        <v>45609</v>
      </c>
      <c r="K233" s="3">
        <v>45609</v>
      </c>
      <c r="L233" s="6" t="s">
        <v>307</v>
      </c>
      <c r="M233" s="17">
        <v>45610</v>
      </c>
      <c r="N233" s="10" t="s">
        <v>303</v>
      </c>
    </row>
    <row r="234" spans="2:14" customFormat="1" x14ac:dyDescent="0.25">
      <c r="B234">
        <v>7968058001</v>
      </c>
      <c r="C234">
        <v>79</v>
      </c>
      <c r="D234" s="1">
        <v>46174</v>
      </c>
      <c r="E234" s="1">
        <v>46252</v>
      </c>
      <c r="F234" s="37" t="str">
        <f>VLOOKUP(revtar_ins_aecc_CELTINS[[#This Row],[CODIGO]],H:M,5,)</f>
        <v>ETO-PROT128/2026</v>
      </c>
      <c r="H234" s="16">
        <v>7955666036</v>
      </c>
      <c r="I234" s="2">
        <v>79</v>
      </c>
      <c r="J234" s="3">
        <v>45609</v>
      </c>
      <c r="K234" s="3">
        <v>45609</v>
      </c>
      <c r="L234" s="6" t="s">
        <v>300</v>
      </c>
      <c r="M234" s="17">
        <v>45609</v>
      </c>
      <c r="N234" s="10" t="s">
        <v>303</v>
      </c>
    </row>
    <row r="235" spans="2:14" customFormat="1" x14ac:dyDescent="0.25">
      <c r="B235">
        <v>7909579077</v>
      </c>
      <c r="C235">
        <v>79</v>
      </c>
      <c r="D235" s="1">
        <v>45326</v>
      </c>
      <c r="E235" s="1">
        <v>46278</v>
      </c>
      <c r="F235" s="37" t="str">
        <f>VLOOKUP(revtar_ins_aecc_CELTINS[[#This Row],[CODIGO]],H:M,5,)</f>
        <v>ETO-PROT62/2024</v>
      </c>
      <c r="H235" s="16">
        <v>7954583110</v>
      </c>
      <c r="I235" s="2">
        <v>79</v>
      </c>
      <c r="J235" s="3">
        <v>45609</v>
      </c>
      <c r="K235" s="3">
        <v>45609</v>
      </c>
      <c r="L235" s="6" t="s">
        <v>301</v>
      </c>
      <c r="M235" s="17">
        <v>45609</v>
      </c>
      <c r="N235" s="10" t="s">
        <v>303</v>
      </c>
    </row>
    <row r="236" spans="2:14" customFormat="1" x14ac:dyDescent="0.25">
      <c r="B236">
        <v>7954779001</v>
      </c>
      <c r="C236">
        <v>79</v>
      </c>
      <c r="D236" s="1">
        <v>45499</v>
      </c>
      <c r="E236" s="1">
        <v>46273</v>
      </c>
      <c r="F236" s="37" t="str">
        <f>VLOOKUP(revtar_ins_aecc_CELTINS[[#This Row],[CODIGO]],H:M,5,)</f>
        <v>ETO-PROT203/2024</v>
      </c>
      <c r="H236" s="16">
        <v>7956399193</v>
      </c>
      <c r="I236" s="2">
        <v>79</v>
      </c>
      <c r="J236" s="3">
        <v>45609</v>
      </c>
      <c r="K236" s="3">
        <v>45609</v>
      </c>
      <c r="L236" s="6" t="s">
        <v>302</v>
      </c>
      <c r="M236" s="17">
        <v>45609</v>
      </c>
      <c r="N236" s="10" t="s">
        <v>303</v>
      </c>
    </row>
    <row r="237" spans="2:14" customFormat="1" x14ac:dyDescent="0.25">
      <c r="B237">
        <v>7949914001</v>
      </c>
      <c r="C237">
        <v>79</v>
      </c>
      <c r="D237" s="1">
        <v>45958</v>
      </c>
      <c r="E237" s="1">
        <v>46276</v>
      </c>
      <c r="F237" s="37" t="str">
        <f>VLOOKUP(revtar_ins_aecc_CELTINS[[#This Row],[CODIGO]],H:M,5,)</f>
        <v>atualização de NF =&gt; NA</v>
      </c>
      <c r="H237" s="16">
        <v>7957466015</v>
      </c>
      <c r="I237" s="2">
        <v>79</v>
      </c>
      <c r="J237" s="3">
        <v>45610</v>
      </c>
      <c r="K237" s="3">
        <v>45610</v>
      </c>
      <c r="L237" s="6" t="s">
        <v>304</v>
      </c>
      <c r="M237" s="17">
        <v>45610</v>
      </c>
      <c r="N237" s="10" t="s">
        <v>303</v>
      </c>
    </row>
    <row r="238" spans="2:14" customFormat="1" x14ac:dyDescent="0.25">
      <c r="B238">
        <v>7940868065</v>
      </c>
      <c r="C238">
        <v>79</v>
      </c>
      <c r="D238" s="1">
        <v>45953</v>
      </c>
      <c r="E238" s="1">
        <v>46276</v>
      </c>
      <c r="F238" s="37" t="str">
        <f>VLOOKUP(revtar_ins_aecc_CELTINS[[#This Row],[CODIGO]],H:M,5,)</f>
        <v>ETO-PROT175/2024</v>
      </c>
      <c r="H238" s="16">
        <v>7954564001</v>
      </c>
      <c r="I238" s="2">
        <v>79</v>
      </c>
      <c r="J238" s="3">
        <v>45610</v>
      </c>
      <c r="K238" s="3">
        <v>45610</v>
      </c>
      <c r="L238" s="6" t="s">
        <v>306</v>
      </c>
      <c r="M238" s="17">
        <v>45610</v>
      </c>
      <c r="N238" s="10" t="s">
        <v>303</v>
      </c>
    </row>
    <row r="239" spans="2:14" customFormat="1" x14ac:dyDescent="0.25">
      <c r="B239">
        <v>7955677003</v>
      </c>
      <c r="C239">
        <v>79</v>
      </c>
      <c r="D239" s="1">
        <v>45953</v>
      </c>
      <c r="E239" s="1">
        <v>46262</v>
      </c>
      <c r="F239" s="37" t="str">
        <f>VLOOKUP(revtar_ins_aecc_CELTINS[[#This Row],[CODIGO]],H:M,5,)</f>
        <v>ETO-PROT289/2024</v>
      </c>
      <c r="H239" s="16">
        <v>7957441077</v>
      </c>
      <c r="I239" s="2">
        <v>79</v>
      </c>
      <c r="J239" s="3">
        <v>45616</v>
      </c>
      <c r="K239" s="3">
        <v>45616</v>
      </c>
      <c r="L239" s="6" t="s">
        <v>308</v>
      </c>
      <c r="M239" s="17">
        <v>45617</v>
      </c>
      <c r="N239" s="10" t="s">
        <v>303</v>
      </c>
    </row>
    <row r="240" spans="2:14" customFormat="1" x14ac:dyDescent="0.25">
      <c r="B240">
        <v>7936503003</v>
      </c>
      <c r="C240">
        <v>79</v>
      </c>
      <c r="D240" s="1">
        <v>46241</v>
      </c>
      <c r="E240" s="1">
        <v>46262</v>
      </c>
      <c r="F240" s="37" t="str">
        <f>VLOOKUP(revtar_ins_aecc_CELTINS[[#This Row],[CODIGO]],H:M,5,)</f>
        <v>AJUSTE A PEDIDO DA ASPO</v>
      </c>
      <c r="H240" s="16">
        <v>7956220007</v>
      </c>
      <c r="I240" s="2">
        <v>79</v>
      </c>
      <c r="J240" s="3">
        <v>45617</v>
      </c>
      <c r="K240" s="3">
        <v>45617</v>
      </c>
      <c r="L240" s="6" t="s">
        <v>312</v>
      </c>
      <c r="M240" s="17">
        <v>45617</v>
      </c>
      <c r="N240" s="10" t="s">
        <v>303</v>
      </c>
    </row>
    <row r="241" spans="2:14" customFormat="1" x14ac:dyDescent="0.25">
      <c r="B241">
        <v>7933992003</v>
      </c>
      <c r="C241">
        <v>79</v>
      </c>
      <c r="D241" s="1">
        <v>45978</v>
      </c>
      <c r="E241" s="1">
        <v>46242</v>
      </c>
      <c r="F241" s="37" t="str">
        <f>VLOOKUP(revtar_ins_aecc_CELTINS[[#This Row],[CODIGO]],H:M,5,)</f>
        <v>já está em operação</v>
      </c>
      <c r="H241" s="16">
        <v>7955635116</v>
      </c>
      <c r="I241" s="2">
        <v>79</v>
      </c>
      <c r="J241" s="3">
        <v>45616</v>
      </c>
      <c r="K241" s="3">
        <v>45616</v>
      </c>
      <c r="L241" s="6" t="s">
        <v>309</v>
      </c>
      <c r="M241" s="17">
        <v>45617</v>
      </c>
      <c r="N241" s="10" t="s">
        <v>303</v>
      </c>
    </row>
    <row r="242" spans="2:14" customFormat="1" x14ac:dyDescent="0.25">
      <c r="B242">
        <v>7933992003</v>
      </c>
      <c r="C242">
        <v>79</v>
      </c>
      <c r="D242" s="1">
        <v>45904</v>
      </c>
      <c r="E242" s="1">
        <v>46277</v>
      </c>
      <c r="F242" s="37" t="str">
        <f>VLOOKUP(revtar_ins_aecc_CELTINS[[#This Row],[CODIGO]],H:M,5,)</f>
        <v>já está em operação</v>
      </c>
      <c r="H242" s="16">
        <v>7957858079</v>
      </c>
      <c r="I242" s="2">
        <v>79</v>
      </c>
      <c r="J242" s="3">
        <v>45615</v>
      </c>
      <c r="K242" s="3">
        <v>45615</v>
      </c>
      <c r="L242" s="6" t="s">
        <v>310</v>
      </c>
      <c r="M242" s="17">
        <v>45617</v>
      </c>
      <c r="N242" s="10" t="s">
        <v>303</v>
      </c>
    </row>
    <row r="243" spans="2:14" customFormat="1" x14ac:dyDescent="0.25">
      <c r="B243">
        <v>7936031003</v>
      </c>
      <c r="C243">
        <v>79</v>
      </c>
      <c r="D243" s="1">
        <v>45953</v>
      </c>
      <c r="E243" s="1">
        <v>46277</v>
      </c>
      <c r="F243" s="37" t="str">
        <f>VLOOKUP(revtar_ins_aecc_CELTINS[[#This Row],[CODIGO]],H:M,5,)</f>
        <v>ATUALIZAÇÃO</v>
      </c>
      <c r="H243" s="16">
        <v>7930419122</v>
      </c>
      <c r="I243" s="2">
        <v>79</v>
      </c>
      <c r="J243" s="3">
        <v>45615</v>
      </c>
      <c r="K243" s="3">
        <v>45615</v>
      </c>
      <c r="L243" s="6" t="s">
        <v>311</v>
      </c>
      <c r="M243" s="17">
        <v>45617</v>
      </c>
      <c r="N243" s="10" t="s">
        <v>303</v>
      </c>
    </row>
    <row r="244" spans="2:14" customFormat="1" x14ac:dyDescent="0.25">
      <c r="B244">
        <v>7955730003</v>
      </c>
      <c r="C244">
        <v>79</v>
      </c>
      <c r="D244" s="1">
        <v>45847</v>
      </c>
      <c r="E244" s="1">
        <v>46262</v>
      </c>
      <c r="F244" s="37" t="str">
        <f>VLOOKUP(revtar_ins_aecc_CELTINS[[#This Row],[CODIGO]],H:M,5,)</f>
        <v>correção de topo após remanejamento 7938920003=&gt;7955730003</v>
      </c>
      <c r="H244" s="16">
        <v>7956932122</v>
      </c>
      <c r="I244" s="2">
        <v>79</v>
      </c>
      <c r="J244" s="3">
        <v>45617</v>
      </c>
      <c r="K244" s="3">
        <v>45617</v>
      </c>
      <c r="L244" s="6" t="s">
        <v>314</v>
      </c>
      <c r="M244" s="17">
        <v>45622</v>
      </c>
      <c r="N244" s="10" t="s">
        <v>303</v>
      </c>
    </row>
    <row r="245" spans="2:14" customFormat="1" x14ac:dyDescent="0.25">
      <c r="B245">
        <v>7961329003</v>
      </c>
      <c r="C245">
        <v>79</v>
      </c>
      <c r="D245" s="1">
        <v>45764</v>
      </c>
      <c r="E245" s="1">
        <v>46277</v>
      </c>
      <c r="F245" s="37" t="str">
        <f>VLOOKUP(revtar_ins_aecc_CELTINS[[#This Row],[CODIGO]],H:M,5,)</f>
        <v>ETO-PROT164/2025</v>
      </c>
      <c r="H245" s="16">
        <v>7955910059</v>
      </c>
      <c r="I245" s="2">
        <v>79</v>
      </c>
      <c r="J245" s="3">
        <v>45615</v>
      </c>
      <c r="K245" s="3">
        <v>45615</v>
      </c>
      <c r="L245" s="6" t="s">
        <v>323</v>
      </c>
      <c r="M245" s="17">
        <v>45623</v>
      </c>
      <c r="N245" s="10" t="s">
        <v>303</v>
      </c>
    </row>
    <row r="246" spans="2:14" customFormat="1" x14ac:dyDescent="0.25">
      <c r="B246" s="2">
        <v>7956003081</v>
      </c>
      <c r="C246">
        <v>79</v>
      </c>
      <c r="D246" s="1">
        <v>45953</v>
      </c>
      <c r="E246" s="1">
        <v>46274</v>
      </c>
      <c r="F246" s="37" t="str">
        <f>VLOOKUP(revtar_ins_aecc_CELTINS[[#This Row],[CODIGO]],H:M,5,)</f>
        <v>ETO-PROT339/2024</v>
      </c>
      <c r="H246" s="16">
        <v>7956131005</v>
      </c>
      <c r="I246" s="2">
        <v>79</v>
      </c>
      <c r="J246" s="3">
        <v>45615</v>
      </c>
      <c r="K246" s="3">
        <v>45615</v>
      </c>
      <c r="L246" s="6" t="s">
        <v>324</v>
      </c>
      <c r="M246" s="17">
        <v>45624</v>
      </c>
      <c r="N246" s="10" t="s">
        <v>303</v>
      </c>
    </row>
    <row r="247" spans="2:14" customFormat="1" x14ac:dyDescent="0.25">
      <c r="B247">
        <v>7900618193</v>
      </c>
      <c r="C247">
        <v>79</v>
      </c>
      <c r="D247" s="1">
        <v>45751</v>
      </c>
      <c r="E247" s="1">
        <v>46262</v>
      </c>
      <c r="F247" s="37" t="str">
        <f>VLOOKUP(revtar_ins_aecc_CELTINS[[#This Row],[CODIGO]],H:M,5,)</f>
        <v>AJUSTE NA=&gt;NF</v>
      </c>
      <c r="H247" s="16">
        <v>7955932122</v>
      </c>
      <c r="I247" s="2">
        <v>79</v>
      </c>
      <c r="J247" s="3">
        <v>45615</v>
      </c>
      <c r="K247" s="3">
        <v>45615</v>
      </c>
      <c r="L247" s="6" t="s">
        <v>328</v>
      </c>
      <c r="M247" s="17">
        <v>45628</v>
      </c>
      <c r="N247" s="10" t="s">
        <v>303</v>
      </c>
    </row>
    <row r="248" spans="2:14" customFormat="1" x14ac:dyDescent="0.25">
      <c r="B248">
        <v>7928298004</v>
      </c>
      <c r="C248">
        <v>79</v>
      </c>
      <c r="D248" s="1">
        <v>45954</v>
      </c>
      <c r="E248" s="1">
        <v>46234</v>
      </c>
      <c r="F248" s="37" t="s">
        <v>685</v>
      </c>
      <c r="H248" s="16">
        <v>7955521116</v>
      </c>
      <c r="I248" s="2">
        <v>79</v>
      </c>
      <c r="J248" s="3">
        <v>45615</v>
      </c>
      <c r="K248" s="3">
        <v>45615</v>
      </c>
      <c r="L248" s="6" t="s">
        <v>221</v>
      </c>
      <c r="M248" s="17">
        <v>45617</v>
      </c>
      <c r="N248" s="10"/>
    </row>
    <row r="249" spans="2:14" customFormat="1" x14ac:dyDescent="0.25">
      <c r="B249">
        <v>7900453110</v>
      </c>
      <c r="C249">
        <v>79</v>
      </c>
      <c r="D249" s="1">
        <v>45967</v>
      </c>
      <c r="E249" s="1">
        <v>46277</v>
      </c>
      <c r="F249" s="37" t="str">
        <f>VLOOKUP(revtar_ins_aecc_CELTINS[[#This Row],[CODIGO]],H:M,5,)</f>
        <v>ATUALIZAÇÃO</v>
      </c>
      <c r="H249" s="16">
        <v>7955914059</v>
      </c>
      <c r="I249" s="2">
        <v>79</v>
      </c>
      <c r="J249" s="3">
        <v>45615</v>
      </c>
      <c r="K249" s="3">
        <v>45615</v>
      </c>
      <c r="L249" s="6" t="s">
        <v>221</v>
      </c>
      <c r="M249" s="17">
        <v>45617</v>
      </c>
      <c r="N249" s="10"/>
    </row>
    <row r="250" spans="2:14" customFormat="1" x14ac:dyDescent="0.25">
      <c r="B250">
        <v>7925096042</v>
      </c>
      <c r="C250">
        <v>79</v>
      </c>
      <c r="D250" s="1">
        <v>45859</v>
      </c>
      <c r="E250" s="1">
        <v>46234</v>
      </c>
      <c r="F250" s="37" t="str">
        <f>VLOOKUP(revtar_ins_aecc_CELTINS[[#This Row],[CODIGO]],H:M,5,)</f>
        <v>já está em operação</v>
      </c>
      <c r="H250" s="16">
        <v>7957460018</v>
      </c>
      <c r="I250" s="2">
        <v>79</v>
      </c>
      <c r="J250" s="3">
        <v>45622</v>
      </c>
      <c r="K250" s="3">
        <v>45622</v>
      </c>
      <c r="L250" s="6" t="s">
        <v>313</v>
      </c>
      <c r="M250" s="17">
        <v>45622</v>
      </c>
      <c r="N250" s="10" t="s">
        <v>303</v>
      </c>
    </row>
    <row r="251" spans="2:14" customFormat="1" x14ac:dyDescent="0.25">
      <c r="B251">
        <v>7929763027</v>
      </c>
      <c r="C251">
        <v>79</v>
      </c>
      <c r="D251" s="1">
        <v>45958</v>
      </c>
      <c r="E251" s="1">
        <v>46235</v>
      </c>
      <c r="F251" s="37" t="str">
        <f>VLOOKUP(revtar_ins_aecc_CELTINS[[#This Row],[CODIGO]],H:M,5,)</f>
        <v>ETO-PROT335/2025</v>
      </c>
      <c r="H251" s="16">
        <v>7957721078</v>
      </c>
      <c r="I251" s="2">
        <v>79</v>
      </c>
      <c r="J251" s="3">
        <v>45622</v>
      </c>
      <c r="K251" s="3">
        <v>45622</v>
      </c>
      <c r="L251" s="6" t="s">
        <v>315</v>
      </c>
      <c r="M251" s="17">
        <v>45622</v>
      </c>
      <c r="N251" s="10" t="s">
        <v>303</v>
      </c>
    </row>
    <row r="252" spans="2:14" customFormat="1" x14ac:dyDescent="0.25">
      <c r="B252">
        <v>7949914001</v>
      </c>
      <c r="C252">
        <v>79</v>
      </c>
      <c r="D252" s="1">
        <v>45473</v>
      </c>
      <c r="E252" s="1">
        <v>46260</v>
      </c>
      <c r="F252" s="37" t="str">
        <f>VLOOKUP(revtar_ins_aecc_CELTINS[[#This Row],[CODIGO]],H:M,5,)</f>
        <v>atualização de NF =&gt; NA</v>
      </c>
      <c r="H252" s="16">
        <v>7957042154</v>
      </c>
      <c r="I252" s="2">
        <v>79</v>
      </c>
      <c r="J252" s="3">
        <v>45622</v>
      </c>
      <c r="K252" s="3">
        <v>45622</v>
      </c>
      <c r="L252" s="6" t="s">
        <v>316</v>
      </c>
      <c r="M252" s="17">
        <v>45622</v>
      </c>
      <c r="N252" s="10" t="s">
        <v>303</v>
      </c>
    </row>
    <row r="253" spans="2:14" customFormat="1" x14ac:dyDescent="0.25">
      <c r="B253">
        <v>7925111033</v>
      </c>
      <c r="C253">
        <v>79</v>
      </c>
      <c r="D253" s="1">
        <v>45957</v>
      </c>
      <c r="E253" s="1">
        <v>46272</v>
      </c>
      <c r="F253" s="37" t="str">
        <f>VLOOKUP(revtar_ins_aecc_CELTINS[[#This Row],[CODIGO]],H:M,5,)</f>
        <v>ATUALIZAÇÃO</v>
      </c>
      <c r="H253" s="16">
        <v>7957616048</v>
      </c>
      <c r="I253" s="2">
        <v>79</v>
      </c>
      <c r="J253" s="3">
        <v>45622</v>
      </c>
      <c r="K253" s="3">
        <v>45622</v>
      </c>
      <c r="L253" s="6" t="s">
        <v>321</v>
      </c>
      <c r="M253" s="17">
        <v>45623</v>
      </c>
      <c r="N253" s="10" t="s">
        <v>303</v>
      </c>
    </row>
    <row r="254" spans="2:14" customFormat="1" x14ac:dyDescent="0.25">
      <c r="B254">
        <v>7925111033</v>
      </c>
      <c r="C254">
        <v>79</v>
      </c>
      <c r="D254" s="1">
        <v>46063</v>
      </c>
      <c r="E254" s="1">
        <v>46276</v>
      </c>
      <c r="F254" s="37" t="str">
        <f>VLOOKUP(revtar_ins_aecc_CELTINS[[#This Row],[CODIGO]],H:M,5,)</f>
        <v>ATUALIZAÇÃO</v>
      </c>
      <c r="H254" s="16">
        <v>7957465048</v>
      </c>
      <c r="I254" s="2">
        <v>79</v>
      </c>
      <c r="J254" s="3">
        <v>45622</v>
      </c>
      <c r="K254" s="3">
        <v>45622</v>
      </c>
      <c r="L254" s="6" t="s">
        <v>322</v>
      </c>
      <c r="M254" s="17">
        <v>45623</v>
      </c>
      <c r="N254" s="10" t="s">
        <v>303</v>
      </c>
    </row>
    <row r="255" spans="2:14" customFormat="1" x14ac:dyDescent="0.25">
      <c r="B255">
        <v>7900059009</v>
      </c>
      <c r="C255">
        <v>79</v>
      </c>
      <c r="D255" s="1">
        <v>46042</v>
      </c>
      <c r="E255" s="1">
        <v>46259</v>
      </c>
      <c r="F255" s="37" t="str">
        <f>VLOOKUP(revtar_ins_aecc_CELTINS[[#This Row],[CODIGO]],H:M,5,)</f>
        <v>já está em operação</v>
      </c>
      <c r="H255" s="16">
        <v>7957897064</v>
      </c>
      <c r="I255" s="2">
        <v>79</v>
      </c>
      <c r="J255" s="3">
        <v>45623</v>
      </c>
      <c r="K255" s="3">
        <v>45623</v>
      </c>
      <c r="L255" s="6" t="s">
        <v>325</v>
      </c>
      <c r="M255" s="17">
        <v>45623</v>
      </c>
      <c r="N255" s="10" t="s">
        <v>303</v>
      </c>
    </row>
    <row r="256" spans="2:14" customFormat="1" x14ac:dyDescent="0.25">
      <c r="B256">
        <v>7960800037</v>
      </c>
      <c r="C256">
        <v>79</v>
      </c>
      <c r="D256" s="1">
        <v>45931</v>
      </c>
      <c r="E256" s="1">
        <v>46276</v>
      </c>
      <c r="F256" s="37" t="str">
        <f>VLOOKUP(revtar_ins_aecc_CELTINS[[#This Row],[CODIGO]],H:M,5,)</f>
        <v>ETO-PROT289/2025</v>
      </c>
      <c r="H256" s="16">
        <v>7957762039</v>
      </c>
      <c r="I256" s="2">
        <v>79</v>
      </c>
      <c r="J256" s="3">
        <v>45625</v>
      </c>
      <c r="K256" s="3">
        <v>45625</v>
      </c>
      <c r="L256" s="6" t="s">
        <v>327</v>
      </c>
      <c r="M256" s="17">
        <v>45628</v>
      </c>
      <c r="N256" s="10" t="s">
        <v>303</v>
      </c>
    </row>
    <row r="257" spans="2:14" customFormat="1" x14ac:dyDescent="0.25">
      <c r="B257">
        <v>7900059009</v>
      </c>
      <c r="C257">
        <v>79</v>
      </c>
      <c r="D257" s="1">
        <v>45625</v>
      </c>
      <c r="E257" s="1">
        <v>46259</v>
      </c>
      <c r="F257" s="37" t="str">
        <f>VLOOKUP(revtar_ins_aecc_CELTINS[[#This Row],[CODIGO]],H:M,5,)</f>
        <v>já está em operação</v>
      </c>
      <c r="H257" s="16">
        <v>7957640009</v>
      </c>
      <c r="I257" s="2">
        <v>79</v>
      </c>
      <c r="J257" s="3">
        <v>45625</v>
      </c>
      <c r="K257" s="3">
        <v>45625</v>
      </c>
      <c r="L257" s="6" t="s">
        <v>329</v>
      </c>
      <c r="M257" s="17">
        <v>45628</v>
      </c>
      <c r="N257" s="10" t="s">
        <v>303</v>
      </c>
    </row>
    <row r="258" spans="2:14" customFormat="1" x14ac:dyDescent="0.25">
      <c r="B258">
        <v>7905361122</v>
      </c>
      <c r="C258">
        <v>79</v>
      </c>
      <c r="D258" s="1">
        <v>45954</v>
      </c>
      <c r="E258" s="1">
        <v>46273</v>
      </c>
      <c r="F258" s="37" t="str">
        <f>VLOOKUP(revtar_ins_aecc_CELTINS[[#This Row],[CODIGO]],H:M,5,)</f>
        <v>ATUALIZAÇÃO</v>
      </c>
      <c r="H258" s="16">
        <v>7956924006</v>
      </c>
      <c r="I258" s="2">
        <v>79</v>
      </c>
      <c r="J258" s="3">
        <v>45625</v>
      </c>
      <c r="K258" s="3">
        <v>45625</v>
      </c>
      <c r="L258" s="6" t="s">
        <v>345</v>
      </c>
      <c r="M258" s="17">
        <v>45628</v>
      </c>
      <c r="N258" s="10" t="s">
        <v>303</v>
      </c>
    </row>
    <row r="259" spans="2:14" customFormat="1" x14ac:dyDescent="0.25">
      <c r="B259">
        <v>7930041122</v>
      </c>
      <c r="C259">
        <v>79</v>
      </c>
      <c r="D259" s="1">
        <v>45983</v>
      </c>
      <c r="E259" s="1">
        <v>46273</v>
      </c>
      <c r="F259" s="37" t="str">
        <f>VLOOKUP(revtar_ins_aecc_CELTINS[[#This Row],[CODIGO]],H:M,5,)</f>
        <v>ATUALIZAÇÃO</v>
      </c>
      <c r="H259" s="16">
        <v>7953570026</v>
      </c>
      <c r="I259" s="2">
        <v>79</v>
      </c>
      <c r="J259" s="3">
        <v>45632</v>
      </c>
      <c r="K259" s="3">
        <v>45634</v>
      </c>
      <c r="L259" s="6" t="s">
        <v>330</v>
      </c>
      <c r="M259" s="17">
        <v>45632</v>
      </c>
      <c r="N259" s="10" t="s">
        <v>303</v>
      </c>
    </row>
    <row r="260" spans="2:14" customFormat="1" x14ac:dyDescent="0.25">
      <c r="B260">
        <v>7931601122</v>
      </c>
      <c r="C260">
        <v>79</v>
      </c>
      <c r="D260" s="1">
        <v>46057</v>
      </c>
      <c r="E260" s="1">
        <v>46277</v>
      </c>
      <c r="F260" s="37" t="str">
        <f>VLOOKUP(revtar_ins_aecc_CELTINS[[#This Row],[CODIGO]],H:M,5,)</f>
        <v>já está em operação</v>
      </c>
      <c r="H260" s="16">
        <v>7900011039</v>
      </c>
      <c r="I260" s="2">
        <v>79</v>
      </c>
      <c r="J260" s="3">
        <v>45633</v>
      </c>
      <c r="K260" s="3">
        <v>45634</v>
      </c>
      <c r="L260" s="6" t="s">
        <v>108</v>
      </c>
      <c r="M260" s="17">
        <v>45635</v>
      </c>
      <c r="N260" s="10"/>
    </row>
    <row r="261" spans="2:14" customFormat="1" x14ac:dyDescent="0.25">
      <c r="B261">
        <v>7931604122</v>
      </c>
      <c r="C261">
        <v>79</v>
      </c>
      <c r="D261" s="1">
        <v>45679</v>
      </c>
      <c r="E261" s="1">
        <v>46277</v>
      </c>
      <c r="F261" s="37" t="str">
        <f>VLOOKUP(revtar_ins_aecc_CELTINS[[#This Row],[CODIGO]],H:M,5,)</f>
        <v>já está em operação</v>
      </c>
      <c r="H261" s="16">
        <v>7955913122</v>
      </c>
      <c r="I261" s="2">
        <v>79</v>
      </c>
      <c r="J261" s="3">
        <v>45630</v>
      </c>
      <c r="K261" s="3">
        <v>45633</v>
      </c>
      <c r="L261" s="6" t="s">
        <v>331</v>
      </c>
      <c r="M261" s="17">
        <v>45631</v>
      </c>
      <c r="N261" s="10" t="s">
        <v>303</v>
      </c>
    </row>
    <row r="262" spans="2:14" customFormat="1" x14ac:dyDescent="0.25">
      <c r="B262">
        <v>7905502059</v>
      </c>
      <c r="C262">
        <v>79</v>
      </c>
      <c r="D262" s="1">
        <v>45975</v>
      </c>
      <c r="E262" s="1">
        <v>46276</v>
      </c>
      <c r="F262" s="37" t="s">
        <v>686</v>
      </c>
      <c r="H262" s="16">
        <v>7954560043</v>
      </c>
      <c r="I262" s="2">
        <v>79</v>
      </c>
      <c r="J262" s="3">
        <v>45645</v>
      </c>
      <c r="K262" s="3">
        <v>45646</v>
      </c>
      <c r="L262" s="6" t="s">
        <v>332</v>
      </c>
      <c r="M262" s="17">
        <v>45649</v>
      </c>
      <c r="N262" s="10" t="s">
        <v>303</v>
      </c>
    </row>
    <row r="263" spans="2:14" customFormat="1" x14ac:dyDescent="0.25">
      <c r="B263">
        <v>7931601122</v>
      </c>
      <c r="C263">
        <v>79</v>
      </c>
      <c r="D263" s="1">
        <v>45988</v>
      </c>
      <c r="E263" s="1">
        <v>46276</v>
      </c>
      <c r="F263" s="37" t="str">
        <f>VLOOKUP(revtar_ins_aecc_CELTINS[[#This Row],[CODIGO]],H:M,5,)</f>
        <v>já está em operação</v>
      </c>
      <c r="H263" s="16">
        <v>7955686076</v>
      </c>
      <c r="I263" s="2">
        <v>79</v>
      </c>
      <c r="J263" s="3">
        <v>45637</v>
      </c>
      <c r="K263" s="3">
        <v>45637</v>
      </c>
      <c r="L263" s="6" t="s">
        <v>333</v>
      </c>
      <c r="M263" s="17">
        <v>45638</v>
      </c>
      <c r="N263" s="10" t="s">
        <v>303</v>
      </c>
    </row>
    <row r="264" spans="2:14" customFormat="1" x14ac:dyDescent="0.25">
      <c r="B264">
        <v>7931629122</v>
      </c>
      <c r="C264">
        <v>79</v>
      </c>
      <c r="D264" s="1">
        <v>45988</v>
      </c>
      <c r="E264" s="1">
        <v>46277</v>
      </c>
      <c r="F264" s="37" t="str">
        <f>VLOOKUP(revtar_ins_aecc_CELTINS[[#This Row],[CODIGO]],H:M,5,)</f>
        <v>ajuste de rota</v>
      </c>
      <c r="H264" s="16">
        <v>7954490001</v>
      </c>
      <c r="I264" s="2">
        <v>79</v>
      </c>
      <c r="J264" s="3">
        <v>45641</v>
      </c>
      <c r="K264" s="3">
        <v>45641</v>
      </c>
      <c r="L264" s="6" t="s">
        <v>334</v>
      </c>
      <c r="M264" s="17">
        <v>45649</v>
      </c>
      <c r="N264" s="10" t="s">
        <v>303</v>
      </c>
    </row>
    <row r="265" spans="2:14" customFormat="1" x14ac:dyDescent="0.25">
      <c r="B265">
        <v>7931601122</v>
      </c>
      <c r="C265">
        <v>79</v>
      </c>
      <c r="D265" s="1">
        <v>45582</v>
      </c>
      <c r="E265" s="1">
        <v>46277</v>
      </c>
      <c r="F265" s="37" t="str">
        <f>VLOOKUP(revtar_ins_aecc_CELTINS[[#This Row],[CODIGO]],H:M,5,)</f>
        <v>já está em operação</v>
      </c>
      <c r="H265" s="16">
        <v>7955987088</v>
      </c>
      <c r="I265" s="2">
        <v>79</v>
      </c>
      <c r="J265" s="3">
        <v>45647</v>
      </c>
      <c r="K265" s="3">
        <v>45647</v>
      </c>
      <c r="L265" s="6" t="s">
        <v>335</v>
      </c>
      <c r="M265" s="17">
        <v>45649</v>
      </c>
      <c r="N265" s="10" t="s">
        <v>303</v>
      </c>
    </row>
    <row r="266" spans="2:14" customFormat="1" x14ac:dyDescent="0.25">
      <c r="B266">
        <v>7931604122</v>
      </c>
      <c r="C266">
        <v>79</v>
      </c>
      <c r="D266" s="1">
        <v>45582</v>
      </c>
      <c r="E266" s="1">
        <v>46277</v>
      </c>
      <c r="F266" s="37" t="str">
        <f>VLOOKUP(revtar_ins_aecc_CELTINS[[#This Row],[CODIGO]],H:M,5,)</f>
        <v>já está em operação</v>
      </c>
      <c r="H266" s="16">
        <v>7957425066</v>
      </c>
      <c r="I266" s="2">
        <v>79</v>
      </c>
      <c r="J266" s="3">
        <v>45638</v>
      </c>
      <c r="K266" s="3">
        <v>45639</v>
      </c>
      <c r="L266" s="6" t="s">
        <v>336</v>
      </c>
      <c r="M266" s="17">
        <v>45639</v>
      </c>
      <c r="N266" s="10" t="s">
        <v>303</v>
      </c>
    </row>
    <row r="267" spans="2:14" customFormat="1" x14ac:dyDescent="0.25">
      <c r="B267">
        <v>7931629122</v>
      </c>
      <c r="C267">
        <v>79</v>
      </c>
      <c r="D267" s="1">
        <v>45582</v>
      </c>
      <c r="E267" s="1">
        <v>46277</v>
      </c>
      <c r="F267" s="37" t="str">
        <f>VLOOKUP(revtar_ins_aecc_CELTINS[[#This Row],[CODIGO]],H:M,5,)</f>
        <v>ajuste de rota</v>
      </c>
      <c r="H267" s="16">
        <v>7956127190</v>
      </c>
      <c r="I267" s="2">
        <v>79</v>
      </c>
      <c r="J267" s="3">
        <v>45649</v>
      </c>
      <c r="K267" s="3">
        <v>45651</v>
      </c>
      <c r="L267" s="6" t="s">
        <v>338</v>
      </c>
      <c r="M267" s="17">
        <v>45653</v>
      </c>
      <c r="N267" s="10" t="s">
        <v>303</v>
      </c>
    </row>
    <row r="268" spans="2:14" customFormat="1" x14ac:dyDescent="0.25">
      <c r="B268">
        <v>7931601122</v>
      </c>
      <c r="C268">
        <v>79</v>
      </c>
      <c r="D268" s="1">
        <v>45960</v>
      </c>
      <c r="E268" s="1">
        <v>46277</v>
      </c>
      <c r="F268" s="37" t="str">
        <f>VLOOKUP(revtar_ins_aecc_CELTINS[[#This Row],[CODIGO]],H:M,5,)</f>
        <v>já está em operação</v>
      </c>
      <c r="H268" s="16">
        <v>7924268059</v>
      </c>
      <c r="I268" s="2">
        <v>79</v>
      </c>
      <c r="J268" s="3">
        <v>45653</v>
      </c>
      <c r="K268" s="3">
        <v>45653</v>
      </c>
      <c r="L268" s="6" t="s">
        <v>239</v>
      </c>
      <c r="M268" s="17">
        <v>45653</v>
      </c>
      <c r="N268" s="10"/>
    </row>
    <row r="269" spans="2:14" customFormat="1" x14ac:dyDescent="0.25">
      <c r="B269">
        <v>7905502059</v>
      </c>
      <c r="C269">
        <v>79</v>
      </c>
      <c r="D269" s="1">
        <v>45957</v>
      </c>
      <c r="E269" s="1">
        <v>46276</v>
      </c>
      <c r="F269" s="37" t="str">
        <f>VLOOKUP(revtar_ins_aecc_CELTINS[[#This Row],[CODIGO]],H:M,5,)</f>
        <v>ATUALIZAÇÃO</v>
      </c>
      <c r="H269" s="16">
        <v>7954559001</v>
      </c>
      <c r="I269" s="2">
        <v>79</v>
      </c>
      <c r="J269" s="3">
        <v>45655</v>
      </c>
      <c r="K269" s="3">
        <v>45655</v>
      </c>
      <c r="L269" s="6" t="s">
        <v>340</v>
      </c>
      <c r="M269" s="17">
        <v>45656</v>
      </c>
      <c r="N269" s="10" t="s">
        <v>303</v>
      </c>
    </row>
    <row r="270" spans="2:14" customFormat="1" x14ac:dyDescent="0.25">
      <c r="B270">
        <v>7930041122</v>
      </c>
      <c r="C270">
        <v>79</v>
      </c>
      <c r="D270" s="1">
        <v>45954</v>
      </c>
      <c r="E270" s="1">
        <v>46235</v>
      </c>
      <c r="F270" s="37" t="str">
        <f>VLOOKUP(revtar_ins_aecc_CELTINS[[#This Row],[CODIGO]],H:M,5,)</f>
        <v>ATUALIZAÇÃO</v>
      </c>
      <c r="H270" s="16">
        <v>7927820008</v>
      </c>
      <c r="I270" s="2">
        <v>79</v>
      </c>
      <c r="J270" s="3">
        <v>45653</v>
      </c>
      <c r="K270" s="3">
        <v>45653</v>
      </c>
      <c r="L270" s="6" t="s">
        <v>239</v>
      </c>
      <c r="M270" s="17">
        <v>45653</v>
      </c>
      <c r="N270" s="10"/>
    </row>
    <row r="271" spans="2:14" customFormat="1" x14ac:dyDescent="0.25">
      <c r="B271">
        <v>7900464004</v>
      </c>
      <c r="C271">
        <v>79</v>
      </c>
      <c r="D271" s="1">
        <v>45968</v>
      </c>
      <c r="E271" s="1">
        <v>46234</v>
      </c>
      <c r="F271" s="37" t="str">
        <f>VLOOKUP(revtar_ins_aecc_CELTINS[[#This Row],[CODIGO]],H:M,5,)</f>
        <v>ATUALIZAÇÃO</v>
      </c>
      <c r="H271" s="16">
        <v>7934079003</v>
      </c>
      <c r="I271" s="2">
        <v>79</v>
      </c>
      <c r="J271" s="3">
        <v>45669</v>
      </c>
      <c r="K271" s="3">
        <v>45669</v>
      </c>
      <c r="L271" s="6" t="s">
        <v>346</v>
      </c>
      <c r="M271" s="17">
        <v>45670</v>
      </c>
      <c r="N271" s="10" t="s">
        <v>303</v>
      </c>
    </row>
    <row r="272" spans="2:14" customFormat="1" x14ac:dyDescent="0.25">
      <c r="B272">
        <v>7907467059</v>
      </c>
      <c r="C272">
        <v>79</v>
      </c>
      <c r="D272" s="1">
        <v>45542</v>
      </c>
      <c r="E272" s="1">
        <v>46256</v>
      </c>
      <c r="F272" s="37" t="str">
        <f>VLOOKUP(revtar_ins_aecc_CELTINS[[#This Row],[CODIGO]],H:M,5,)</f>
        <v>já está em operação</v>
      </c>
      <c r="H272" s="16">
        <v>7956784003</v>
      </c>
      <c r="I272" s="2">
        <v>79</v>
      </c>
      <c r="J272" s="3">
        <v>45672</v>
      </c>
      <c r="K272" s="3">
        <v>45672</v>
      </c>
      <c r="L272" s="6" t="s">
        <v>349</v>
      </c>
      <c r="M272" s="17">
        <v>45673</v>
      </c>
      <c r="N272" s="10" t="s">
        <v>303</v>
      </c>
    </row>
    <row r="273" spans="2:15" x14ac:dyDescent="0.25">
      <c r="B273">
        <v>7900464004</v>
      </c>
      <c r="C273">
        <v>79</v>
      </c>
      <c r="D273" s="1">
        <v>45954</v>
      </c>
      <c r="E273" s="1">
        <v>46267</v>
      </c>
      <c r="F273" s="37" t="str">
        <f>VLOOKUP(revtar_ins_aecc_CELTINS[[#This Row],[CODIGO]],H:M,5,)</f>
        <v>ATUALIZAÇÃO</v>
      </c>
      <c r="H273" s="16">
        <v>7956777003</v>
      </c>
      <c r="I273" s="2">
        <v>79</v>
      </c>
      <c r="J273" s="3">
        <v>45672</v>
      </c>
      <c r="K273" s="3">
        <v>45672</v>
      </c>
      <c r="L273" s="6" t="s">
        <v>350</v>
      </c>
      <c r="M273" s="17">
        <v>45673</v>
      </c>
      <c r="N273" s="10" t="s">
        <v>303</v>
      </c>
      <c r="O273"/>
    </row>
    <row r="274" spans="2:15" x14ac:dyDescent="0.25">
      <c r="B274">
        <v>7931612059</v>
      </c>
      <c r="C274">
        <v>79</v>
      </c>
      <c r="D274" s="1">
        <v>45975</v>
      </c>
      <c r="E274" s="1">
        <v>46254</v>
      </c>
      <c r="F274" s="37" t="str">
        <f>VLOOKUP(revtar_ins_aecc_CELTINS[[#This Row],[CODIGO]],H:M,5,)</f>
        <v>ATUALIZAÇÃO</v>
      </c>
      <c r="H274" s="16">
        <v>7955761003</v>
      </c>
      <c r="I274" s="2">
        <v>79</v>
      </c>
      <c r="J274" s="3">
        <v>45672</v>
      </c>
      <c r="K274" s="3">
        <v>45672</v>
      </c>
      <c r="L274" s="6" t="s">
        <v>351</v>
      </c>
      <c r="M274" s="17">
        <v>45673</v>
      </c>
      <c r="N274" s="10" t="s">
        <v>303</v>
      </c>
      <c r="O274"/>
    </row>
    <row r="275" spans="2:15" x14ac:dyDescent="0.25">
      <c r="B275">
        <v>7941708059</v>
      </c>
      <c r="C275">
        <v>79</v>
      </c>
      <c r="D275" s="1">
        <v>45975</v>
      </c>
      <c r="E275" s="1">
        <v>46065</v>
      </c>
      <c r="F275" s="37" t="str">
        <f>VLOOKUP(revtar_ins_aecc_CELTINS[[#This Row],[CODIGO]],H:M,5,)</f>
        <v>ATUALIZAÇÃO</v>
      </c>
      <c r="H275" s="16">
        <v>7958217097</v>
      </c>
      <c r="I275" s="2">
        <v>79</v>
      </c>
      <c r="J275" s="3">
        <v>45589</v>
      </c>
      <c r="K275" s="3">
        <v>45694</v>
      </c>
      <c r="L275" s="6" t="s">
        <v>353</v>
      </c>
      <c r="M275" s="17">
        <v>45694</v>
      </c>
      <c r="N275" s="10" t="s">
        <v>303</v>
      </c>
      <c r="O275"/>
    </row>
    <row r="276" spans="2:15" x14ac:dyDescent="0.25">
      <c r="B276">
        <v>7941708059</v>
      </c>
      <c r="C276">
        <v>79</v>
      </c>
      <c r="D276" s="1">
        <v>45957</v>
      </c>
      <c r="E276" s="1">
        <v>46276</v>
      </c>
      <c r="F276" s="37" t="str">
        <f>VLOOKUP(revtar_ins_aecc_CELTINS[[#This Row],[CODIGO]],H:M,5,)</f>
        <v>ATUALIZAÇÃO</v>
      </c>
      <c r="H276" s="16">
        <v>7927751004</v>
      </c>
      <c r="I276" s="2">
        <v>79</v>
      </c>
      <c r="J276" s="3">
        <v>45702</v>
      </c>
      <c r="K276" s="3">
        <v>45702</v>
      </c>
      <c r="L276" s="6" t="s">
        <v>108</v>
      </c>
      <c r="M276" s="17">
        <v>45705</v>
      </c>
      <c r="N276" s="10"/>
      <c r="O276"/>
    </row>
    <row r="277" spans="2:15" x14ac:dyDescent="0.25">
      <c r="B277">
        <v>7931612059</v>
      </c>
      <c r="C277">
        <v>79</v>
      </c>
      <c r="D277" s="1">
        <v>46125</v>
      </c>
      <c r="E277" s="1">
        <v>46276</v>
      </c>
      <c r="F277" s="37" t="str">
        <f>VLOOKUP(revtar_ins_aecc_CELTINS[[#This Row],[CODIGO]],H:M,5,)</f>
        <v>ATUALIZAÇÃO</v>
      </c>
      <c r="H277" s="16">
        <v>7924850004</v>
      </c>
      <c r="I277" s="2">
        <v>79</v>
      </c>
      <c r="J277" s="3">
        <v>45706</v>
      </c>
      <c r="K277" s="3">
        <v>45706</v>
      </c>
      <c r="L277" s="6" t="s">
        <v>355</v>
      </c>
      <c r="M277" s="17">
        <v>45708</v>
      </c>
      <c r="N277" s="10" t="s">
        <v>303</v>
      </c>
      <c r="O277"/>
    </row>
    <row r="278" spans="2:15" x14ac:dyDescent="0.25">
      <c r="B278">
        <v>7934387004</v>
      </c>
      <c r="C278">
        <v>79</v>
      </c>
      <c r="D278" s="1">
        <v>45407</v>
      </c>
      <c r="E278" s="1">
        <v>46269</v>
      </c>
      <c r="F278" s="37" t="str">
        <f>VLOOKUP(revtar_ins_aecc_CELTINS[[#This Row],[CODIGO]],H:M,5,)</f>
        <v>ETO-TELE566/2019</v>
      </c>
      <c r="H278" s="16">
        <v>7902314013</v>
      </c>
      <c r="I278" s="2">
        <v>79</v>
      </c>
      <c r="J278" s="3">
        <v>45708</v>
      </c>
      <c r="K278" s="3">
        <v>45708</v>
      </c>
      <c r="L278" s="6" t="s">
        <v>354</v>
      </c>
      <c r="M278" s="17">
        <v>45708</v>
      </c>
      <c r="N278" s="10" t="s">
        <v>303</v>
      </c>
      <c r="O278" s="53"/>
    </row>
    <row r="279" spans="2:15" x14ac:dyDescent="0.25">
      <c r="B279">
        <v>7931629122</v>
      </c>
      <c r="C279">
        <v>79</v>
      </c>
      <c r="D279" s="1">
        <v>45747</v>
      </c>
      <c r="E279" s="1">
        <v>46276</v>
      </c>
      <c r="F279" s="37" t="str">
        <f>VLOOKUP(revtar_ins_aecc_CELTINS[[#This Row],[CODIGO]],H:M,5,)</f>
        <v>ajuste de rota</v>
      </c>
      <c r="H279" s="16">
        <v>7962016046</v>
      </c>
      <c r="I279" s="2">
        <v>79</v>
      </c>
      <c r="J279" s="3">
        <v>45716</v>
      </c>
      <c r="K279" s="3">
        <v>45716</v>
      </c>
      <c r="L279" s="6" t="s">
        <v>357</v>
      </c>
      <c r="M279" s="17">
        <v>45722</v>
      </c>
      <c r="N279" s="10" t="s">
        <v>303</v>
      </c>
    </row>
    <row r="280" spans="2:15" x14ac:dyDescent="0.25">
      <c r="B280">
        <v>7931601122</v>
      </c>
      <c r="C280">
        <v>79</v>
      </c>
      <c r="D280" s="1">
        <v>45747</v>
      </c>
      <c r="E280" s="1">
        <v>46276</v>
      </c>
      <c r="F280" s="37" t="str">
        <f>VLOOKUP(revtar_ins_aecc_CELTINS[[#This Row],[CODIGO]],H:M,5,)</f>
        <v>já está em operação</v>
      </c>
      <c r="H280" s="16">
        <v>7958549025</v>
      </c>
      <c r="I280" s="2">
        <v>79</v>
      </c>
      <c r="J280" s="3">
        <v>45715</v>
      </c>
      <c r="K280" s="3">
        <v>45715</v>
      </c>
      <c r="L280" s="6" t="s">
        <v>358</v>
      </c>
      <c r="M280" s="17">
        <v>45722</v>
      </c>
      <c r="N280" s="10" t="s">
        <v>303</v>
      </c>
    </row>
    <row r="281" spans="2:15" x14ac:dyDescent="0.25">
      <c r="B281">
        <v>7931611122</v>
      </c>
      <c r="C281">
        <v>79</v>
      </c>
      <c r="D281" s="1">
        <v>45983</v>
      </c>
      <c r="E281" s="1">
        <v>46275</v>
      </c>
      <c r="F281" s="37" t="str">
        <f>VLOOKUP(revtar_ins_aecc_CELTINS[[#This Row],[CODIGO]],H:M,5,)</f>
        <v>ATUALIZAÇÃO</v>
      </c>
      <c r="H281" s="16">
        <v>7958244094</v>
      </c>
      <c r="I281" s="2">
        <v>79</v>
      </c>
      <c r="J281" s="3">
        <v>45747</v>
      </c>
      <c r="K281" s="3">
        <v>45747</v>
      </c>
      <c r="L281" s="6" t="s">
        <v>239</v>
      </c>
      <c r="M281" s="17">
        <v>45748</v>
      </c>
      <c r="N281" s="10"/>
      <c r="O281"/>
    </row>
    <row r="282" spans="2:15" x14ac:dyDescent="0.25">
      <c r="B282">
        <v>7905366122</v>
      </c>
      <c r="C282">
        <v>79</v>
      </c>
      <c r="D282" s="1">
        <v>45982</v>
      </c>
      <c r="E282" s="1">
        <v>46274</v>
      </c>
      <c r="F282" s="37" t="str">
        <f>VLOOKUP(revtar_ins_aecc_CELTINS[[#This Row],[CODIGO]],H:M,5,)</f>
        <v>ATUALIZAÇÃO</v>
      </c>
      <c r="H282" s="16">
        <v>7900618193</v>
      </c>
      <c r="I282" s="2">
        <v>79</v>
      </c>
      <c r="J282" s="3">
        <v>45751</v>
      </c>
      <c r="K282" s="3">
        <v>45751</v>
      </c>
      <c r="L282" s="6" t="s">
        <v>241</v>
      </c>
      <c r="M282" s="17">
        <v>45754</v>
      </c>
      <c r="N282" s="10"/>
      <c r="O282"/>
    </row>
    <row r="283" spans="2:15" x14ac:dyDescent="0.25">
      <c r="B283">
        <v>7924268059</v>
      </c>
      <c r="C283">
        <v>79</v>
      </c>
      <c r="D283" s="1">
        <v>45821</v>
      </c>
      <c r="E283" s="1">
        <v>46267</v>
      </c>
      <c r="F283" s="37" t="str">
        <f>VLOOKUP(revtar_ins_aecc_CELTINS[[#This Row],[CODIGO]],H:M,5,)</f>
        <v>ajuste de rota</v>
      </c>
      <c r="G283" s="72"/>
      <c r="H283" s="16">
        <v>7961329003</v>
      </c>
      <c r="I283" s="2">
        <v>79</v>
      </c>
      <c r="J283" s="3">
        <v>45764</v>
      </c>
      <c r="K283" s="3">
        <v>45764</v>
      </c>
      <c r="L283" s="6" t="s">
        <v>384</v>
      </c>
      <c r="M283" s="17">
        <v>45769</v>
      </c>
      <c r="N283" s="10" t="s">
        <v>303</v>
      </c>
    </row>
    <row r="284" spans="2:15" x14ac:dyDescent="0.25">
      <c r="B284">
        <v>7924268059</v>
      </c>
      <c r="C284">
        <v>79</v>
      </c>
      <c r="D284" s="1">
        <v>45653</v>
      </c>
      <c r="E284" s="1">
        <v>45821</v>
      </c>
      <c r="F284" s="37" t="str">
        <f>VLOOKUP(revtar_ins_aecc_CELTINS[[#This Row],[CODIGO]],H:M,5,)</f>
        <v>ajuste de rota</v>
      </c>
      <c r="G284" s="72"/>
      <c r="H284">
        <v>7936332013</v>
      </c>
      <c r="I284" s="2">
        <v>79</v>
      </c>
      <c r="J284" s="3">
        <v>45770</v>
      </c>
      <c r="K284" s="3">
        <v>45770</v>
      </c>
      <c r="L284" s="6" t="s">
        <v>108</v>
      </c>
      <c r="M284" s="17">
        <v>45771</v>
      </c>
      <c r="N284" s="10"/>
      <c r="O284"/>
    </row>
    <row r="285" spans="2:15" x14ac:dyDescent="0.25">
      <c r="B285">
        <v>7925096042</v>
      </c>
      <c r="C285">
        <v>79</v>
      </c>
      <c r="D285" s="1">
        <v>45953</v>
      </c>
      <c r="E285" s="1">
        <v>46241</v>
      </c>
      <c r="F285" s="37" t="str">
        <f>VLOOKUP(revtar_ins_aecc_CELTINS[[#This Row],[CODIGO]],H:M,5,)</f>
        <v>já está em operação</v>
      </c>
      <c r="G285" s="72"/>
      <c r="H285" s="16">
        <v>7959800122</v>
      </c>
      <c r="I285" s="2">
        <v>79</v>
      </c>
      <c r="J285" s="3">
        <v>45778</v>
      </c>
      <c r="K285" s="3">
        <v>45778</v>
      </c>
      <c r="L285" s="6" t="s">
        <v>386</v>
      </c>
      <c r="M285" s="17">
        <v>45779</v>
      </c>
      <c r="N285" s="10" t="s">
        <v>303</v>
      </c>
    </row>
    <row r="286" spans="2:15" x14ac:dyDescent="0.25">
      <c r="B286">
        <v>7924623200</v>
      </c>
      <c r="C286">
        <v>79</v>
      </c>
      <c r="D286" s="1">
        <v>45953</v>
      </c>
      <c r="E286" s="1">
        <v>46247</v>
      </c>
      <c r="F286" s="37" t="str">
        <f>VLOOKUP(revtar_ins_aecc_CELTINS[[#This Row],[CODIGO]],H:M,5,)</f>
        <v>ATUALIZAÇÃO</v>
      </c>
      <c r="H286" s="16">
        <v>7962052017</v>
      </c>
      <c r="I286" s="2">
        <v>79</v>
      </c>
      <c r="J286" s="3">
        <v>45786</v>
      </c>
      <c r="K286" s="3">
        <v>45786</v>
      </c>
      <c r="L286" s="6" t="s">
        <v>387</v>
      </c>
      <c r="M286" s="17">
        <v>45789</v>
      </c>
      <c r="N286" s="10" t="s">
        <v>303</v>
      </c>
    </row>
    <row r="287" spans="2:15" x14ac:dyDescent="0.25">
      <c r="B287">
        <v>7925580059</v>
      </c>
      <c r="C287">
        <v>79</v>
      </c>
      <c r="D287" s="1">
        <v>45473</v>
      </c>
      <c r="E287" s="1">
        <v>46278</v>
      </c>
      <c r="F287" s="37" t="str">
        <f>VLOOKUP(revtar_ins_aecc_CELTINS[[#This Row],[CODIGO]],H:M,5,)</f>
        <v>alteração NA=&gt;NF</v>
      </c>
      <c r="H287" s="16">
        <v>7928553045</v>
      </c>
      <c r="I287" s="2">
        <v>79</v>
      </c>
      <c r="J287" s="3">
        <v>45799</v>
      </c>
      <c r="K287" s="3">
        <v>45799</v>
      </c>
      <c r="L287" s="6" t="s">
        <v>429</v>
      </c>
      <c r="M287" s="17">
        <v>45799</v>
      </c>
      <c r="N287" s="10" t="s">
        <v>303</v>
      </c>
    </row>
    <row r="288" spans="2:15" x14ac:dyDescent="0.25">
      <c r="B288">
        <v>7927138110</v>
      </c>
      <c r="C288">
        <v>79</v>
      </c>
      <c r="D288" s="1">
        <v>45958</v>
      </c>
      <c r="E288" s="1">
        <v>46272</v>
      </c>
      <c r="F288" s="37" t="str">
        <f>VLOOKUP(revtar_ins_aecc_CELTINS[[#This Row],[CODIGO]],H:M,5,)</f>
        <v>ATUALIZAÇÃO</v>
      </c>
      <c r="H288" s="16">
        <v>7955730003</v>
      </c>
      <c r="I288" s="2">
        <v>79</v>
      </c>
      <c r="J288" s="3">
        <v>45553</v>
      </c>
      <c r="K288" s="3">
        <v>45587</v>
      </c>
      <c r="L288" s="6" t="s">
        <v>430</v>
      </c>
      <c r="M288" s="17">
        <v>45806</v>
      </c>
      <c r="N288" s="10" t="s">
        <v>303</v>
      </c>
    </row>
    <row r="289" spans="2:15" x14ac:dyDescent="0.25">
      <c r="B289">
        <v>7900238054</v>
      </c>
      <c r="C289">
        <v>79</v>
      </c>
      <c r="D289" s="1">
        <v>45958</v>
      </c>
      <c r="E289" s="1">
        <v>46272</v>
      </c>
      <c r="F289" s="106" t="str">
        <f>VLOOKUP(revtar_ins_aecc_CELTINS[[#This Row],[CODIGO]],H:M,5,)</f>
        <v>ATUALIZAÇÃO</v>
      </c>
      <c r="H289" s="16">
        <v>7936038076</v>
      </c>
      <c r="I289" s="2">
        <v>79</v>
      </c>
      <c r="J289" s="3">
        <v>45807</v>
      </c>
      <c r="K289" s="3">
        <v>45807</v>
      </c>
      <c r="L289" s="6" t="s">
        <v>239</v>
      </c>
      <c r="M289" s="17">
        <v>45811</v>
      </c>
      <c r="N289" s="10"/>
      <c r="O289"/>
    </row>
    <row r="290" spans="2:15" x14ac:dyDescent="0.25">
      <c r="B290">
        <v>7900453110</v>
      </c>
      <c r="C290">
        <v>79</v>
      </c>
      <c r="D290" s="1">
        <v>45958</v>
      </c>
      <c r="E290" s="1">
        <v>46272</v>
      </c>
      <c r="F290" s="37" t="str">
        <f>VLOOKUP(revtar_ins_aecc_CELTINS[[#This Row],[CODIGO]],H:M,5,)</f>
        <v>ATUALIZAÇÃO</v>
      </c>
      <c r="H290" s="2">
        <v>7937521059</v>
      </c>
      <c r="I290" s="2">
        <v>79</v>
      </c>
      <c r="J290" s="3">
        <v>45807</v>
      </c>
      <c r="K290" s="3">
        <v>45811</v>
      </c>
      <c r="L290" s="6" t="s">
        <v>241</v>
      </c>
      <c r="M290" s="3">
        <v>45811</v>
      </c>
      <c r="N290" s="10"/>
      <c r="O290"/>
    </row>
    <row r="291" spans="2:15" x14ac:dyDescent="0.25">
      <c r="B291">
        <v>7900666071</v>
      </c>
      <c r="C291">
        <v>79</v>
      </c>
      <c r="D291" s="1">
        <v>45958</v>
      </c>
      <c r="E291" s="1">
        <v>46272</v>
      </c>
      <c r="F291" s="37" t="str">
        <f>VLOOKUP(revtar_ins_aecc_CELTINS[[#This Row],[CODIGO]],H:M,5,)</f>
        <v>ATUALIZAÇÃO</v>
      </c>
      <c r="H291" s="16">
        <v>7961515047</v>
      </c>
      <c r="I291" s="2">
        <v>79</v>
      </c>
      <c r="J291" s="3">
        <v>45833</v>
      </c>
      <c r="K291" s="3">
        <v>45833</v>
      </c>
      <c r="L291" s="6" t="s">
        <v>434</v>
      </c>
      <c r="M291" s="17">
        <v>45833</v>
      </c>
      <c r="N291" s="10" t="s">
        <v>303</v>
      </c>
    </row>
    <row r="292" spans="2:15" x14ac:dyDescent="0.25">
      <c r="B292">
        <v>7900280059</v>
      </c>
      <c r="C292">
        <v>79</v>
      </c>
      <c r="D292" s="1">
        <v>45957</v>
      </c>
      <c r="E292" s="1">
        <v>46276</v>
      </c>
      <c r="F292" s="37" t="str">
        <f>VLOOKUP(revtar_ins_aecc_CELTINS[[#This Row],[CODIGO]],H:M,5,)</f>
        <v>ATUALIZAÇÃO</v>
      </c>
      <c r="H292" s="16">
        <v>7960498009</v>
      </c>
      <c r="I292" s="2">
        <v>79</v>
      </c>
      <c r="J292" s="3">
        <v>45825</v>
      </c>
      <c r="K292" s="3">
        <v>45827</v>
      </c>
      <c r="L292" s="6" t="s">
        <v>435</v>
      </c>
      <c r="M292" s="17">
        <v>45833</v>
      </c>
      <c r="N292" s="10" t="s">
        <v>303</v>
      </c>
    </row>
    <row r="293" spans="2:15" x14ac:dyDescent="0.25">
      <c r="B293">
        <v>7907571122</v>
      </c>
      <c r="C293">
        <v>79</v>
      </c>
      <c r="D293" s="1">
        <v>45954</v>
      </c>
      <c r="E293" s="1">
        <v>46235</v>
      </c>
      <c r="F293" s="37" t="str">
        <f>VLOOKUP(revtar_ins_aecc_CELTINS[[#This Row],[CODIGO]],H:M,5,)</f>
        <v>ATUALIZAÇÃO</v>
      </c>
      <c r="H293" s="16">
        <v>7961301052</v>
      </c>
      <c r="I293" s="2">
        <v>79</v>
      </c>
      <c r="J293" s="3">
        <v>45833</v>
      </c>
      <c r="K293" s="3">
        <v>45833</v>
      </c>
      <c r="L293" s="6" t="s">
        <v>436</v>
      </c>
      <c r="M293" s="17">
        <v>45833</v>
      </c>
      <c r="N293" s="10" t="s">
        <v>303</v>
      </c>
    </row>
    <row r="294" spans="2:15" x14ac:dyDescent="0.25">
      <c r="B294">
        <v>7909599004</v>
      </c>
      <c r="C294">
        <v>79</v>
      </c>
      <c r="D294" s="1">
        <v>45504</v>
      </c>
      <c r="E294" s="1">
        <v>46234</v>
      </c>
      <c r="F294" s="37" t="str">
        <f>VLOOKUP(revtar_ins_aecc_CELTINS[[#This Row],[CODIGO]],H:M,5,)</f>
        <v>ETO-PROT198/2024</v>
      </c>
      <c r="H294" s="16">
        <v>7929777147</v>
      </c>
      <c r="I294" s="2">
        <v>79</v>
      </c>
      <c r="J294" s="3">
        <v>45826</v>
      </c>
      <c r="K294" s="3">
        <v>45833</v>
      </c>
      <c r="L294" s="6" t="s">
        <v>437</v>
      </c>
      <c r="M294" s="17">
        <v>45833</v>
      </c>
      <c r="N294" s="10" t="s">
        <v>303</v>
      </c>
    </row>
    <row r="295" spans="2:15" x14ac:dyDescent="0.25">
      <c r="B295">
        <v>7900280059</v>
      </c>
      <c r="C295">
        <v>79</v>
      </c>
      <c r="D295" s="1">
        <v>45975</v>
      </c>
      <c r="E295" s="1">
        <v>46256</v>
      </c>
      <c r="F295" s="37" t="str">
        <f>VLOOKUP(revtar_ins_aecc_CELTINS[[#This Row],[CODIGO]],H:M,5,)</f>
        <v>ATUALIZAÇÃO</v>
      </c>
      <c r="H295" s="16">
        <v>7961785122</v>
      </c>
      <c r="I295" s="2">
        <v>79</v>
      </c>
      <c r="J295" s="3">
        <v>45821</v>
      </c>
      <c r="K295" s="3">
        <v>45821</v>
      </c>
      <c r="L295" s="6" t="s">
        <v>438</v>
      </c>
      <c r="M295" s="17">
        <v>45835</v>
      </c>
      <c r="N295" s="10" t="s">
        <v>303</v>
      </c>
    </row>
    <row r="296" spans="2:15" x14ac:dyDescent="0.25">
      <c r="B296">
        <v>7900096059</v>
      </c>
      <c r="C296">
        <v>79</v>
      </c>
      <c r="D296" s="1">
        <v>45957</v>
      </c>
      <c r="E296" s="1">
        <v>46276</v>
      </c>
      <c r="F296" s="37" t="str">
        <f>VLOOKUP(revtar_ins_aecc_CELTINS[[#This Row],[CODIGO]],H:M,5,)</f>
        <v>ATUALIZAÇÃO</v>
      </c>
      <c r="H296" s="16">
        <v>7924915068</v>
      </c>
      <c r="I296" s="2">
        <v>79</v>
      </c>
      <c r="J296" s="3">
        <v>45836</v>
      </c>
      <c r="K296" s="3">
        <v>45840</v>
      </c>
      <c r="L296" s="6" t="s">
        <v>443</v>
      </c>
      <c r="M296" s="17">
        <v>45841</v>
      </c>
      <c r="N296" s="10" t="s">
        <v>303</v>
      </c>
    </row>
    <row r="297" spans="2:15" x14ac:dyDescent="0.25">
      <c r="B297">
        <v>7961993059</v>
      </c>
      <c r="C297">
        <v>79</v>
      </c>
      <c r="D297" s="1">
        <v>45957</v>
      </c>
      <c r="E297" s="1">
        <v>46276</v>
      </c>
      <c r="F297" s="37" t="str">
        <f>VLOOKUP(revtar_ins_aecc_CELTINS[[#This Row],[CODIGO]],H:M,5,)</f>
        <v>ETO-PROT332/2025</v>
      </c>
      <c r="H297" s="16">
        <v>7960870193</v>
      </c>
      <c r="I297" s="2">
        <v>79</v>
      </c>
      <c r="J297" s="3">
        <v>45842</v>
      </c>
      <c r="K297" s="3">
        <v>45842</v>
      </c>
      <c r="L297" s="6" t="s">
        <v>447</v>
      </c>
      <c r="M297" s="17">
        <v>45845</v>
      </c>
      <c r="N297" s="10" t="s">
        <v>303</v>
      </c>
    </row>
    <row r="298" spans="2:15" x14ac:dyDescent="0.25">
      <c r="B298">
        <v>7924622052</v>
      </c>
      <c r="C298">
        <v>79</v>
      </c>
      <c r="D298" s="1">
        <v>45967</v>
      </c>
      <c r="E298" s="1">
        <v>46234</v>
      </c>
      <c r="F298" s="37" t="str">
        <f>VLOOKUP(revtar_ins_aecc_CELTINS[[#This Row],[CODIGO]],H:M,5,)</f>
        <v>ATUALIZAÇÃO</v>
      </c>
      <c r="H298" s="16">
        <v>7961879122</v>
      </c>
      <c r="I298" s="2">
        <v>79</v>
      </c>
      <c r="J298" s="3">
        <v>45841</v>
      </c>
      <c r="K298" s="3">
        <v>45841</v>
      </c>
      <c r="L298" s="6" t="s">
        <v>448</v>
      </c>
      <c r="M298" s="17">
        <v>45845</v>
      </c>
      <c r="N298" s="10" t="s">
        <v>303</v>
      </c>
    </row>
    <row r="299" spans="2:15" x14ac:dyDescent="0.25">
      <c r="B299">
        <v>7907467059</v>
      </c>
      <c r="C299">
        <v>79</v>
      </c>
      <c r="D299" s="1">
        <v>45583</v>
      </c>
      <c r="E299" s="1">
        <v>46256</v>
      </c>
      <c r="F299" s="37" t="str">
        <f>VLOOKUP(revtar_ins_aecc_CELTINS[[#This Row],[CODIGO]],H:M,5,)</f>
        <v>já está em operação</v>
      </c>
      <c r="H299" s="16">
        <v>7924920068</v>
      </c>
      <c r="I299" s="2">
        <v>79</v>
      </c>
      <c r="J299" s="3">
        <v>45846</v>
      </c>
      <c r="K299" s="3">
        <v>45846</v>
      </c>
      <c r="L299" s="6" t="s">
        <v>449</v>
      </c>
      <c r="M299" s="17">
        <v>45846</v>
      </c>
      <c r="N299" s="10" t="s">
        <v>303</v>
      </c>
    </row>
    <row r="300" spans="2:15" x14ac:dyDescent="0.25">
      <c r="B300">
        <v>7934680004</v>
      </c>
      <c r="C300">
        <v>79</v>
      </c>
      <c r="D300" s="1">
        <v>45484</v>
      </c>
      <c r="E300" s="1">
        <v>46276</v>
      </c>
      <c r="F300" s="37" t="str">
        <f>VLOOKUP(revtar_ins_aecc_CELTINS[[#This Row],[CODIGO]],H:M,5,)</f>
        <v xml:space="preserve">alteração de chave fechada para aberta </v>
      </c>
      <c r="H300" s="16">
        <v>7960538048</v>
      </c>
      <c r="I300" s="2">
        <v>79</v>
      </c>
      <c r="J300" s="3">
        <v>45853</v>
      </c>
      <c r="K300" s="3">
        <v>45853</v>
      </c>
      <c r="L300" s="6" t="s">
        <v>451</v>
      </c>
      <c r="M300" s="17">
        <v>45855</v>
      </c>
      <c r="N300" s="10" t="s">
        <v>303</v>
      </c>
    </row>
    <row r="301" spans="2:15" x14ac:dyDescent="0.25">
      <c r="B301">
        <v>7933640003</v>
      </c>
      <c r="C301">
        <v>79</v>
      </c>
      <c r="D301" s="1">
        <v>45953</v>
      </c>
      <c r="E301" s="1">
        <v>46267</v>
      </c>
      <c r="F301" s="37" t="str">
        <f>VLOOKUP(revtar_ins_aecc_CELTINS[[#This Row],[CODIGO]],H:M,5,)</f>
        <v>ATUALIZAÇÃO</v>
      </c>
      <c r="H301" s="16">
        <v>7915030003</v>
      </c>
      <c r="I301" s="2">
        <v>79</v>
      </c>
      <c r="J301" s="3">
        <v>45861</v>
      </c>
      <c r="K301" s="3">
        <v>45863</v>
      </c>
      <c r="L301" s="6" t="s">
        <v>454</v>
      </c>
      <c r="M301" s="17">
        <v>45863</v>
      </c>
      <c r="N301" s="10"/>
      <c r="O301"/>
    </row>
    <row r="302" spans="2:15" x14ac:dyDescent="0.25">
      <c r="B302">
        <v>7930912039</v>
      </c>
      <c r="C302">
        <v>79</v>
      </c>
      <c r="D302" s="1">
        <v>45967</v>
      </c>
      <c r="E302" s="1">
        <v>46276</v>
      </c>
      <c r="F302" s="37" t="str">
        <f>VLOOKUP(revtar_ins_aecc_CELTINS[[#This Row],[CODIGO]],H:M,5,)</f>
        <v>ATUALIZAÇÃO</v>
      </c>
      <c r="H302" s="16">
        <v>7925096042</v>
      </c>
      <c r="I302" s="2">
        <v>79</v>
      </c>
      <c r="J302" s="3">
        <v>45859</v>
      </c>
      <c r="K302" s="3">
        <v>45861</v>
      </c>
      <c r="L302" s="6" t="s">
        <v>108</v>
      </c>
      <c r="M302" s="17">
        <v>45866</v>
      </c>
      <c r="N302" s="10"/>
      <c r="O302"/>
    </row>
    <row r="303" spans="2:15" x14ac:dyDescent="0.25">
      <c r="B303">
        <v>7930912039</v>
      </c>
      <c r="C303">
        <v>79</v>
      </c>
      <c r="D303" s="1">
        <v>45954</v>
      </c>
      <c r="E303" s="1">
        <v>46269</v>
      </c>
      <c r="F303" s="37" t="str">
        <f>VLOOKUP(revtar_ins_aecc_CELTINS[[#This Row],[CODIGO]],H:M,5,)</f>
        <v>ATUALIZAÇÃO</v>
      </c>
      <c r="H303" s="16">
        <v>7961368005</v>
      </c>
      <c r="I303" s="2">
        <v>79</v>
      </c>
      <c r="J303" s="3">
        <v>45864</v>
      </c>
      <c r="K303" s="3">
        <v>45865</v>
      </c>
      <c r="L303" s="6" t="s">
        <v>455</v>
      </c>
      <c r="M303" s="17">
        <v>45866</v>
      </c>
      <c r="N303" s="10" t="s">
        <v>303</v>
      </c>
    </row>
    <row r="304" spans="2:15" x14ac:dyDescent="0.25">
      <c r="B304">
        <v>7943541003</v>
      </c>
      <c r="C304">
        <v>79</v>
      </c>
      <c r="D304" s="1">
        <v>45953</v>
      </c>
      <c r="E304" s="1">
        <v>46267</v>
      </c>
      <c r="F304" s="37" t="str">
        <f>VLOOKUP(revtar_ins_aecc_CELTINS[[#This Row],[CODIGO]],H:M,5,)</f>
        <v>ATUALIZAÇÃO</v>
      </c>
      <c r="H304" s="16">
        <v>7961377005</v>
      </c>
      <c r="I304" s="2">
        <v>79</v>
      </c>
      <c r="J304" s="3">
        <v>45864</v>
      </c>
      <c r="K304" s="3">
        <v>45865</v>
      </c>
      <c r="L304" s="6" t="s">
        <v>456</v>
      </c>
      <c r="M304" s="17">
        <v>45866</v>
      </c>
      <c r="N304" s="10" t="s">
        <v>303</v>
      </c>
    </row>
    <row r="305" spans="2:14" customFormat="1" x14ac:dyDescent="0.25">
      <c r="B305">
        <v>7943541003</v>
      </c>
      <c r="C305">
        <v>79</v>
      </c>
      <c r="D305" s="1">
        <v>45967</v>
      </c>
      <c r="E305" s="1">
        <v>46267</v>
      </c>
      <c r="F305" s="37" t="str">
        <f>VLOOKUP(revtar_ins_aecc_CELTINS[[#This Row],[CODIGO]],H:M,5,)</f>
        <v>ATUALIZAÇÃO</v>
      </c>
      <c r="H305" s="16">
        <v>7923672004</v>
      </c>
      <c r="I305" s="2">
        <v>79</v>
      </c>
      <c r="J305" s="3">
        <v>45702</v>
      </c>
      <c r="K305" s="3">
        <v>45850</v>
      </c>
      <c r="L305" s="6" t="s">
        <v>108</v>
      </c>
      <c r="M305" s="17">
        <v>45869</v>
      </c>
      <c r="N305" s="10"/>
    </row>
    <row r="306" spans="2:14" x14ac:dyDescent="0.25">
      <c r="B306">
        <v>7934680004</v>
      </c>
      <c r="C306">
        <v>79</v>
      </c>
      <c r="D306" s="1">
        <v>45679</v>
      </c>
      <c r="E306" s="1">
        <v>46276</v>
      </c>
      <c r="F306" s="37" t="str">
        <f>VLOOKUP(revtar_ins_aecc_CELTINS[[#This Row],[CODIGO]],H:M,5,)</f>
        <v xml:space="preserve">alteração de chave fechada para aberta </v>
      </c>
      <c r="H306" s="16">
        <v>7924621097</v>
      </c>
      <c r="I306" s="2">
        <v>79</v>
      </c>
      <c r="J306" s="3">
        <v>45894</v>
      </c>
      <c r="K306" s="3">
        <v>45894</v>
      </c>
      <c r="L306" s="6" t="s">
        <v>470</v>
      </c>
      <c r="M306" s="17">
        <v>45895</v>
      </c>
    </row>
    <row r="307" spans="2:14" x14ac:dyDescent="0.25">
      <c r="B307">
        <v>7927795004</v>
      </c>
      <c r="C307">
        <v>79</v>
      </c>
      <c r="D307" s="1">
        <v>45483</v>
      </c>
      <c r="E307" s="1">
        <v>45539</v>
      </c>
      <c r="F307" s="37" t="str">
        <f>VLOOKUP(revtar_ins_aecc_CELTINS[[#This Row],[CODIGO]],H:M,5,)</f>
        <v>laudo com o fiscal Rogerio Teodoro - obra 0602200615</v>
      </c>
      <c r="H307" s="16">
        <v>7950408097</v>
      </c>
      <c r="I307" s="2">
        <v>79</v>
      </c>
      <c r="J307" s="3">
        <v>45894</v>
      </c>
      <c r="K307" s="3">
        <v>45894</v>
      </c>
      <c r="L307" s="6" t="s">
        <v>470</v>
      </c>
      <c r="M307" s="17">
        <v>45895</v>
      </c>
    </row>
    <row r="308" spans="2:14" x14ac:dyDescent="0.25">
      <c r="B308">
        <v>7903572004</v>
      </c>
      <c r="C308">
        <v>79</v>
      </c>
      <c r="D308" s="1">
        <v>45968</v>
      </c>
      <c r="E308" s="1">
        <v>46241</v>
      </c>
      <c r="F308" s="37" t="str">
        <f>VLOOKUP(revtar_ins_aecc_CELTINS[[#This Row],[CODIGO]],H:M,5,)</f>
        <v>ATUALIZAÇÃO</v>
      </c>
      <c r="H308" s="16">
        <v>7956772003</v>
      </c>
      <c r="I308" s="2">
        <v>79</v>
      </c>
      <c r="J308" s="3">
        <v>45898</v>
      </c>
      <c r="K308" s="3">
        <v>45898</v>
      </c>
      <c r="L308" s="6" t="s">
        <v>472</v>
      </c>
      <c r="M308" s="17">
        <v>45901</v>
      </c>
    </row>
    <row r="309" spans="2:14" x14ac:dyDescent="0.25">
      <c r="B309">
        <v>7927795004</v>
      </c>
      <c r="C309">
        <v>79</v>
      </c>
      <c r="D309" s="1">
        <v>45539</v>
      </c>
      <c r="E309" s="1">
        <v>46276</v>
      </c>
      <c r="F309" s="37" t="str">
        <f>VLOOKUP(revtar_ins_aecc_CELTINS[[#This Row],[CODIGO]],H:M,5,)</f>
        <v>laudo com o fiscal Rogerio Teodoro - obra 0602200615</v>
      </c>
      <c r="H309" s="16">
        <v>7925873193</v>
      </c>
      <c r="I309" s="2">
        <v>79</v>
      </c>
      <c r="J309" s="3">
        <v>45897</v>
      </c>
      <c r="K309" s="3">
        <v>45898</v>
      </c>
      <c r="L309" s="6" t="s">
        <v>473</v>
      </c>
      <c r="M309" s="17">
        <v>45901</v>
      </c>
    </row>
    <row r="310" spans="2:14" x14ac:dyDescent="0.25">
      <c r="B310">
        <v>7932045003</v>
      </c>
      <c r="C310">
        <v>79</v>
      </c>
      <c r="D310" s="1">
        <v>45953</v>
      </c>
      <c r="E310" s="1">
        <v>46267</v>
      </c>
      <c r="F310" s="37" t="str">
        <f>VLOOKUP(revtar_ins_aecc_CELTINS[[#This Row],[CODIGO]],H:M,5,)</f>
        <v>ATUALIZAÇÃO</v>
      </c>
      <c r="H310" s="16">
        <v>7951276130</v>
      </c>
      <c r="I310" s="2">
        <v>79</v>
      </c>
      <c r="J310" s="3">
        <v>45476</v>
      </c>
      <c r="K310" s="3">
        <v>45903</v>
      </c>
      <c r="L310" s="6" t="s">
        <v>474</v>
      </c>
      <c r="M310" s="17">
        <v>45903</v>
      </c>
    </row>
    <row r="311" spans="2:14" x14ac:dyDescent="0.25">
      <c r="B311">
        <v>7900328003</v>
      </c>
      <c r="C311">
        <v>79</v>
      </c>
      <c r="D311" s="1">
        <v>45967</v>
      </c>
      <c r="E311" s="1">
        <v>46267</v>
      </c>
      <c r="F311" s="37" t="str">
        <f>VLOOKUP(revtar_ins_aecc_CELTINS[[#This Row],[CODIGO]],H:M,5,)</f>
        <v>ATUALIZAÇÃO</v>
      </c>
      <c r="H311" s="16">
        <v>7901216032</v>
      </c>
      <c r="I311" s="2">
        <v>79</v>
      </c>
      <c r="J311" s="3">
        <v>45902</v>
      </c>
      <c r="K311" s="3">
        <v>45903</v>
      </c>
      <c r="L311" s="6" t="s">
        <v>475</v>
      </c>
      <c r="M311" s="17">
        <v>45903</v>
      </c>
    </row>
    <row r="312" spans="2:14" x14ac:dyDescent="0.25">
      <c r="B312">
        <v>7924850004</v>
      </c>
      <c r="C312">
        <v>79</v>
      </c>
      <c r="D312" s="1">
        <v>45706</v>
      </c>
      <c r="E312" s="1">
        <v>46277</v>
      </c>
      <c r="F312" s="37" t="str">
        <f>VLOOKUP(revtar_ins_aecc_CELTINS[[#This Row],[CODIGO]],H:M,5,)</f>
        <v>ETO-PROT79/2025</v>
      </c>
      <c r="H312" s="16">
        <v>7963618032</v>
      </c>
      <c r="I312" s="2">
        <v>79</v>
      </c>
      <c r="J312" s="3">
        <v>45902</v>
      </c>
      <c r="K312" s="3">
        <v>45903</v>
      </c>
      <c r="L312" s="6" t="s">
        <v>476</v>
      </c>
      <c r="M312" s="17">
        <v>45903</v>
      </c>
    </row>
    <row r="313" spans="2:14" x14ac:dyDescent="0.25">
      <c r="B313">
        <v>7924915068</v>
      </c>
      <c r="C313">
        <v>79</v>
      </c>
      <c r="D313" s="1">
        <v>45836</v>
      </c>
      <c r="E313" s="1">
        <v>46274</v>
      </c>
      <c r="F313" s="37" t="str">
        <f>VLOOKUP(revtar_ins_aecc_CELTINS[[#This Row],[CODIGO]],H:M,5,)</f>
        <v>ETO-PROT214/2025</v>
      </c>
      <c r="H313" s="16">
        <v>7959680004</v>
      </c>
      <c r="I313" s="2">
        <v>79</v>
      </c>
      <c r="J313" s="3">
        <v>45902</v>
      </c>
      <c r="K313" s="3">
        <v>45903</v>
      </c>
      <c r="L313" s="6" t="s">
        <v>477</v>
      </c>
      <c r="M313" s="17">
        <v>45904</v>
      </c>
    </row>
    <row r="314" spans="2:14" x14ac:dyDescent="0.25">
      <c r="B314">
        <v>7928457040</v>
      </c>
      <c r="C314">
        <v>79</v>
      </c>
      <c r="D314" s="1">
        <v>45973</v>
      </c>
      <c r="E314" s="1">
        <v>46260</v>
      </c>
      <c r="F314" s="37" t="str">
        <f>VLOOKUP(revtar_ins_aecc_CELTINS[[#This Row],[CODIGO]],H:M,5,)</f>
        <v>ATUALIZAÇÃO</v>
      </c>
      <c r="H314" s="16">
        <v>7960973004</v>
      </c>
      <c r="I314" s="2">
        <v>79</v>
      </c>
      <c r="J314" s="3">
        <v>45904</v>
      </c>
      <c r="K314" s="3">
        <v>45904</v>
      </c>
      <c r="L314" s="6" t="s">
        <v>478</v>
      </c>
      <c r="M314" s="17">
        <v>45905</v>
      </c>
    </row>
    <row r="315" spans="2:14" x14ac:dyDescent="0.25">
      <c r="B315">
        <v>7929376022</v>
      </c>
      <c r="C315">
        <v>79</v>
      </c>
      <c r="D315" s="1">
        <v>45967</v>
      </c>
      <c r="E315" s="1">
        <v>46277</v>
      </c>
      <c r="F315" s="37" t="str">
        <f>VLOOKUP(revtar_ins_aecc_CELTINS[[#This Row],[CODIGO]],H:M,5,)</f>
        <v>ATUALIZAÇÃO</v>
      </c>
      <c r="H315" s="16">
        <v>7933992003</v>
      </c>
      <c r="I315" s="2">
        <v>79</v>
      </c>
      <c r="J315" s="3">
        <v>45904</v>
      </c>
      <c r="K315" s="3">
        <v>45904</v>
      </c>
      <c r="L315" s="6" t="s">
        <v>108</v>
      </c>
      <c r="M315" s="17">
        <v>45905</v>
      </c>
    </row>
    <row r="316" spans="2:14" x14ac:dyDescent="0.25">
      <c r="B316">
        <v>7928457040</v>
      </c>
      <c r="C316">
        <v>79</v>
      </c>
      <c r="D316" s="1">
        <v>45954</v>
      </c>
      <c r="E316" s="1">
        <v>46276</v>
      </c>
      <c r="F316" s="37" t="str">
        <f>VLOOKUP(revtar_ins_aecc_CELTINS[[#This Row],[CODIGO]],H:M,5,)</f>
        <v>ATUALIZAÇÃO</v>
      </c>
      <c r="H316" s="16">
        <v>7960701094</v>
      </c>
      <c r="I316" s="2">
        <v>79</v>
      </c>
      <c r="J316" s="3">
        <v>45917</v>
      </c>
      <c r="K316" s="3">
        <v>45917</v>
      </c>
      <c r="L316" s="6" t="s">
        <v>482</v>
      </c>
      <c r="M316" s="17">
        <v>45919</v>
      </c>
    </row>
    <row r="317" spans="2:14" x14ac:dyDescent="0.25">
      <c r="B317">
        <v>7900328003</v>
      </c>
      <c r="C317">
        <v>79</v>
      </c>
      <c r="D317" s="1">
        <v>45953</v>
      </c>
      <c r="E317" s="1">
        <v>46267</v>
      </c>
      <c r="F317" s="37" t="str">
        <f>VLOOKUP(revtar_ins_aecc_CELTINS[[#This Row],[CODIGO]],H:M,5,)</f>
        <v>ATUALIZAÇÃO</v>
      </c>
      <c r="H317" s="16">
        <v>7923664004</v>
      </c>
      <c r="I317" s="2">
        <v>79</v>
      </c>
      <c r="J317" s="3">
        <v>45918</v>
      </c>
      <c r="K317" s="3">
        <v>45923</v>
      </c>
      <c r="L317" s="6" t="s">
        <v>483</v>
      </c>
      <c r="M317" s="17">
        <v>45923</v>
      </c>
    </row>
    <row r="318" spans="2:14" x14ac:dyDescent="0.25">
      <c r="B318">
        <v>7900011039</v>
      </c>
      <c r="C318">
        <v>79</v>
      </c>
      <c r="D318" s="1">
        <v>45633</v>
      </c>
      <c r="E318" s="1">
        <v>46274</v>
      </c>
      <c r="F318" s="37" t="str">
        <f>VLOOKUP(revtar_ins_aecc_CELTINS[[#This Row],[CODIGO]],H:M,5,)</f>
        <v>já está em operação</v>
      </c>
      <c r="H318" s="16">
        <v>7963713004</v>
      </c>
      <c r="I318" s="2">
        <v>79</v>
      </c>
      <c r="J318" s="3">
        <v>45922</v>
      </c>
      <c r="K318" s="3">
        <v>45923</v>
      </c>
      <c r="L318" s="6" t="s">
        <v>484</v>
      </c>
      <c r="M318" s="17">
        <v>45923</v>
      </c>
    </row>
    <row r="319" spans="2:14" x14ac:dyDescent="0.25">
      <c r="B319">
        <v>7943790134</v>
      </c>
      <c r="C319">
        <v>79</v>
      </c>
      <c r="D319" s="1">
        <v>45440</v>
      </c>
      <c r="E319" s="1">
        <v>46274</v>
      </c>
      <c r="F319" s="37" t="str">
        <f>VLOOKUP(revtar_ins_aecc_CELTINS[[#This Row],[CODIGO]],H:M,5,)</f>
        <v>AJUSTE MONITOR DE INTERFACE</v>
      </c>
      <c r="H319" s="16">
        <v>7959698004</v>
      </c>
      <c r="I319" s="2">
        <v>79</v>
      </c>
      <c r="J319" s="3">
        <v>45922</v>
      </c>
      <c r="K319" s="3">
        <v>45923</v>
      </c>
      <c r="L319" s="6" t="s">
        <v>485</v>
      </c>
      <c r="M319" s="17">
        <v>45923</v>
      </c>
    </row>
    <row r="320" spans="2:14" x14ac:dyDescent="0.25">
      <c r="B320">
        <v>7924850004</v>
      </c>
      <c r="C320">
        <v>79</v>
      </c>
      <c r="D320" s="1">
        <v>45968</v>
      </c>
      <c r="E320" s="1">
        <v>46276</v>
      </c>
      <c r="F320" s="37" t="str">
        <f>VLOOKUP(revtar_ins_aecc_CELTINS[[#This Row],[CODIGO]],H:M,5,)</f>
        <v>ETO-PROT79/2025</v>
      </c>
      <c r="H320" s="16">
        <v>7965092045</v>
      </c>
      <c r="I320" s="2">
        <v>79</v>
      </c>
      <c r="J320" s="3">
        <v>45926</v>
      </c>
      <c r="K320" s="3">
        <v>45926</v>
      </c>
      <c r="L320" s="6" t="s">
        <v>486</v>
      </c>
      <c r="M320" s="17">
        <v>45929</v>
      </c>
    </row>
    <row r="321" spans="2:13" x14ac:dyDescent="0.25">
      <c r="B321">
        <v>7924850004</v>
      </c>
      <c r="C321">
        <v>79</v>
      </c>
      <c r="D321" s="1">
        <v>45850</v>
      </c>
      <c r="E321" s="1">
        <v>46277</v>
      </c>
      <c r="F321" s="37" t="str">
        <f>VLOOKUP(revtar_ins_aecc_CELTINS[[#This Row],[CODIGO]],H:M,5,)</f>
        <v>ETO-PROT79/2025</v>
      </c>
      <c r="H321" s="16">
        <v>7963704004</v>
      </c>
      <c r="I321" s="2">
        <v>79</v>
      </c>
      <c r="J321" s="3">
        <v>45925</v>
      </c>
      <c r="K321" s="3">
        <v>45925</v>
      </c>
      <c r="L321" s="6" t="s">
        <v>487</v>
      </c>
      <c r="M321" s="17">
        <v>45929</v>
      </c>
    </row>
    <row r="322" spans="2:13" x14ac:dyDescent="0.25">
      <c r="B322">
        <v>7900001071</v>
      </c>
      <c r="C322">
        <v>79</v>
      </c>
      <c r="D322" s="1">
        <v>45370</v>
      </c>
      <c r="E322" s="1">
        <v>46267</v>
      </c>
      <c r="F322" s="37" t="str">
        <f>VLOOKUP(revtar_ins_aecc_CELTINS[[#This Row],[CODIGO]],H:M,5,)</f>
        <v>BDGD</v>
      </c>
      <c r="H322" s="16">
        <v>7960787037</v>
      </c>
      <c r="I322" s="2">
        <v>79</v>
      </c>
      <c r="J322" s="3">
        <v>45926</v>
      </c>
      <c r="K322" s="3">
        <v>45933</v>
      </c>
      <c r="L322" s="6" t="s">
        <v>488</v>
      </c>
      <c r="M322" s="17">
        <v>45933</v>
      </c>
    </row>
    <row r="323" spans="2:13" x14ac:dyDescent="0.25">
      <c r="B323">
        <v>7956003081</v>
      </c>
      <c r="C323">
        <v>79</v>
      </c>
      <c r="D323" s="1">
        <v>45575</v>
      </c>
      <c r="E323" s="1">
        <v>46276</v>
      </c>
      <c r="F323" s="37" t="str">
        <f>VLOOKUP(revtar_ins_aecc_CELTINS[[#This Row],[CODIGO]],H:M,5,)</f>
        <v>ETO-PROT339/2024</v>
      </c>
      <c r="H323" s="16">
        <v>7964644046</v>
      </c>
      <c r="I323" s="2">
        <v>79</v>
      </c>
      <c r="J323" s="3">
        <v>45926</v>
      </c>
      <c r="K323" s="3">
        <v>45926</v>
      </c>
      <c r="L323" s="6" t="s">
        <v>489</v>
      </c>
      <c r="M323" s="17">
        <v>45933</v>
      </c>
    </row>
    <row r="324" spans="2:13" x14ac:dyDescent="0.25">
      <c r="B324">
        <v>7940868065</v>
      </c>
      <c r="C324">
        <v>79</v>
      </c>
      <c r="D324" s="1">
        <v>45475</v>
      </c>
      <c r="E324" s="1">
        <v>46276</v>
      </c>
      <c r="F324" s="37" t="str">
        <f>VLOOKUP(revtar_ins_aecc_CELTINS[[#This Row],[CODIGO]],H:M,5,)</f>
        <v>ETO-PROT175/2024</v>
      </c>
      <c r="H324" s="16">
        <v>7960800037</v>
      </c>
      <c r="I324" s="2">
        <v>79</v>
      </c>
      <c r="J324" s="3">
        <v>45931</v>
      </c>
      <c r="K324" s="3">
        <v>45933</v>
      </c>
      <c r="L324" s="6" t="s">
        <v>490</v>
      </c>
      <c r="M324" s="17">
        <v>45933</v>
      </c>
    </row>
    <row r="325" spans="2:13" x14ac:dyDescent="0.25">
      <c r="B325">
        <v>7935588122</v>
      </c>
      <c r="C325">
        <v>79</v>
      </c>
      <c r="D325" s="1">
        <v>45401</v>
      </c>
      <c r="E325" s="1">
        <v>46277</v>
      </c>
      <c r="F325" s="37" t="str">
        <f>VLOOKUP(revtar_ins_aecc_CELTINS[[#This Row],[CODIGO]],H:M,5,)</f>
        <v>AJUSTE MONITOR DE INTERFACE</v>
      </c>
      <c r="H325" s="16">
        <v>7960798037</v>
      </c>
      <c r="I325" s="2">
        <v>79</v>
      </c>
      <c r="J325" s="3">
        <v>45931</v>
      </c>
      <c r="K325" s="3">
        <v>45933</v>
      </c>
      <c r="L325" s="6" t="s">
        <v>491</v>
      </c>
      <c r="M325" s="17">
        <v>45933</v>
      </c>
    </row>
    <row r="326" spans="2:13" x14ac:dyDescent="0.25">
      <c r="B326">
        <v>7929374004</v>
      </c>
      <c r="C326">
        <v>79</v>
      </c>
      <c r="D326" s="1">
        <v>45968</v>
      </c>
      <c r="E326" s="1">
        <v>46234</v>
      </c>
      <c r="F326" s="37" t="str">
        <f>VLOOKUP(revtar_ins_aecc_CELTINS[[#This Row],[CODIGO]],H:M,5,)</f>
        <v>ATUALIZAÇÃO</v>
      </c>
      <c r="H326" s="16">
        <v>7960797042</v>
      </c>
      <c r="I326" s="2">
        <v>79</v>
      </c>
      <c r="J326" s="3">
        <v>45933</v>
      </c>
      <c r="K326" s="3">
        <v>45933</v>
      </c>
      <c r="L326" s="6" t="s">
        <v>493</v>
      </c>
      <c r="M326" s="17">
        <v>45939</v>
      </c>
    </row>
    <row r="327" spans="2:13" x14ac:dyDescent="0.25">
      <c r="B327">
        <v>7932030072</v>
      </c>
      <c r="C327">
        <v>79</v>
      </c>
      <c r="D327" s="1">
        <v>45953</v>
      </c>
      <c r="E327" s="1">
        <v>46261</v>
      </c>
      <c r="F327" s="37" t="str">
        <f>VLOOKUP(revtar_ins_aecc_CELTINS[[#This Row],[CODIGO]],H:M,5,)</f>
        <v>ATUALIZAÇÃO</v>
      </c>
      <c r="H327" s="16">
        <v>7963715004</v>
      </c>
      <c r="I327" s="2">
        <v>79</v>
      </c>
      <c r="J327" s="3">
        <v>45918</v>
      </c>
      <c r="K327" s="3">
        <v>45933</v>
      </c>
      <c r="L327" s="6" t="s">
        <v>494</v>
      </c>
      <c r="M327" s="17">
        <v>45939</v>
      </c>
    </row>
    <row r="328" spans="2:13" x14ac:dyDescent="0.25">
      <c r="B328">
        <v>7909599004</v>
      </c>
      <c r="C328">
        <v>79</v>
      </c>
      <c r="D328" s="1">
        <v>45609</v>
      </c>
      <c r="E328" s="1">
        <v>46234</v>
      </c>
      <c r="F328" s="37" t="str">
        <f>VLOOKUP(revtar_ins_aecc_CELTINS[[#This Row],[CODIGO]],H:M,5,)</f>
        <v>ETO-PROT198/2024</v>
      </c>
      <c r="H328" s="16">
        <v>7960781003</v>
      </c>
      <c r="I328" s="2">
        <v>79</v>
      </c>
      <c r="J328" s="3">
        <v>45926</v>
      </c>
      <c r="K328" s="3">
        <v>45931</v>
      </c>
      <c r="L328" s="6" t="s">
        <v>495</v>
      </c>
      <c r="M328" s="17">
        <v>45939</v>
      </c>
    </row>
    <row r="329" spans="2:13" x14ac:dyDescent="0.25">
      <c r="B329">
        <v>7931104059</v>
      </c>
      <c r="C329">
        <v>79</v>
      </c>
      <c r="D329" s="1">
        <v>45956</v>
      </c>
      <c r="E329" s="1">
        <v>46249</v>
      </c>
      <c r="F329" s="37" t="str">
        <f>VLOOKUP(revtar_ins_aecc_CELTINS[[#This Row],[CODIGO]],H:M,5,)</f>
        <v>ATUALIZAÇÃO</v>
      </c>
      <c r="H329" s="16">
        <v>7961041073</v>
      </c>
      <c r="I329" s="2">
        <v>79</v>
      </c>
      <c r="J329" s="3">
        <v>45933</v>
      </c>
      <c r="K329" s="3">
        <v>45933</v>
      </c>
      <c r="L329" s="6" t="s">
        <v>496</v>
      </c>
      <c r="M329" s="17">
        <v>45939</v>
      </c>
    </row>
    <row r="330" spans="2:13" x14ac:dyDescent="0.25">
      <c r="B330">
        <v>7900552010</v>
      </c>
      <c r="C330">
        <v>79</v>
      </c>
      <c r="D330" s="1">
        <v>45955</v>
      </c>
      <c r="E330" s="1">
        <v>46277</v>
      </c>
      <c r="F330" s="37" t="str">
        <f>VLOOKUP(revtar_ins_aecc_CELTINS[[#This Row],[CODIGO]],H:M,5,)</f>
        <v>ATUALIZAÇÃO</v>
      </c>
      <c r="H330" s="16">
        <v>7961325003</v>
      </c>
      <c r="I330" s="2">
        <v>79</v>
      </c>
      <c r="J330" s="3">
        <v>45938</v>
      </c>
      <c r="K330" s="3">
        <v>45938</v>
      </c>
      <c r="L330" s="6" t="s">
        <v>497</v>
      </c>
      <c r="M330" s="17">
        <v>45939</v>
      </c>
    </row>
    <row r="331" spans="2:13" x14ac:dyDescent="0.25">
      <c r="B331">
        <v>7963704004</v>
      </c>
      <c r="C331">
        <v>79</v>
      </c>
      <c r="D331" s="1">
        <v>45925</v>
      </c>
      <c r="E331" s="1">
        <v>46267</v>
      </c>
      <c r="F331" s="37" t="str">
        <f>VLOOKUP(revtar_ins_aecc_CELTINS[[#This Row],[CODIGO]],H:M,5,)</f>
        <v>ETO-PROT285/2025</v>
      </c>
      <c r="H331" s="16">
        <v>7964816091</v>
      </c>
      <c r="I331" s="2">
        <v>79</v>
      </c>
      <c r="J331" s="3">
        <v>45939</v>
      </c>
      <c r="K331" s="3">
        <v>45939</v>
      </c>
      <c r="L331" s="6" t="s">
        <v>499</v>
      </c>
      <c r="M331" s="17">
        <v>45945</v>
      </c>
    </row>
    <row r="332" spans="2:13" x14ac:dyDescent="0.25">
      <c r="B332">
        <v>7931104059</v>
      </c>
      <c r="C332">
        <v>79</v>
      </c>
      <c r="D332" s="1">
        <v>45975</v>
      </c>
      <c r="E332" s="1">
        <v>46276</v>
      </c>
      <c r="F332" s="37" t="str">
        <f>VLOOKUP(revtar_ins_aecc_CELTINS[[#This Row],[CODIGO]],H:M,5,)</f>
        <v>ATUALIZAÇÃO</v>
      </c>
      <c r="H332" s="16">
        <v>7956702007</v>
      </c>
      <c r="I332" s="2">
        <v>79</v>
      </c>
      <c r="J332" s="3">
        <v>45939</v>
      </c>
      <c r="K332" s="3">
        <v>45941</v>
      </c>
      <c r="L332" s="6" t="s">
        <v>500</v>
      </c>
      <c r="M332" s="17">
        <v>45945</v>
      </c>
    </row>
    <row r="333" spans="2:13" x14ac:dyDescent="0.25">
      <c r="B333">
        <v>7924620042</v>
      </c>
      <c r="C333">
        <v>79</v>
      </c>
      <c r="D333" s="1">
        <v>45967</v>
      </c>
      <c r="E333" s="1">
        <v>46234</v>
      </c>
      <c r="F333" s="37" t="str">
        <f>VLOOKUP(revtar_ins_aecc_CELTINS[[#This Row],[CODIGO]],H:M,5,)</f>
        <v xml:space="preserve">CASO QUE SUMIU RL DA BASE, E FOI ABERTO RECONFIGURAÇÃO DE REDE PARA AJUSTES. </v>
      </c>
      <c r="H333" s="16">
        <v>7964802072</v>
      </c>
      <c r="I333" s="2">
        <v>79</v>
      </c>
      <c r="J333" s="3">
        <v>45939</v>
      </c>
      <c r="K333" s="3">
        <v>45939</v>
      </c>
      <c r="L333" s="6" t="s">
        <v>501</v>
      </c>
      <c r="M333" s="17">
        <v>45945</v>
      </c>
    </row>
    <row r="334" spans="2:13" x14ac:dyDescent="0.25">
      <c r="B334">
        <v>7901279052</v>
      </c>
      <c r="C334">
        <v>79</v>
      </c>
      <c r="D334" s="1">
        <v>45965</v>
      </c>
      <c r="E334" s="1">
        <v>46263</v>
      </c>
      <c r="F334" s="37" t="str">
        <f>VLOOKUP(revtar_ins_aecc_CELTINS[[#This Row],[CODIGO]],H:M,5,)</f>
        <v>ETO-PROT339/2025</v>
      </c>
      <c r="H334" s="16">
        <v>7960714107</v>
      </c>
      <c r="I334" s="2">
        <v>79</v>
      </c>
      <c r="J334" s="3">
        <v>45933</v>
      </c>
      <c r="K334" s="3">
        <v>45933</v>
      </c>
      <c r="L334" s="6" t="s">
        <v>502</v>
      </c>
      <c r="M334" s="17">
        <v>45945</v>
      </c>
    </row>
    <row r="335" spans="2:13" x14ac:dyDescent="0.25">
      <c r="B335">
        <v>7931609122</v>
      </c>
      <c r="C335">
        <v>79</v>
      </c>
      <c r="D335" s="1">
        <v>45582</v>
      </c>
      <c r="E335" s="1">
        <v>46277</v>
      </c>
      <c r="F335" s="37" t="str">
        <f>VLOOKUP(revtar_ins_aecc_CELTINS[[#This Row],[CODIGO]],H:M,5,)</f>
        <v>ajuste de rota</v>
      </c>
      <c r="H335" s="16">
        <v>7962861003</v>
      </c>
      <c r="I335" s="2">
        <v>79</v>
      </c>
      <c r="J335" s="3">
        <v>45941</v>
      </c>
      <c r="K335" s="3">
        <v>45941</v>
      </c>
      <c r="L335" s="6" t="s">
        <v>503</v>
      </c>
      <c r="M335" s="17">
        <v>45945</v>
      </c>
    </row>
    <row r="336" spans="2:13" x14ac:dyDescent="0.25">
      <c r="B336">
        <v>7900096059</v>
      </c>
      <c r="C336">
        <v>79</v>
      </c>
      <c r="D336" s="1">
        <v>45975</v>
      </c>
      <c r="E336" s="1">
        <v>46267</v>
      </c>
      <c r="F336" s="37" t="str">
        <f>VLOOKUP(revtar_ins_aecc_CELTINS[[#This Row],[CODIGO]],H:M,5,)</f>
        <v>ATUALIZAÇÃO</v>
      </c>
      <c r="H336" s="16">
        <v>7962886003</v>
      </c>
      <c r="I336" s="2">
        <v>79</v>
      </c>
      <c r="J336" s="3">
        <v>45941</v>
      </c>
      <c r="K336" s="3">
        <v>45941</v>
      </c>
      <c r="L336" s="6" t="s">
        <v>504</v>
      </c>
      <c r="M336" s="17">
        <v>45945</v>
      </c>
    </row>
    <row r="337" spans="2:13" x14ac:dyDescent="0.25">
      <c r="B337">
        <v>7929374004</v>
      </c>
      <c r="C337">
        <v>79</v>
      </c>
      <c r="D337" s="1">
        <v>45953</v>
      </c>
      <c r="E337" s="1">
        <v>46269</v>
      </c>
      <c r="F337" s="37" t="str">
        <f>VLOOKUP(revtar_ins_aecc_CELTINS[[#This Row],[CODIGO]],H:M,5,)</f>
        <v>ATUALIZAÇÃO</v>
      </c>
      <c r="H337" s="16">
        <v>7962864003</v>
      </c>
      <c r="I337" s="2">
        <v>79</v>
      </c>
      <c r="J337" s="3">
        <v>45941</v>
      </c>
      <c r="K337" s="3">
        <v>45941</v>
      </c>
      <c r="L337" s="6" t="s">
        <v>505</v>
      </c>
      <c r="M337" s="17">
        <v>45945</v>
      </c>
    </row>
    <row r="338" spans="2:13" x14ac:dyDescent="0.25">
      <c r="B338">
        <v>7924620042</v>
      </c>
      <c r="C338">
        <v>79</v>
      </c>
      <c r="D338" s="1">
        <v>45373</v>
      </c>
      <c r="E338" s="1">
        <v>46234</v>
      </c>
      <c r="F338" s="37" t="str">
        <f>VLOOKUP(revtar_ins_aecc_CELTINS[[#This Row],[CODIGO]],H:M,5,)</f>
        <v xml:space="preserve">CASO QUE SUMIU RL DA BASE, E FOI ABERTO RECONFIGURAÇÃO DE REDE PARA AJUSTES. </v>
      </c>
      <c r="H338" s="2">
        <v>7962638060</v>
      </c>
      <c r="I338" s="2">
        <v>79</v>
      </c>
      <c r="J338" s="3">
        <v>45945</v>
      </c>
      <c r="K338" s="3">
        <v>45947</v>
      </c>
      <c r="L338" s="6" t="s">
        <v>535</v>
      </c>
      <c r="M338" s="3">
        <v>45953</v>
      </c>
    </row>
    <row r="339" spans="2:13" ht="30" x14ac:dyDescent="0.25">
      <c r="B339">
        <v>7908709122</v>
      </c>
      <c r="C339">
        <v>79</v>
      </c>
      <c r="D339" s="1">
        <v>45422</v>
      </c>
      <c r="E339" s="1">
        <v>46235</v>
      </c>
      <c r="F339" s="37" t="str">
        <f>VLOOKUP(revtar_ins_aecc_CELTINS[[#This Row],[CODIGO]],H:M,5,)</f>
        <v>30/08/2022
não sei o numero da obra</v>
      </c>
      <c r="H339" s="16">
        <v>7943541003</v>
      </c>
      <c r="I339" s="2">
        <v>79</v>
      </c>
      <c r="J339" s="3">
        <v>45953</v>
      </c>
      <c r="K339" s="3">
        <v>45953</v>
      </c>
      <c r="L339" s="6" t="s">
        <v>511</v>
      </c>
      <c r="M339" s="17">
        <v>45954</v>
      </c>
    </row>
    <row r="340" spans="2:13" x14ac:dyDescent="0.25">
      <c r="B340">
        <v>7956939122</v>
      </c>
      <c r="C340">
        <v>79</v>
      </c>
      <c r="D340" s="1">
        <v>45617</v>
      </c>
      <c r="E340" s="1">
        <v>46277</v>
      </c>
      <c r="F340" s="37" t="str">
        <f>VLOOKUP(revtar_ins_aecc_CELTINS[[#This Row],[CODIGO]],H:M,5,)</f>
        <v>ETO-PROT305/2024</v>
      </c>
      <c r="H340" s="16">
        <v>7933640003</v>
      </c>
      <c r="I340" s="2">
        <v>79</v>
      </c>
      <c r="J340" s="3">
        <v>45953</v>
      </c>
      <c r="K340" s="3">
        <v>45953</v>
      </c>
      <c r="L340" s="6" t="s">
        <v>511</v>
      </c>
      <c r="M340" s="17">
        <v>45954</v>
      </c>
    </row>
    <row r="341" spans="2:13" x14ac:dyDescent="0.25">
      <c r="B341">
        <v>7956939122</v>
      </c>
      <c r="C341">
        <v>79</v>
      </c>
      <c r="D341" s="1">
        <v>45559</v>
      </c>
      <c r="E341" s="1">
        <v>46276</v>
      </c>
      <c r="F341" s="37" t="str">
        <f>VLOOKUP(revtar_ins_aecc_CELTINS[[#This Row],[CODIGO]],H:M,5,)</f>
        <v>ETO-PROT305/2024</v>
      </c>
      <c r="H341" s="16">
        <v>7936031003</v>
      </c>
      <c r="I341" s="2">
        <v>79</v>
      </c>
      <c r="J341" s="3">
        <v>45953</v>
      </c>
      <c r="K341" s="3">
        <v>45953</v>
      </c>
      <c r="L341" s="6" t="s">
        <v>511</v>
      </c>
      <c r="M341" s="17">
        <v>45958</v>
      </c>
    </row>
    <row r="342" spans="2:13" x14ac:dyDescent="0.25">
      <c r="B342">
        <v>7956939122</v>
      </c>
      <c r="C342">
        <v>79</v>
      </c>
      <c r="D342" s="1">
        <v>45960</v>
      </c>
      <c r="E342" s="1">
        <v>46274</v>
      </c>
      <c r="F342" s="37" t="s">
        <v>667</v>
      </c>
      <c r="H342" s="16">
        <v>7925081028</v>
      </c>
      <c r="I342" s="2">
        <v>79</v>
      </c>
      <c r="J342" s="3">
        <v>45953</v>
      </c>
      <c r="K342" s="3">
        <v>45954</v>
      </c>
      <c r="L342" s="6" t="s">
        <v>511</v>
      </c>
      <c r="M342" s="17">
        <v>45958</v>
      </c>
    </row>
    <row r="343" spans="2:13" x14ac:dyDescent="0.25">
      <c r="B343">
        <v>7956939122</v>
      </c>
      <c r="C343">
        <v>79</v>
      </c>
      <c r="D343" s="1">
        <v>45679</v>
      </c>
      <c r="E343" s="1">
        <v>46274</v>
      </c>
      <c r="F343" s="37" t="str">
        <f>VLOOKUP(revtar_ins_aecc_CELTINS[[#This Row],[CODIGO]],H:M,5,)</f>
        <v>ETO-PROT305/2024</v>
      </c>
      <c r="H343" s="16">
        <v>7924623200</v>
      </c>
      <c r="I343" s="2">
        <v>79</v>
      </c>
      <c r="J343" s="3">
        <v>45953</v>
      </c>
      <c r="K343" s="3">
        <v>45953</v>
      </c>
      <c r="L343" s="6" t="s">
        <v>511</v>
      </c>
      <c r="M343" s="17">
        <v>45958</v>
      </c>
    </row>
    <row r="344" spans="2:13" x14ac:dyDescent="0.25">
      <c r="B344">
        <v>7956939122</v>
      </c>
      <c r="C344">
        <v>79</v>
      </c>
      <c r="D344" s="1">
        <v>45582</v>
      </c>
      <c r="E344" s="1">
        <v>46274</v>
      </c>
      <c r="F344" s="37" t="str">
        <f>VLOOKUP(revtar_ins_aecc_CELTINS[[#This Row],[CODIGO]],H:M,5,)</f>
        <v>ETO-PROT305/2024</v>
      </c>
      <c r="H344" s="16">
        <v>7900328003</v>
      </c>
      <c r="I344" s="2">
        <v>79</v>
      </c>
      <c r="J344" s="3">
        <v>45953</v>
      </c>
      <c r="K344" s="3">
        <v>45953</v>
      </c>
      <c r="L344" s="6" t="s">
        <v>511</v>
      </c>
      <c r="M344" s="17">
        <v>45958</v>
      </c>
    </row>
    <row r="345" spans="2:13" x14ac:dyDescent="0.25">
      <c r="B345">
        <v>7956939122</v>
      </c>
      <c r="C345">
        <v>79</v>
      </c>
      <c r="D345" s="1">
        <v>45747</v>
      </c>
      <c r="E345" s="1">
        <v>46276</v>
      </c>
      <c r="F345" s="37" t="str">
        <f>VLOOKUP(revtar_ins_aecc_CELTINS[[#This Row],[CODIGO]],H:M,5,)</f>
        <v>ETO-PROT305/2024</v>
      </c>
      <c r="H345" s="16">
        <v>7932045003</v>
      </c>
      <c r="I345" s="2">
        <v>79</v>
      </c>
      <c r="J345" s="3">
        <v>45953</v>
      </c>
      <c r="K345" s="3">
        <v>45953</v>
      </c>
      <c r="L345" s="6" t="s">
        <v>511</v>
      </c>
      <c r="M345" s="17">
        <v>45958</v>
      </c>
    </row>
    <row r="346" spans="2:13" x14ac:dyDescent="0.25">
      <c r="B346">
        <v>7956939122</v>
      </c>
      <c r="C346">
        <v>79</v>
      </c>
      <c r="D346" s="1">
        <v>45988</v>
      </c>
      <c r="E346" s="1">
        <v>46276</v>
      </c>
      <c r="F346" s="37" t="str">
        <f>VLOOKUP(revtar_ins_aecc_CELTINS[[#This Row],[CODIGO]],H:M,5,)</f>
        <v>ETO-PROT305/2024</v>
      </c>
      <c r="H346" s="16">
        <v>7902102003</v>
      </c>
      <c r="I346" s="2">
        <v>79</v>
      </c>
      <c r="J346" s="3">
        <v>45953</v>
      </c>
      <c r="K346" s="3">
        <v>45953</v>
      </c>
      <c r="L346" s="6" t="s">
        <v>511</v>
      </c>
      <c r="M346" s="17">
        <v>45958</v>
      </c>
    </row>
    <row r="347" spans="2:13" x14ac:dyDescent="0.25">
      <c r="B347">
        <v>7956903122</v>
      </c>
      <c r="C347">
        <v>79</v>
      </c>
      <c r="D347" s="1">
        <v>45552</v>
      </c>
      <c r="E347" s="1">
        <v>45572</v>
      </c>
      <c r="F347" s="37" t="str">
        <f>VLOOKUP(revtar_ins_aecc_CELTINS[[#This Row],[CODIGO]],H:M,5,)</f>
        <v>ETO-PROT291/2024</v>
      </c>
      <c r="H347" s="16">
        <v>7924930088</v>
      </c>
      <c r="I347" s="2">
        <v>79</v>
      </c>
      <c r="J347" s="3">
        <v>45953</v>
      </c>
      <c r="K347" s="3">
        <v>45953</v>
      </c>
      <c r="L347" s="6" t="s">
        <v>511</v>
      </c>
      <c r="M347" s="17">
        <v>45958</v>
      </c>
    </row>
    <row r="348" spans="2:13" x14ac:dyDescent="0.25">
      <c r="B348">
        <v>7928298004</v>
      </c>
      <c r="C348">
        <v>79</v>
      </c>
      <c r="D348" s="1">
        <v>45968</v>
      </c>
      <c r="E348" s="1">
        <v>46234</v>
      </c>
      <c r="F348" s="37" t="s">
        <v>687</v>
      </c>
      <c r="H348" s="16">
        <v>7920008152</v>
      </c>
      <c r="I348" s="2">
        <v>79</v>
      </c>
      <c r="J348" s="3">
        <v>45953</v>
      </c>
      <c r="K348" s="3">
        <v>45955</v>
      </c>
      <c r="L348" s="6" t="s">
        <v>511</v>
      </c>
      <c r="M348" s="17">
        <v>45958</v>
      </c>
    </row>
    <row r="349" spans="2:13" x14ac:dyDescent="0.25">
      <c r="B349">
        <v>7923672004</v>
      </c>
      <c r="C349">
        <v>79</v>
      </c>
      <c r="D349" s="1">
        <v>45702</v>
      </c>
      <c r="E349" s="1">
        <v>46269</v>
      </c>
      <c r="F349" s="37" t="str">
        <f>VLOOKUP(revtar_ins_aecc_CELTINS[[#This Row],[CODIGO]],H:M,5,)</f>
        <v>já está em operação</v>
      </c>
      <c r="H349" s="16">
        <v>7929374004</v>
      </c>
      <c r="I349" s="2">
        <v>79</v>
      </c>
      <c r="J349" s="3">
        <v>45953</v>
      </c>
      <c r="K349" s="3">
        <v>45954</v>
      </c>
      <c r="L349" s="6" t="s">
        <v>511</v>
      </c>
      <c r="M349" s="17">
        <v>45958</v>
      </c>
    </row>
    <row r="350" spans="2:13" x14ac:dyDescent="0.25">
      <c r="B350">
        <v>7934079003</v>
      </c>
      <c r="C350">
        <v>79</v>
      </c>
      <c r="D350" s="1">
        <v>45669</v>
      </c>
      <c r="E350" s="1">
        <v>46234</v>
      </c>
      <c r="F350" s="37" t="str">
        <f>VLOOKUP(revtar_ins_aecc_CELTINS[[#This Row],[CODIGO]],H:M,5,)</f>
        <v>ETO-PROT21/2025</v>
      </c>
      <c r="H350" s="16">
        <v>7947024076</v>
      </c>
      <c r="I350" s="2">
        <v>79</v>
      </c>
      <c r="J350" s="3">
        <v>45953</v>
      </c>
      <c r="K350" s="3">
        <v>45953</v>
      </c>
      <c r="L350" s="6" t="s">
        <v>511</v>
      </c>
      <c r="M350" s="17">
        <v>45958</v>
      </c>
    </row>
    <row r="351" spans="2:13" x14ac:dyDescent="0.25">
      <c r="B351">
        <v>7928466004</v>
      </c>
      <c r="C351">
        <v>79</v>
      </c>
      <c r="D351" s="1">
        <v>46178</v>
      </c>
      <c r="E351" s="1">
        <v>46252</v>
      </c>
      <c r="F351" s="37" t="str">
        <f>VLOOKUP(revtar_ins_aecc_CELTINS[[#This Row],[CODIGO]],H:M,5,)</f>
        <v>ATUALIZAÇÃO</v>
      </c>
      <c r="H351" s="16">
        <v>7932030072</v>
      </c>
      <c r="I351" s="2">
        <v>79</v>
      </c>
      <c r="J351" s="3">
        <v>45953</v>
      </c>
      <c r="K351" s="3">
        <v>45955</v>
      </c>
      <c r="L351" s="6" t="s">
        <v>511</v>
      </c>
      <c r="M351" s="17">
        <v>45958</v>
      </c>
    </row>
    <row r="352" spans="2:13" x14ac:dyDescent="0.25">
      <c r="B352">
        <v>7955677003</v>
      </c>
      <c r="C352">
        <v>79</v>
      </c>
      <c r="D352" s="1">
        <v>45967</v>
      </c>
      <c r="E352" s="1">
        <v>46234</v>
      </c>
      <c r="F352" s="37" t="str">
        <f>VLOOKUP(revtar_ins_aecc_CELTINS[[#This Row],[CODIGO]],H:M,5,)</f>
        <v>ETO-PROT289/2024</v>
      </c>
      <c r="H352" s="16">
        <v>7938136007</v>
      </c>
      <c r="I352" s="2">
        <v>79</v>
      </c>
      <c r="J352" s="3">
        <v>45953</v>
      </c>
      <c r="K352" s="3">
        <v>45953</v>
      </c>
      <c r="L352" s="6" t="s">
        <v>511</v>
      </c>
      <c r="M352" s="17">
        <v>45958</v>
      </c>
    </row>
    <row r="353" spans="2:13" x14ac:dyDescent="0.25">
      <c r="B353">
        <v>7901216032</v>
      </c>
      <c r="C353">
        <v>79</v>
      </c>
      <c r="D353" s="1">
        <v>45902</v>
      </c>
      <c r="E353" s="1">
        <v>46234</v>
      </c>
      <c r="F353" s="37" t="str">
        <f>VLOOKUP(revtar_ins_aecc_CELTINS[[#This Row],[CODIGO]],H:M,5,)</f>
        <v>ETO-PROT263/2025</v>
      </c>
      <c r="H353" s="16">
        <v>7934170045</v>
      </c>
      <c r="I353" s="2">
        <v>79</v>
      </c>
      <c r="J353" s="3">
        <v>45953</v>
      </c>
      <c r="K353" s="3">
        <v>45955</v>
      </c>
      <c r="L353" s="6" t="s">
        <v>511</v>
      </c>
      <c r="M353" s="17">
        <v>45958</v>
      </c>
    </row>
    <row r="354" spans="2:13" x14ac:dyDescent="0.25">
      <c r="B354">
        <v>7938139013</v>
      </c>
      <c r="C354">
        <v>79</v>
      </c>
      <c r="D354" s="1">
        <v>45457</v>
      </c>
      <c r="E354" s="1">
        <v>46260</v>
      </c>
      <c r="F354" s="37" t="str">
        <f>VLOOKUP(revtar_ins_aecc_CELTINS[[#This Row],[CODIGO]],H:M,5,)</f>
        <v>AJUSTE CH</v>
      </c>
      <c r="H354" s="16">
        <v>7931865074</v>
      </c>
      <c r="I354" s="2">
        <v>79</v>
      </c>
      <c r="J354" s="3">
        <v>45953</v>
      </c>
      <c r="K354" s="3">
        <v>45955</v>
      </c>
      <c r="L354" s="6" t="s">
        <v>511</v>
      </c>
      <c r="M354" s="17">
        <v>45958</v>
      </c>
    </row>
    <row r="355" spans="2:13" x14ac:dyDescent="0.25">
      <c r="B355">
        <v>7956784003</v>
      </c>
      <c r="C355">
        <v>79</v>
      </c>
      <c r="D355" s="1">
        <v>45672</v>
      </c>
      <c r="E355" s="1">
        <v>46234</v>
      </c>
      <c r="F355" s="37" t="str">
        <f>VLOOKUP(revtar_ins_aecc_CELTINS[[#This Row],[CODIGO]],H:M,5,)</f>
        <v>ETO-PROT26/2025</v>
      </c>
      <c r="H355" s="16">
        <v>7947534073</v>
      </c>
      <c r="I355" s="2">
        <v>79</v>
      </c>
      <c r="J355" s="3">
        <v>45953</v>
      </c>
      <c r="K355" s="3">
        <v>45953</v>
      </c>
      <c r="L355" s="6" t="s">
        <v>511</v>
      </c>
      <c r="M355" s="17">
        <v>45958</v>
      </c>
    </row>
    <row r="356" spans="2:13" x14ac:dyDescent="0.25">
      <c r="B356">
        <v>7931556013</v>
      </c>
      <c r="C356">
        <v>79</v>
      </c>
      <c r="D356" s="1">
        <v>45449</v>
      </c>
      <c r="E356" s="1">
        <v>46275</v>
      </c>
      <c r="F356" s="37" t="str">
        <f>VLOOKUP(revtar_ins_aecc_CELTINS[[#This Row],[CODIGO]],H:M,5,)</f>
        <v>correção luan/ruben</v>
      </c>
      <c r="H356" s="16">
        <v>7900732001</v>
      </c>
      <c r="I356" s="2">
        <v>79</v>
      </c>
      <c r="J356" s="3">
        <v>45953</v>
      </c>
      <c r="K356" s="3">
        <v>45953</v>
      </c>
      <c r="L356" s="6" t="s">
        <v>511</v>
      </c>
      <c r="M356" s="17">
        <v>45958</v>
      </c>
    </row>
    <row r="357" spans="2:13" x14ac:dyDescent="0.25">
      <c r="B357">
        <v>7934500003</v>
      </c>
      <c r="C357">
        <v>79</v>
      </c>
      <c r="D357" s="1">
        <v>45451</v>
      </c>
      <c r="E357" s="1">
        <v>45669</v>
      </c>
      <c r="F357" s="37" t="str">
        <f>VLOOKUP(revtar_ins_aecc_CELTINS[[#This Row],[CODIGO]],H:M,5,)</f>
        <v>fiscal disse que obra não teve remanejamento de religador, somente de rede</v>
      </c>
      <c r="H357" s="16">
        <v>7900888055</v>
      </c>
      <c r="I357" s="2">
        <v>79</v>
      </c>
      <c r="J357" s="3">
        <v>45955</v>
      </c>
      <c r="K357" s="3">
        <v>45956</v>
      </c>
      <c r="L357" s="6" t="s">
        <v>511</v>
      </c>
      <c r="M357" s="17">
        <v>45958</v>
      </c>
    </row>
    <row r="358" spans="2:13" x14ac:dyDescent="0.25">
      <c r="B358">
        <v>7928553045</v>
      </c>
      <c r="C358">
        <v>79</v>
      </c>
      <c r="D358" s="1">
        <v>45992</v>
      </c>
      <c r="E358" s="1">
        <v>46277</v>
      </c>
      <c r="F358" s="37" t="str">
        <f>VLOOKUP(revtar_ins_aecc_CELTINS[[#This Row],[CODIGO]],H:M,5,)</f>
        <v>ETO-PROT189/2025</v>
      </c>
      <c r="H358" s="16">
        <v>7900654055</v>
      </c>
      <c r="I358" s="2">
        <v>79</v>
      </c>
      <c r="J358" s="3">
        <v>45955</v>
      </c>
      <c r="K358" s="3">
        <v>45956</v>
      </c>
      <c r="L358" s="6" t="s">
        <v>511</v>
      </c>
      <c r="M358" s="17">
        <v>45958</v>
      </c>
    </row>
    <row r="359" spans="2:13" x14ac:dyDescent="0.25">
      <c r="B359">
        <v>7965874086</v>
      </c>
      <c r="C359">
        <v>79</v>
      </c>
      <c r="D359" s="1">
        <v>46277</v>
      </c>
      <c r="E359" s="1">
        <v>46278</v>
      </c>
      <c r="F359" s="37" t="e">
        <f>VLOOKUP(revtar_ins_aecc_CELTINS[[#This Row],[CODIGO]],H:M,5,)</f>
        <v>#N/A</v>
      </c>
      <c r="H359" s="16">
        <v>7927604001</v>
      </c>
      <c r="I359" s="2">
        <v>79</v>
      </c>
      <c r="J359" s="3">
        <v>45953</v>
      </c>
      <c r="K359" s="3">
        <v>45956</v>
      </c>
      <c r="L359" s="6" t="s">
        <v>511</v>
      </c>
      <c r="M359" s="17">
        <v>45958</v>
      </c>
    </row>
    <row r="360" spans="2:13" x14ac:dyDescent="0.25">
      <c r="B360">
        <v>7962821013</v>
      </c>
      <c r="C360">
        <v>79</v>
      </c>
      <c r="D360" s="1">
        <v>46063</v>
      </c>
      <c r="E360" s="1">
        <v>46235</v>
      </c>
      <c r="F360" s="37" t="str">
        <f>VLOOKUP(revtar_ins_aecc_CELTINS[[#This Row],[CODIGO]],H:M,5,)</f>
        <v>ETO-PROT39/2026</v>
      </c>
      <c r="H360" s="16">
        <v>7934669004</v>
      </c>
      <c r="I360" s="2">
        <v>79</v>
      </c>
      <c r="J360" s="3">
        <v>45954</v>
      </c>
      <c r="K360" s="3">
        <v>45954</v>
      </c>
      <c r="L360" s="6" t="s">
        <v>511</v>
      </c>
      <c r="M360" s="17">
        <v>45958</v>
      </c>
    </row>
    <row r="361" spans="2:13" x14ac:dyDescent="0.25">
      <c r="B361">
        <v>7965092045</v>
      </c>
      <c r="C361">
        <v>79</v>
      </c>
      <c r="D361" s="1">
        <v>45993</v>
      </c>
      <c r="E361" s="1">
        <v>46276</v>
      </c>
      <c r="F361" s="37" t="str">
        <f>VLOOKUP(revtar_ins_aecc_CELTINS[[#This Row],[CODIGO]],H:M,5,)</f>
        <v>ETO-PROT284/2025</v>
      </c>
      <c r="H361" s="16">
        <v>7900464004</v>
      </c>
      <c r="I361" s="2">
        <v>79</v>
      </c>
      <c r="J361" s="3">
        <v>45954</v>
      </c>
      <c r="K361" s="3">
        <v>45954</v>
      </c>
      <c r="L361" s="6" t="s">
        <v>511</v>
      </c>
      <c r="M361" s="17">
        <v>45958</v>
      </c>
    </row>
    <row r="362" spans="2:13" x14ac:dyDescent="0.25">
      <c r="B362">
        <v>7960923045</v>
      </c>
      <c r="C362">
        <v>79</v>
      </c>
      <c r="D362" s="1">
        <v>45988</v>
      </c>
      <c r="E362" s="1">
        <v>46275</v>
      </c>
      <c r="F362" s="37" t="str">
        <f>VLOOKUP(revtar_ins_aecc_CELTINS[[#This Row],[CODIGO]],H:M,5,)</f>
        <v>ETO-PROT373/2025</v>
      </c>
      <c r="H362" s="16">
        <v>7903572004</v>
      </c>
      <c r="I362" s="2">
        <v>79</v>
      </c>
      <c r="J362" s="3">
        <v>45954</v>
      </c>
      <c r="K362" s="3">
        <v>45954</v>
      </c>
      <c r="L362" s="6" t="s">
        <v>511</v>
      </c>
      <c r="M362" s="17">
        <v>45958</v>
      </c>
    </row>
    <row r="363" spans="2:13" x14ac:dyDescent="0.25">
      <c r="B363">
        <v>7956777003</v>
      </c>
      <c r="C363">
        <v>79</v>
      </c>
      <c r="D363" s="1">
        <v>45672</v>
      </c>
      <c r="E363" s="1">
        <v>46267</v>
      </c>
      <c r="F363" s="37" t="str">
        <f>VLOOKUP(revtar_ins_aecc_CELTINS[[#This Row],[CODIGO]],H:M,5,)</f>
        <v>ETO-PROT27/2025</v>
      </c>
      <c r="H363" s="16">
        <v>7900161017</v>
      </c>
      <c r="I363" s="2">
        <v>79</v>
      </c>
      <c r="J363" s="3">
        <v>45953</v>
      </c>
      <c r="K363" s="3">
        <v>45953</v>
      </c>
      <c r="L363" s="6" t="s">
        <v>511</v>
      </c>
      <c r="M363" s="17">
        <v>45958</v>
      </c>
    </row>
    <row r="364" spans="2:13" x14ac:dyDescent="0.25">
      <c r="B364">
        <v>7965013080</v>
      </c>
      <c r="C364">
        <v>79</v>
      </c>
      <c r="D364" s="1">
        <v>46043</v>
      </c>
      <c r="E364" s="1">
        <v>46277</v>
      </c>
      <c r="F364" s="37" t="str">
        <f>VLOOKUP(revtar_ins_aecc_CELTINS[[#This Row],[CODIGO]],H:M,5,)</f>
        <v>ETO-PROT25/2026</v>
      </c>
      <c r="H364" s="16">
        <v>7929376022</v>
      </c>
      <c r="I364" s="2">
        <v>79</v>
      </c>
      <c r="J364" s="3">
        <v>45953</v>
      </c>
      <c r="K364" s="3">
        <v>45954</v>
      </c>
      <c r="L364" s="6" t="s">
        <v>511</v>
      </c>
      <c r="M364" s="17">
        <v>45958</v>
      </c>
    </row>
    <row r="365" spans="2:13" x14ac:dyDescent="0.25">
      <c r="B365">
        <v>7934170045</v>
      </c>
      <c r="C365">
        <v>79</v>
      </c>
      <c r="D365" s="1">
        <v>45967</v>
      </c>
      <c r="E365" s="1">
        <v>46275</v>
      </c>
      <c r="F365" s="37" t="str">
        <f>VLOOKUP(revtar_ins_aecc_CELTINS[[#This Row],[CODIGO]],H:M,5,)</f>
        <v>ATUALIZAÇÃO</v>
      </c>
      <c r="H365" s="16">
        <v>7928457040</v>
      </c>
      <c r="I365" s="2">
        <v>79</v>
      </c>
      <c r="J365" s="3">
        <v>45954</v>
      </c>
      <c r="K365" s="3">
        <v>45955</v>
      </c>
      <c r="L365" s="6" t="s">
        <v>511</v>
      </c>
      <c r="M365" s="17">
        <v>45958</v>
      </c>
    </row>
    <row r="366" spans="2:13" x14ac:dyDescent="0.25">
      <c r="B366">
        <v>7960781003</v>
      </c>
      <c r="C366">
        <v>79</v>
      </c>
      <c r="D366" s="1">
        <v>45926</v>
      </c>
      <c r="E366" s="1">
        <v>46277</v>
      </c>
      <c r="F366" s="37" t="str">
        <f>VLOOKUP(revtar_ins_aecc_CELTINS[[#This Row],[CODIGO]],H:M,5,)</f>
        <v>ETO-PROT299/2025</v>
      </c>
      <c r="H366" s="16">
        <v>7928298004</v>
      </c>
      <c r="I366" s="2">
        <v>79</v>
      </c>
      <c r="J366" s="3">
        <v>45954</v>
      </c>
      <c r="K366" s="3">
        <v>45954</v>
      </c>
      <c r="L366" s="6" t="s">
        <v>511</v>
      </c>
      <c r="M366" s="17">
        <v>45958</v>
      </c>
    </row>
    <row r="367" spans="2:13" x14ac:dyDescent="0.25">
      <c r="B367">
        <v>7900032086</v>
      </c>
      <c r="C367">
        <v>79</v>
      </c>
      <c r="D367" s="1">
        <v>45329</v>
      </c>
      <c r="E367" s="1">
        <v>46278</v>
      </c>
      <c r="F367" s="37" t="str">
        <f>VLOOKUP(revtar_ins_aecc_CELTINS[[#This Row],[CODIGO]],H:M,5,)</f>
        <v>ETO-PROT48/2024</v>
      </c>
      <c r="H367" s="16">
        <v>7930912039</v>
      </c>
      <c r="I367" s="2">
        <v>79</v>
      </c>
      <c r="J367" s="3">
        <v>45954</v>
      </c>
      <c r="K367" s="3">
        <v>45954</v>
      </c>
      <c r="L367" s="6" t="s">
        <v>511</v>
      </c>
      <c r="M367" s="17">
        <v>45958</v>
      </c>
    </row>
    <row r="368" spans="2:13" x14ac:dyDescent="0.25">
      <c r="B368">
        <v>7954491004</v>
      </c>
      <c r="C368">
        <v>79</v>
      </c>
      <c r="D368" s="1">
        <v>45442</v>
      </c>
      <c r="E368" s="1">
        <v>46277</v>
      </c>
      <c r="F368" s="37" t="str">
        <f>VLOOKUP(revtar_ins_aecc_CELTINS[[#This Row],[CODIGO]],H:M,5,)</f>
        <v>ETO-PROT149/2024</v>
      </c>
      <c r="H368" s="16">
        <v>7900552010</v>
      </c>
      <c r="I368" s="2">
        <v>79</v>
      </c>
      <c r="J368" s="3">
        <v>45955</v>
      </c>
      <c r="K368" s="3">
        <v>45955</v>
      </c>
      <c r="L368" s="6" t="s">
        <v>511</v>
      </c>
      <c r="M368" s="17">
        <v>45958</v>
      </c>
    </row>
    <row r="369" spans="2:13" x14ac:dyDescent="0.25">
      <c r="B369">
        <v>7965042063</v>
      </c>
      <c r="C369">
        <v>79</v>
      </c>
      <c r="D369" s="1">
        <v>45953</v>
      </c>
      <c r="E369" s="1">
        <v>46276</v>
      </c>
      <c r="F369" s="37" t="str">
        <f>VLOOKUP(revtar_ins_aecc_CELTINS[[#This Row],[CODIGO]],H:M,5,)</f>
        <v>ETO-PROT337/2025</v>
      </c>
      <c r="H369" s="16">
        <v>7924622052</v>
      </c>
      <c r="I369" s="2">
        <v>79</v>
      </c>
      <c r="J369" s="3">
        <v>45953</v>
      </c>
      <c r="K369" s="3">
        <v>45953</v>
      </c>
      <c r="L369" s="6" t="s">
        <v>511</v>
      </c>
      <c r="M369" s="17">
        <v>45958</v>
      </c>
    </row>
    <row r="370" spans="2:13" x14ac:dyDescent="0.25">
      <c r="B370">
        <v>7956220007</v>
      </c>
      <c r="C370">
        <v>79</v>
      </c>
      <c r="D370" s="1">
        <v>45617</v>
      </c>
      <c r="E370" s="1">
        <v>46234</v>
      </c>
      <c r="F370" s="37" t="str">
        <f>VLOOKUP(revtar_ins_aecc_CELTINS[[#This Row],[CODIGO]],H:M,5,)</f>
        <v>ETO-PROT44/2024</v>
      </c>
      <c r="H370" s="16">
        <v>7927396052</v>
      </c>
      <c r="I370" s="2">
        <v>79</v>
      </c>
      <c r="J370" s="3">
        <v>45953</v>
      </c>
      <c r="K370" s="3">
        <v>45953</v>
      </c>
      <c r="L370" s="6" t="s">
        <v>511</v>
      </c>
      <c r="M370" s="17">
        <v>45958</v>
      </c>
    </row>
    <row r="371" spans="2:13" x14ac:dyDescent="0.25">
      <c r="B371">
        <v>7967182124</v>
      </c>
      <c r="C371">
        <v>79</v>
      </c>
      <c r="D371" s="1">
        <v>46040</v>
      </c>
      <c r="E371" s="1">
        <v>46234</v>
      </c>
      <c r="F371" s="37" t="str">
        <f>VLOOKUP(revtar_ins_aecc_CELTINS[[#This Row],[CODIGO]],H:M,5,)</f>
        <v>ETO-PROT19/2026</v>
      </c>
      <c r="H371" s="16">
        <v>7925111033</v>
      </c>
      <c r="I371" s="2">
        <v>79</v>
      </c>
      <c r="J371" s="3">
        <v>45957</v>
      </c>
      <c r="K371" s="3">
        <v>45957</v>
      </c>
      <c r="L371" s="6" t="s">
        <v>511</v>
      </c>
      <c r="M371" s="17">
        <v>45958</v>
      </c>
    </row>
    <row r="372" spans="2:13" x14ac:dyDescent="0.25">
      <c r="B372">
        <v>7955686076</v>
      </c>
      <c r="C372">
        <v>79</v>
      </c>
      <c r="D372" s="1">
        <v>45637</v>
      </c>
      <c r="E372" s="1">
        <v>46275</v>
      </c>
      <c r="F372" s="37" t="str">
        <f>VLOOKUP(revtar_ins_aecc_CELTINS[[#This Row],[CODIGO]],H:M,5,)</f>
        <v>ETO-PROT479/2024</v>
      </c>
      <c r="H372" s="16">
        <v>7905361122</v>
      </c>
      <c r="I372" s="2">
        <v>79</v>
      </c>
      <c r="J372" s="3">
        <v>45954</v>
      </c>
      <c r="K372" s="3">
        <v>45954</v>
      </c>
      <c r="L372" s="6" t="s">
        <v>511</v>
      </c>
      <c r="M372" s="17">
        <v>45958</v>
      </c>
    </row>
    <row r="373" spans="2:13" x14ac:dyDescent="0.25">
      <c r="B373">
        <v>7962052017</v>
      </c>
      <c r="C373">
        <v>79</v>
      </c>
      <c r="D373" s="1">
        <v>45786</v>
      </c>
      <c r="E373" s="1">
        <v>46234</v>
      </c>
      <c r="F373" s="37" t="str">
        <f>VLOOKUP(revtar_ins_aecc_CELTINS[[#This Row],[CODIGO]],H:M,5,)</f>
        <v>ETO-PROT181/2025</v>
      </c>
      <c r="H373" s="16">
        <v>7930041122</v>
      </c>
      <c r="I373" s="2">
        <v>79</v>
      </c>
      <c r="J373" s="3">
        <v>45954</v>
      </c>
      <c r="K373" s="3">
        <v>45954</v>
      </c>
      <c r="L373" s="6" t="s">
        <v>511</v>
      </c>
      <c r="M373" s="17">
        <v>45958</v>
      </c>
    </row>
    <row r="374" spans="2:13" x14ac:dyDescent="0.25">
      <c r="B374">
        <v>7955761003</v>
      </c>
      <c r="C374">
        <v>79</v>
      </c>
      <c r="D374" s="1">
        <v>45685</v>
      </c>
      <c r="E374" s="1">
        <v>46242</v>
      </c>
      <c r="F374" s="37" t="str">
        <f>VLOOKUP(revtar_ins_aecc_CELTINS[[#This Row],[CODIGO]],H:M,5,)</f>
        <v>ETO-PROT28/2025</v>
      </c>
      <c r="H374" s="16">
        <v>7905366122</v>
      </c>
      <c r="I374" s="2">
        <v>79</v>
      </c>
      <c r="J374" s="3">
        <v>45955</v>
      </c>
      <c r="K374" s="3">
        <v>45955</v>
      </c>
      <c r="L374" s="6" t="s">
        <v>511</v>
      </c>
      <c r="M374" s="17">
        <v>45958</v>
      </c>
    </row>
    <row r="375" spans="2:13" x14ac:dyDescent="0.25">
      <c r="B375">
        <v>7937521059</v>
      </c>
      <c r="C375">
        <v>79</v>
      </c>
      <c r="D375" s="1">
        <v>45807</v>
      </c>
      <c r="E375" s="1">
        <v>46276</v>
      </c>
      <c r="F375" s="37" t="str">
        <f>VLOOKUP(revtar_ins_aecc_CELTINS[[#This Row],[CODIGO]],H:M,5,)</f>
        <v>AJUSTE NA=&gt;NF</v>
      </c>
      <c r="H375" s="16">
        <v>7941530122</v>
      </c>
      <c r="I375" s="2">
        <v>79</v>
      </c>
      <c r="J375" s="3">
        <v>45955</v>
      </c>
      <c r="K375" s="3">
        <v>45955</v>
      </c>
      <c r="L375" s="6" t="s">
        <v>511</v>
      </c>
      <c r="M375" s="17">
        <v>45958</v>
      </c>
    </row>
    <row r="376" spans="2:13" x14ac:dyDescent="0.25">
      <c r="B376">
        <v>7907571122</v>
      </c>
      <c r="C376">
        <v>79</v>
      </c>
      <c r="D376" s="1">
        <v>45983</v>
      </c>
      <c r="E376" s="1">
        <v>46273</v>
      </c>
      <c r="F376" s="37" t="str">
        <f>VLOOKUP(revtar_ins_aecc_CELTINS[[#This Row],[CODIGO]],H:M,5,)</f>
        <v>ATUALIZAÇÃO</v>
      </c>
      <c r="H376" s="16">
        <v>7941708059</v>
      </c>
      <c r="I376" s="2">
        <v>79</v>
      </c>
      <c r="J376" s="3">
        <v>45957</v>
      </c>
      <c r="K376" s="3">
        <v>45957</v>
      </c>
      <c r="L376" s="6" t="s">
        <v>511</v>
      </c>
      <c r="M376" s="17">
        <v>45958</v>
      </c>
    </row>
    <row r="377" spans="2:13" x14ac:dyDescent="0.25">
      <c r="B377">
        <v>7963715004</v>
      </c>
      <c r="C377">
        <v>79</v>
      </c>
      <c r="D377" s="1">
        <v>45918</v>
      </c>
      <c r="E377" s="1">
        <v>46269</v>
      </c>
      <c r="F377" s="37" t="str">
        <f>VLOOKUP(revtar_ins_aecc_CELTINS[[#This Row],[CODIGO]],H:M,5,)</f>
        <v>7923664004 =&gt; 7963715004</v>
      </c>
      <c r="H377" s="16">
        <v>7924938131</v>
      </c>
      <c r="I377" s="2">
        <v>79</v>
      </c>
      <c r="J377" s="3">
        <v>45953</v>
      </c>
      <c r="K377" s="3">
        <v>45953</v>
      </c>
      <c r="L377" s="6" t="s">
        <v>511</v>
      </c>
      <c r="M377" s="17">
        <v>45958</v>
      </c>
    </row>
    <row r="378" spans="2:13" x14ac:dyDescent="0.25">
      <c r="B378">
        <v>7959698004</v>
      </c>
      <c r="C378">
        <v>79</v>
      </c>
      <c r="D378" s="1">
        <v>45922</v>
      </c>
      <c r="E378" s="1">
        <v>46234</v>
      </c>
      <c r="F378" s="37" t="str">
        <f>VLOOKUP(revtar_ins_aecc_CELTINS[[#This Row],[CODIGO]],H:M,5,)</f>
        <v>ETO-PROT279/2025</v>
      </c>
      <c r="H378" s="16">
        <v>7900096059</v>
      </c>
      <c r="I378" s="2">
        <v>79</v>
      </c>
      <c r="J378" s="3">
        <v>45957</v>
      </c>
      <c r="K378" s="3">
        <v>45957</v>
      </c>
      <c r="L378" s="6" t="s">
        <v>511</v>
      </c>
      <c r="M378" s="17">
        <v>45958</v>
      </c>
    </row>
    <row r="379" spans="2:13" x14ac:dyDescent="0.25">
      <c r="B379">
        <v>7963713004</v>
      </c>
      <c r="C379">
        <v>79</v>
      </c>
      <c r="D379" s="1">
        <v>45922</v>
      </c>
      <c r="E379" s="1">
        <v>46234</v>
      </c>
      <c r="F379" s="37" t="str">
        <f>VLOOKUP(revtar_ins_aecc_CELTINS[[#This Row],[CODIGO]],H:M,5,)</f>
        <v>ETO-PROT278/2025</v>
      </c>
      <c r="H379" s="16">
        <v>7907571122</v>
      </c>
      <c r="I379" s="2">
        <v>79</v>
      </c>
      <c r="J379" s="3">
        <v>45954</v>
      </c>
      <c r="K379" s="3">
        <v>45954</v>
      </c>
      <c r="L379" s="6" t="s">
        <v>511</v>
      </c>
      <c r="M379" s="17">
        <v>45958</v>
      </c>
    </row>
    <row r="380" spans="2:13" x14ac:dyDescent="0.25">
      <c r="B380">
        <v>7963715004</v>
      </c>
      <c r="C380">
        <v>79</v>
      </c>
      <c r="D380" s="1">
        <v>46002</v>
      </c>
      <c r="E380" s="1">
        <v>46269</v>
      </c>
      <c r="F380" s="37" t="str">
        <f>VLOOKUP(revtar_ins_aecc_CELTINS[[#This Row],[CODIGO]],H:M,5,)</f>
        <v>7923664004 =&gt; 7963715004</v>
      </c>
      <c r="H380" s="16">
        <v>7931104059</v>
      </c>
      <c r="I380" s="2">
        <v>79</v>
      </c>
      <c r="J380" s="3">
        <v>45956</v>
      </c>
      <c r="K380" s="3">
        <v>45956</v>
      </c>
      <c r="L380" s="6" t="s">
        <v>511</v>
      </c>
      <c r="M380" s="17">
        <v>45958</v>
      </c>
    </row>
    <row r="381" spans="2:13" x14ac:dyDescent="0.25">
      <c r="B381">
        <v>7963661046</v>
      </c>
      <c r="C381">
        <v>79</v>
      </c>
      <c r="D381" s="1">
        <v>46050</v>
      </c>
      <c r="E381" s="1">
        <v>46272</v>
      </c>
      <c r="F381" s="37" t="str">
        <f>VLOOKUP(revtar_ins_aecc_CELTINS[[#This Row],[CODIGO]],H:M,5,)</f>
        <v>ETO-PROT33/2026</v>
      </c>
      <c r="H381" s="16">
        <v>7900100147</v>
      </c>
      <c r="I381" s="2">
        <v>79</v>
      </c>
      <c r="J381" s="3">
        <v>45953</v>
      </c>
      <c r="K381" s="3">
        <v>45953</v>
      </c>
      <c r="L381" s="6" t="s">
        <v>511</v>
      </c>
      <c r="M381" s="17">
        <v>45958</v>
      </c>
    </row>
    <row r="382" spans="2:13" x14ac:dyDescent="0.25">
      <c r="B382">
        <v>7954778001</v>
      </c>
      <c r="C382">
        <v>79</v>
      </c>
      <c r="D382" s="1">
        <v>45496</v>
      </c>
      <c r="E382" s="1">
        <v>46252</v>
      </c>
      <c r="F382" s="37" t="str">
        <f>VLOOKUP(revtar_ins_aecc_CELTINS[[#This Row],[CODIGO]],H:M,5,)</f>
        <v>ETO-PROT200/2024</v>
      </c>
      <c r="H382" s="16">
        <v>7961993059</v>
      </c>
      <c r="I382" s="2">
        <v>79</v>
      </c>
      <c r="J382" s="3">
        <v>45957</v>
      </c>
      <c r="K382" s="3">
        <v>45958</v>
      </c>
      <c r="L382" s="6" t="s">
        <v>512</v>
      </c>
      <c r="M382" s="17">
        <v>45945</v>
      </c>
    </row>
    <row r="383" spans="2:13" x14ac:dyDescent="0.25">
      <c r="B383">
        <v>7958320136</v>
      </c>
      <c r="C383">
        <v>79</v>
      </c>
      <c r="D383" s="1">
        <v>45454</v>
      </c>
      <c r="E383" s="1">
        <v>46277</v>
      </c>
      <c r="F383" s="37" t="s">
        <v>668</v>
      </c>
      <c r="H383" s="16">
        <v>7900666071</v>
      </c>
      <c r="I383" s="2">
        <v>79</v>
      </c>
      <c r="J383" s="3">
        <v>45958</v>
      </c>
      <c r="K383" s="3">
        <v>45958</v>
      </c>
      <c r="L383" s="6" t="s">
        <v>511</v>
      </c>
      <c r="M383" s="17">
        <v>45961</v>
      </c>
    </row>
    <row r="384" spans="2:13" x14ac:dyDescent="0.25">
      <c r="B384">
        <v>7956333111</v>
      </c>
      <c r="C384">
        <v>79</v>
      </c>
      <c r="D384" s="1">
        <v>45478</v>
      </c>
      <c r="E384" s="1">
        <v>46261</v>
      </c>
      <c r="F384" s="37" t="str">
        <f>VLOOKUP(revtar_ins_aecc_CELTINS[[#This Row],[CODIGO]],H:M,5,)</f>
        <v>ETO-PROT174/2024</v>
      </c>
      <c r="H384" s="16">
        <v>7905502059</v>
      </c>
      <c r="I384" s="2">
        <v>79</v>
      </c>
      <c r="J384" s="3">
        <v>45957</v>
      </c>
      <c r="K384" s="3">
        <v>45958</v>
      </c>
      <c r="L384" s="6" t="s">
        <v>511</v>
      </c>
      <c r="M384" s="17">
        <v>45961</v>
      </c>
    </row>
    <row r="385" spans="2:13" x14ac:dyDescent="0.25">
      <c r="B385">
        <v>7957609153</v>
      </c>
      <c r="C385">
        <v>79</v>
      </c>
      <c r="D385" s="1">
        <v>45477</v>
      </c>
      <c r="E385" s="1">
        <v>46261</v>
      </c>
      <c r="F385" s="37" t="str">
        <f>VLOOKUP(revtar_ins_aecc_CELTINS[[#This Row],[CODIGO]],H:M,5,)</f>
        <v>ETO-PROT168/2024</v>
      </c>
      <c r="H385" s="16">
        <v>7900280059</v>
      </c>
      <c r="I385" s="2">
        <v>79</v>
      </c>
      <c r="J385" s="3">
        <v>45957</v>
      </c>
      <c r="K385" s="3">
        <v>45958</v>
      </c>
      <c r="L385" s="6" t="s">
        <v>511</v>
      </c>
      <c r="M385" s="17">
        <v>45961</v>
      </c>
    </row>
    <row r="386" spans="2:13" x14ac:dyDescent="0.25">
      <c r="B386">
        <v>7966727004</v>
      </c>
      <c r="C386">
        <v>79</v>
      </c>
      <c r="D386" s="1">
        <v>46203</v>
      </c>
      <c r="E386" s="1">
        <v>46205</v>
      </c>
      <c r="F386" s="37" t="str">
        <f>VLOOKUP(revtar_ins_aecc_CELTINS[[#This Row],[CODIGO]],H:M,5,)</f>
        <v>ETO-PROT141/2026</v>
      </c>
      <c r="H386" s="16">
        <v>7927138110</v>
      </c>
      <c r="I386" s="2">
        <v>79</v>
      </c>
      <c r="J386" s="3">
        <v>45958</v>
      </c>
      <c r="K386" s="3">
        <v>45958</v>
      </c>
      <c r="L386" s="6" t="s">
        <v>511</v>
      </c>
      <c r="M386" s="17">
        <v>45961</v>
      </c>
    </row>
    <row r="387" spans="2:13" x14ac:dyDescent="0.25">
      <c r="B387">
        <v>7964803072</v>
      </c>
      <c r="C387">
        <v>79</v>
      </c>
      <c r="D387" s="1">
        <v>45958</v>
      </c>
      <c r="E387" s="1">
        <v>46261</v>
      </c>
      <c r="F387" s="37" t="str">
        <f>VLOOKUP(revtar_ins_aecc_CELTINS[[#This Row],[CODIGO]],H:M,5,)</f>
        <v>ETO-PROT336/2025</v>
      </c>
      <c r="H387" s="16">
        <v>7900453110</v>
      </c>
      <c r="I387" s="2">
        <v>79</v>
      </c>
      <c r="J387" s="3">
        <v>45958</v>
      </c>
      <c r="K387" s="3">
        <v>45958</v>
      </c>
      <c r="L387" s="6" t="s">
        <v>511</v>
      </c>
      <c r="M387" s="17">
        <v>45961</v>
      </c>
    </row>
    <row r="388" spans="2:13" x14ac:dyDescent="0.25">
      <c r="B388">
        <v>7908683122</v>
      </c>
      <c r="C388">
        <v>79</v>
      </c>
      <c r="D388" s="1">
        <v>46146</v>
      </c>
      <c r="E388" s="1">
        <v>46247</v>
      </c>
      <c r="F388" s="37" t="str">
        <f>VLOOKUP(revtar_ins_aecc_CELTINS[[#This Row],[CODIGO]],H:M,5,)</f>
        <v>ETO-PROT103/2026</v>
      </c>
      <c r="H388" s="16">
        <v>7921201014</v>
      </c>
      <c r="I388" s="2">
        <v>79</v>
      </c>
      <c r="J388" s="3">
        <v>45958</v>
      </c>
      <c r="K388" s="3">
        <v>45958</v>
      </c>
      <c r="L388" s="6" t="s">
        <v>511</v>
      </c>
      <c r="M388" s="17">
        <v>45961</v>
      </c>
    </row>
    <row r="389" spans="2:13" x14ac:dyDescent="0.25">
      <c r="B389">
        <v>7931609122</v>
      </c>
      <c r="C389">
        <v>79</v>
      </c>
      <c r="D389" s="1">
        <v>45572</v>
      </c>
      <c r="E389" s="1">
        <v>45582</v>
      </c>
      <c r="F389" s="37" t="str">
        <f>VLOOKUP(revtar_ins_aecc_CELTINS[[#This Row],[CODIGO]],H:M,5,)</f>
        <v>ajuste de rota</v>
      </c>
      <c r="H389" s="16">
        <v>7941992012</v>
      </c>
      <c r="I389" s="2">
        <v>79</v>
      </c>
      <c r="J389" s="3">
        <v>45958</v>
      </c>
      <c r="K389" s="3">
        <v>45958</v>
      </c>
      <c r="L389" s="6" t="s">
        <v>511</v>
      </c>
      <c r="M389" s="17">
        <v>45961</v>
      </c>
    </row>
    <row r="390" spans="2:13" x14ac:dyDescent="0.25">
      <c r="B390">
        <v>7909599004</v>
      </c>
      <c r="C390">
        <v>79</v>
      </c>
      <c r="D390" s="1">
        <v>45479</v>
      </c>
      <c r="E390" s="1">
        <v>46234</v>
      </c>
      <c r="F390" s="37" t="str">
        <f>VLOOKUP(revtar_ins_aecc_CELTINS[[#This Row],[CODIGO]],H:M,5,)</f>
        <v>ETO-PROT198/2024</v>
      </c>
      <c r="H390" s="16">
        <v>7900238054</v>
      </c>
      <c r="I390" s="2">
        <v>79</v>
      </c>
      <c r="J390" s="3">
        <v>45958</v>
      </c>
      <c r="K390" s="3">
        <v>45958</v>
      </c>
      <c r="L390" s="6" t="s">
        <v>511</v>
      </c>
      <c r="M390" s="17">
        <v>45961</v>
      </c>
    </row>
    <row r="391" spans="2:13" x14ac:dyDescent="0.25">
      <c r="B391">
        <v>7955702037</v>
      </c>
      <c r="C391">
        <v>79</v>
      </c>
      <c r="D391" s="1">
        <v>45547</v>
      </c>
      <c r="E391" s="1">
        <v>46277</v>
      </c>
      <c r="F391" s="37" t="str">
        <f>VLOOKUP(revtar_ins_aecc_CELTINS[[#This Row],[CODIGO]],H:M,5,)</f>
        <v>ETO-PROT278/2024</v>
      </c>
      <c r="H391" s="16">
        <v>7965010004</v>
      </c>
      <c r="I391" s="2">
        <v>79</v>
      </c>
      <c r="J391" s="3">
        <v>45958</v>
      </c>
      <c r="K391" s="3">
        <v>45965</v>
      </c>
      <c r="L391" s="6" t="s">
        <v>513</v>
      </c>
      <c r="M391" s="17">
        <v>45965</v>
      </c>
    </row>
    <row r="392" spans="2:13" x14ac:dyDescent="0.25">
      <c r="B392">
        <v>7957558003</v>
      </c>
      <c r="C392">
        <v>79</v>
      </c>
      <c r="D392" s="1">
        <v>45547</v>
      </c>
      <c r="E392" s="1">
        <v>46277</v>
      </c>
      <c r="F392" s="37" t="str">
        <f>VLOOKUP(revtar_ins_aecc_CELTINS[[#This Row],[CODIGO]],H:M,5,)</f>
        <v>ETO-PROT277/2024</v>
      </c>
      <c r="H392" s="16">
        <v>7929763027</v>
      </c>
      <c r="I392" s="2">
        <v>79</v>
      </c>
      <c r="J392" s="3">
        <v>45958</v>
      </c>
      <c r="K392" s="3">
        <v>45958</v>
      </c>
      <c r="L392" s="6" t="s">
        <v>514</v>
      </c>
      <c r="M392" s="17">
        <v>45965</v>
      </c>
    </row>
    <row r="393" spans="2:13" x14ac:dyDescent="0.25">
      <c r="B393">
        <v>7950004155</v>
      </c>
      <c r="C393">
        <v>79</v>
      </c>
      <c r="D393" s="1">
        <v>45447</v>
      </c>
      <c r="E393" s="1">
        <v>46274</v>
      </c>
      <c r="F393" s="37" t="str">
        <f>VLOOKUP(revtar_ins_aecc_CELTINS[[#This Row],[CODIGO]],H:M,5,)</f>
        <v>ETO-PROT147/2024</v>
      </c>
      <c r="H393" s="16">
        <v>7964803072</v>
      </c>
      <c r="I393" s="2">
        <v>79</v>
      </c>
      <c r="J393" s="3">
        <v>45958</v>
      </c>
      <c r="K393" s="3">
        <v>45958</v>
      </c>
      <c r="L393" s="6" t="s">
        <v>515</v>
      </c>
      <c r="M393" s="17">
        <v>45965</v>
      </c>
    </row>
    <row r="394" spans="2:13" x14ac:dyDescent="0.25">
      <c r="B394">
        <v>7948105221</v>
      </c>
      <c r="C394">
        <v>79</v>
      </c>
      <c r="D394" s="1">
        <v>45442</v>
      </c>
      <c r="E394" s="1">
        <v>46276</v>
      </c>
      <c r="F394" s="37" t="str">
        <f>VLOOKUP(revtar_ins_aecc_CELTINS[[#This Row],[CODIGO]],H:M,5,)</f>
        <v>ETO-PROT141/2024</v>
      </c>
      <c r="H394" s="16">
        <v>7965042063</v>
      </c>
      <c r="I394" s="2">
        <v>79</v>
      </c>
      <c r="J394" s="3">
        <v>45953</v>
      </c>
      <c r="K394" s="3">
        <v>45961</v>
      </c>
      <c r="L394" s="6" t="s">
        <v>516</v>
      </c>
      <c r="M394" s="17">
        <v>45965</v>
      </c>
    </row>
    <row r="395" spans="2:13" x14ac:dyDescent="0.25">
      <c r="B395">
        <v>7954717001</v>
      </c>
      <c r="C395">
        <v>79</v>
      </c>
      <c r="D395" s="1">
        <v>45567</v>
      </c>
      <c r="E395" s="1">
        <v>46234</v>
      </c>
      <c r="F395" s="37" t="str">
        <f>VLOOKUP(revtar_ins_aecc_CELTINS[[#This Row],[CODIGO]],H:M,5,)</f>
        <v>ETO-PROT317/2024</v>
      </c>
      <c r="H395" s="16">
        <v>7962637060</v>
      </c>
      <c r="I395" s="2">
        <v>79</v>
      </c>
      <c r="J395" s="3">
        <v>45955</v>
      </c>
      <c r="K395" s="3">
        <v>45961</v>
      </c>
      <c r="L395" s="6" t="s">
        <v>517</v>
      </c>
      <c r="M395" s="17">
        <v>45965</v>
      </c>
    </row>
    <row r="396" spans="2:13" x14ac:dyDescent="0.25">
      <c r="B396">
        <v>7962052017</v>
      </c>
      <c r="C396">
        <v>79</v>
      </c>
      <c r="D396" s="1">
        <v>45953</v>
      </c>
      <c r="E396" s="1">
        <v>46274</v>
      </c>
      <c r="F396" s="37" t="str">
        <f>VLOOKUP(revtar_ins_aecc_CELTINS[[#This Row],[CODIGO]],H:M,5,)</f>
        <v>ETO-PROT181/2025</v>
      </c>
      <c r="H396" s="16">
        <v>7901279052</v>
      </c>
      <c r="I396" s="2">
        <v>79</v>
      </c>
      <c r="J396" s="3">
        <v>45965</v>
      </c>
      <c r="K396" s="3">
        <v>45965</v>
      </c>
      <c r="L396" s="6" t="s">
        <v>518</v>
      </c>
      <c r="M396" s="17">
        <v>45965</v>
      </c>
    </row>
    <row r="397" spans="2:13" x14ac:dyDescent="0.25">
      <c r="B397">
        <v>7962052017</v>
      </c>
      <c r="C397">
        <v>79</v>
      </c>
      <c r="D397" s="1">
        <v>45967</v>
      </c>
      <c r="E397" s="1">
        <v>46234</v>
      </c>
      <c r="F397" s="37" t="str">
        <f>VLOOKUP(revtar_ins_aecc_CELTINS[[#This Row],[CODIGO]],H:M,5,)</f>
        <v>ETO-PROT181/2025</v>
      </c>
      <c r="H397" s="16">
        <v>7960788036</v>
      </c>
      <c r="I397" s="2">
        <v>79</v>
      </c>
      <c r="J397" s="3">
        <v>45966</v>
      </c>
      <c r="K397" s="3">
        <v>45966</v>
      </c>
      <c r="L397" s="6" t="s">
        <v>519</v>
      </c>
      <c r="M397" s="17">
        <v>45966</v>
      </c>
    </row>
    <row r="398" spans="2:13" x14ac:dyDescent="0.25">
      <c r="B398">
        <v>7957838081</v>
      </c>
      <c r="C398">
        <v>79</v>
      </c>
      <c r="D398" s="1">
        <v>45575</v>
      </c>
      <c r="E398" s="1">
        <v>46274</v>
      </c>
      <c r="F398" s="37" t="str">
        <f>VLOOKUP(revtar_ins_aecc_CELTINS[[#This Row],[CODIGO]],H:M,5,)</f>
        <v>ETO-PROT338/2024</v>
      </c>
      <c r="H398" s="16">
        <v>7960790036</v>
      </c>
      <c r="I398" s="2">
        <v>79</v>
      </c>
      <c r="J398" s="3">
        <v>45966</v>
      </c>
      <c r="K398" s="3">
        <v>45966</v>
      </c>
      <c r="L398" s="6" t="s">
        <v>520</v>
      </c>
      <c r="M398" s="17">
        <v>45966</v>
      </c>
    </row>
    <row r="399" spans="2:13" x14ac:dyDescent="0.25">
      <c r="B399">
        <v>7951844001</v>
      </c>
      <c r="C399">
        <v>79</v>
      </c>
      <c r="D399" s="1">
        <v>45350</v>
      </c>
      <c r="E399" s="1">
        <v>46246</v>
      </c>
      <c r="F399" s="37" t="str">
        <f>VLOOKUP(revtar_ins_aecc_CELTINS[[#This Row],[CODIGO]],H:M,5,)</f>
        <v>ETO-PROT61/2024</v>
      </c>
      <c r="H399" s="16">
        <v>7964815091</v>
      </c>
      <c r="I399" s="2">
        <v>79</v>
      </c>
      <c r="J399" s="3">
        <v>45960</v>
      </c>
      <c r="K399" s="3">
        <v>45961</v>
      </c>
      <c r="L399" s="6" t="s">
        <v>521</v>
      </c>
      <c r="M399" s="17">
        <v>45967</v>
      </c>
    </row>
    <row r="400" spans="2:13" x14ac:dyDescent="0.25">
      <c r="B400">
        <v>7965194065</v>
      </c>
      <c r="C400">
        <v>79</v>
      </c>
      <c r="D400" s="1">
        <v>45961</v>
      </c>
      <c r="E400" s="1">
        <v>46276</v>
      </c>
      <c r="F400" s="37" t="str">
        <f>VLOOKUP(revtar_ins_aecc_CELTINS[[#This Row],[CODIGO]],H:M,5,)</f>
        <v>ETO-PROT13/2026</v>
      </c>
      <c r="H400" s="16">
        <v>7965032004</v>
      </c>
      <c r="I400" s="2">
        <v>79</v>
      </c>
      <c r="J400" s="3">
        <v>45960</v>
      </c>
      <c r="K400" s="3">
        <v>45962</v>
      </c>
      <c r="L400" s="6" t="s">
        <v>522</v>
      </c>
      <c r="M400" s="17">
        <v>45967</v>
      </c>
    </row>
    <row r="401" spans="2:14" x14ac:dyDescent="0.25">
      <c r="B401">
        <v>7954721001</v>
      </c>
      <c r="C401">
        <v>79</v>
      </c>
      <c r="D401" s="1">
        <v>45566</v>
      </c>
      <c r="E401" s="1">
        <v>46234</v>
      </c>
      <c r="F401" s="37" t="str">
        <f>VLOOKUP(revtar_ins_aecc_CELTINS[[#This Row],[CODIGO]],H:M,5,)</f>
        <v>ETO-PROT315/2024</v>
      </c>
      <c r="H401" s="16">
        <v>7926842001</v>
      </c>
      <c r="I401" s="2">
        <v>79</v>
      </c>
      <c r="J401" s="3">
        <v>45960</v>
      </c>
      <c r="K401" s="3">
        <v>45960</v>
      </c>
      <c r="L401" s="6" t="s">
        <v>511</v>
      </c>
      <c r="M401" s="17">
        <v>45967</v>
      </c>
    </row>
    <row r="402" spans="2:14" x14ac:dyDescent="0.25">
      <c r="B402">
        <v>7954748001</v>
      </c>
      <c r="C402">
        <v>79</v>
      </c>
      <c r="D402" s="1">
        <v>45562</v>
      </c>
      <c r="E402" s="1">
        <v>46234</v>
      </c>
      <c r="F402" s="37" t="str">
        <f>VLOOKUP(revtar_ins_aecc_CELTINS[[#This Row],[CODIGO]],H:M,5,)</f>
        <v>ETO-PROT313/2024</v>
      </c>
      <c r="H402" s="16">
        <v>7931611122</v>
      </c>
      <c r="I402" s="2">
        <v>79</v>
      </c>
      <c r="J402" s="3">
        <v>45962</v>
      </c>
      <c r="K402" s="3">
        <v>45962</v>
      </c>
      <c r="L402" s="6" t="s">
        <v>511</v>
      </c>
      <c r="M402" s="17">
        <v>45967</v>
      </c>
    </row>
    <row r="403" spans="2:14" x14ac:dyDescent="0.25">
      <c r="B403">
        <v>7959800122</v>
      </c>
      <c r="C403">
        <v>79</v>
      </c>
      <c r="D403" s="1">
        <v>45778</v>
      </c>
      <c r="E403" s="1">
        <v>46253</v>
      </c>
      <c r="F403" s="37" t="str">
        <f>VLOOKUP(revtar_ins_aecc_CELTINS[[#This Row],[CODIGO]],H:M,5,)</f>
        <v>ETO-PROT170/2025</v>
      </c>
      <c r="H403" s="16">
        <v>7965164065</v>
      </c>
      <c r="I403" s="2">
        <v>79</v>
      </c>
      <c r="J403" s="3">
        <v>45961</v>
      </c>
      <c r="K403" s="3">
        <v>45961</v>
      </c>
      <c r="L403" s="6" t="s">
        <v>523</v>
      </c>
      <c r="M403" s="17">
        <v>45967</v>
      </c>
    </row>
    <row r="404" spans="2:14" x14ac:dyDescent="0.25">
      <c r="B404">
        <v>7958346065</v>
      </c>
      <c r="C404">
        <v>79</v>
      </c>
      <c r="D404" s="1">
        <v>45489</v>
      </c>
      <c r="E404" s="1">
        <v>46276</v>
      </c>
      <c r="F404" s="37" t="s">
        <v>511</v>
      </c>
      <c r="H404" s="16">
        <v>7905358122</v>
      </c>
      <c r="I404" s="2">
        <v>79</v>
      </c>
      <c r="J404" s="3">
        <v>45962</v>
      </c>
      <c r="K404" s="3">
        <v>45962</v>
      </c>
      <c r="L404" s="6" t="s">
        <v>511</v>
      </c>
      <c r="M404" s="17">
        <v>45967</v>
      </c>
    </row>
    <row r="405" spans="2:14" x14ac:dyDescent="0.25">
      <c r="B405">
        <v>7957441077</v>
      </c>
      <c r="C405">
        <v>79</v>
      </c>
      <c r="D405" s="1">
        <v>45616</v>
      </c>
      <c r="E405">
        <v>46275</v>
      </c>
      <c r="F405" s="37" t="s">
        <v>511</v>
      </c>
      <c r="H405" s="16">
        <v>7931619122</v>
      </c>
      <c r="I405" s="2">
        <v>79</v>
      </c>
      <c r="J405" s="3">
        <v>45961</v>
      </c>
      <c r="K405" s="3">
        <v>45962</v>
      </c>
      <c r="L405" s="6" t="s">
        <v>511</v>
      </c>
      <c r="M405" s="17">
        <v>45967</v>
      </c>
    </row>
    <row r="406" spans="2:14" x14ac:dyDescent="0.25">
      <c r="B406">
        <v>7949587113</v>
      </c>
      <c r="C406">
        <v>79</v>
      </c>
      <c r="D406" s="1">
        <v>45484</v>
      </c>
      <c r="E406">
        <v>46272</v>
      </c>
      <c r="F406" s="37" t="s">
        <v>511</v>
      </c>
      <c r="H406" s="16">
        <v>7961143060</v>
      </c>
      <c r="I406" s="2">
        <v>79</v>
      </c>
      <c r="J406" s="3">
        <v>45961</v>
      </c>
      <c r="K406" s="3">
        <v>45966</v>
      </c>
      <c r="L406" s="6" t="s">
        <v>524</v>
      </c>
      <c r="M406" s="17">
        <v>45967</v>
      </c>
    </row>
    <row r="407" spans="2:14" x14ac:dyDescent="0.25">
      <c r="B407">
        <v>7954050193</v>
      </c>
      <c r="C407">
        <v>79</v>
      </c>
      <c r="D407" s="1">
        <v>45329</v>
      </c>
      <c r="E407">
        <v>46262</v>
      </c>
      <c r="F407" s="37" t="s">
        <v>511</v>
      </c>
      <c r="H407" s="16">
        <v>7962837017</v>
      </c>
      <c r="I407" s="2">
        <v>79</v>
      </c>
      <c r="J407" s="3">
        <v>45979</v>
      </c>
      <c r="K407" s="3">
        <v>45979</v>
      </c>
      <c r="L407" s="6" t="s">
        <v>533</v>
      </c>
      <c r="M407" s="17">
        <v>45980</v>
      </c>
    </row>
    <row r="408" spans="2:14" x14ac:dyDescent="0.25">
      <c r="B408">
        <v>7967908086</v>
      </c>
      <c r="C408">
        <v>79</v>
      </c>
      <c r="D408" s="1">
        <v>46161</v>
      </c>
      <c r="E408">
        <v>46176</v>
      </c>
      <c r="F408" s="37" t="s">
        <v>511</v>
      </c>
      <c r="H408" s="16">
        <v>7961675122</v>
      </c>
      <c r="I408" s="2">
        <v>79</v>
      </c>
      <c r="J408" s="3">
        <v>45974</v>
      </c>
      <c r="K408" s="3">
        <v>45975</v>
      </c>
      <c r="L408" s="6" t="s">
        <v>534</v>
      </c>
      <c r="M408" s="17">
        <v>45980</v>
      </c>
    </row>
    <row r="409" spans="2:14" x14ac:dyDescent="0.25">
      <c r="B409">
        <v>7957126085</v>
      </c>
      <c r="C409">
        <v>79</v>
      </c>
      <c r="D409" s="1">
        <v>45574</v>
      </c>
      <c r="E409">
        <v>46277</v>
      </c>
      <c r="F409" s="37" t="s">
        <v>511</v>
      </c>
      <c r="H409" s="16">
        <v>7931612059</v>
      </c>
      <c r="I409" s="2">
        <v>79</v>
      </c>
      <c r="J409" s="3">
        <v>45975</v>
      </c>
      <c r="K409" s="3">
        <v>45979</v>
      </c>
      <c r="L409" s="6" t="s">
        <v>511</v>
      </c>
      <c r="M409" s="17">
        <v>45980</v>
      </c>
    </row>
    <row r="410" spans="2:14" x14ac:dyDescent="0.25">
      <c r="B410">
        <v>7967181127</v>
      </c>
      <c r="C410">
        <v>79</v>
      </c>
      <c r="D410" s="1">
        <v>46043</v>
      </c>
      <c r="E410" s="1">
        <v>46277</v>
      </c>
      <c r="F410" s="37" t="s">
        <v>669</v>
      </c>
      <c r="H410" s="16">
        <v>7951446073</v>
      </c>
      <c r="I410" s="2">
        <v>79</v>
      </c>
      <c r="J410" s="3">
        <v>45945</v>
      </c>
      <c r="K410" s="3">
        <v>45947</v>
      </c>
      <c r="L410" s="6" t="s">
        <v>509</v>
      </c>
      <c r="M410" s="17">
        <v>45953</v>
      </c>
    </row>
    <row r="411" spans="2:14" x14ac:dyDescent="0.25">
      <c r="B411">
        <v>7955572081</v>
      </c>
      <c r="C411">
        <v>79</v>
      </c>
      <c r="D411" s="1">
        <v>45476</v>
      </c>
      <c r="E411" s="1">
        <v>46274</v>
      </c>
      <c r="F411" s="69" t="s">
        <v>670</v>
      </c>
      <c r="H411" s="16">
        <v>7965089045</v>
      </c>
      <c r="I411" s="2">
        <v>79</v>
      </c>
      <c r="J411" s="3">
        <v>45988</v>
      </c>
      <c r="K411" s="3">
        <v>45990</v>
      </c>
      <c r="L411" s="6" t="s">
        <v>538</v>
      </c>
      <c r="M411" s="17">
        <v>45993</v>
      </c>
    </row>
    <row r="412" spans="2:14" x14ac:dyDescent="0.25">
      <c r="B412">
        <v>7955804021</v>
      </c>
      <c r="C412">
        <v>79</v>
      </c>
      <c r="D412" s="1">
        <v>45605</v>
      </c>
      <c r="E412" s="1">
        <v>46261</v>
      </c>
      <c r="F412" s="69" t="s">
        <v>671</v>
      </c>
      <c r="H412" s="16">
        <v>7960923045</v>
      </c>
      <c r="I412" s="2">
        <v>79</v>
      </c>
      <c r="J412" s="3">
        <v>45988</v>
      </c>
      <c r="K412" s="3">
        <v>45990</v>
      </c>
      <c r="L412" s="53" t="s">
        <v>539</v>
      </c>
      <c r="M412" s="17">
        <v>45993</v>
      </c>
    </row>
    <row r="413" spans="2:14" x14ac:dyDescent="0.25">
      <c r="B413">
        <v>7949914001</v>
      </c>
      <c r="C413">
        <v>79</v>
      </c>
      <c r="D413" s="1">
        <v>45448</v>
      </c>
      <c r="E413" s="1">
        <v>46276</v>
      </c>
      <c r="F413" t="s">
        <v>108</v>
      </c>
      <c r="H413" s="16">
        <v>7963508027</v>
      </c>
      <c r="I413" s="2">
        <v>79</v>
      </c>
      <c r="J413" s="3">
        <v>45995</v>
      </c>
      <c r="K413" s="3">
        <v>45996</v>
      </c>
      <c r="L413" s="6" t="s">
        <v>540</v>
      </c>
      <c r="M413" s="17">
        <v>45999</v>
      </c>
    </row>
    <row r="414" spans="2:14" x14ac:dyDescent="0.25">
      <c r="B414">
        <v>7957858079</v>
      </c>
      <c r="C414">
        <v>79</v>
      </c>
      <c r="D414" s="1">
        <v>45615</v>
      </c>
      <c r="E414">
        <v>46272</v>
      </c>
      <c r="F414" t="str">
        <f>VLOOKUP(revtar_ins_aecc_CELTINS[[#This Row],[CODIGO]],H:M,5,)</f>
        <v>ETO-PROT433/2024</v>
      </c>
      <c r="G414" s="2"/>
      <c r="H414" s="16">
        <v>7963521038</v>
      </c>
      <c r="I414" s="2">
        <v>79</v>
      </c>
      <c r="J414" s="3">
        <v>45995</v>
      </c>
      <c r="K414" s="3">
        <v>45996</v>
      </c>
      <c r="L414" s="6" t="s">
        <v>541</v>
      </c>
      <c r="M414" s="17">
        <v>45999</v>
      </c>
      <c r="N414" s="6"/>
    </row>
    <row r="415" spans="2:14" x14ac:dyDescent="0.25">
      <c r="B415">
        <v>7957004076</v>
      </c>
      <c r="C415">
        <v>79</v>
      </c>
      <c r="D415" s="1">
        <v>45589</v>
      </c>
      <c r="E415" s="1">
        <v>46245</v>
      </c>
      <c r="F415" s="37" t="s">
        <v>511</v>
      </c>
      <c r="H415" s="16">
        <v>7965010157</v>
      </c>
      <c r="I415" s="2">
        <v>79</v>
      </c>
      <c r="J415" s="3">
        <v>45958</v>
      </c>
      <c r="K415" s="3">
        <v>46007</v>
      </c>
      <c r="L415" s="6" t="s">
        <v>542</v>
      </c>
      <c r="M415" s="17">
        <v>46013</v>
      </c>
    </row>
    <row r="416" spans="2:14" x14ac:dyDescent="0.25">
      <c r="B416">
        <v>7952138122</v>
      </c>
      <c r="C416">
        <v>79</v>
      </c>
      <c r="D416" s="1">
        <v>45377</v>
      </c>
      <c r="E416" s="1">
        <v>46252</v>
      </c>
      <c r="F416" s="37" t="s">
        <v>511</v>
      </c>
      <c r="H416" s="16">
        <v>7963500031</v>
      </c>
      <c r="I416" s="2">
        <v>79</v>
      </c>
      <c r="J416" s="3">
        <v>46003</v>
      </c>
      <c r="K416" s="3">
        <v>46006</v>
      </c>
      <c r="L416" s="6" t="s">
        <v>543</v>
      </c>
      <c r="M416" s="17">
        <v>46013</v>
      </c>
    </row>
    <row r="417" spans="2:14" x14ac:dyDescent="0.25">
      <c r="B417">
        <v>7952416122</v>
      </c>
      <c r="C417">
        <v>79</v>
      </c>
      <c r="D417" s="1">
        <v>45377</v>
      </c>
      <c r="E417" s="1">
        <v>46252</v>
      </c>
      <c r="F417" s="37" t="s">
        <v>511</v>
      </c>
      <c r="H417" s="16">
        <v>7962635060</v>
      </c>
      <c r="I417" s="2">
        <v>79</v>
      </c>
      <c r="J417" s="3">
        <v>46003</v>
      </c>
      <c r="K417" s="3">
        <v>46003</v>
      </c>
      <c r="L417" s="6" t="s">
        <v>544</v>
      </c>
      <c r="M417" s="17">
        <v>46013</v>
      </c>
    </row>
    <row r="418" spans="2:14" x14ac:dyDescent="0.25">
      <c r="B418">
        <v>7957721078</v>
      </c>
      <c r="C418">
        <v>79</v>
      </c>
      <c r="D418" s="1">
        <v>45622</v>
      </c>
      <c r="E418" s="1">
        <v>46272</v>
      </c>
      <c r="F418" s="69" t="s">
        <v>511</v>
      </c>
      <c r="H418" s="16">
        <v>7962734119</v>
      </c>
      <c r="I418" s="2">
        <v>79</v>
      </c>
      <c r="J418" s="3">
        <v>46018</v>
      </c>
      <c r="K418" s="3">
        <v>46019</v>
      </c>
      <c r="L418" s="6" t="s">
        <v>545</v>
      </c>
      <c r="M418" s="17">
        <v>46029</v>
      </c>
    </row>
    <row r="419" spans="2:14" x14ac:dyDescent="0.25">
      <c r="B419">
        <v>7960498009</v>
      </c>
      <c r="C419">
        <v>79</v>
      </c>
      <c r="D419" s="1">
        <v>45825</v>
      </c>
      <c r="E419" s="1">
        <v>46276</v>
      </c>
      <c r="F419" s="69" t="s">
        <v>511</v>
      </c>
      <c r="H419" s="65">
        <v>7952228122</v>
      </c>
      <c r="I419" s="66">
        <v>79</v>
      </c>
      <c r="J419" s="67">
        <v>46029</v>
      </c>
      <c r="K419" s="67">
        <v>46029</v>
      </c>
      <c r="L419" s="97" t="s">
        <v>546</v>
      </c>
      <c r="M419" s="68">
        <v>46030</v>
      </c>
    </row>
    <row r="420" spans="2:14" x14ac:dyDescent="0.25">
      <c r="B420">
        <v>7950870127</v>
      </c>
      <c r="C420">
        <v>79</v>
      </c>
      <c r="D420" s="1">
        <v>46043</v>
      </c>
      <c r="E420">
        <v>46277</v>
      </c>
      <c r="F420"/>
      <c r="H420" s="111">
        <v>7965194065</v>
      </c>
      <c r="I420" s="112">
        <v>79</v>
      </c>
      <c r="J420" s="113">
        <v>45961</v>
      </c>
      <c r="K420" s="113">
        <v>46036</v>
      </c>
      <c r="L420" s="114" t="s">
        <v>548</v>
      </c>
      <c r="M420" s="115">
        <v>46038</v>
      </c>
      <c r="N420" s="99" t="s">
        <v>547</v>
      </c>
    </row>
    <row r="421" spans="2:14" x14ac:dyDescent="0.25">
      <c r="B421">
        <v>7953570026</v>
      </c>
      <c r="C421">
        <v>79</v>
      </c>
      <c r="D421" s="1">
        <v>45772</v>
      </c>
      <c r="E421">
        <v>46277</v>
      </c>
      <c r="F421"/>
      <c r="H421" s="11">
        <v>7967182124</v>
      </c>
      <c r="I421" s="12">
        <v>79</v>
      </c>
      <c r="J421" s="13">
        <v>46040</v>
      </c>
      <c r="K421" s="13">
        <v>46042</v>
      </c>
      <c r="L421" s="29" t="s">
        <v>550</v>
      </c>
      <c r="M421" s="15">
        <v>46042</v>
      </c>
      <c r="N421" s="99" t="s">
        <v>549</v>
      </c>
    </row>
    <row r="422" spans="2:14" x14ac:dyDescent="0.25">
      <c r="B422">
        <v>7948140088</v>
      </c>
      <c r="C422">
        <v>79</v>
      </c>
      <c r="D422" s="1">
        <v>45442</v>
      </c>
      <c r="E422">
        <v>46276</v>
      </c>
      <c r="F422"/>
      <c r="H422" s="16">
        <v>7965013080</v>
      </c>
      <c r="I422" s="2">
        <v>79</v>
      </c>
      <c r="J422" s="3">
        <v>46043</v>
      </c>
      <c r="K422" s="3">
        <v>46044</v>
      </c>
      <c r="L422" s="6" t="s">
        <v>551</v>
      </c>
      <c r="M422" s="17">
        <v>46045</v>
      </c>
      <c r="N422" s="99" t="s">
        <v>549</v>
      </c>
    </row>
    <row r="423" spans="2:14" x14ac:dyDescent="0.25">
      <c r="B423">
        <v>7953695077</v>
      </c>
      <c r="C423">
        <v>79</v>
      </c>
      <c r="D423" s="1">
        <v>45350</v>
      </c>
      <c r="E423">
        <v>46278</v>
      </c>
      <c r="F423"/>
      <c r="H423" s="16">
        <v>7956805053</v>
      </c>
      <c r="I423" s="2">
        <v>79</v>
      </c>
      <c r="J423" s="3">
        <v>46043</v>
      </c>
      <c r="K423" s="3">
        <v>46044</v>
      </c>
      <c r="L423" s="6" t="s">
        <v>552</v>
      </c>
      <c r="M423" s="17">
        <v>46045</v>
      </c>
      <c r="N423" s="99" t="s">
        <v>549</v>
      </c>
    </row>
    <row r="424" spans="2:14" x14ac:dyDescent="0.25">
      <c r="B424">
        <v>7957920111</v>
      </c>
      <c r="C424">
        <v>79</v>
      </c>
      <c r="D424" s="1">
        <v>45549</v>
      </c>
      <c r="E424">
        <v>46261</v>
      </c>
      <c r="F424"/>
      <c r="H424" s="65">
        <v>7967181127</v>
      </c>
      <c r="I424" s="66">
        <v>79</v>
      </c>
      <c r="J424" s="67">
        <v>46043</v>
      </c>
      <c r="K424" s="67">
        <v>46043</v>
      </c>
      <c r="L424" s="97" t="s">
        <v>553</v>
      </c>
      <c r="M424" s="68">
        <v>46045</v>
      </c>
      <c r="N424" s="99" t="s">
        <v>549</v>
      </c>
    </row>
    <row r="425" spans="2:14" x14ac:dyDescent="0.25">
      <c r="B425">
        <v>7957622153</v>
      </c>
      <c r="C425">
        <v>79</v>
      </c>
      <c r="D425" s="1">
        <v>45483</v>
      </c>
      <c r="E425">
        <v>46261</v>
      </c>
      <c r="F425"/>
      <c r="H425" s="11">
        <v>7963997027</v>
      </c>
      <c r="I425" s="12">
        <v>79</v>
      </c>
      <c r="J425" s="13">
        <v>46047</v>
      </c>
      <c r="K425" s="13">
        <v>46047</v>
      </c>
      <c r="L425" s="29" t="s">
        <v>555</v>
      </c>
      <c r="M425" s="15">
        <v>46051</v>
      </c>
      <c r="N425" s="99" t="s">
        <v>549</v>
      </c>
    </row>
    <row r="426" spans="2:14" x14ac:dyDescent="0.25">
      <c r="B426">
        <v>7958549025</v>
      </c>
      <c r="C426">
        <v>79</v>
      </c>
      <c r="D426" s="1">
        <v>45715</v>
      </c>
      <c r="E426">
        <v>46276</v>
      </c>
      <c r="F426"/>
      <c r="H426" s="65">
        <v>7963661046</v>
      </c>
      <c r="I426" s="66">
        <v>79</v>
      </c>
      <c r="J426" s="67">
        <v>46050</v>
      </c>
      <c r="K426" s="67">
        <v>46050</v>
      </c>
      <c r="L426" s="97" t="s">
        <v>556</v>
      </c>
      <c r="M426" s="68">
        <v>46052</v>
      </c>
      <c r="N426" s="99" t="s">
        <v>549</v>
      </c>
    </row>
    <row r="427" spans="2:14" x14ac:dyDescent="0.25">
      <c r="B427">
        <v>7953570026</v>
      </c>
      <c r="C427">
        <v>79</v>
      </c>
      <c r="D427" s="1">
        <v>45632</v>
      </c>
      <c r="E427">
        <v>46277</v>
      </c>
      <c r="F427"/>
      <c r="H427" s="11">
        <v>7965133015</v>
      </c>
      <c r="I427" s="12">
        <v>79</v>
      </c>
      <c r="J427" s="13">
        <v>46063</v>
      </c>
      <c r="K427" s="13">
        <v>46063</v>
      </c>
      <c r="L427" s="29" t="s">
        <v>559</v>
      </c>
      <c r="M427" s="15">
        <v>45698</v>
      </c>
      <c r="N427" s="99" t="s">
        <v>549</v>
      </c>
    </row>
    <row r="428" spans="2:14" x14ac:dyDescent="0.25">
      <c r="B428">
        <v>7962635060</v>
      </c>
      <c r="C428">
        <v>79</v>
      </c>
      <c r="D428" s="1">
        <v>46003</v>
      </c>
      <c r="E428">
        <v>46275</v>
      </c>
      <c r="F428"/>
      <c r="H428" s="16">
        <v>7962821013</v>
      </c>
      <c r="I428" s="2">
        <v>79</v>
      </c>
      <c r="J428" s="3">
        <v>46063</v>
      </c>
      <c r="K428" s="3">
        <v>46063</v>
      </c>
      <c r="L428" s="6" t="s">
        <v>560</v>
      </c>
      <c r="M428" s="17">
        <v>45699</v>
      </c>
      <c r="N428" s="99" t="s">
        <v>549</v>
      </c>
    </row>
    <row r="429" spans="2:14" x14ac:dyDescent="0.25">
      <c r="B429">
        <v>7955211004</v>
      </c>
      <c r="C429">
        <v>79</v>
      </c>
      <c r="D429" s="1">
        <v>45561</v>
      </c>
      <c r="E429">
        <v>46275</v>
      </c>
      <c r="F429"/>
      <c r="H429" s="16">
        <v>7924115034</v>
      </c>
      <c r="I429" s="2">
        <v>79</v>
      </c>
      <c r="J429" s="3">
        <v>46063</v>
      </c>
      <c r="K429" s="3">
        <v>46064</v>
      </c>
      <c r="L429" s="6" t="s">
        <v>511</v>
      </c>
      <c r="M429" s="17">
        <v>45699</v>
      </c>
      <c r="N429" s="99" t="s">
        <v>561</v>
      </c>
    </row>
    <row r="430" spans="2:14" x14ac:dyDescent="0.25">
      <c r="B430">
        <v>7961143060</v>
      </c>
      <c r="C430">
        <v>79</v>
      </c>
      <c r="D430" s="1">
        <v>45961</v>
      </c>
      <c r="E430">
        <v>46276</v>
      </c>
      <c r="F430"/>
      <c r="H430" s="16">
        <v>7919270014</v>
      </c>
      <c r="I430" s="2">
        <v>79</v>
      </c>
      <c r="J430" s="3">
        <v>46077</v>
      </c>
      <c r="K430" s="3">
        <v>46077</v>
      </c>
      <c r="L430" s="6" t="s">
        <v>593</v>
      </c>
      <c r="M430" s="17">
        <v>45713</v>
      </c>
      <c r="N430" s="99" t="s">
        <v>547</v>
      </c>
    </row>
    <row r="431" spans="2:14" x14ac:dyDescent="0.25">
      <c r="B431">
        <v>7952401151</v>
      </c>
      <c r="C431">
        <v>79</v>
      </c>
      <c r="D431" s="1">
        <v>45473</v>
      </c>
      <c r="E431">
        <v>46278</v>
      </c>
      <c r="F431"/>
      <c r="H431" s="65">
        <v>7963511038</v>
      </c>
      <c r="I431" s="66">
        <v>79</v>
      </c>
      <c r="J431" s="67">
        <v>46089</v>
      </c>
      <c r="K431" s="67">
        <v>46092</v>
      </c>
      <c r="L431" s="97" t="s">
        <v>599</v>
      </c>
      <c r="M431" s="68">
        <v>46092</v>
      </c>
      <c r="N431" s="99" t="s">
        <v>561</v>
      </c>
    </row>
    <row r="432" spans="2:14" x14ac:dyDescent="0.25">
      <c r="B432">
        <v>7964802072</v>
      </c>
      <c r="C432">
        <v>79</v>
      </c>
      <c r="D432" s="1">
        <v>45939</v>
      </c>
      <c r="E432">
        <v>46261</v>
      </c>
      <c r="F432"/>
      <c r="H432" s="2">
        <v>7963253008</v>
      </c>
      <c r="I432" s="2">
        <v>79</v>
      </c>
      <c r="J432" s="3">
        <v>46101</v>
      </c>
      <c r="K432" s="3">
        <v>46101</v>
      </c>
      <c r="L432" s="6" t="s">
        <v>608</v>
      </c>
      <c r="M432" s="3">
        <v>46104</v>
      </c>
      <c r="N432" s="99" t="s">
        <v>549</v>
      </c>
    </row>
    <row r="433" spans="2:14" x14ac:dyDescent="0.25">
      <c r="B433">
        <v>7955357022</v>
      </c>
      <c r="C433">
        <v>79</v>
      </c>
      <c r="D433" s="1">
        <v>45519</v>
      </c>
      <c r="E433">
        <v>46277</v>
      </c>
      <c r="F433"/>
      <c r="H433" s="2">
        <v>7960070001</v>
      </c>
      <c r="I433" s="2">
        <v>79</v>
      </c>
      <c r="J433" s="3">
        <v>46095</v>
      </c>
      <c r="K433" s="3">
        <v>46098</v>
      </c>
      <c r="L433" s="6" t="s">
        <v>607</v>
      </c>
      <c r="M433" s="3">
        <v>46104</v>
      </c>
      <c r="N433" s="99" t="s">
        <v>549</v>
      </c>
    </row>
    <row r="434" spans="2:14" x14ac:dyDescent="0.25">
      <c r="B434">
        <v>7955914059</v>
      </c>
      <c r="C434">
        <v>79</v>
      </c>
      <c r="D434" s="1">
        <v>45605</v>
      </c>
      <c r="E434">
        <v>46278</v>
      </c>
      <c r="F434"/>
      <c r="H434" s="2">
        <v>7954395015</v>
      </c>
      <c r="I434" s="2">
        <v>79</v>
      </c>
      <c r="J434" s="3">
        <v>46114</v>
      </c>
      <c r="K434" s="3">
        <v>46115</v>
      </c>
      <c r="L434" s="6" t="s">
        <v>623</v>
      </c>
      <c r="M434" s="3">
        <v>46118</v>
      </c>
      <c r="N434" s="99" t="s">
        <v>549</v>
      </c>
    </row>
    <row r="435" spans="2:14" x14ac:dyDescent="0.25">
      <c r="B435">
        <v>7956924006</v>
      </c>
      <c r="C435">
        <v>79</v>
      </c>
      <c r="D435" s="1">
        <v>45605</v>
      </c>
      <c r="E435">
        <v>46277</v>
      </c>
      <c r="F435"/>
      <c r="H435" s="2">
        <v>7968003001</v>
      </c>
      <c r="I435" s="2">
        <v>79</v>
      </c>
      <c r="J435" s="3">
        <v>46112</v>
      </c>
      <c r="K435" s="3">
        <v>46112</v>
      </c>
      <c r="L435" s="6" t="s">
        <v>624</v>
      </c>
      <c r="M435" s="3">
        <v>46118</v>
      </c>
      <c r="N435" s="99" t="s">
        <v>549</v>
      </c>
    </row>
    <row r="436" spans="2:14" x14ac:dyDescent="0.25">
      <c r="B436">
        <v>7958319136</v>
      </c>
      <c r="C436">
        <v>79</v>
      </c>
      <c r="D436" s="1">
        <v>45454</v>
      </c>
      <c r="E436">
        <v>46277</v>
      </c>
      <c r="F436"/>
      <c r="H436" s="2">
        <v>7968002001</v>
      </c>
      <c r="I436" s="2">
        <v>79</v>
      </c>
      <c r="J436" s="3">
        <v>46112</v>
      </c>
      <c r="K436" s="3">
        <v>46115</v>
      </c>
      <c r="L436" s="6" t="s">
        <v>626</v>
      </c>
      <c r="M436" s="3">
        <v>46118</v>
      </c>
      <c r="N436" s="99" t="s">
        <v>549</v>
      </c>
    </row>
    <row r="437" spans="2:14" x14ac:dyDescent="0.25">
      <c r="B437">
        <v>7957882153</v>
      </c>
      <c r="C437">
        <v>79</v>
      </c>
      <c r="D437" s="1">
        <v>45546</v>
      </c>
      <c r="E437">
        <v>46261</v>
      </c>
      <c r="F437"/>
      <c r="H437" s="2">
        <v>7967908086</v>
      </c>
      <c r="I437" s="2">
        <v>79</v>
      </c>
      <c r="J437" s="3">
        <v>46161</v>
      </c>
      <c r="K437" s="3">
        <v>46161</v>
      </c>
      <c r="L437" s="6" t="s">
        <v>648</v>
      </c>
      <c r="M437" s="3">
        <v>46161</v>
      </c>
      <c r="N437" s="99" t="s">
        <v>549</v>
      </c>
    </row>
    <row r="438" spans="2:14" x14ac:dyDescent="0.25">
      <c r="B438">
        <v>7961325003</v>
      </c>
      <c r="C438">
        <v>79</v>
      </c>
      <c r="D438" s="1">
        <v>45938</v>
      </c>
      <c r="E438">
        <v>46267</v>
      </c>
      <c r="F438"/>
      <c r="H438" s="2">
        <v>7908683122</v>
      </c>
      <c r="I438" s="2">
        <v>79</v>
      </c>
      <c r="J438" s="3">
        <v>46146</v>
      </c>
      <c r="K438" s="3">
        <v>46161</v>
      </c>
      <c r="L438" s="6" t="s">
        <v>649</v>
      </c>
      <c r="M438" s="3">
        <v>46153</v>
      </c>
      <c r="N438" s="99" t="s">
        <v>547</v>
      </c>
    </row>
    <row r="439" spans="2:14" x14ac:dyDescent="0.25">
      <c r="B439">
        <v>7942707040</v>
      </c>
      <c r="C439">
        <v>79</v>
      </c>
      <c r="D439" s="1">
        <v>45486</v>
      </c>
      <c r="E439">
        <v>46276</v>
      </c>
      <c r="F439"/>
      <c r="H439" s="2">
        <v>796790808</v>
      </c>
      <c r="I439" s="2">
        <v>79</v>
      </c>
      <c r="J439" s="3">
        <v>46177</v>
      </c>
      <c r="K439" s="3">
        <v>46177</v>
      </c>
      <c r="L439" s="6" t="s">
        <v>657</v>
      </c>
      <c r="M439" s="3">
        <v>46183</v>
      </c>
    </row>
    <row r="440" spans="2:14" x14ac:dyDescent="0.25">
      <c r="B440">
        <v>7955586111</v>
      </c>
      <c r="C440">
        <v>79</v>
      </c>
      <c r="D440" s="1">
        <v>45496</v>
      </c>
      <c r="E440">
        <v>46261</v>
      </c>
      <c r="F440"/>
      <c r="H440" s="2">
        <v>7968310155</v>
      </c>
      <c r="I440" s="2">
        <v>79</v>
      </c>
      <c r="J440" s="3">
        <v>46170</v>
      </c>
      <c r="K440" s="3">
        <v>46182</v>
      </c>
      <c r="L440" s="6" t="s">
        <v>658</v>
      </c>
      <c r="M440" s="3">
        <v>46183</v>
      </c>
    </row>
    <row r="441" spans="2:14" x14ac:dyDescent="0.25">
      <c r="B441">
        <v>7955882060</v>
      </c>
      <c r="C441">
        <v>79</v>
      </c>
      <c r="D441" s="1">
        <v>45549</v>
      </c>
      <c r="E441">
        <v>46275</v>
      </c>
      <c r="F441"/>
      <c r="H441" s="2">
        <v>7968058001</v>
      </c>
      <c r="I441" s="2">
        <v>79</v>
      </c>
      <c r="J441" s="3">
        <v>46174</v>
      </c>
      <c r="K441" s="3">
        <v>46174</v>
      </c>
      <c r="L441" s="6" t="s">
        <v>659</v>
      </c>
      <c r="M441" s="3">
        <v>46183</v>
      </c>
    </row>
    <row r="442" spans="2:14" x14ac:dyDescent="0.25">
      <c r="B442">
        <v>7956805053</v>
      </c>
      <c r="C442">
        <v>79</v>
      </c>
      <c r="D442" s="1">
        <v>46043</v>
      </c>
      <c r="E442">
        <v>46277</v>
      </c>
      <c r="F442"/>
      <c r="H442" s="2">
        <v>7928466004</v>
      </c>
      <c r="I442" s="2">
        <v>79</v>
      </c>
      <c r="J442" s="3">
        <v>46178</v>
      </c>
      <c r="K442" s="3">
        <v>46182</v>
      </c>
      <c r="L442" s="6" t="s">
        <v>511</v>
      </c>
      <c r="M442" s="3">
        <v>46183</v>
      </c>
    </row>
    <row r="443" spans="2:14" x14ac:dyDescent="0.25">
      <c r="B443">
        <v>7955731003</v>
      </c>
      <c r="C443">
        <v>79</v>
      </c>
      <c r="D443" s="1">
        <v>45561</v>
      </c>
      <c r="E443">
        <v>46267</v>
      </c>
      <c r="F443"/>
      <c r="H443" s="2">
        <v>7925873193</v>
      </c>
      <c r="I443" s="2">
        <v>79</v>
      </c>
      <c r="J443" s="3">
        <v>45897</v>
      </c>
      <c r="K443" s="3">
        <v>46177</v>
      </c>
      <c r="L443" s="6" t="s">
        <v>511</v>
      </c>
      <c r="M443" s="3">
        <v>46183</v>
      </c>
    </row>
    <row r="444" spans="2:14" x14ac:dyDescent="0.25">
      <c r="B444">
        <v>7960798037</v>
      </c>
      <c r="C444">
        <v>79</v>
      </c>
      <c r="D444" s="1">
        <v>45931</v>
      </c>
      <c r="E444">
        <v>46276</v>
      </c>
      <c r="F444"/>
      <c r="H444" s="2">
        <v>7936134193</v>
      </c>
      <c r="I444" s="2">
        <v>79</v>
      </c>
      <c r="J444" s="3">
        <v>45582</v>
      </c>
      <c r="K444" s="3">
        <v>46177</v>
      </c>
      <c r="L444" s="6" t="s">
        <v>511</v>
      </c>
      <c r="M444" s="3">
        <v>46183</v>
      </c>
    </row>
    <row r="445" spans="2:14" x14ac:dyDescent="0.25">
      <c r="B445">
        <v>7940868065</v>
      </c>
      <c r="C445">
        <v>79</v>
      </c>
      <c r="D445" s="1">
        <v>45967</v>
      </c>
      <c r="E445">
        <v>46276</v>
      </c>
      <c r="F445"/>
      <c r="H445" s="2">
        <v>7900618193</v>
      </c>
      <c r="I445" s="2">
        <v>79</v>
      </c>
      <c r="J445" s="3">
        <v>45751</v>
      </c>
      <c r="K445" s="3">
        <v>46177</v>
      </c>
      <c r="L445" s="6" t="s">
        <v>511</v>
      </c>
      <c r="M445" s="3">
        <v>46183</v>
      </c>
    </row>
    <row r="446" spans="2:14" x14ac:dyDescent="0.25">
      <c r="B446">
        <v>7956003081</v>
      </c>
      <c r="C446">
        <v>79</v>
      </c>
      <c r="D446" s="1">
        <v>45967</v>
      </c>
      <c r="E446">
        <v>46276</v>
      </c>
      <c r="F446"/>
      <c r="H446" s="2">
        <v>7956399193</v>
      </c>
      <c r="I446" s="2">
        <v>79</v>
      </c>
      <c r="J446" s="3">
        <v>45659</v>
      </c>
      <c r="K446" s="3">
        <v>46177</v>
      </c>
      <c r="L446" s="6" t="s">
        <v>511</v>
      </c>
      <c r="M446" s="3">
        <v>46183</v>
      </c>
    </row>
    <row r="447" spans="2:14" x14ac:dyDescent="0.25">
      <c r="B447">
        <v>7957465048</v>
      </c>
      <c r="C447">
        <v>79</v>
      </c>
      <c r="D447" s="1">
        <v>45622</v>
      </c>
      <c r="E447">
        <v>46276</v>
      </c>
      <c r="F447"/>
      <c r="H447" s="2">
        <v>7966727004</v>
      </c>
      <c r="I447" s="2">
        <v>79</v>
      </c>
      <c r="J447" s="3">
        <v>46203</v>
      </c>
      <c r="K447" s="3">
        <v>46205</v>
      </c>
      <c r="L447" s="6" t="s">
        <v>663</v>
      </c>
      <c r="M447" s="3">
        <v>46209</v>
      </c>
    </row>
    <row r="448" spans="2:14" x14ac:dyDescent="0.25">
      <c r="B448">
        <v>7955395085</v>
      </c>
      <c r="C448">
        <v>79</v>
      </c>
      <c r="D448" s="1">
        <v>45469</v>
      </c>
      <c r="E448">
        <v>46278</v>
      </c>
      <c r="F448"/>
      <c r="H448" s="2">
        <v>7966500001</v>
      </c>
      <c r="I448" s="2">
        <v>79</v>
      </c>
      <c r="J448" s="3">
        <v>46220</v>
      </c>
      <c r="K448" s="3">
        <v>46234</v>
      </c>
      <c r="L448" s="6" t="s">
        <v>666</v>
      </c>
      <c r="M448" s="3">
        <v>46240</v>
      </c>
      <c r="N448" s="99" t="s">
        <v>549</v>
      </c>
    </row>
    <row r="449" spans="2:14" x14ac:dyDescent="0.25">
      <c r="B449">
        <v>7959680004</v>
      </c>
      <c r="C449">
        <v>79</v>
      </c>
      <c r="D449" s="1">
        <v>45902</v>
      </c>
      <c r="E449">
        <v>46234</v>
      </c>
      <c r="F449"/>
      <c r="H449" s="2">
        <v>7964408059</v>
      </c>
      <c r="I449" s="2">
        <v>79</v>
      </c>
      <c r="J449" s="3">
        <v>46220</v>
      </c>
      <c r="K449" s="3">
        <v>46228</v>
      </c>
      <c r="L449" s="6" t="s">
        <v>667</v>
      </c>
      <c r="M449" s="3">
        <v>46240</v>
      </c>
      <c r="N449" s="99" t="s">
        <v>549</v>
      </c>
    </row>
    <row r="450" spans="2:14" x14ac:dyDescent="0.25">
      <c r="B450">
        <v>7957042154</v>
      </c>
      <c r="C450">
        <v>79</v>
      </c>
      <c r="D450" s="1">
        <v>45622</v>
      </c>
      <c r="E450">
        <v>45659</v>
      </c>
      <c r="F450"/>
      <c r="H450" s="2">
        <v>7965487122</v>
      </c>
      <c r="I450" s="2">
        <v>79</v>
      </c>
      <c r="J450" s="3">
        <v>46228</v>
      </c>
      <c r="K450" s="3">
        <v>46238</v>
      </c>
      <c r="L450" s="6" t="s">
        <v>668</v>
      </c>
      <c r="M450" s="3">
        <v>46240</v>
      </c>
      <c r="N450" s="99" t="s">
        <v>549</v>
      </c>
    </row>
    <row r="451" spans="2:14" x14ac:dyDescent="0.25">
      <c r="B451">
        <v>7955539039</v>
      </c>
      <c r="C451">
        <v>79</v>
      </c>
      <c r="D451" s="1">
        <v>45512</v>
      </c>
      <c r="E451">
        <v>46269</v>
      </c>
      <c r="F451"/>
      <c r="H451" s="2">
        <v>7964751038</v>
      </c>
      <c r="I451" s="2">
        <v>79</v>
      </c>
      <c r="J451" s="3">
        <v>46245</v>
      </c>
      <c r="K451" s="3">
        <v>46249</v>
      </c>
      <c r="L451" s="6" t="s">
        <v>674</v>
      </c>
      <c r="M451" s="3">
        <v>46262</v>
      </c>
      <c r="N451" s="99" t="s">
        <v>549</v>
      </c>
    </row>
    <row r="452" spans="2:14" x14ac:dyDescent="0.25">
      <c r="B452">
        <v>7957822039</v>
      </c>
      <c r="C452">
        <v>79</v>
      </c>
      <c r="D452" s="1">
        <v>45570</v>
      </c>
      <c r="E452">
        <v>46277</v>
      </c>
      <c r="F452"/>
      <c r="H452" s="2">
        <v>7936503003</v>
      </c>
      <c r="I452" s="2">
        <v>79</v>
      </c>
      <c r="J452" s="3">
        <v>46241</v>
      </c>
      <c r="K452" s="3">
        <v>46262</v>
      </c>
      <c r="L452" s="6" t="s">
        <v>675</v>
      </c>
      <c r="M452" s="3">
        <v>46266</v>
      </c>
      <c r="N452" s="99" t="s">
        <v>677</v>
      </c>
    </row>
    <row r="453" spans="2:14" ht="30" x14ac:dyDescent="0.25">
      <c r="B453">
        <v>7957762039</v>
      </c>
      <c r="C453">
        <v>79</v>
      </c>
      <c r="D453" s="1">
        <v>45625</v>
      </c>
      <c r="E453">
        <v>46275</v>
      </c>
      <c r="F453"/>
      <c r="H453" s="2">
        <v>7960870193</v>
      </c>
      <c r="I453" s="2">
        <v>79</v>
      </c>
      <c r="J453" s="3">
        <v>45842</v>
      </c>
      <c r="K453" s="3">
        <v>46262</v>
      </c>
      <c r="L453" s="6" t="s">
        <v>676</v>
      </c>
      <c r="M453" s="3">
        <v>46266</v>
      </c>
      <c r="N453" s="99" t="s">
        <v>677</v>
      </c>
    </row>
    <row r="454" spans="2:14" x14ac:dyDescent="0.25">
      <c r="B454">
        <v>7958324004</v>
      </c>
      <c r="C454">
        <v>79</v>
      </c>
      <c r="D454" s="1">
        <v>45478</v>
      </c>
      <c r="E454">
        <v>46260</v>
      </c>
      <c r="F454"/>
      <c r="H454" s="2">
        <v>7968170035</v>
      </c>
      <c r="I454" s="2">
        <v>79</v>
      </c>
      <c r="J454" s="3">
        <v>46269</v>
      </c>
      <c r="K454" s="3">
        <v>46271</v>
      </c>
      <c r="L454" s="6" t="s">
        <v>684</v>
      </c>
      <c r="M454" s="3">
        <v>46275</v>
      </c>
      <c r="N454" s="99" t="s">
        <v>549</v>
      </c>
    </row>
    <row r="455" spans="2:14" x14ac:dyDescent="0.25">
      <c r="B455">
        <v>7955546065</v>
      </c>
      <c r="C455">
        <v>79</v>
      </c>
      <c r="D455" s="1">
        <v>45570</v>
      </c>
      <c r="E455">
        <v>46277</v>
      </c>
      <c r="F455"/>
      <c r="H455" s="2">
        <v>7965546023</v>
      </c>
      <c r="I455" s="2">
        <v>79</v>
      </c>
      <c r="J455" s="3">
        <v>46267</v>
      </c>
      <c r="K455" s="3">
        <v>46274</v>
      </c>
      <c r="L455" s="6" t="s">
        <v>685</v>
      </c>
      <c r="M455" s="3">
        <v>46275</v>
      </c>
      <c r="N455" s="99" t="s">
        <v>549</v>
      </c>
    </row>
    <row r="456" spans="2:14" x14ac:dyDescent="0.25">
      <c r="B456">
        <v>7955839063</v>
      </c>
      <c r="C456">
        <v>79</v>
      </c>
      <c r="D456" s="1">
        <v>45539</v>
      </c>
      <c r="E456">
        <v>46261</v>
      </c>
      <c r="F456"/>
      <c r="H456" s="2">
        <v>7968259023</v>
      </c>
      <c r="I456" s="2">
        <v>79</v>
      </c>
      <c r="J456" s="3">
        <v>46267</v>
      </c>
      <c r="K456" s="3">
        <v>46274</v>
      </c>
      <c r="L456" s="6" t="s">
        <v>686</v>
      </c>
      <c r="M456" s="3">
        <v>46275</v>
      </c>
      <c r="N456" s="99" t="s">
        <v>549</v>
      </c>
    </row>
    <row r="457" spans="2:14" x14ac:dyDescent="0.25">
      <c r="B457">
        <v>7954481004</v>
      </c>
      <c r="C457">
        <v>79</v>
      </c>
      <c r="D457" s="1">
        <v>45540</v>
      </c>
      <c r="E457">
        <v>46277</v>
      </c>
      <c r="F457"/>
      <c r="H457" s="2">
        <v>7966453059</v>
      </c>
      <c r="I457" s="2">
        <v>79</v>
      </c>
      <c r="J457" s="3">
        <v>46267</v>
      </c>
      <c r="K457" s="3">
        <v>46267</v>
      </c>
      <c r="L457" s="6" t="s">
        <v>687</v>
      </c>
      <c r="M457" s="3">
        <v>46275</v>
      </c>
      <c r="N457" s="99" t="s">
        <v>549</v>
      </c>
    </row>
    <row r="458" spans="2:14" x14ac:dyDescent="0.25">
      <c r="B458">
        <v>7965010157</v>
      </c>
      <c r="C458">
        <v>79</v>
      </c>
      <c r="D458" s="1">
        <v>45958</v>
      </c>
      <c r="E458">
        <v>46276</v>
      </c>
      <c r="F458"/>
      <c r="H458" s="2">
        <v>7925873193</v>
      </c>
      <c r="I458" s="2">
        <v>79</v>
      </c>
      <c r="J458" s="3">
        <v>45897</v>
      </c>
      <c r="K458" s="3">
        <v>46262</v>
      </c>
      <c r="L458" s="6" t="s">
        <v>511</v>
      </c>
      <c r="M458" s="3">
        <v>46275</v>
      </c>
      <c r="N458" s="99" t="s">
        <v>561</v>
      </c>
    </row>
    <row r="459" spans="2:14" x14ac:dyDescent="0.25">
      <c r="B459">
        <v>7954516026</v>
      </c>
      <c r="C459">
        <v>79</v>
      </c>
      <c r="D459" s="1">
        <v>45517</v>
      </c>
      <c r="E459">
        <v>46277</v>
      </c>
      <c r="F459"/>
      <c r="H459" s="2">
        <v>7936134193</v>
      </c>
      <c r="I459" s="2">
        <v>79</v>
      </c>
      <c r="J459" s="3">
        <v>45582</v>
      </c>
      <c r="K459" s="3">
        <v>46262</v>
      </c>
      <c r="L459" s="6" t="s">
        <v>511</v>
      </c>
      <c r="M459" s="3">
        <v>46275</v>
      </c>
      <c r="N459" s="99" t="s">
        <v>561</v>
      </c>
    </row>
    <row r="460" spans="2:14" x14ac:dyDescent="0.25">
      <c r="B460">
        <v>7957874223</v>
      </c>
      <c r="C460">
        <v>79</v>
      </c>
      <c r="D460" s="1">
        <v>45524</v>
      </c>
      <c r="E460">
        <v>46276</v>
      </c>
      <c r="F460"/>
      <c r="H460" s="2">
        <v>7900618193</v>
      </c>
      <c r="I460" s="2">
        <v>79</v>
      </c>
      <c r="J460" s="3">
        <v>45751</v>
      </c>
      <c r="K460" s="3">
        <v>46262</v>
      </c>
      <c r="L460" s="6" t="s">
        <v>511</v>
      </c>
      <c r="M460" s="3">
        <v>46275</v>
      </c>
      <c r="N460" s="99" t="s">
        <v>561</v>
      </c>
    </row>
    <row r="461" spans="2:14" x14ac:dyDescent="0.25">
      <c r="B461">
        <v>7955715032</v>
      </c>
      <c r="C461">
        <v>79</v>
      </c>
      <c r="D461" s="1">
        <v>45592</v>
      </c>
      <c r="E461">
        <v>46277</v>
      </c>
      <c r="F461"/>
      <c r="H461" s="2">
        <v>7956399193</v>
      </c>
      <c r="I461" s="2">
        <v>79</v>
      </c>
      <c r="J461" s="3">
        <v>45659</v>
      </c>
      <c r="K461" s="3">
        <v>46262</v>
      </c>
      <c r="L461" s="6" t="s">
        <v>511</v>
      </c>
      <c r="M461" s="3">
        <v>46275</v>
      </c>
      <c r="N461" s="99" t="s">
        <v>561</v>
      </c>
    </row>
    <row r="462" spans="2:14" x14ac:dyDescent="0.25">
      <c r="B462">
        <v>7955394085</v>
      </c>
      <c r="C462">
        <v>79</v>
      </c>
      <c r="D462" s="1">
        <v>45469</v>
      </c>
      <c r="E462">
        <v>46277</v>
      </c>
      <c r="F462"/>
    </row>
    <row r="463" spans="2:14" x14ac:dyDescent="0.25">
      <c r="B463">
        <v>7954703256</v>
      </c>
      <c r="C463">
        <v>79</v>
      </c>
      <c r="D463" s="1">
        <v>45528</v>
      </c>
      <c r="E463">
        <v>46277</v>
      </c>
      <c r="F463"/>
    </row>
    <row r="464" spans="2:14" x14ac:dyDescent="0.25">
      <c r="B464">
        <v>7955859022</v>
      </c>
      <c r="C464">
        <v>79</v>
      </c>
      <c r="D464" s="1">
        <v>45540</v>
      </c>
      <c r="E464">
        <v>46277</v>
      </c>
      <c r="F464"/>
    </row>
    <row r="465" spans="2:6" x14ac:dyDescent="0.25">
      <c r="B465">
        <v>7954476060</v>
      </c>
      <c r="C465">
        <v>79</v>
      </c>
      <c r="D465" s="1">
        <v>45425</v>
      </c>
      <c r="E465">
        <v>46275</v>
      </c>
      <c r="F465"/>
    </row>
    <row r="466" spans="2:6" x14ac:dyDescent="0.25">
      <c r="B466">
        <v>7927396052</v>
      </c>
      <c r="C466">
        <v>79</v>
      </c>
      <c r="D466" s="1">
        <v>45967</v>
      </c>
      <c r="E466">
        <v>46235</v>
      </c>
      <c r="F466"/>
    </row>
    <row r="467" spans="2:6" x14ac:dyDescent="0.25">
      <c r="B467">
        <v>7956903122</v>
      </c>
      <c r="C467">
        <v>79</v>
      </c>
      <c r="D467" s="1">
        <v>45572</v>
      </c>
      <c r="E467">
        <v>45574</v>
      </c>
      <c r="F467"/>
    </row>
    <row r="468" spans="2:6" x14ac:dyDescent="0.25">
      <c r="B468">
        <v>7957042154</v>
      </c>
      <c r="C468">
        <v>79</v>
      </c>
      <c r="D468" s="1">
        <v>45659</v>
      </c>
      <c r="E468">
        <v>46261</v>
      </c>
      <c r="F468"/>
    </row>
    <row r="469" spans="2:6" x14ac:dyDescent="0.25">
      <c r="B469">
        <v>7968170035</v>
      </c>
      <c r="C469">
        <v>79</v>
      </c>
      <c r="D469" s="1">
        <v>46269</v>
      </c>
      <c r="E469">
        <v>46271</v>
      </c>
      <c r="F469"/>
    </row>
    <row r="470" spans="2:6" x14ac:dyDescent="0.25">
      <c r="B470">
        <v>7955576039</v>
      </c>
      <c r="C470">
        <v>79</v>
      </c>
      <c r="D470" s="1">
        <v>45666</v>
      </c>
      <c r="E470">
        <v>46275</v>
      </c>
      <c r="F470"/>
    </row>
    <row r="471" spans="2:6" x14ac:dyDescent="0.25">
      <c r="B471">
        <v>7955999039</v>
      </c>
      <c r="C471">
        <v>79</v>
      </c>
      <c r="D471" s="1">
        <v>45554</v>
      </c>
      <c r="E471">
        <v>46276</v>
      </c>
      <c r="F471"/>
    </row>
    <row r="472" spans="2:6" x14ac:dyDescent="0.25">
      <c r="B472">
        <v>7957640009</v>
      </c>
      <c r="C472">
        <v>79</v>
      </c>
      <c r="D472" s="1">
        <v>45625</v>
      </c>
      <c r="E472">
        <v>46259</v>
      </c>
      <c r="F472"/>
    </row>
    <row r="473" spans="2:6" x14ac:dyDescent="0.25">
      <c r="B473">
        <v>7957719009</v>
      </c>
      <c r="C473">
        <v>79</v>
      </c>
      <c r="D473" s="1">
        <v>45548</v>
      </c>
      <c r="E473">
        <v>46259</v>
      </c>
      <c r="F473"/>
    </row>
    <row r="474" spans="2:6" x14ac:dyDescent="0.25">
      <c r="B474">
        <v>7952228122</v>
      </c>
      <c r="C474">
        <v>79</v>
      </c>
      <c r="D474" s="1">
        <v>46029</v>
      </c>
      <c r="E474">
        <v>46278</v>
      </c>
      <c r="F474"/>
    </row>
    <row r="475" spans="2:6" x14ac:dyDescent="0.25">
      <c r="B475">
        <v>7955576039</v>
      </c>
      <c r="C475">
        <v>79</v>
      </c>
      <c r="D475" s="1">
        <v>45570</v>
      </c>
      <c r="E475">
        <v>45666</v>
      </c>
      <c r="F475"/>
    </row>
    <row r="476" spans="2:6" x14ac:dyDescent="0.25">
      <c r="B476">
        <v>7960538048</v>
      </c>
      <c r="C476">
        <v>79</v>
      </c>
      <c r="D476" s="1">
        <v>45853</v>
      </c>
      <c r="E476">
        <v>46276</v>
      </c>
      <c r="F476"/>
    </row>
    <row r="477" spans="2:6" x14ac:dyDescent="0.25">
      <c r="B477">
        <v>7962637060</v>
      </c>
      <c r="C477">
        <v>79</v>
      </c>
      <c r="D477" s="1">
        <v>45955</v>
      </c>
      <c r="E477">
        <v>46276</v>
      </c>
      <c r="F477"/>
    </row>
    <row r="478" spans="2:6" x14ac:dyDescent="0.25">
      <c r="B478">
        <v>7957425066</v>
      </c>
      <c r="C478">
        <v>79</v>
      </c>
      <c r="D478" s="1">
        <v>45638</v>
      </c>
      <c r="E478">
        <v>46272</v>
      </c>
      <c r="F478"/>
    </row>
    <row r="479" spans="2:6" x14ac:dyDescent="0.25">
      <c r="B479">
        <v>7962638060</v>
      </c>
      <c r="C479">
        <v>79</v>
      </c>
      <c r="D479" s="1">
        <v>45945</v>
      </c>
      <c r="E479">
        <v>46275</v>
      </c>
      <c r="F479"/>
    </row>
    <row r="480" spans="2:6" x14ac:dyDescent="0.25">
      <c r="B480">
        <v>7960787037</v>
      </c>
      <c r="C480">
        <v>79</v>
      </c>
      <c r="D480" s="1">
        <v>45926</v>
      </c>
      <c r="E480">
        <v>46276</v>
      </c>
      <c r="F480"/>
    </row>
    <row r="481" spans="2:6" x14ac:dyDescent="0.25">
      <c r="B481">
        <v>7957616048</v>
      </c>
      <c r="C481">
        <v>79</v>
      </c>
      <c r="D481" s="1">
        <v>45622</v>
      </c>
      <c r="E481">
        <v>46276</v>
      </c>
      <c r="F481"/>
    </row>
    <row r="482" spans="2:6" x14ac:dyDescent="0.25">
      <c r="B482">
        <v>7957659223</v>
      </c>
      <c r="C482">
        <v>79</v>
      </c>
      <c r="D482" s="1">
        <v>45601</v>
      </c>
      <c r="E482">
        <v>46276</v>
      </c>
      <c r="F482"/>
    </row>
    <row r="483" spans="2:6" x14ac:dyDescent="0.25">
      <c r="B483">
        <v>7957019003</v>
      </c>
      <c r="C483">
        <v>79</v>
      </c>
      <c r="D483" s="1">
        <v>45602</v>
      </c>
      <c r="E483">
        <v>46261</v>
      </c>
      <c r="F483"/>
    </row>
    <row r="484" spans="2:6" x14ac:dyDescent="0.25">
      <c r="B484">
        <v>7955582039</v>
      </c>
      <c r="C484">
        <v>79</v>
      </c>
      <c r="D484" s="1">
        <v>45543</v>
      </c>
      <c r="E484">
        <v>46276</v>
      </c>
      <c r="F484"/>
    </row>
    <row r="485" spans="2:6" x14ac:dyDescent="0.25">
      <c r="B485">
        <v>7953610256</v>
      </c>
      <c r="C485">
        <v>79</v>
      </c>
      <c r="D485" s="1">
        <v>45350</v>
      </c>
      <c r="E485">
        <v>46277</v>
      </c>
      <c r="F485"/>
    </row>
    <row r="486" spans="2:6" x14ac:dyDescent="0.25">
      <c r="B486">
        <v>7955922122</v>
      </c>
      <c r="C486">
        <v>79</v>
      </c>
      <c r="D486" s="1">
        <v>45988</v>
      </c>
      <c r="E486">
        <v>46274</v>
      </c>
      <c r="F486"/>
    </row>
    <row r="487" spans="2:6" x14ac:dyDescent="0.25">
      <c r="B487">
        <v>7955936122</v>
      </c>
      <c r="C487">
        <v>79</v>
      </c>
      <c r="D487" s="1">
        <v>45602</v>
      </c>
      <c r="E487">
        <v>46247</v>
      </c>
      <c r="F487"/>
    </row>
    <row r="488" spans="2:6" x14ac:dyDescent="0.25">
      <c r="B488">
        <v>7953269122</v>
      </c>
      <c r="C488">
        <v>79</v>
      </c>
      <c r="D488" s="1">
        <v>45454</v>
      </c>
      <c r="E488">
        <v>46249</v>
      </c>
      <c r="F488"/>
    </row>
    <row r="489" spans="2:6" x14ac:dyDescent="0.25">
      <c r="B489">
        <v>7941708059</v>
      </c>
      <c r="C489">
        <v>79</v>
      </c>
      <c r="D489" s="1">
        <v>46065</v>
      </c>
      <c r="E489">
        <v>46254</v>
      </c>
      <c r="F489"/>
    </row>
    <row r="490" spans="2:6" x14ac:dyDescent="0.25">
      <c r="B490">
        <v>7950408097</v>
      </c>
      <c r="C490">
        <v>79</v>
      </c>
      <c r="D490" s="1">
        <v>46241</v>
      </c>
      <c r="E490">
        <v>46267</v>
      </c>
      <c r="F490"/>
    </row>
    <row r="491" spans="2:6" x14ac:dyDescent="0.25">
      <c r="B491">
        <v>7957658155</v>
      </c>
      <c r="C491">
        <v>79</v>
      </c>
      <c r="D491" s="1">
        <v>45552</v>
      </c>
      <c r="E491">
        <v>46274</v>
      </c>
      <c r="F491"/>
    </row>
    <row r="492" spans="2:6" x14ac:dyDescent="0.25">
      <c r="B492">
        <v>7967908086</v>
      </c>
      <c r="C492">
        <v>79</v>
      </c>
      <c r="D492" s="1">
        <v>46177</v>
      </c>
      <c r="E492">
        <v>46278</v>
      </c>
      <c r="F492"/>
    </row>
    <row r="493" spans="2:6" x14ac:dyDescent="0.25">
      <c r="B493">
        <v>7961301052</v>
      </c>
      <c r="C493">
        <v>79</v>
      </c>
      <c r="D493" s="1">
        <v>45833</v>
      </c>
      <c r="E493">
        <v>46263</v>
      </c>
      <c r="F493"/>
    </row>
    <row r="494" spans="2:6" x14ac:dyDescent="0.25">
      <c r="B494">
        <v>7950184103</v>
      </c>
      <c r="C494">
        <v>79</v>
      </c>
      <c r="D494" s="1">
        <v>45736</v>
      </c>
      <c r="E494">
        <v>46276</v>
      </c>
      <c r="F494"/>
    </row>
    <row r="495" spans="2:6" x14ac:dyDescent="0.25">
      <c r="B495">
        <v>7957834045</v>
      </c>
      <c r="C495">
        <v>79</v>
      </c>
      <c r="D495" s="1">
        <v>45565</v>
      </c>
      <c r="E495">
        <v>46277</v>
      </c>
      <c r="F495"/>
    </row>
    <row r="496" spans="2:6" x14ac:dyDescent="0.25">
      <c r="B496">
        <v>7957608034</v>
      </c>
      <c r="C496">
        <v>79</v>
      </c>
      <c r="D496" s="1">
        <v>45518</v>
      </c>
      <c r="E496">
        <v>46272</v>
      </c>
      <c r="F496"/>
    </row>
    <row r="497" spans="2:6" x14ac:dyDescent="0.25">
      <c r="B497">
        <v>7955986084</v>
      </c>
      <c r="C497">
        <v>79</v>
      </c>
      <c r="D497" s="1">
        <v>45546</v>
      </c>
      <c r="E497">
        <v>46277</v>
      </c>
      <c r="F497"/>
    </row>
    <row r="498" spans="2:6" x14ac:dyDescent="0.25">
      <c r="B498">
        <v>7957921153</v>
      </c>
      <c r="C498">
        <v>79</v>
      </c>
      <c r="D498" s="1">
        <v>45485</v>
      </c>
      <c r="E498">
        <v>46261</v>
      </c>
      <c r="F498"/>
    </row>
    <row r="499" spans="2:6" x14ac:dyDescent="0.25">
      <c r="B499">
        <v>7955922122</v>
      </c>
      <c r="C499">
        <v>79</v>
      </c>
      <c r="D499" s="1">
        <v>45956</v>
      </c>
      <c r="E499">
        <v>46276</v>
      </c>
      <c r="F499"/>
    </row>
    <row r="500" spans="2:6" x14ac:dyDescent="0.25">
      <c r="B500">
        <v>7951634086</v>
      </c>
      <c r="C500">
        <v>79</v>
      </c>
      <c r="D500" s="1">
        <v>45329</v>
      </c>
      <c r="E500">
        <v>46278</v>
      </c>
      <c r="F500"/>
    </row>
    <row r="501" spans="2:6" x14ac:dyDescent="0.25">
      <c r="B501">
        <v>7950184103</v>
      </c>
      <c r="C501">
        <v>79</v>
      </c>
      <c r="D501" s="1">
        <v>45473</v>
      </c>
      <c r="E501">
        <v>45736</v>
      </c>
      <c r="F501"/>
    </row>
    <row r="502" spans="2:6" x14ac:dyDescent="0.25">
      <c r="B502">
        <v>7960788036</v>
      </c>
      <c r="C502">
        <v>79</v>
      </c>
      <c r="D502" s="1">
        <v>45966</v>
      </c>
      <c r="E502">
        <v>46234</v>
      </c>
      <c r="F502"/>
    </row>
    <row r="503" spans="2:6" x14ac:dyDescent="0.25">
      <c r="B503">
        <v>7960790036</v>
      </c>
      <c r="C503">
        <v>79</v>
      </c>
      <c r="D503" s="1">
        <v>45966</v>
      </c>
      <c r="E503">
        <v>46234</v>
      </c>
      <c r="F503"/>
    </row>
    <row r="504" spans="2:6" x14ac:dyDescent="0.25">
      <c r="B504">
        <v>7957008037</v>
      </c>
      <c r="C504">
        <v>79</v>
      </c>
      <c r="D504" s="1">
        <v>45592</v>
      </c>
      <c r="E504">
        <v>46277</v>
      </c>
      <c r="F504"/>
    </row>
    <row r="505" spans="2:6" x14ac:dyDescent="0.25">
      <c r="B505">
        <v>7956399193</v>
      </c>
      <c r="C505">
        <v>79</v>
      </c>
      <c r="D505" s="1">
        <v>45659</v>
      </c>
      <c r="E505">
        <v>46262</v>
      </c>
      <c r="F505"/>
    </row>
    <row r="506" spans="2:6" x14ac:dyDescent="0.25">
      <c r="B506">
        <v>7956399193</v>
      </c>
      <c r="C506">
        <v>79</v>
      </c>
      <c r="D506" s="1">
        <v>45608</v>
      </c>
      <c r="E506">
        <v>45659</v>
      </c>
      <c r="F506"/>
    </row>
    <row r="507" spans="2:6" x14ac:dyDescent="0.25">
      <c r="B507">
        <v>7958217097</v>
      </c>
      <c r="C507">
        <v>79</v>
      </c>
      <c r="D507" s="1">
        <v>45589</v>
      </c>
      <c r="E507">
        <v>46267</v>
      </c>
      <c r="F507"/>
    </row>
    <row r="508" spans="2:6" x14ac:dyDescent="0.25">
      <c r="B508">
        <v>7955360183</v>
      </c>
      <c r="C508">
        <v>79</v>
      </c>
      <c r="D508" s="1">
        <v>45538</v>
      </c>
      <c r="E508">
        <v>46277</v>
      </c>
      <c r="F508"/>
    </row>
    <row r="509" spans="2:6" x14ac:dyDescent="0.25">
      <c r="B509">
        <v>7955862004</v>
      </c>
      <c r="C509">
        <v>79</v>
      </c>
      <c r="D509" s="1">
        <v>45517</v>
      </c>
      <c r="E509">
        <v>46269</v>
      </c>
      <c r="F509"/>
    </row>
    <row r="510" spans="2:6" x14ac:dyDescent="0.25">
      <c r="B510">
        <v>7902314013</v>
      </c>
      <c r="C510">
        <v>79</v>
      </c>
      <c r="D510" s="1">
        <v>45708</v>
      </c>
      <c r="E510">
        <v>46271</v>
      </c>
      <c r="F510"/>
    </row>
    <row r="511" spans="2:6" x14ac:dyDescent="0.25">
      <c r="B511">
        <v>7968310155</v>
      </c>
      <c r="C511">
        <v>79</v>
      </c>
      <c r="D511" s="1">
        <v>46170</v>
      </c>
      <c r="E511">
        <v>46274</v>
      </c>
      <c r="F511"/>
    </row>
    <row r="512" spans="2:6" x14ac:dyDescent="0.25">
      <c r="B512">
        <v>7954283003</v>
      </c>
      <c r="C512">
        <v>79</v>
      </c>
      <c r="D512" s="1">
        <v>45548</v>
      </c>
      <c r="E512">
        <v>46259</v>
      </c>
      <c r="F512"/>
    </row>
    <row r="513" spans="2:6" x14ac:dyDescent="0.25">
      <c r="B513">
        <v>7955711003</v>
      </c>
      <c r="C513">
        <v>79</v>
      </c>
      <c r="D513" s="1">
        <v>45548</v>
      </c>
      <c r="E513">
        <v>46259</v>
      </c>
      <c r="F513"/>
    </row>
    <row r="514" spans="2:6" x14ac:dyDescent="0.25">
      <c r="B514">
        <v>7955761003</v>
      </c>
      <c r="C514">
        <v>79</v>
      </c>
      <c r="D514" s="1">
        <v>45672</v>
      </c>
      <c r="E514">
        <v>45685</v>
      </c>
      <c r="F514"/>
    </row>
    <row r="515" spans="2:6" x14ac:dyDescent="0.25">
      <c r="B515">
        <v>7957817039</v>
      </c>
      <c r="C515">
        <v>79</v>
      </c>
      <c r="D515" s="1">
        <v>45570</v>
      </c>
      <c r="E515">
        <v>46274</v>
      </c>
      <c r="F515"/>
    </row>
    <row r="516" spans="2:6" x14ac:dyDescent="0.25">
      <c r="B516">
        <v>7955910059</v>
      </c>
      <c r="C516">
        <v>79</v>
      </c>
      <c r="D516" s="1">
        <v>45615</v>
      </c>
      <c r="E516">
        <v>45622</v>
      </c>
      <c r="F516"/>
    </row>
    <row r="517" spans="2:6" x14ac:dyDescent="0.25">
      <c r="B517">
        <v>7954910004</v>
      </c>
      <c r="C517">
        <v>79</v>
      </c>
      <c r="D517" s="1">
        <v>45439</v>
      </c>
      <c r="E517">
        <v>46269</v>
      </c>
      <c r="F517"/>
    </row>
    <row r="518" spans="2:6" x14ac:dyDescent="0.25">
      <c r="B518">
        <v>7956903122</v>
      </c>
      <c r="C518">
        <v>79</v>
      </c>
      <c r="D518" s="1">
        <v>45574</v>
      </c>
      <c r="E518">
        <v>46276</v>
      </c>
      <c r="F518"/>
    </row>
    <row r="519" spans="2:6" x14ac:dyDescent="0.25">
      <c r="B519">
        <v>7954534046</v>
      </c>
      <c r="C519">
        <v>79</v>
      </c>
      <c r="D519" s="1">
        <v>45427</v>
      </c>
      <c r="E519">
        <v>46272</v>
      </c>
      <c r="F519"/>
    </row>
    <row r="520" spans="2:6" x14ac:dyDescent="0.25">
      <c r="B520">
        <v>7955908083</v>
      </c>
      <c r="C520">
        <v>79</v>
      </c>
      <c r="D520" s="1">
        <v>45678</v>
      </c>
      <c r="E520">
        <v>46277</v>
      </c>
      <c r="F520"/>
    </row>
    <row r="521" spans="2:6" x14ac:dyDescent="0.25">
      <c r="B521">
        <v>7955949013</v>
      </c>
      <c r="C521">
        <v>79</v>
      </c>
      <c r="D521" s="1">
        <v>45519</v>
      </c>
      <c r="E521">
        <v>46271</v>
      </c>
      <c r="F521"/>
    </row>
    <row r="522" spans="2:6" x14ac:dyDescent="0.25">
      <c r="B522">
        <v>7955948013</v>
      </c>
      <c r="C522">
        <v>79</v>
      </c>
      <c r="D522" s="1">
        <v>45526</v>
      </c>
      <c r="E522">
        <v>46271</v>
      </c>
      <c r="F522"/>
    </row>
    <row r="523" spans="2:6" x14ac:dyDescent="0.25">
      <c r="B523">
        <v>7915030003</v>
      </c>
      <c r="C523">
        <v>79</v>
      </c>
      <c r="D523" s="1">
        <v>45861</v>
      </c>
      <c r="E523">
        <v>46234</v>
      </c>
      <c r="F523"/>
    </row>
    <row r="524" spans="2:6" x14ac:dyDescent="0.25">
      <c r="B524">
        <v>7952613004</v>
      </c>
      <c r="C524">
        <v>79</v>
      </c>
      <c r="D524" s="1">
        <v>45370</v>
      </c>
      <c r="E524">
        <v>46277</v>
      </c>
      <c r="F524"/>
    </row>
    <row r="525" spans="2:6" x14ac:dyDescent="0.25">
      <c r="B525">
        <v>7960973004</v>
      </c>
      <c r="C525">
        <v>79</v>
      </c>
      <c r="D525" s="1">
        <v>45904</v>
      </c>
      <c r="E525">
        <v>46234</v>
      </c>
      <c r="F525"/>
    </row>
    <row r="526" spans="2:6" x14ac:dyDescent="0.25">
      <c r="B526">
        <v>7954632001</v>
      </c>
      <c r="C526">
        <v>79</v>
      </c>
      <c r="D526" s="1">
        <v>45518</v>
      </c>
      <c r="E526">
        <v>46260</v>
      </c>
      <c r="F526"/>
    </row>
    <row r="527" spans="2:6" x14ac:dyDescent="0.25">
      <c r="B527">
        <v>7950408097</v>
      </c>
      <c r="C527">
        <v>79</v>
      </c>
      <c r="D527" s="1">
        <v>45894</v>
      </c>
      <c r="E527">
        <v>46267</v>
      </c>
      <c r="F527"/>
    </row>
    <row r="528" spans="2:6" x14ac:dyDescent="0.25">
      <c r="B528">
        <v>7955948013</v>
      </c>
      <c r="C528">
        <v>79</v>
      </c>
      <c r="D528" s="1">
        <v>45956</v>
      </c>
      <c r="E528">
        <v>46235</v>
      </c>
      <c r="F528"/>
    </row>
    <row r="529" spans="2:6" x14ac:dyDescent="0.25">
      <c r="B529">
        <v>7960870193</v>
      </c>
      <c r="C529">
        <v>79</v>
      </c>
      <c r="D529" s="1">
        <v>45842</v>
      </c>
      <c r="E529">
        <v>46262</v>
      </c>
      <c r="F529"/>
    </row>
    <row r="530" spans="2:6" x14ac:dyDescent="0.25">
      <c r="B530">
        <v>7955987088</v>
      </c>
      <c r="C530">
        <v>79</v>
      </c>
      <c r="D530" s="1">
        <v>45648</v>
      </c>
      <c r="E530">
        <v>46276</v>
      </c>
      <c r="F530"/>
    </row>
    <row r="531" spans="2:6" x14ac:dyDescent="0.25">
      <c r="B531">
        <v>7952852014</v>
      </c>
      <c r="C531">
        <v>79</v>
      </c>
      <c r="D531" s="1">
        <v>45427</v>
      </c>
      <c r="E531">
        <v>46276</v>
      </c>
      <c r="F531"/>
    </row>
    <row r="532" spans="2:6" x14ac:dyDescent="0.25">
      <c r="B532">
        <v>7956992021</v>
      </c>
      <c r="C532">
        <v>79</v>
      </c>
      <c r="D532" s="1">
        <v>45592</v>
      </c>
      <c r="E532">
        <v>46239</v>
      </c>
      <c r="F532"/>
    </row>
    <row r="533" spans="2:6" x14ac:dyDescent="0.25">
      <c r="B533">
        <v>7955175004</v>
      </c>
      <c r="C533">
        <v>79</v>
      </c>
      <c r="D533" s="1">
        <v>45540</v>
      </c>
      <c r="E533">
        <v>46269</v>
      </c>
      <c r="F533"/>
    </row>
    <row r="534" spans="2:6" x14ac:dyDescent="0.25">
      <c r="B534">
        <v>7962016046</v>
      </c>
      <c r="C534">
        <v>79</v>
      </c>
      <c r="D534" s="1">
        <v>45716</v>
      </c>
      <c r="E534">
        <v>46234</v>
      </c>
      <c r="F534"/>
    </row>
    <row r="535" spans="2:6" x14ac:dyDescent="0.25">
      <c r="B535">
        <v>7957607113</v>
      </c>
      <c r="C535">
        <v>79</v>
      </c>
      <c r="D535" s="1">
        <v>45576</v>
      </c>
      <c r="E535">
        <v>46273</v>
      </c>
      <c r="F535"/>
    </row>
    <row r="536" spans="2:6" x14ac:dyDescent="0.25">
      <c r="B536">
        <v>7956772003</v>
      </c>
      <c r="C536">
        <v>79</v>
      </c>
      <c r="D536" s="1">
        <v>45898</v>
      </c>
      <c r="E536">
        <v>46245</v>
      </c>
      <c r="F536"/>
    </row>
    <row r="537" spans="2:6" x14ac:dyDescent="0.25">
      <c r="B537">
        <v>7955932122</v>
      </c>
      <c r="C537">
        <v>79</v>
      </c>
      <c r="D537" s="1">
        <v>45623</v>
      </c>
      <c r="E537">
        <v>46274</v>
      </c>
      <c r="F537"/>
    </row>
    <row r="538" spans="2:6" x14ac:dyDescent="0.25">
      <c r="B538">
        <v>7957564052</v>
      </c>
      <c r="C538">
        <v>79</v>
      </c>
      <c r="D538" s="1">
        <v>45577</v>
      </c>
      <c r="E538">
        <v>46260</v>
      </c>
      <c r="F538"/>
    </row>
    <row r="539" spans="2:6" x14ac:dyDescent="0.25">
      <c r="B539">
        <v>7955889122</v>
      </c>
      <c r="C539">
        <v>79</v>
      </c>
      <c r="D539" s="1">
        <v>45609</v>
      </c>
      <c r="E539">
        <v>46277</v>
      </c>
      <c r="F539"/>
    </row>
    <row r="540" spans="2:6" x14ac:dyDescent="0.25">
      <c r="B540">
        <v>7960797042</v>
      </c>
      <c r="C540">
        <v>79</v>
      </c>
      <c r="D540" s="1">
        <v>45933</v>
      </c>
      <c r="E540">
        <v>46234</v>
      </c>
      <c r="F540"/>
    </row>
    <row r="541" spans="2:6" x14ac:dyDescent="0.25">
      <c r="B541">
        <v>7966453059</v>
      </c>
      <c r="C541">
        <v>79</v>
      </c>
      <c r="D541" s="1">
        <v>46267</v>
      </c>
      <c r="E541">
        <v>46267</v>
      </c>
      <c r="F541"/>
    </row>
    <row r="542" spans="2:6" x14ac:dyDescent="0.25">
      <c r="B542">
        <v>7956130072</v>
      </c>
      <c r="C542">
        <v>79</v>
      </c>
      <c r="D542" s="1">
        <v>45598</v>
      </c>
      <c r="E542">
        <v>46261</v>
      </c>
      <c r="F542"/>
    </row>
    <row r="543" spans="2:6" x14ac:dyDescent="0.25">
      <c r="B543">
        <v>7955922122</v>
      </c>
      <c r="C543">
        <v>79</v>
      </c>
      <c r="D543" s="1">
        <v>45595</v>
      </c>
      <c r="E543">
        <v>46274</v>
      </c>
      <c r="F543"/>
    </row>
    <row r="544" spans="2:6" x14ac:dyDescent="0.25">
      <c r="B544">
        <v>7954284003</v>
      </c>
      <c r="C544">
        <v>79</v>
      </c>
      <c r="D544" s="1">
        <v>45502</v>
      </c>
      <c r="E544">
        <v>46234</v>
      </c>
      <c r="F544"/>
    </row>
    <row r="545" spans="2:6" x14ac:dyDescent="0.25">
      <c r="B545">
        <v>7955856193</v>
      </c>
      <c r="C545">
        <v>79</v>
      </c>
      <c r="D545" s="1">
        <v>45512</v>
      </c>
      <c r="E545">
        <v>46262</v>
      </c>
      <c r="F545"/>
    </row>
    <row r="546" spans="2:6" x14ac:dyDescent="0.25">
      <c r="B546">
        <v>7955886193</v>
      </c>
      <c r="C546">
        <v>79</v>
      </c>
      <c r="D546" s="1">
        <v>45513</v>
      </c>
      <c r="E546">
        <v>46262</v>
      </c>
      <c r="F546"/>
    </row>
    <row r="547" spans="2:6" x14ac:dyDescent="0.25">
      <c r="B547">
        <v>7955908083</v>
      </c>
      <c r="C547">
        <v>79</v>
      </c>
      <c r="D547" s="1">
        <v>45639</v>
      </c>
      <c r="E547">
        <v>46278</v>
      </c>
      <c r="F547"/>
    </row>
    <row r="548" spans="2:6" x14ac:dyDescent="0.25">
      <c r="B548">
        <v>7960714107</v>
      </c>
      <c r="C548">
        <v>79</v>
      </c>
      <c r="D548" s="1">
        <v>45933</v>
      </c>
      <c r="E548">
        <v>46260</v>
      </c>
      <c r="F548"/>
    </row>
    <row r="549" spans="2:6" x14ac:dyDescent="0.25">
      <c r="B549">
        <v>7964408059</v>
      </c>
      <c r="C549">
        <v>79</v>
      </c>
      <c r="D549" s="1">
        <v>46220</v>
      </c>
      <c r="E549">
        <v>46256</v>
      </c>
      <c r="F549"/>
    </row>
    <row r="550" spans="2:6" x14ac:dyDescent="0.25">
      <c r="B550">
        <v>7957163122</v>
      </c>
      <c r="C550">
        <v>79</v>
      </c>
      <c r="D550" s="1">
        <v>45541</v>
      </c>
      <c r="E550">
        <v>46274</v>
      </c>
      <c r="F550"/>
    </row>
    <row r="551" spans="2:6" x14ac:dyDescent="0.25">
      <c r="B551">
        <v>7955948013</v>
      </c>
      <c r="C551">
        <v>79</v>
      </c>
      <c r="D551" s="1">
        <v>45989</v>
      </c>
      <c r="E551">
        <v>46271</v>
      </c>
      <c r="F551"/>
    </row>
    <row r="552" spans="2:6" x14ac:dyDescent="0.25">
      <c r="B552">
        <v>7955658107</v>
      </c>
      <c r="C552">
        <v>79</v>
      </c>
      <c r="D552" s="1">
        <v>45580</v>
      </c>
      <c r="E552">
        <v>46260</v>
      </c>
      <c r="F552"/>
    </row>
    <row r="553" spans="2:6" x14ac:dyDescent="0.25">
      <c r="B553">
        <v>7957853064</v>
      </c>
      <c r="C553">
        <v>79</v>
      </c>
      <c r="D553" s="1">
        <v>45604</v>
      </c>
      <c r="E553">
        <v>46272</v>
      </c>
      <c r="F553"/>
    </row>
    <row r="554" spans="2:6" x14ac:dyDescent="0.25">
      <c r="B554">
        <v>7957553097</v>
      </c>
      <c r="C554">
        <v>79</v>
      </c>
      <c r="D554" s="1">
        <v>45580</v>
      </c>
      <c r="E554">
        <v>46267</v>
      </c>
      <c r="F554"/>
    </row>
    <row r="555" spans="2:6" x14ac:dyDescent="0.25">
      <c r="B555">
        <v>7962861003</v>
      </c>
      <c r="C555">
        <v>79</v>
      </c>
      <c r="D555" s="1">
        <v>45941</v>
      </c>
      <c r="E555">
        <v>46234</v>
      </c>
      <c r="F555"/>
    </row>
    <row r="556" spans="2:6" x14ac:dyDescent="0.25">
      <c r="B556">
        <v>7955932122</v>
      </c>
      <c r="C556">
        <v>79</v>
      </c>
      <c r="D556" s="1">
        <v>45615</v>
      </c>
      <c r="E556">
        <v>45623</v>
      </c>
      <c r="F556"/>
    </row>
    <row r="557" spans="2:6" x14ac:dyDescent="0.25">
      <c r="B557">
        <v>7961675122</v>
      </c>
      <c r="C557">
        <v>79</v>
      </c>
      <c r="D557" s="1">
        <v>45974</v>
      </c>
      <c r="E557">
        <v>46278</v>
      </c>
      <c r="F557"/>
    </row>
    <row r="558" spans="2:6" x14ac:dyDescent="0.25">
      <c r="B558">
        <v>7964644046</v>
      </c>
      <c r="C558">
        <v>79</v>
      </c>
      <c r="D558" s="1">
        <v>45926</v>
      </c>
      <c r="E558">
        <v>46272</v>
      </c>
      <c r="F558"/>
    </row>
    <row r="559" spans="2:6" x14ac:dyDescent="0.25">
      <c r="B559">
        <v>7963618032</v>
      </c>
      <c r="C559">
        <v>79</v>
      </c>
      <c r="D559" s="1">
        <v>45902</v>
      </c>
      <c r="E559">
        <v>46234</v>
      </c>
      <c r="F559"/>
    </row>
    <row r="560" spans="2:6" x14ac:dyDescent="0.25">
      <c r="B560">
        <v>7955810021</v>
      </c>
      <c r="C560">
        <v>79</v>
      </c>
      <c r="D560" s="1">
        <v>45608</v>
      </c>
      <c r="E560">
        <v>46247</v>
      </c>
      <c r="F560"/>
    </row>
    <row r="561" spans="2:6" x14ac:dyDescent="0.25">
      <c r="B561">
        <v>7949914001</v>
      </c>
      <c r="C561">
        <v>79</v>
      </c>
      <c r="D561" s="1">
        <v>45989</v>
      </c>
      <c r="E561">
        <v>46260</v>
      </c>
      <c r="F561"/>
    </row>
    <row r="562" spans="2:6" x14ac:dyDescent="0.25">
      <c r="B562">
        <v>7955858004</v>
      </c>
      <c r="C562">
        <v>79</v>
      </c>
      <c r="D562" s="1">
        <v>45541</v>
      </c>
      <c r="E562">
        <v>46269</v>
      </c>
      <c r="F562"/>
    </row>
    <row r="563" spans="2:6" x14ac:dyDescent="0.25">
      <c r="B563">
        <v>7955713003</v>
      </c>
      <c r="C563">
        <v>79</v>
      </c>
      <c r="D563" s="1">
        <v>45538</v>
      </c>
      <c r="E563">
        <v>46234</v>
      </c>
      <c r="F563"/>
    </row>
    <row r="564" spans="2:6" x14ac:dyDescent="0.25">
      <c r="B564">
        <v>7956998021</v>
      </c>
      <c r="C564">
        <v>79</v>
      </c>
      <c r="D564" s="1">
        <v>45590</v>
      </c>
      <c r="E564">
        <v>46239</v>
      </c>
      <c r="F564"/>
    </row>
    <row r="565" spans="2:6" x14ac:dyDescent="0.25">
      <c r="B565">
        <v>7957571200</v>
      </c>
      <c r="C565">
        <v>79</v>
      </c>
      <c r="D565" s="1">
        <v>45581</v>
      </c>
      <c r="E565">
        <v>46247</v>
      </c>
      <c r="F565"/>
    </row>
    <row r="566" spans="2:6" x14ac:dyDescent="0.25">
      <c r="B566">
        <v>7956993021</v>
      </c>
      <c r="C566">
        <v>79</v>
      </c>
      <c r="D566" s="1">
        <v>45583</v>
      </c>
      <c r="E566">
        <v>46239</v>
      </c>
      <c r="F566"/>
    </row>
    <row r="567" spans="2:6" x14ac:dyDescent="0.25">
      <c r="B567">
        <v>7957089155</v>
      </c>
      <c r="C567">
        <v>79</v>
      </c>
      <c r="D567" s="1">
        <v>45609</v>
      </c>
      <c r="E567">
        <v>46274</v>
      </c>
      <c r="F567"/>
    </row>
    <row r="568" spans="2:6" x14ac:dyDescent="0.25">
      <c r="B568">
        <v>7957715064</v>
      </c>
      <c r="C568">
        <v>79</v>
      </c>
      <c r="D568" s="1">
        <v>45570</v>
      </c>
      <c r="E568">
        <v>46272</v>
      </c>
      <c r="F568"/>
    </row>
    <row r="569" spans="2:6" x14ac:dyDescent="0.25">
      <c r="B569">
        <v>7955347193</v>
      </c>
      <c r="C569">
        <v>79</v>
      </c>
      <c r="D569" s="1">
        <v>45575</v>
      </c>
      <c r="E569">
        <v>46262</v>
      </c>
      <c r="F569"/>
    </row>
    <row r="570" spans="2:6" x14ac:dyDescent="0.25">
      <c r="B570">
        <v>7955908083</v>
      </c>
      <c r="C570">
        <v>79</v>
      </c>
      <c r="D570" s="1">
        <v>45608</v>
      </c>
      <c r="E570">
        <v>46278</v>
      </c>
      <c r="F570"/>
    </row>
    <row r="571" spans="2:6" x14ac:dyDescent="0.25">
      <c r="B571">
        <v>7955910059</v>
      </c>
      <c r="C571">
        <v>79</v>
      </c>
      <c r="D571" s="1">
        <v>45622</v>
      </c>
      <c r="E571">
        <v>46278</v>
      </c>
      <c r="F571"/>
    </row>
    <row r="572" spans="2:6" x14ac:dyDescent="0.25">
      <c r="B572">
        <v>7965546023</v>
      </c>
      <c r="C572">
        <v>79</v>
      </c>
      <c r="D572" s="1">
        <v>46267</v>
      </c>
      <c r="E572">
        <v>46274</v>
      </c>
      <c r="F572"/>
    </row>
    <row r="573" spans="2:6" x14ac:dyDescent="0.25">
      <c r="B573">
        <v>7968259023</v>
      </c>
      <c r="C573">
        <v>79</v>
      </c>
      <c r="D573" s="1">
        <v>46267</v>
      </c>
      <c r="E573">
        <v>46274</v>
      </c>
      <c r="F573"/>
    </row>
    <row r="574" spans="2:6" x14ac:dyDescent="0.25">
      <c r="B574">
        <v>7955666036</v>
      </c>
      <c r="C574">
        <v>79</v>
      </c>
      <c r="D574" s="1">
        <v>45608</v>
      </c>
      <c r="E574">
        <v>46267</v>
      </c>
      <c r="F574"/>
    </row>
    <row r="575" spans="2:6" x14ac:dyDescent="0.25">
      <c r="B575">
        <v>7947024076</v>
      </c>
      <c r="C575">
        <v>79</v>
      </c>
      <c r="D575" s="1">
        <v>45953</v>
      </c>
      <c r="E575">
        <v>46245</v>
      </c>
      <c r="F575"/>
    </row>
    <row r="576" spans="2:6" x14ac:dyDescent="0.25">
      <c r="B576">
        <v>7962886003</v>
      </c>
      <c r="C576">
        <v>79</v>
      </c>
      <c r="D576" s="1">
        <v>45941</v>
      </c>
      <c r="E576">
        <v>46234</v>
      </c>
      <c r="F576"/>
    </row>
    <row r="577" spans="2:6" x14ac:dyDescent="0.25">
      <c r="B577">
        <v>7962864003</v>
      </c>
      <c r="C577">
        <v>79</v>
      </c>
      <c r="D577" s="1">
        <v>45941</v>
      </c>
      <c r="E577">
        <v>46234</v>
      </c>
      <c r="F577"/>
    </row>
    <row r="578" spans="2:6" x14ac:dyDescent="0.25">
      <c r="B578">
        <v>7954668084</v>
      </c>
      <c r="C578">
        <v>79</v>
      </c>
      <c r="D578" s="1">
        <v>45406</v>
      </c>
      <c r="E578">
        <v>46277</v>
      </c>
      <c r="F578"/>
    </row>
    <row r="579" spans="2:6" x14ac:dyDescent="0.25">
      <c r="B579">
        <v>7952841155</v>
      </c>
      <c r="C579">
        <v>79</v>
      </c>
      <c r="D579" s="1">
        <v>45399</v>
      </c>
      <c r="E579">
        <v>46274</v>
      </c>
      <c r="F579"/>
    </row>
    <row r="580" spans="2:6" x14ac:dyDescent="0.25">
      <c r="B580">
        <v>7957017089</v>
      </c>
      <c r="C580">
        <v>79</v>
      </c>
      <c r="D580" s="1">
        <v>45598</v>
      </c>
      <c r="E580">
        <v>46261</v>
      </c>
      <c r="F580"/>
    </row>
    <row r="581" spans="2:6" x14ac:dyDescent="0.25">
      <c r="B581">
        <v>7951634086</v>
      </c>
      <c r="C581">
        <v>79</v>
      </c>
      <c r="D581" s="1">
        <v>45989</v>
      </c>
      <c r="E581">
        <v>46278</v>
      </c>
      <c r="F581"/>
    </row>
    <row r="582" spans="2:6" x14ac:dyDescent="0.25">
      <c r="B582">
        <v>7957017089</v>
      </c>
      <c r="C582">
        <v>79</v>
      </c>
      <c r="D582" s="1">
        <v>45664</v>
      </c>
      <c r="E582">
        <v>46261</v>
      </c>
      <c r="F582"/>
    </row>
    <row r="583" spans="2:6" x14ac:dyDescent="0.25">
      <c r="B583">
        <v>7960701094</v>
      </c>
      <c r="C583">
        <v>79</v>
      </c>
      <c r="D583" s="1">
        <v>45917</v>
      </c>
      <c r="E583">
        <v>46261</v>
      </c>
      <c r="F583"/>
    </row>
    <row r="584" spans="2:6" x14ac:dyDescent="0.25">
      <c r="B584">
        <v>7955789032</v>
      </c>
      <c r="C584">
        <v>79</v>
      </c>
      <c r="D584" s="1">
        <v>45596</v>
      </c>
      <c r="E584">
        <v>46277</v>
      </c>
      <c r="F584"/>
    </row>
    <row r="585" spans="2:6" x14ac:dyDescent="0.25">
      <c r="B585">
        <v>7957897064</v>
      </c>
      <c r="C585">
        <v>79</v>
      </c>
      <c r="D585" s="1">
        <v>45623</v>
      </c>
      <c r="E585">
        <v>46272</v>
      </c>
      <c r="F585"/>
    </row>
    <row r="586" spans="2:6" x14ac:dyDescent="0.25">
      <c r="B586">
        <v>7957022094</v>
      </c>
      <c r="C586">
        <v>79</v>
      </c>
      <c r="D586" s="1">
        <v>45601</v>
      </c>
      <c r="E586">
        <v>46261</v>
      </c>
      <c r="F586"/>
    </row>
    <row r="587" spans="2:6" x14ac:dyDescent="0.25">
      <c r="B587">
        <v>7957025089</v>
      </c>
      <c r="C587">
        <v>79</v>
      </c>
      <c r="D587" s="1">
        <v>45598</v>
      </c>
      <c r="E587">
        <v>46261</v>
      </c>
      <c r="F587"/>
    </row>
    <row r="588" spans="2:6" x14ac:dyDescent="0.25">
      <c r="B588">
        <v>7958237186</v>
      </c>
      <c r="C588">
        <v>79</v>
      </c>
      <c r="D588" s="1">
        <v>45601</v>
      </c>
      <c r="E588">
        <v>46259</v>
      </c>
      <c r="F588"/>
    </row>
    <row r="589" spans="2:6" x14ac:dyDescent="0.25">
      <c r="B589">
        <v>7955792076</v>
      </c>
      <c r="C589">
        <v>79</v>
      </c>
      <c r="D589" s="1">
        <v>45596</v>
      </c>
      <c r="E589">
        <v>46245</v>
      </c>
      <c r="F589"/>
    </row>
    <row r="590" spans="2:6" x14ac:dyDescent="0.25">
      <c r="B590">
        <v>7955825037</v>
      </c>
      <c r="C590">
        <v>79</v>
      </c>
      <c r="D590" s="1">
        <v>45596</v>
      </c>
      <c r="E590">
        <v>46277</v>
      </c>
      <c r="F590"/>
    </row>
    <row r="591" spans="2:6" x14ac:dyDescent="0.25">
      <c r="B591">
        <v>7900096059</v>
      </c>
      <c r="C591">
        <v>79</v>
      </c>
      <c r="D591" s="1">
        <v>45957</v>
      </c>
      <c r="E591">
        <v>46276</v>
      </c>
      <c r="F591"/>
    </row>
    <row r="592" spans="2:6" x14ac:dyDescent="0.25">
      <c r="B592">
        <v>7941708059</v>
      </c>
      <c r="C592">
        <v>79</v>
      </c>
      <c r="D592" s="1">
        <v>45957</v>
      </c>
      <c r="E592">
        <v>46276</v>
      </c>
      <c r="F592"/>
    </row>
    <row r="593" spans="2:6" x14ac:dyDescent="0.25">
      <c r="B593">
        <v>7949914001</v>
      </c>
      <c r="C593">
        <v>79</v>
      </c>
      <c r="D593" s="1">
        <v>45958</v>
      </c>
      <c r="E593">
        <v>46276</v>
      </c>
      <c r="F593"/>
    </row>
    <row r="594" spans="2:6" x14ac:dyDescent="0.25">
      <c r="B594">
        <v>7934669004</v>
      </c>
      <c r="C594">
        <v>79</v>
      </c>
      <c r="D594" s="1">
        <v>45954</v>
      </c>
      <c r="E594">
        <v>46235</v>
      </c>
      <c r="F594"/>
    </row>
    <row r="595" spans="2:6" x14ac:dyDescent="0.25">
      <c r="B595">
        <v>7903572004</v>
      </c>
      <c r="C595">
        <v>79</v>
      </c>
      <c r="D595" s="1">
        <v>45954</v>
      </c>
      <c r="E595">
        <v>46235</v>
      </c>
      <c r="F595"/>
    </row>
    <row r="596" spans="2:6" x14ac:dyDescent="0.25">
      <c r="B596">
        <v>7900464004</v>
      </c>
      <c r="C596">
        <v>79</v>
      </c>
      <c r="D596" s="1">
        <v>45954</v>
      </c>
      <c r="E596">
        <v>46267</v>
      </c>
      <c r="F596"/>
    </row>
    <row r="597" spans="2:6" x14ac:dyDescent="0.25">
      <c r="B597">
        <v>7928298004</v>
      </c>
      <c r="C597">
        <v>79</v>
      </c>
      <c r="D597" s="1">
        <v>45954</v>
      </c>
      <c r="E597">
        <v>46234</v>
      </c>
      <c r="F597"/>
    </row>
    <row r="598" spans="2:6" x14ac:dyDescent="0.25">
      <c r="B598">
        <v>7931629122</v>
      </c>
      <c r="C598">
        <v>79</v>
      </c>
      <c r="D598" s="1">
        <v>45954</v>
      </c>
      <c r="E598">
        <v>46270</v>
      </c>
      <c r="F598"/>
    </row>
    <row r="599" spans="2:6" x14ac:dyDescent="0.25">
      <c r="B599">
        <v>7928457040</v>
      </c>
      <c r="C599">
        <v>79</v>
      </c>
      <c r="D599" s="1">
        <v>45954</v>
      </c>
      <c r="E599">
        <v>46276</v>
      </c>
      <c r="F599"/>
    </row>
    <row r="600" spans="2:6" x14ac:dyDescent="0.25">
      <c r="B600">
        <v>7926842001</v>
      </c>
      <c r="C600">
        <v>79</v>
      </c>
      <c r="D600" s="1">
        <v>45960</v>
      </c>
      <c r="E600">
        <v>46261</v>
      </c>
      <c r="F600"/>
    </row>
    <row r="601" spans="2:6" x14ac:dyDescent="0.25">
      <c r="B601">
        <v>7956939122</v>
      </c>
      <c r="C601">
        <v>79</v>
      </c>
      <c r="D601" s="1">
        <v>45960</v>
      </c>
      <c r="E601">
        <v>46274</v>
      </c>
      <c r="F601"/>
    </row>
    <row r="602" spans="2:6" x14ac:dyDescent="0.25">
      <c r="B602">
        <v>7934680004</v>
      </c>
      <c r="C602">
        <v>79</v>
      </c>
      <c r="D602" s="1">
        <v>45484</v>
      </c>
      <c r="E602">
        <v>46276</v>
      </c>
      <c r="F602"/>
    </row>
    <row r="603" spans="2:6" x14ac:dyDescent="0.25">
      <c r="B603">
        <v>7905361122</v>
      </c>
      <c r="C603">
        <v>79</v>
      </c>
      <c r="D603" s="1">
        <v>45954</v>
      </c>
      <c r="E603">
        <v>46273</v>
      </c>
      <c r="F603"/>
    </row>
    <row r="604" spans="2:6" x14ac:dyDescent="0.25">
      <c r="B604">
        <v>7907571122</v>
      </c>
      <c r="C604">
        <v>79</v>
      </c>
      <c r="D604" s="1">
        <v>45954</v>
      </c>
      <c r="E604">
        <v>46235</v>
      </c>
      <c r="F604"/>
    </row>
    <row r="605" spans="2:6" x14ac:dyDescent="0.25">
      <c r="B605">
        <v>7930041122</v>
      </c>
      <c r="C605">
        <v>79</v>
      </c>
      <c r="D605" s="1">
        <v>45954</v>
      </c>
      <c r="E605">
        <v>46235</v>
      </c>
      <c r="F605"/>
    </row>
    <row r="606" spans="2:6" x14ac:dyDescent="0.25">
      <c r="B606">
        <v>7909599004</v>
      </c>
      <c r="C606">
        <v>79</v>
      </c>
      <c r="D606" s="1">
        <v>45504</v>
      </c>
      <c r="E606">
        <v>46234</v>
      </c>
      <c r="F606"/>
    </row>
    <row r="607" spans="2:6" x14ac:dyDescent="0.25">
      <c r="B607">
        <v>7955677003</v>
      </c>
      <c r="C607">
        <v>79</v>
      </c>
      <c r="D607" s="1">
        <v>45548</v>
      </c>
      <c r="E607">
        <v>46234</v>
      </c>
      <c r="F607"/>
    </row>
    <row r="608" spans="2:6" x14ac:dyDescent="0.25">
      <c r="B608">
        <v>7928553045</v>
      </c>
      <c r="C608">
        <v>79</v>
      </c>
      <c r="D608" s="1">
        <v>45799</v>
      </c>
      <c r="E608">
        <v>46277</v>
      </c>
      <c r="F608"/>
    </row>
    <row r="609" spans="2:6" x14ac:dyDescent="0.25">
      <c r="B609">
        <v>7924850004</v>
      </c>
      <c r="C609">
        <v>79</v>
      </c>
      <c r="D609" s="1">
        <v>45706</v>
      </c>
      <c r="E609">
        <v>46277</v>
      </c>
      <c r="F609"/>
    </row>
    <row r="610" spans="2:6" x14ac:dyDescent="0.25">
      <c r="B610">
        <v>7949914001</v>
      </c>
      <c r="C610">
        <v>79</v>
      </c>
      <c r="D610" s="1">
        <v>45473</v>
      </c>
      <c r="E610">
        <v>46260</v>
      </c>
      <c r="F610"/>
    </row>
    <row r="611" spans="2:6" x14ac:dyDescent="0.25">
      <c r="B611">
        <v>7956939122</v>
      </c>
      <c r="C611">
        <v>79</v>
      </c>
      <c r="D611" s="1">
        <v>45617</v>
      </c>
      <c r="E611">
        <v>46277</v>
      </c>
      <c r="F611"/>
    </row>
    <row r="612" spans="2:6" x14ac:dyDescent="0.25">
      <c r="B612">
        <v>7924622052</v>
      </c>
      <c r="C612">
        <v>79</v>
      </c>
      <c r="D612" s="1">
        <v>45953</v>
      </c>
      <c r="E612">
        <v>46259</v>
      </c>
      <c r="F612"/>
    </row>
    <row r="613" spans="2:6" x14ac:dyDescent="0.25">
      <c r="B613">
        <v>7927396052</v>
      </c>
      <c r="C613">
        <v>79</v>
      </c>
      <c r="D613" s="1">
        <v>45953</v>
      </c>
      <c r="E613">
        <v>46259</v>
      </c>
      <c r="F613"/>
    </row>
    <row r="614" spans="2:6" x14ac:dyDescent="0.25">
      <c r="B614">
        <v>7929376022</v>
      </c>
      <c r="C614">
        <v>79</v>
      </c>
      <c r="D614" s="1">
        <v>45953</v>
      </c>
      <c r="E614">
        <v>46277</v>
      </c>
      <c r="F614"/>
    </row>
    <row r="615" spans="2:6" x14ac:dyDescent="0.25">
      <c r="B615">
        <v>7900100147</v>
      </c>
      <c r="C615">
        <v>79</v>
      </c>
      <c r="D615" s="1">
        <v>45953</v>
      </c>
      <c r="E615">
        <v>46265</v>
      </c>
      <c r="F615"/>
    </row>
    <row r="616" spans="2:6" x14ac:dyDescent="0.25">
      <c r="B616">
        <v>7932030072</v>
      </c>
      <c r="C616">
        <v>79</v>
      </c>
      <c r="D616" s="1">
        <v>45953</v>
      </c>
      <c r="E616">
        <v>46261</v>
      </c>
      <c r="F616"/>
    </row>
    <row r="617" spans="2:6" x14ac:dyDescent="0.25">
      <c r="B617">
        <v>7924623200</v>
      </c>
      <c r="C617">
        <v>79</v>
      </c>
      <c r="D617" s="1">
        <v>45953</v>
      </c>
      <c r="E617">
        <v>46247</v>
      </c>
      <c r="F617"/>
    </row>
    <row r="618" spans="2:6" x14ac:dyDescent="0.25">
      <c r="B618">
        <v>7920008152</v>
      </c>
      <c r="C618">
        <v>79</v>
      </c>
      <c r="D618" s="1">
        <v>45953</v>
      </c>
      <c r="E618">
        <v>46277</v>
      </c>
      <c r="F618"/>
    </row>
    <row r="619" spans="2:6" x14ac:dyDescent="0.25">
      <c r="B619">
        <v>7925081028</v>
      </c>
      <c r="C619">
        <v>79</v>
      </c>
      <c r="D619" s="1">
        <v>45953</v>
      </c>
      <c r="E619">
        <v>46263</v>
      </c>
      <c r="F619"/>
    </row>
    <row r="620" spans="2:6" x14ac:dyDescent="0.25">
      <c r="B620">
        <v>7900280059</v>
      </c>
      <c r="C620">
        <v>79</v>
      </c>
      <c r="D620" s="1">
        <v>45957</v>
      </c>
      <c r="E620">
        <v>46276</v>
      </c>
      <c r="F620"/>
    </row>
    <row r="621" spans="2:6" x14ac:dyDescent="0.25">
      <c r="B621">
        <v>7905502059</v>
      </c>
      <c r="C621">
        <v>79</v>
      </c>
      <c r="D621" s="1">
        <v>45957</v>
      </c>
      <c r="E621">
        <v>46276</v>
      </c>
      <c r="F621"/>
    </row>
    <row r="622" spans="2:6" x14ac:dyDescent="0.25">
      <c r="B622">
        <v>7909599004</v>
      </c>
      <c r="C622">
        <v>79</v>
      </c>
      <c r="D622" s="1">
        <v>45479</v>
      </c>
      <c r="E622">
        <v>46234</v>
      </c>
      <c r="F622"/>
    </row>
    <row r="623" spans="2:6" x14ac:dyDescent="0.25">
      <c r="B623">
        <v>7955761003</v>
      </c>
      <c r="C623">
        <v>79</v>
      </c>
      <c r="D623" s="1">
        <v>45672</v>
      </c>
      <c r="E623">
        <v>45685</v>
      </c>
      <c r="F623"/>
    </row>
    <row r="624" spans="2:6" x14ac:dyDescent="0.25">
      <c r="B624">
        <v>7956903122</v>
      </c>
      <c r="C624">
        <v>79</v>
      </c>
      <c r="D624" s="1">
        <v>45552</v>
      </c>
      <c r="E624">
        <v>45572</v>
      </c>
      <c r="F624"/>
    </row>
    <row r="625" spans="2:6" x14ac:dyDescent="0.25">
      <c r="B625">
        <v>7963715004</v>
      </c>
      <c r="C625">
        <v>79</v>
      </c>
      <c r="D625" s="1">
        <v>45918</v>
      </c>
      <c r="E625">
        <v>46269</v>
      </c>
      <c r="F625"/>
    </row>
    <row r="626" spans="2:6" x14ac:dyDescent="0.25">
      <c r="B626">
        <v>7951634086</v>
      </c>
      <c r="C626">
        <v>79</v>
      </c>
      <c r="D626" s="1">
        <v>45953</v>
      </c>
      <c r="E626">
        <v>46277</v>
      </c>
      <c r="F626"/>
    </row>
    <row r="627" spans="2:6" x14ac:dyDescent="0.25">
      <c r="B627">
        <v>7941530122</v>
      </c>
      <c r="C627">
        <v>79</v>
      </c>
      <c r="D627" s="1">
        <v>45955</v>
      </c>
      <c r="E627">
        <v>46234</v>
      </c>
      <c r="F627"/>
    </row>
    <row r="628" spans="2:6" x14ac:dyDescent="0.25">
      <c r="B628">
        <v>7905366122</v>
      </c>
      <c r="C628">
        <v>79</v>
      </c>
      <c r="D628" s="1">
        <v>45955</v>
      </c>
      <c r="E628">
        <v>46234</v>
      </c>
      <c r="F628"/>
    </row>
    <row r="629" spans="2:6" x14ac:dyDescent="0.25">
      <c r="B629">
        <v>7900552010</v>
      </c>
      <c r="C629">
        <v>79</v>
      </c>
      <c r="D629" s="1">
        <v>45955</v>
      </c>
      <c r="E629">
        <v>46277</v>
      </c>
      <c r="F629"/>
    </row>
    <row r="630" spans="2:6" x14ac:dyDescent="0.25">
      <c r="B630">
        <v>7936332013</v>
      </c>
      <c r="C630">
        <v>79</v>
      </c>
      <c r="D630" s="1">
        <v>45770</v>
      </c>
      <c r="E630">
        <v>46260</v>
      </c>
      <c r="F630"/>
    </row>
    <row r="631" spans="2:6" x14ac:dyDescent="0.25">
      <c r="B631">
        <v>7954704001</v>
      </c>
      <c r="C631">
        <v>79</v>
      </c>
      <c r="D631" s="1">
        <v>45770</v>
      </c>
      <c r="E631">
        <v>46234</v>
      </c>
      <c r="F631"/>
    </row>
    <row r="632" spans="2:6" x14ac:dyDescent="0.25">
      <c r="B632">
        <v>7931682122</v>
      </c>
      <c r="C632">
        <v>79</v>
      </c>
      <c r="D632" s="1">
        <v>45953</v>
      </c>
      <c r="E632">
        <v>46270</v>
      </c>
      <c r="F632"/>
    </row>
    <row r="633" spans="2:6" x14ac:dyDescent="0.25">
      <c r="B633">
        <v>7950310122</v>
      </c>
      <c r="C633">
        <v>79</v>
      </c>
      <c r="D633" s="1">
        <v>45953</v>
      </c>
      <c r="E633">
        <v>46270</v>
      </c>
      <c r="F633"/>
    </row>
    <row r="634" spans="2:6" x14ac:dyDescent="0.25">
      <c r="B634">
        <v>7928553045</v>
      </c>
      <c r="C634">
        <v>79</v>
      </c>
      <c r="D634" s="1">
        <v>45953</v>
      </c>
      <c r="E634">
        <v>46276</v>
      </c>
      <c r="F634"/>
    </row>
    <row r="635" spans="2:6" x14ac:dyDescent="0.25">
      <c r="B635">
        <v>7931619122</v>
      </c>
      <c r="C635">
        <v>79</v>
      </c>
      <c r="D635" s="1">
        <v>45961</v>
      </c>
      <c r="E635">
        <v>46270</v>
      </c>
      <c r="F635"/>
    </row>
    <row r="636" spans="2:6" x14ac:dyDescent="0.25">
      <c r="B636">
        <v>7962052017</v>
      </c>
      <c r="C636">
        <v>79</v>
      </c>
      <c r="D636" s="1">
        <v>45786</v>
      </c>
      <c r="E636">
        <v>46234</v>
      </c>
      <c r="F636"/>
    </row>
    <row r="637" spans="2:6" x14ac:dyDescent="0.25">
      <c r="B637">
        <v>7956939122</v>
      </c>
      <c r="C637">
        <v>79</v>
      </c>
      <c r="D637" s="1">
        <v>45679</v>
      </c>
      <c r="E637">
        <v>46274</v>
      </c>
      <c r="F637"/>
    </row>
    <row r="638" spans="2:6" x14ac:dyDescent="0.25">
      <c r="B638">
        <v>7931629122</v>
      </c>
      <c r="C638">
        <v>79</v>
      </c>
      <c r="D638" s="1">
        <v>45679</v>
      </c>
      <c r="E638">
        <v>46270</v>
      </c>
      <c r="F638"/>
    </row>
    <row r="639" spans="2:6" x14ac:dyDescent="0.25">
      <c r="B639">
        <v>7951276130</v>
      </c>
      <c r="C639">
        <v>79</v>
      </c>
      <c r="D639" s="1">
        <v>45958</v>
      </c>
      <c r="E639">
        <v>46271</v>
      </c>
      <c r="F639"/>
    </row>
    <row r="640" spans="2:6" x14ac:dyDescent="0.25">
      <c r="B640">
        <v>7948129130</v>
      </c>
      <c r="C640">
        <v>79</v>
      </c>
      <c r="D640" s="1">
        <v>45958</v>
      </c>
      <c r="E640">
        <v>46271</v>
      </c>
      <c r="F640"/>
    </row>
    <row r="641" spans="2:6" x14ac:dyDescent="0.25">
      <c r="B641">
        <v>7955730003</v>
      </c>
      <c r="C641">
        <v>79</v>
      </c>
      <c r="D641" s="1">
        <v>45553</v>
      </c>
      <c r="E641">
        <v>45847</v>
      </c>
      <c r="F641"/>
    </row>
    <row r="642" spans="2:6" x14ac:dyDescent="0.25">
      <c r="B642">
        <v>7967908086</v>
      </c>
      <c r="C642">
        <v>79</v>
      </c>
      <c r="D642" s="1">
        <v>46161</v>
      </c>
      <c r="E642">
        <v>46176</v>
      </c>
      <c r="F642"/>
    </row>
    <row r="643" spans="2:6" x14ac:dyDescent="0.25">
      <c r="B643">
        <v>7931612059</v>
      </c>
      <c r="C643">
        <v>79</v>
      </c>
      <c r="D643" s="1">
        <v>45975</v>
      </c>
      <c r="E643">
        <v>46254</v>
      </c>
      <c r="F643"/>
    </row>
    <row r="644" spans="2:6" x14ac:dyDescent="0.25">
      <c r="B644">
        <v>7941708059</v>
      </c>
      <c r="C644">
        <v>79</v>
      </c>
      <c r="D644" s="1">
        <v>45975</v>
      </c>
      <c r="E644">
        <v>46065</v>
      </c>
      <c r="F644"/>
    </row>
    <row r="645" spans="2:6" x14ac:dyDescent="0.25">
      <c r="B645">
        <v>7950408097</v>
      </c>
      <c r="C645">
        <v>79</v>
      </c>
      <c r="D645" s="1">
        <v>45894</v>
      </c>
      <c r="E645">
        <v>46267</v>
      </c>
      <c r="F645"/>
    </row>
    <row r="646" spans="2:6" x14ac:dyDescent="0.25">
      <c r="B646">
        <v>7924621097</v>
      </c>
      <c r="C646">
        <v>79</v>
      </c>
      <c r="D646" s="1">
        <v>45894</v>
      </c>
      <c r="E646">
        <v>46267</v>
      </c>
      <c r="F646"/>
    </row>
    <row r="647" spans="2:6" x14ac:dyDescent="0.25">
      <c r="B647">
        <v>7956903122</v>
      </c>
      <c r="C647">
        <v>79</v>
      </c>
      <c r="D647" s="1">
        <v>45572</v>
      </c>
      <c r="E647">
        <v>45574</v>
      </c>
      <c r="F647"/>
    </row>
    <row r="648" spans="2:6" x14ac:dyDescent="0.25">
      <c r="B648">
        <v>7931629122</v>
      </c>
      <c r="C648">
        <v>79</v>
      </c>
      <c r="D648" s="1">
        <v>45572</v>
      </c>
      <c r="E648">
        <v>46270</v>
      </c>
      <c r="F648"/>
    </row>
    <row r="649" spans="2:6" x14ac:dyDescent="0.25">
      <c r="B649">
        <v>7931609122</v>
      </c>
      <c r="C649">
        <v>79</v>
      </c>
      <c r="D649" s="1">
        <v>45572</v>
      </c>
      <c r="E649">
        <v>45582</v>
      </c>
      <c r="F649"/>
    </row>
    <row r="650" spans="2:6" x14ac:dyDescent="0.25">
      <c r="B650">
        <v>7925111033</v>
      </c>
      <c r="C650">
        <v>79</v>
      </c>
      <c r="D650" s="1">
        <v>45957</v>
      </c>
      <c r="E650">
        <v>46272</v>
      </c>
      <c r="F650"/>
    </row>
    <row r="651" spans="2:6" x14ac:dyDescent="0.25">
      <c r="B651">
        <v>7940868065</v>
      </c>
      <c r="C651">
        <v>79</v>
      </c>
      <c r="D651" s="1">
        <v>45475</v>
      </c>
      <c r="E651">
        <v>46276</v>
      </c>
      <c r="F651"/>
    </row>
    <row r="652" spans="2:6" x14ac:dyDescent="0.25">
      <c r="B652">
        <v>7931601122</v>
      </c>
      <c r="C652">
        <v>79</v>
      </c>
      <c r="D652" s="1">
        <v>45988</v>
      </c>
      <c r="E652">
        <v>46276</v>
      </c>
      <c r="F652"/>
    </row>
    <row r="653" spans="2:6" x14ac:dyDescent="0.25">
      <c r="B653">
        <v>7955948013</v>
      </c>
      <c r="C653">
        <v>79</v>
      </c>
      <c r="D653" s="1">
        <v>45956</v>
      </c>
      <c r="E653">
        <v>46235</v>
      </c>
      <c r="F653"/>
    </row>
    <row r="654" spans="2:6" x14ac:dyDescent="0.25">
      <c r="B654">
        <v>7955922122</v>
      </c>
      <c r="C654">
        <v>79</v>
      </c>
      <c r="D654" s="1">
        <v>45956</v>
      </c>
      <c r="E654">
        <v>46276</v>
      </c>
      <c r="F654"/>
    </row>
    <row r="655" spans="2:6" x14ac:dyDescent="0.25">
      <c r="B655">
        <v>7931104059</v>
      </c>
      <c r="C655">
        <v>79</v>
      </c>
      <c r="D655" s="1">
        <v>45956</v>
      </c>
      <c r="E655">
        <v>46249</v>
      </c>
      <c r="F655"/>
    </row>
    <row r="656" spans="2:6" x14ac:dyDescent="0.25">
      <c r="B656">
        <v>7941992012</v>
      </c>
      <c r="C656">
        <v>79</v>
      </c>
      <c r="D656" s="1">
        <v>45958</v>
      </c>
      <c r="E656">
        <v>46278</v>
      </c>
      <c r="F656"/>
    </row>
    <row r="657" spans="2:6" x14ac:dyDescent="0.25">
      <c r="B657">
        <v>7921201014</v>
      </c>
      <c r="C657">
        <v>79</v>
      </c>
      <c r="D657" s="1">
        <v>45958</v>
      </c>
      <c r="E657">
        <v>46278</v>
      </c>
      <c r="F657"/>
    </row>
    <row r="658" spans="2:6" x14ac:dyDescent="0.25">
      <c r="B658">
        <v>7907467059</v>
      </c>
      <c r="C658">
        <v>79</v>
      </c>
      <c r="D658" s="1">
        <v>45542</v>
      </c>
      <c r="E658">
        <v>46256</v>
      </c>
      <c r="F658"/>
    </row>
    <row r="659" spans="2:6" x14ac:dyDescent="0.25">
      <c r="B659">
        <v>7956939122</v>
      </c>
      <c r="C659">
        <v>79</v>
      </c>
      <c r="D659" s="1">
        <v>45559</v>
      </c>
      <c r="E659">
        <v>46276</v>
      </c>
      <c r="F659"/>
    </row>
    <row r="660" spans="2:6" x14ac:dyDescent="0.25">
      <c r="B660">
        <v>7955948013</v>
      </c>
      <c r="C660">
        <v>79</v>
      </c>
      <c r="D660" s="1">
        <v>45526</v>
      </c>
      <c r="E660">
        <v>46271</v>
      </c>
      <c r="F660"/>
    </row>
    <row r="661" spans="2:6" x14ac:dyDescent="0.25">
      <c r="B661">
        <v>7956131005</v>
      </c>
      <c r="C661">
        <v>79</v>
      </c>
      <c r="D661" s="1">
        <v>45615</v>
      </c>
      <c r="E661">
        <v>45623</v>
      </c>
      <c r="F661"/>
    </row>
    <row r="662" spans="2:6" x14ac:dyDescent="0.25">
      <c r="B662">
        <v>7955910059</v>
      </c>
      <c r="C662">
        <v>79</v>
      </c>
      <c r="D662" s="1">
        <v>45615</v>
      </c>
      <c r="E662">
        <v>45622</v>
      </c>
      <c r="F662"/>
    </row>
    <row r="663" spans="2:6" x14ac:dyDescent="0.25">
      <c r="B663">
        <v>7948129130</v>
      </c>
      <c r="C663">
        <v>79</v>
      </c>
      <c r="D663" s="1">
        <v>45615</v>
      </c>
      <c r="E663">
        <v>46271</v>
      </c>
      <c r="F663"/>
    </row>
    <row r="664" spans="2:6" x14ac:dyDescent="0.25">
      <c r="B664">
        <v>7931611122</v>
      </c>
      <c r="C664">
        <v>79</v>
      </c>
      <c r="D664" s="1">
        <v>45962</v>
      </c>
      <c r="E664">
        <v>46239</v>
      </c>
      <c r="F664"/>
    </row>
    <row r="665" spans="2:6" x14ac:dyDescent="0.25">
      <c r="B665">
        <v>7905358122</v>
      </c>
      <c r="C665">
        <v>79</v>
      </c>
      <c r="D665" s="1">
        <v>45962</v>
      </c>
      <c r="E665">
        <v>46239</v>
      </c>
      <c r="F665"/>
    </row>
    <row r="666" spans="2:6" x14ac:dyDescent="0.25">
      <c r="B666">
        <v>7950298038</v>
      </c>
      <c r="C666">
        <v>79</v>
      </c>
      <c r="D666" s="1">
        <v>45649</v>
      </c>
      <c r="E666">
        <v>46276</v>
      </c>
      <c r="F666"/>
    </row>
    <row r="667" spans="2:6" x14ac:dyDescent="0.25">
      <c r="B667">
        <v>7950291049</v>
      </c>
      <c r="C667">
        <v>79</v>
      </c>
      <c r="D667" s="1">
        <v>45649</v>
      </c>
      <c r="E667">
        <v>46276</v>
      </c>
      <c r="F667"/>
    </row>
    <row r="668" spans="2:6" x14ac:dyDescent="0.25">
      <c r="B668">
        <v>7931601122</v>
      </c>
      <c r="C668">
        <v>79</v>
      </c>
      <c r="D668" s="1">
        <v>45582</v>
      </c>
      <c r="E668">
        <v>46277</v>
      </c>
      <c r="F668"/>
    </row>
    <row r="669" spans="2:6" x14ac:dyDescent="0.25">
      <c r="B669">
        <v>7931604122</v>
      </c>
      <c r="C669">
        <v>79</v>
      </c>
      <c r="D669" s="1">
        <v>45582</v>
      </c>
      <c r="E669">
        <v>46277</v>
      </c>
      <c r="F669"/>
    </row>
    <row r="670" spans="2:6" x14ac:dyDescent="0.25">
      <c r="B670">
        <v>7931629122</v>
      </c>
      <c r="C670">
        <v>79</v>
      </c>
      <c r="D670" s="1">
        <v>45582</v>
      </c>
      <c r="E670">
        <v>46277</v>
      </c>
      <c r="F670"/>
    </row>
    <row r="671" spans="2:6" x14ac:dyDescent="0.25">
      <c r="B671">
        <v>7927138110</v>
      </c>
      <c r="C671">
        <v>79</v>
      </c>
      <c r="D671" s="1">
        <v>45958</v>
      </c>
      <c r="E671">
        <v>46272</v>
      </c>
      <c r="F671"/>
    </row>
    <row r="672" spans="2:6" x14ac:dyDescent="0.25">
      <c r="B672">
        <v>7900238054</v>
      </c>
      <c r="C672">
        <v>79</v>
      </c>
      <c r="D672" s="1">
        <v>45958</v>
      </c>
      <c r="E672">
        <v>46272</v>
      </c>
      <c r="F672"/>
    </row>
    <row r="673" spans="2:6" x14ac:dyDescent="0.25">
      <c r="B673">
        <v>7900453110</v>
      </c>
      <c r="C673">
        <v>79</v>
      </c>
      <c r="D673" s="1">
        <v>45958</v>
      </c>
      <c r="E673">
        <v>46272</v>
      </c>
      <c r="F673"/>
    </row>
    <row r="674" spans="2:6" x14ac:dyDescent="0.25">
      <c r="B674">
        <v>7900666071</v>
      </c>
      <c r="C674">
        <v>79</v>
      </c>
      <c r="D674" s="1">
        <v>45958</v>
      </c>
      <c r="E674">
        <v>46272</v>
      </c>
      <c r="F674"/>
    </row>
    <row r="675" spans="2:6" x14ac:dyDescent="0.25">
      <c r="B675">
        <v>7956939122</v>
      </c>
      <c r="C675">
        <v>79</v>
      </c>
      <c r="D675" s="1">
        <v>45582</v>
      </c>
      <c r="E675">
        <v>46274</v>
      </c>
      <c r="F675"/>
    </row>
    <row r="676" spans="2:6" x14ac:dyDescent="0.25">
      <c r="B676">
        <v>7948129130</v>
      </c>
      <c r="C676">
        <v>79</v>
      </c>
      <c r="D676" s="1">
        <v>45521</v>
      </c>
      <c r="E676">
        <v>46271</v>
      </c>
      <c r="F676"/>
    </row>
    <row r="677" spans="2:6" x14ac:dyDescent="0.25">
      <c r="B677">
        <v>7927795004</v>
      </c>
      <c r="C677">
        <v>79</v>
      </c>
      <c r="D677" s="1">
        <v>45483</v>
      </c>
      <c r="E677">
        <v>45539</v>
      </c>
      <c r="F677"/>
    </row>
    <row r="678" spans="2:6" x14ac:dyDescent="0.25">
      <c r="B678">
        <v>7930912039</v>
      </c>
      <c r="C678">
        <v>79</v>
      </c>
      <c r="D678" s="1">
        <v>45954</v>
      </c>
      <c r="E678">
        <v>46269</v>
      </c>
      <c r="F678"/>
    </row>
    <row r="679" spans="2:6" x14ac:dyDescent="0.25">
      <c r="B679">
        <v>7931601122</v>
      </c>
      <c r="C679">
        <v>79</v>
      </c>
      <c r="D679" s="1">
        <v>45960</v>
      </c>
      <c r="E679">
        <v>46277</v>
      </c>
      <c r="F679"/>
    </row>
    <row r="680" spans="2:6" x14ac:dyDescent="0.25">
      <c r="B680">
        <v>7925563149</v>
      </c>
      <c r="C680">
        <v>79</v>
      </c>
      <c r="D680" s="1">
        <v>45479</v>
      </c>
      <c r="E680">
        <v>45547</v>
      </c>
      <c r="F680"/>
    </row>
    <row r="681" spans="2:6" x14ac:dyDescent="0.25">
      <c r="B681">
        <v>7924268059</v>
      </c>
      <c r="C681">
        <v>79</v>
      </c>
      <c r="D681" s="1">
        <v>45653</v>
      </c>
      <c r="E681">
        <v>45821</v>
      </c>
      <c r="F681"/>
    </row>
    <row r="682" spans="2:6" x14ac:dyDescent="0.25">
      <c r="B682">
        <v>7957042154</v>
      </c>
      <c r="C682">
        <v>79</v>
      </c>
      <c r="D682" s="1">
        <v>45622</v>
      </c>
      <c r="E682">
        <v>45659</v>
      </c>
      <c r="F682"/>
    </row>
    <row r="683" spans="2:6" x14ac:dyDescent="0.25">
      <c r="B683">
        <v>7928466004</v>
      </c>
      <c r="C683">
        <v>79</v>
      </c>
      <c r="D683" s="1">
        <v>46178</v>
      </c>
      <c r="E683">
        <v>46252</v>
      </c>
      <c r="F683"/>
    </row>
    <row r="684" spans="2:6" x14ac:dyDescent="0.25">
      <c r="B684">
        <v>7954704001</v>
      </c>
      <c r="C684">
        <v>79</v>
      </c>
      <c r="D684" s="1">
        <v>45835</v>
      </c>
      <c r="E684">
        <v>46276</v>
      </c>
      <c r="F684"/>
    </row>
    <row r="685" spans="2:6" x14ac:dyDescent="0.25">
      <c r="B685">
        <v>7900059009</v>
      </c>
      <c r="C685">
        <v>79</v>
      </c>
      <c r="D685" s="1">
        <v>45511</v>
      </c>
      <c r="E685">
        <v>46234</v>
      </c>
      <c r="F685"/>
    </row>
    <row r="686" spans="2:6" x14ac:dyDescent="0.25">
      <c r="B686">
        <v>7948129130</v>
      </c>
      <c r="C686">
        <v>79</v>
      </c>
      <c r="D686" s="1">
        <v>45520</v>
      </c>
      <c r="E686">
        <v>46271</v>
      </c>
      <c r="F686"/>
    </row>
    <row r="687" spans="2:6" x14ac:dyDescent="0.25">
      <c r="B687">
        <v>7933992003</v>
      </c>
      <c r="C687">
        <v>79</v>
      </c>
      <c r="D687" s="1">
        <v>45904</v>
      </c>
      <c r="E687">
        <v>46277</v>
      </c>
      <c r="F687"/>
    </row>
    <row r="688" spans="2:6" x14ac:dyDescent="0.25">
      <c r="B688">
        <v>7962052017</v>
      </c>
      <c r="C688">
        <v>79</v>
      </c>
      <c r="D688" s="1">
        <v>45953</v>
      </c>
      <c r="E688">
        <v>46274</v>
      </c>
      <c r="F688"/>
    </row>
    <row r="689" spans="2:6" x14ac:dyDescent="0.25">
      <c r="B689">
        <v>7931865074</v>
      </c>
      <c r="C689">
        <v>79</v>
      </c>
      <c r="D689" s="1">
        <v>45953</v>
      </c>
      <c r="E689">
        <v>46246</v>
      </c>
      <c r="F689"/>
    </row>
    <row r="690" spans="2:6" x14ac:dyDescent="0.25">
      <c r="B690">
        <v>7938136007</v>
      </c>
      <c r="C690">
        <v>79</v>
      </c>
      <c r="D690" s="1">
        <v>45953</v>
      </c>
      <c r="E690">
        <v>46273</v>
      </c>
      <c r="F690"/>
    </row>
    <row r="691" spans="2:6" x14ac:dyDescent="0.25">
      <c r="B691">
        <v>7927604001</v>
      </c>
      <c r="C691">
        <v>79</v>
      </c>
      <c r="D691" s="1">
        <v>45953</v>
      </c>
      <c r="E691">
        <v>46255</v>
      </c>
      <c r="F691"/>
    </row>
    <row r="692" spans="2:6" x14ac:dyDescent="0.25">
      <c r="B692">
        <v>7927751004</v>
      </c>
      <c r="C692">
        <v>79</v>
      </c>
      <c r="D692" s="1">
        <v>45953</v>
      </c>
      <c r="E692">
        <v>46274</v>
      </c>
      <c r="F692"/>
    </row>
    <row r="693" spans="2:6" x14ac:dyDescent="0.25">
      <c r="B693">
        <v>7924620042</v>
      </c>
      <c r="C693">
        <v>79</v>
      </c>
      <c r="D693" s="1">
        <v>45953</v>
      </c>
      <c r="E693">
        <v>46240</v>
      </c>
      <c r="F693"/>
    </row>
    <row r="694" spans="2:6" x14ac:dyDescent="0.25">
      <c r="B694">
        <v>7954704001</v>
      </c>
      <c r="C694">
        <v>79</v>
      </c>
      <c r="D694" s="1">
        <v>45953</v>
      </c>
      <c r="E694">
        <v>46234</v>
      </c>
      <c r="F694"/>
    </row>
    <row r="695" spans="2:6" x14ac:dyDescent="0.25">
      <c r="B695">
        <v>7900732001</v>
      </c>
      <c r="C695">
        <v>79</v>
      </c>
      <c r="D695" s="1">
        <v>45953</v>
      </c>
      <c r="E695">
        <v>46234</v>
      </c>
      <c r="F695"/>
    </row>
    <row r="696" spans="2:6" x14ac:dyDescent="0.25">
      <c r="B696">
        <v>7955677003</v>
      </c>
      <c r="C696">
        <v>79</v>
      </c>
      <c r="D696" s="1">
        <v>45953</v>
      </c>
      <c r="E696">
        <v>46262</v>
      </c>
      <c r="F696"/>
    </row>
    <row r="697" spans="2:6" x14ac:dyDescent="0.25">
      <c r="B697">
        <v>7900328003</v>
      </c>
      <c r="C697">
        <v>79</v>
      </c>
      <c r="D697" s="1">
        <v>45953</v>
      </c>
      <c r="E697">
        <v>46267</v>
      </c>
      <c r="F697"/>
    </row>
    <row r="698" spans="2:6" x14ac:dyDescent="0.25">
      <c r="B698">
        <v>7933640003</v>
      </c>
      <c r="C698">
        <v>79</v>
      </c>
      <c r="D698" s="1">
        <v>45953</v>
      </c>
      <c r="E698">
        <v>46267</v>
      </c>
      <c r="F698"/>
    </row>
    <row r="699" spans="2:6" x14ac:dyDescent="0.25">
      <c r="B699">
        <v>7932045003</v>
      </c>
      <c r="C699">
        <v>79</v>
      </c>
      <c r="D699" s="1">
        <v>45953</v>
      </c>
      <c r="E699">
        <v>46267</v>
      </c>
      <c r="F699"/>
    </row>
    <row r="700" spans="2:6" x14ac:dyDescent="0.25">
      <c r="B700">
        <v>7943541003</v>
      </c>
      <c r="C700">
        <v>79</v>
      </c>
      <c r="D700" s="1">
        <v>45953</v>
      </c>
      <c r="E700">
        <v>46267</v>
      </c>
      <c r="F700"/>
    </row>
    <row r="701" spans="2:6" x14ac:dyDescent="0.25">
      <c r="B701">
        <v>7936031003</v>
      </c>
      <c r="C701">
        <v>79</v>
      </c>
      <c r="D701" s="1">
        <v>45953</v>
      </c>
      <c r="E701">
        <v>46277</v>
      </c>
      <c r="F701"/>
    </row>
    <row r="702" spans="2:6" x14ac:dyDescent="0.25">
      <c r="B702">
        <v>7902102003</v>
      </c>
      <c r="C702">
        <v>79</v>
      </c>
      <c r="D702" s="1">
        <v>45953</v>
      </c>
      <c r="E702">
        <v>46234</v>
      </c>
      <c r="F702"/>
    </row>
    <row r="703" spans="2:6" x14ac:dyDescent="0.25">
      <c r="B703">
        <v>7954900073</v>
      </c>
      <c r="C703">
        <v>79</v>
      </c>
      <c r="D703" s="1">
        <v>45478</v>
      </c>
      <c r="E703">
        <v>46234</v>
      </c>
      <c r="F703"/>
    </row>
    <row r="704" spans="2:6" x14ac:dyDescent="0.25">
      <c r="B704">
        <v>7953570026</v>
      </c>
      <c r="C704">
        <v>79</v>
      </c>
      <c r="D704" s="1">
        <v>45632</v>
      </c>
      <c r="E704">
        <v>46277</v>
      </c>
      <c r="F704"/>
    </row>
    <row r="705" spans="2:6" x14ac:dyDescent="0.25">
      <c r="B705">
        <v>7900888055</v>
      </c>
      <c r="C705">
        <v>79</v>
      </c>
      <c r="D705" s="1">
        <v>45955</v>
      </c>
      <c r="E705">
        <v>46273</v>
      </c>
      <c r="F705"/>
    </row>
    <row r="706" spans="2:6" x14ac:dyDescent="0.25">
      <c r="B706">
        <v>7900654055</v>
      </c>
      <c r="C706">
        <v>79</v>
      </c>
      <c r="D706" s="1">
        <v>45955</v>
      </c>
      <c r="E706">
        <v>46273</v>
      </c>
      <c r="F706"/>
    </row>
    <row r="707" spans="2:6" x14ac:dyDescent="0.25">
      <c r="B707">
        <v>7956003081</v>
      </c>
      <c r="C707">
        <v>79</v>
      </c>
      <c r="D707" s="1">
        <v>45575</v>
      </c>
      <c r="E707">
        <v>46276</v>
      </c>
      <c r="F707"/>
    </row>
    <row r="708" spans="2:6" x14ac:dyDescent="0.25">
      <c r="B708">
        <v>7900059009</v>
      </c>
      <c r="C708">
        <v>79</v>
      </c>
      <c r="D708" s="1">
        <v>45961</v>
      </c>
      <c r="E708">
        <v>46234</v>
      </c>
      <c r="F708"/>
    </row>
    <row r="709" spans="2:6" x14ac:dyDescent="0.25">
      <c r="B709">
        <v>7956040101</v>
      </c>
      <c r="C709">
        <v>79</v>
      </c>
      <c r="D709" s="1">
        <v>45604</v>
      </c>
      <c r="E709">
        <v>45623</v>
      </c>
      <c r="F709"/>
    </row>
    <row r="710" spans="2:6" x14ac:dyDescent="0.25">
      <c r="B710">
        <v>7936096015</v>
      </c>
      <c r="C710">
        <v>79</v>
      </c>
      <c r="D710" s="1">
        <v>45543</v>
      </c>
      <c r="E710">
        <v>46278</v>
      </c>
      <c r="F710"/>
    </row>
    <row r="711" spans="2:6" x14ac:dyDescent="0.25">
      <c r="B711">
        <v>7965092045</v>
      </c>
      <c r="C711">
        <v>79</v>
      </c>
      <c r="D711" s="1">
        <v>45926</v>
      </c>
      <c r="E711">
        <v>46276</v>
      </c>
      <c r="F711"/>
    </row>
    <row r="712" spans="2:6" x14ac:dyDescent="0.25">
      <c r="B712">
        <v>7955576039</v>
      </c>
      <c r="C712">
        <v>79</v>
      </c>
      <c r="D712" s="1">
        <v>45570</v>
      </c>
      <c r="E712">
        <v>45666</v>
      </c>
      <c r="F712"/>
    </row>
    <row r="713" spans="2:6" x14ac:dyDescent="0.25">
      <c r="B713">
        <v>7928466004</v>
      </c>
      <c r="C713">
        <v>79</v>
      </c>
      <c r="D713" s="1">
        <v>46176</v>
      </c>
      <c r="E713">
        <v>46178</v>
      </c>
      <c r="F713"/>
    </row>
    <row r="714" spans="2:6" x14ac:dyDescent="0.25">
      <c r="B714">
        <v>7927751004</v>
      </c>
      <c r="C714">
        <v>79</v>
      </c>
      <c r="D714" s="1">
        <v>45702</v>
      </c>
      <c r="E714">
        <v>46274</v>
      </c>
      <c r="F714"/>
    </row>
    <row r="715" spans="2:6" x14ac:dyDescent="0.25">
      <c r="B715">
        <v>7954900073</v>
      </c>
      <c r="C715">
        <v>79</v>
      </c>
      <c r="D715" s="1">
        <v>45953</v>
      </c>
      <c r="E715">
        <v>46271</v>
      </c>
      <c r="F715"/>
    </row>
    <row r="716" spans="2:6" x14ac:dyDescent="0.25">
      <c r="B716">
        <v>7934170045</v>
      </c>
      <c r="C716">
        <v>79</v>
      </c>
      <c r="D716" s="1">
        <v>45953</v>
      </c>
      <c r="E716">
        <v>46276</v>
      </c>
      <c r="F716"/>
    </row>
    <row r="717" spans="2:6" x14ac:dyDescent="0.25">
      <c r="B717">
        <v>7940868065</v>
      </c>
      <c r="C717">
        <v>79</v>
      </c>
      <c r="D717" s="1">
        <v>45953</v>
      </c>
      <c r="E717">
        <v>46276</v>
      </c>
      <c r="F717"/>
    </row>
    <row r="718" spans="2:6" x14ac:dyDescent="0.25">
      <c r="B718">
        <v>7956003081</v>
      </c>
      <c r="C718">
        <v>79</v>
      </c>
      <c r="D718" s="1">
        <v>45953</v>
      </c>
      <c r="E718">
        <v>46274</v>
      </c>
      <c r="F718"/>
    </row>
    <row r="719" spans="2:6" x14ac:dyDescent="0.25">
      <c r="B719">
        <v>7924938131</v>
      </c>
      <c r="C719">
        <v>79</v>
      </c>
      <c r="D719" s="1">
        <v>45953</v>
      </c>
      <c r="E719">
        <v>46276</v>
      </c>
      <c r="F719"/>
    </row>
    <row r="720" spans="2:6" x14ac:dyDescent="0.25">
      <c r="B720">
        <v>7924930088</v>
      </c>
      <c r="C720">
        <v>79</v>
      </c>
      <c r="D720" s="1">
        <v>45953</v>
      </c>
      <c r="E720">
        <v>46276</v>
      </c>
      <c r="F720"/>
    </row>
    <row r="721" spans="2:6" x14ac:dyDescent="0.25">
      <c r="B721">
        <v>7951634086</v>
      </c>
      <c r="C721">
        <v>79</v>
      </c>
      <c r="D721" s="1">
        <v>45329</v>
      </c>
      <c r="E721">
        <v>46278</v>
      </c>
      <c r="F721"/>
    </row>
    <row r="722" spans="2:6" x14ac:dyDescent="0.25">
      <c r="B722">
        <v>7900032086</v>
      </c>
      <c r="C722">
        <v>79</v>
      </c>
      <c r="D722" s="1">
        <v>45329</v>
      </c>
      <c r="E722">
        <v>46278</v>
      </c>
      <c r="F722"/>
    </row>
    <row r="723" spans="2:6" x14ac:dyDescent="0.25">
      <c r="B723">
        <v>7924620042</v>
      </c>
      <c r="C723">
        <v>79</v>
      </c>
      <c r="D723" s="1">
        <v>45373</v>
      </c>
      <c r="E723">
        <v>46234</v>
      </c>
      <c r="F723"/>
    </row>
    <row r="724" spans="2:6" x14ac:dyDescent="0.25">
      <c r="B724">
        <v>7948129130</v>
      </c>
      <c r="C724">
        <v>79</v>
      </c>
      <c r="D724" s="1">
        <v>45365</v>
      </c>
      <c r="E724">
        <v>46271</v>
      </c>
      <c r="F724"/>
    </row>
    <row r="725" spans="2:6" x14ac:dyDescent="0.25">
      <c r="B725">
        <v>7900059009</v>
      </c>
      <c r="C725">
        <v>79</v>
      </c>
      <c r="D725" s="1">
        <v>45625</v>
      </c>
      <c r="E725">
        <v>46259</v>
      </c>
      <c r="F725"/>
    </row>
    <row r="726" spans="2:6" x14ac:dyDescent="0.25">
      <c r="B726">
        <v>7955908083</v>
      </c>
      <c r="C726">
        <v>79</v>
      </c>
      <c r="D726" s="1">
        <v>45608</v>
      </c>
      <c r="E726">
        <v>46278</v>
      </c>
      <c r="F726"/>
    </row>
    <row r="727" spans="2:6" x14ac:dyDescent="0.25">
      <c r="B727">
        <v>7955520116</v>
      </c>
      <c r="C727">
        <v>79</v>
      </c>
      <c r="D727" s="1">
        <v>45608</v>
      </c>
      <c r="E727">
        <v>45659</v>
      </c>
      <c r="F727"/>
    </row>
    <row r="728" spans="2:6" x14ac:dyDescent="0.25">
      <c r="B728">
        <v>7956399193</v>
      </c>
      <c r="C728">
        <v>79</v>
      </c>
      <c r="D728" s="1">
        <v>45608</v>
      </c>
      <c r="E728">
        <v>45659</v>
      </c>
      <c r="F728"/>
    </row>
    <row r="729" spans="2:6" x14ac:dyDescent="0.25">
      <c r="B729">
        <v>7930359149</v>
      </c>
      <c r="C729">
        <v>79</v>
      </c>
      <c r="D729" s="1">
        <v>45425</v>
      </c>
      <c r="E729">
        <v>45456</v>
      </c>
      <c r="F729"/>
    </row>
    <row r="730" spans="2:6" x14ac:dyDescent="0.25">
      <c r="B730">
        <v>7900663086</v>
      </c>
      <c r="C730">
        <v>79</v>
      </c>
      <c r="D730" s="1">
        <v>45425</v>
      </c>
      <c r="E730">
        <v>45456</v>
      </c>
      <c r="F730"/>
    </row>
    <row r="731" spans="2:6" x14ac:dyDescent="0.25">
      <c r="B731">
        <v>7956932122</v>
      </c>
      <c r="C731">
        <v>79</v>
      </c>
      <c r="D731" s="1">
        <v>45617</v>
      </c>
      <c r="E731">
        <v>45624</v>
      </c>
      <c r="F731"/>
    </row>
    <row r="732" spans="2:6" x14ac:dyDescent="0.25">
      <c r="B732">
        <v>7924850004</v>
      </c>
      <c r="C732">
        <v>79</v>
      </c>
      <c r="D732" s="1">
        <v>45850</v>
      </c>
      <c r="E732">
        <v>46277</v>
      </c>
      <c r="F732"/>
    </row>
    <row r="733" spans="2:6" x14ac:dyDescent="0.25">
      <c r="B733">
        <v>7929374004</v>
      </c>
      <c r="C733">
        <v>79</v>
      </c>
      <c r="D733" s="1">
        <v>45953</v>
      </c>
      <c r="E733">
        <v>46269</v>
      </c>
      <c r="F733"/>
    </row>
    <row r="734" spans="2:6" x14ac:dyDescent="0.25">
      <c r="B734">
        <v>7957017089</v>
      </c>
      <c r="C734">
        <v>79</v>
      </c>
      <c r="D734" s="1">
        <v>45598</v>
      </c>
      <c r="E734">
        <v>46261</v>
      </c>
      <c r="F734"/>
    </row>
    <row r="735" spans="2:6" x14ac:dyDescent="0.25">
      <c r="B735">
        <v>7947534073</v>
      </c>
      <c r="C735">
        <v>79</v>
      </c>
      <c r="D735" s="1">
        <v>45953</v>
      </c>
      <c r="E735">
        <v>46234</v>
      </c>
      <c r="F735"/>
    </row>
    <row r="736" spans="2:6" x14ac:dyDescent="0.25">
      <c r="B736">
        <v>7947024076</v>
      </c>
      <c r="C736">
        <v>79</v>
      </c>
      <c r="D736" s="1">
        <v>45953</v>
      </c>
      <c r="E736">
        <v>46245</v>
      </c>
      <c r="F736"/>
    </row>
    <row r="737" spans="2:6" x14ac:dyDescent="0.25">
      <c r="B737">
        <v>7925096042</v>
      </c>
      <c r="C737">
        <v>79</v>
      </c>
      <c r="D737" s="1">
        <v>45859</v>
      </c>
      <c r="E737">
        <v>46234</v>
      </c>
      <c r="F737"/>
    </row>
    <row r="738" spans="2:6" x14ac:dyDescent="0.25">
      <c r="B738">
        <v>7949914001</v>
      </c>
      <c r="C738">
        <v>79</v>
      </c>
      <c r="D738" s="1">
        <v>45448</v>
      </c>
      <c r="E738">
        <v>46276</v>
      </c>
      <c r="F738"/>
    </row>
    <row r="739" spans="2:6" x14ac:dyDescent="0.25">
      <c r="B739">
        <v>7950310122</v>
      </c>
      <c r="C739">
        <v>79</v>
      </c>
      <c r="D739" s="1">
        <v>45384</v>
      </c>
      <c r="E739">
        <v>46270</v>
      </c>
      <c r="F739"/>
    </row>
    <row r="740" spans="2:6" x14ac:dyDescent="0.25">
      <c r="B740">
        <v>7950310122</v>
      </c>
      <c r="C740">
        <v>79</v>
      </c>
      <c r="D740" s="1">
        <v>45418</v>
      </c>
      <c r="E740">
        <v>46247</v>
      </c>
      <c r="F740"/>
    </row>
    <row r="741" spans="2:6" x14ac:dyDescent="0.25">
      <c r="B741">
        <v>7931682122</v>
      </c>
      <c r="C741">
        <v>79</v>
      </c>
      <c r="D741" s="1">
        <v>45473</v>
      </c>
      <c r="E741">
        <v>46267</v>
      </c>
      <c r="F741"/>
    </row>
    <row r="742" spans="2:6" x14ac:dyDescent="0.25">
      <c r="B742">
        <v>7950184103</v>
      </c>
      <c r="C742">
        <v>79</v>
      </c>
      <c r="D742" s="1">
        <v>45473</v>
      </c>
      <c r="E742">
        <v>45736</v>
      </c>
      <c r="F742"/>
    </row>
    <row r="743" spans="2:6" x14ac:dyDescent="0.25">
      <c r="B743">
        <v>7951276130</v>
      </c>
      <c r="C743">
        <v>79</v>
      </c>
      <c r="D743" s="1">
        <v>45476</v>
      </c>
      <c r="E743">
        <v>46271</v>
      </c>
      <c r="F743"/>
    </row>
    <row r="744" spans="2:6" x14ac:dyDescent="0.25">
      <c r="B744">
        <v>7955932122</v>
      </c>
      <c r="C744">
        <v>79</v>
      </c>
      <c r="D744" s="1">
        <v>45615</v>
      </c>
      <c r="E744">
        <v>45623</v>
      </c>
      <c r="F744"/>
    </row>
    <row r="745" spans="2:6" x14ac:dyDescent="0.25">
      <c r="B745">
        <v>7934500003</v>
      </c>
      <c r="C745">
        <v>79</v>
      </c>
      <c r="D745" s="1">
        <v>45451</v>
      </c>
      <c r="E745">
        <v>45669</v>
      </c>
      <c r="F745"/>
    </row>
    <row r="746" spans="2:6" x14ac:dyDescent="0.25">
      <c r="B746">
        <v>7950298038</v>
      </c>
      <c r="C746">
        <v>79</v>
      </c>
      <c r="D746" s="1">
        <v>45453</v>
      </c>
      <c r="E746">
        <v>46276</v>
      </c>
      <c r="F746"/>
    </row>
    <row r="747" spans="2:6" x14ac:dyDescent="0.25">
      <c r="B747">
        <v>7950291049</v>
      </c>
      <c r="C747">
        <v>79</v>
      </c>
      <c r="D747" s="1">
        <v>45453</v>
      </c>
      <c r="E747">
        <v>46276</v>
      </c>
      <c r="F747"/>
    </row>
    <row r="748" spans="2:6" x14ac:dyDescent="0.25">
      <c r="B748">
        <v>7931682122</v>
      </c>
      <c r="C748">
        <v>79</v>
      </c>
      <c r="D748" s="1">
        <v>45453</v>
      </c>
      <c r="E748">
        <v>46270</v>
      </c>
      <c r="F748"/>
    </row>
    <row r="749" spans="2:6" x14ac:dyDescent="0.25">
      <c r="B749">
        <v>7955908083</v>
      </c>
      <c r="C749">
        <v>79</v>
      </c>
      <c r="D749" s="1">
        <v>45639</v>
      </c>
      <c r="E749">
        <v>46278</v>
      </c>
      <c r="F749"/>
    </row>
    <row r="750" spans="2:6" x14ac:dyDescent="0.25">
      <c r="B750">
        <v>7955913122</v>
      </c>
      <c r="C750">
        <v>79</v>
      </c>
      <c r="D750" s="1">
        <v>45630</v>
      </c>
      <c r="E750">
        <v>46267</v>
      </c>
      <c r="F750"/>
    </row>
    <row r="751" spans="2:6" x14ac:dyDescent="0.25">
      <c r="B751">
        <v>7956373149</v>
      </c>
      <c r="C751">
        <v>79</v>
      </c>
      <c r="D751" s="1">
        <v>45473</v>
      </c>
      <c r="E751">
        <v>46277</v>
      </c>
      <c r="F751"/>
    </row>
    <row r="752" spans="2:6" x14ac:dyDescent="0.25">
      <c r="B752">
        <v>7950291049</v>
      </c>
      <c r="C752">
        <v>79</v>
      </c>
      <c r="D752" s="1">
        <v>45473</v>
      </c>
      <c r="E752">
        <v>46259</v>
      </c>
      <c r="F752"/>
    </row>
    <row r="753" spans="2:6" x14ac:dyDescent="0.25">
      <c r="B753">
        <v>7950298038</v>
      </c>
      <c r="C753">
        <v>79</v>
      </c>
      <c r="D753" s="1">
        <v>45473</v>
      </c>
      <c r="E753">
        <v>46259</v>
      </c>
      <c r="F753"/>
    </row>
    <row r="754" spans="2:6" x14ac:dyDescent="0.25">
      <c r="B754">
        <v>7927751004</v>
      </c>
      <c r="C754">
        <v>79</v>
      </c>
      <c r="D754" s="1">
        <v>45747</v>
      </c>
      <c r="E754">
        <v>46267</v>
      </c>
      <c r="F754"/>
    </row>
    <row r="755" spans="2:6" x14ac:dyDescent="0.25">
      <c r="B755">
        <v>7954704001</v>
      </c>
      <c r="C755">
        <v>79</v>
      </c>
      <c r="D755" s="1">
        <v>45537</v>
      </c>
      <c r="E755">
        <v>46235</v>
      </c>
      <c r="F755"/>
    </row>
    <row r="756" spans="2:6" x14ac:dyDescent="0.25">
      <c r="B756">
        <v>7938139013</v>
      </c>
      <c r="C756">
        <v>79</v>
      </c>
      <c r="D756" s="1">
        <v>45419</v>
      </c>
      <c r="E756">
        <v>45457</v>
      </c>
      <c r="F756"/>
    </row>
    <row r="757" spans="2:6" x14ac:dyDescent="0.25">
      <c r="B757">
        <v>7956939122</v>
      </c>
      <c r="C757">
        <v>79</v>
      </c>
      <c r="D757" s="1">
        <v>45747</v>
      </c>
      <c r="E757">
        <v>46276</v>
      </c>
      <c r="F757"/>
    </row>
    <row r="758" spans="2:6" x14ac:dyDescent="0.25">
      <c r="B758">
        <v>7931629122</v>
      </c>
      <c r="C758">
        <v>79</v>
      </c>
      <c r="D758" s="1">
        <v>45747</v>
      </c>
      <c r="E758">
        <v>46276</v>
      </c>
      <c r="F758"/>
    </row>
    <row r="759" spans="2:6" x14ac:dyDescent="0.25">
      <c r="B759">
        <v>7931601122</v>
      </c>
      <c r="C759">
        <v>79</v>
      </c>
      <c r="D759" s="1">
        <v>45747</v>
      </c>
      <c r="E759">
        <v>46276</v>
      </c>
      <c r="F759"/>
    </row>
    <row r="760" spans="2:6" x14ac:dyDescent="0.25">
      <c r="B760">
        <v>7955922122</v>
      </c>
      <c r="C760">
        <v>79</v>
      </c>
      <c r="D760" s="1">
        <v>45595</v>
      </c>
      <c r="E760">
        <v>46274</v>
      </c>
      <c r="F760" t="s">
        <v>676</v>
      </c>
    </row>
  </sheetData>
  <autoFilter ref="H4:N406" xr:uid="{00000000-0001-0000-0100-000000000000}"/>
  <phoneticPr fontId="3" type="noConversion"/>
  <conditionalFormatting sqref="B85">
    <cfRule type="duplicateValues" dxfId="28" priority="17"/>
  </conditionalFormatting>
  <conditionalFormatting sqref="B86:B87">
    <cfRule type="duplicateValues" dxfId="27" priority="16"/>
  </conditionalFormatting>
  <conditionalFormatting sqref="B90 B92:B95">
    <cfRule type="duplicateValues" dxfId="26" priority="15"/>
  </conditionalFormatting>
  <conditionalFormatting sqref="B91 B96 B98">
    <cfRule type="duplicateValues" dxfId="25" priority="14"/>
  </conditionalFormatting>
  <conditionalFormatting sqref="B97 B99">
    <cfRule type="duplicateValues" dxfId="24" priority="13"/>
  </conditionalFormatting>
  <conditionalFormatting sqref="B100:B101">
    <cfRule type="duplicateValues" dxfId="23" priority="12"/>
  </conditionalFormatting>
  <conditionalFormatting sqref="B102:B156 B158:B164 B166:B275 B277 B279 B281 B283:B284">
    <cfRule type="duplicateValues" dxfId="22" priority="82"/>
  </conditionalFormatting>
  <conditionalFormatting sqref="B157 B165">
    <cfRule type="duplicateValues" dxfId="21" priority="7"/>
  </conditionalFormatting>
  <conditionalFormatting sqref="G414">
    <cfRule type="duplicateValues" dxfId="20" priority="5"/>
  </conditionalFormatting>
  <conditionalFormatting sqref="H1">
    <cfRule type="duplicateValues" dxfId="19" priority="3"/>
  </conditionalFormatting>
  <conditionalFormatting sqref="H1:H1048576">
    <cfRule type="duplicateValues" dxfId="18" priority="2"/>
  </conditionalFormatting>
  <conditionalFormatting sqref="H284">
    <cfRule type="duplicateValues" dxfId="17" priority="6"/>
  </conditionalFormatting>
  <conditionalFormatting sqref="H285:H287 H78:H79 H83:H92 H1:H76 H94:H101 H146:H165 H103:H143 H244:H283 H168:H242 H289:H1048576">
    <cfRule type="duplicateValues" dxfId="16" priority="32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tabColor rgb="FF00FF00"/>
  </sheetPr>
  <dimension ref="B3:O226"/>
  <sheetViews>
    <sheetView showGridLines="0" zoomScaleNormal="100" workbookViewId="0">
      <selection activeCell="J14" sqref="J14"/>
    </sheetView>
  </sheetViews>
  <sheetFormatPr defaultRowHeight="15" x14ac:dyDescent="0.25"/>
  <cols>
    <col min="2" max="2" width="11" style="2" bestFit="1" customWidth="1"/>
    <col min="3" max="3" width="5.140625" bestFit="1" customWidth="1"/>
    <col min="4" max="4" width="10.7109375" style="122" bestFit="1" customWidth="1"/>
    <col min="5" max="5" width="13.140625" style="122" bestFit="1" customWidth="1"/>
    <col min="6" max="6" width="33.85546875" style="9" bestFit="1" customWidth="1"/>
    <col min="8" max="8" width="12.85546875" style="2" bestFit="1" customWidth="1"/>
    <col min="9" max="9" width="11" style="2" bestFit="1" customWidth="1"/>
    <col min="10" max="10" width="20.28515625" style="3" customWidth="1"/>
    <col min="11" max="11" width="15.42578125" style="3" customWidth="1"/>
    <col min="12" max="12" width="30" style="9" customWidth="1"/>
    <col min="13" max="13" width="16.42578125" style="3" customWidth="1"/>
    <col min="14" max="14" width="34" customWidth="1"/>
    <col min="15" max="15" width="14.28515625" style="98" customWidth="1"/>
    <col min="17" max="17" width="11" bestFit="1" customWidth="1"/>
  </cols>
  <sheetData>
    <row r="3" spans="2:15" ht="15.75" x14ac:dyDescent="0.25">
      <c r="B3" s="108" t="s">
        <v>0</v>
      </c>
      <c r="C3" s="4" t="s">
        <v>1</v>
      </c>
      <c r="D3" s="121" t="s">
        <v>2</v>
      </c>
      <c r="E3" s="121" t="s">
        <v>3</v>
      </c>
      <c r="F3" s="8" t="s">
        <v>112</v>
      </c>
      <c r="H3" s="24" t="s">
        <v>32</v>
      </c>
      <c r="I3" s="25"/>
      <c r="J3" s="26"/>
      <c r="K3" s="26"/>
      <c r="L3" s="27"/>
      <c r="M3" s="28"/>
    </row>
    <row r="4" spans="2:15" x14ac:dyDescent="0.25">
      <c r="B4" s="2">
        <v>5827767145</v>
      </c>
      <c r="C4">
        <v>58</v>
      </c>
      <c r="D4" s="122">
        <v>44829</v>
      </c>
      <c r="E4" s="122">
        <v>45293</v>
      </c>
      <c r="F4" s="9" t="e">
        <f>VLOOKUP(revtar_inr_aecc_CELTINS[[#This Row],[CODIGO]],H:M,5,)</f>
        <v>#N/A</v>
      </c>
      <c r="H4" s="19" t="s">
        <v>0</v>
      </c>
      <c r="I4" s="20" t="s">
        <v>1</v>
      </c>
      <c r="J4" s="21" t="s">
        <v>33</v>
      </c>
      <c r="K4" s="21" t="s">
        <v>34</v>
      </c>
      <c r="L4" s="22" t="s">
        <v>35</v>
      </c>
      <c r="M4" s="23" t="s">
        <v>36</v>
      </c>
    </row>
    <row r="5" spans="2:15" x14ac:dyDescent="0.25">
      <c r="B5" s="2">
        <v>5849892032</v>
      </c>
      <c r="C5">
        <v>58</v>
      </c>
      <c r="D5" s="122">
        <v>44964</v>
      </c>
      <c r="E5" s="122">
        <v>45308</v>
      </c>
      <c r="F5" s="9" t="str">
        <f>VLOOKUP(revtar_inr_aecc_CELTINS[[#This Row],[CODIGO]],H:M,5,)</f>
        <v>ETO-PROT313/2023</v>
      </c>
      <c r="H5" s="11">
        <v>5800961074</v>
      </c>
      <c r="I5" s="12">
        <v>58</v>
      </c>
      <c r="J5" s="13">
        <v>44825</v>
      </c>
      <c r="K5" s="13">
        <v>45299</v>
      </c>
      <c r="L5" s="14" t="s">
        <v>28</v>
      </c>
      <c r="M5" s="15" t="s">
        <v>31</v>
      </c>
      <c r="O5" s="1"/>
    </row>
    <row r="6" spans="2:15" x14ac:dyDescent="0.25">
      <c r="B6" s="2">
        <v>5800765149</v>
      </c>
      <c r="C6">
        <v>58</v>
      </c>
      <c r="D6" s="122">
        <v>44767</v>
      </c>
      <c r="E6" s="122">
        <v>45329</v>
      </c>
      <c r="F6" s="9" t="str">
        <f>VLOOKUP(revtar_inr_aecc_CELTINS[[#This Row],[CODIGO]],H:M,5,)</f>
        <v>ETO-PROT47/2024</v>
      </c>
      <c r="H6" s="16">
        <v>5801843038</v>
      </c>
      <c r="I6" s="2">
        <v>58</v>
      </c>
      <c r="J6" s="3">
        <v>44859</v>
      </c>
      <c r="K6" s="3">
        <v>45299</v>
      </c>
      <c r="L6" s="9" t="s">
        <v>31</v>
      </c>
      <c r="M6" s="17" t="s">
        <v>31</v>
      </c>
      <c r="O6" s="1"/>
    </row>
    <row r="7" spans="2:15" x14ac:dyDescent="0.25">
      <c r="B7" s="2">
        <v>5850410265</v>
      </c>
      <c r="C7">
        <v>58</v>
      </c>
      <c r="D7" s="122">
        <v>44989</v>
      </c>
      <c r="E7" s="122">
        <v>45343</v>
      </c>
      <c r="F7" s="9" t="str">
        <f>VLOOKUP(revtar_inr_aecc_CELTINS[[#This Row],[CODIGO]],H:M,5,)</f>
        <v>ETO-PROT69/2024</v>
      </c>
      <c r="H7" s="18">
        <v>5838182027</v>
      </c>
      <c r="I7" s="2">
        <v>58</v>
      </c>
      <c r="J7" s="3">
        <v>44859</v>
      </c>
      <c r="K7" s="3">
        <v>45299</v>
      </c>
      <c r="L7" s="9" t="s">
        <v>31</v>
      </c>
      <c r="M7" s="17" t="s">
        <v>31</v>
      </c>
      <c r="O7" s="1"/>
    </row>
    <row r="8" spans="2:15" x14ac:dyDescent="0.25">
      <c r="B8" s="2">
        <v>5848305116</v>
      </c>
      <c r="C8">
        <v>58</v>
      </c>
      <c r="D8" s="122">
        <v>45350</v>
      </c>
      <c r="E8" s="122">
        <v>45355</v>
      </c>
      <c r="F8" s="9" t="str">
        <f>VLOOKUP(revtar_inr_aecc_CELTINS[[#This Row],[CODIGO]],H:M,5,)</f>
        <v>ETO-PRTO57/2024</v>
      </c>
      <c r="H8" s="18">
        <v>5820790038</v>
      </c>
      <c r="I8" s="2">
        <v>58</v>
      </c>
      <c r="J8" s="3">
        <v>44840</v>
      </c>
      <c r="K8" s="3">
        <v>45299</v>
      </c>
      <c r="L8" s="9" t="s">
        <v>31</v>
      </c>
      <c r="M8" s="17" t="s">
        <v>31</v>
      </c>
      <c r="O8" s="1"/>
    </row>
    <row r="9" spans="2:15" x14ac:dyDescent="0.25">
      <c r="B9" s="2">
        <v>5848305116</v>
      </c>
      <c r="C9">
        <v>58</v>
      </c>
      <c r="D9" s="122">
        <v>45355</v>
      </c>
      <c r="E9" s="122">
        <v>45355</v>
      </c>
      <c r="F9" s="9" t="str">
        <f>VLOOKUP(revtar_inr_aecc_CELTINS[[#This Row],[CODIGO]],H:M,5,)</f>
        <v>ETO-PRTO57/2024</v>
      </c>
      <c r="H9" s="18">
        <v>5841308190</v>
      </c>
      <c r="I9" s="2">
        <v>58</v>
      </c>
      <c r="J9" s="3">
        <v>44033</v>
      </c>
      <c r="K9" s="3">
        <v>45299</v>
      </c>
      <c r="L9" s="9" t="s">
        <v>31</v>
      </c>
      <c r="M9" s="17" t="s">
        <v>31</v>
      </c>
      <c r="O9" s="1"/>
    </row>
    <row r="10" spans="2:15" x14ac:dyDescent="0.25">
      <c r="B10" s="2">
        <v>5838020063</v>
      </c>
      <c r="C10">
        <v>58</v>
      </c>
      <c r="D10" s="122">
        <v>44838</v>
      </c>
      <c r="E10" s="122">
        <v>45355</v>
      </c>
      <c r="F10" s="9" t="str">
        <f>VLOOKUP(revtar_inr_aecc_CELTINS[[#This Row],[CODIGO]],H:M,5,)</f>
        <v>ETO-PROT65/2024</v>
      </c>
      <c r="H10" s="18">
        <v>5801866013</v>
      </c>
      <c r="I10" s="2">
        <v>58</v>
      </c>
      <c r="J10" s="3">
        <v>44825</v>
      </c>
      <c r="K10" s="3">
        <v>45301</v>
      </c>
      <c r="L10" s="9" t="s">
        <v>31</v>
      </c>
      <c r="M10" s="17" t="s">
        <v>31</v>
      </c>
      <c r="O10" s="1"/>
    </row>
    <row r="11" spans="2:15" x14ac:dyDescent="0.25">
      <c r="B11" s="2">
        <v>5848305116</v>
      </c>
      <c r="C11">
        <v>58</v>
      </c>
      <c r="D11" s="122">
        <v>45350</v>
      </c>
      <c r="E11" s="122">
        <v>45355</v>
      </c>
      <c r="F11" s="9" t="str">
        <f>VLOOKUP(revtar_inr_aecc_CELTINS[[#This Row],[CODIGO]],H:M,5,)</f>
        <v>ETO-PRTO57/2024</v>
      </c>
      <c r="H11" s="18">
        <v>5801773013</v>
      </c>
      <c r="I11" s="2">
        <v>58</v>
      </c>
      <c r="J11" s="3">
        <v>44820</v>
      </c>
      <c r="K11" s="3">
        <v>45301</v>
      </c>
      <c r="L11" s="9" t="s">
        <v>31</v>
      </c>
      <c r="M11" s="17" t="s">
        <v>31</v>
      </c>
      <c r="O11" s="1"/>
    </row>
    <row r="12" spans="2:15" x14ac:dyDescent="0.25">
      <c r="B12" s="2">
        <v>5838020063</v>
      </c>
      <c r="C12">
        <v>58</v>
      </c>
      <c r="D12" s="122">
        <v>45355</v>
      </c>
      <c r="E12" s="122">
        <v>45370</v>
      </c>
      <c r="F12" s="9" t="str">
        <f>VLOOKUP(revtar_inr_aecc_CELTINS[[#This Row],[CODIGO]],H:M,5,)</f>
        <v>ETO-PROT65/2024</v>
      </c>
      <c r="H12" s="18">
        <v>5800366016</v>
      </c>
      <c r="I12" s="2">
        <v>58</v>
      </c>
      <c r="J12" s="3">
        <v>44826</v>
      </c>
      <c r="K12" s="3">
        <v>45307</v>
      </c>
      <c r="L12" s="9" t="s">
        <v>31</v>
      </c>
      <c r="M12" s="17" t="s">
        <v>31</v>
      </c>
      <c r="O12" s="1"/>
    </row>
    <row r="13" spans="2:15" x14ac:dyDescent="0.25">
      <c r="B13" s="2">
        <v>5835685149</v>
      </c>
      <c r="C13">
        <v>58</v>
      </c>
      <c r="D13" s="122">
        <v>44839</v>
      </c>
      <c r="E13" s="122">
        <v>45370</v>
      </c>
      <c r="F13" s="9" t="str">
        <f>VLOOKUP(revtar_inr_aecc_CELTINS[[#This Row],[CODIGO]],H:M,5,)</f>
        <v>BDGD</v>
      </c>
      <c r="H13" s="18">
        <v>5825122040</v>
      </c>
      <c r="I13" s="2">
        <v>58</v>
      </c>
      <c r="J13" s="3">
        <v>44825</v>
      </c>
      <c r="K13" s="3">
        <v>45308</v>
      </c>
      <c r="L13" s="9" t="s">
        <v>31</v>
      </c>
      <c r="M13" s="17" t="s">
        <v>31</v>
      </c>
      <c r="O13" s="1"/>
    </row>
    <row r="14" spans="2:15" x14ac:dyDescent="0.25">
      <c r="B14" s="2">
        <v>5838020063</v>
      </c>
      <c r="C14">
        <v>58</v>
      </c>
      <c r="D14" s="122">
        <v>45355</v>
      </c>
      <c r="E14" s="122">
        <v>45370</v>
      </c>
      <c r="F14" s="9" t="str">
        <f>VLOOKUP(revtar_inr_aecc_CELTINS[[#This Row],[CODIGO]],H:M,5,)</f>
        <v>ETO-PROT65/2024</v>
      </c>
      <c r="H14" s="16">
        <v>5827767081</v>
      </c>
      <c r="I14" s="2">
        <v>58</v>
      </c>
      <c r="J14" s="3">
        <v>45293</v>
      </c>
      <c r="K14" s="3">
        <v>45308</v>
      </c>
      <c r="L14" s="9" t="s">
        <v>19</v>
      </c>
      <c r="M14" s="17">
        <v>45358</v>
      </c>
      <c r="O14" s="1"/>
    </row>
    <row r="15" spans="2:15" x14ac:dyDescent="0.25">
      <c r="B15" s="2">
        <v>5851801003</v>
      </c>
      <c r="C15">
        <v>58</v>
      </c>
      <c r="D15" s="122">
        <v>45411</v>
      </c>
      <c r="E15" s="122">
        <v>45411</v>
      </c>
      <c r="F15" s="9" t="str">
        <f>VLOOKUP(revtar_inr_aecc_CELTINS[[#This Row],[CODIGO]],H:M,5,)</f>
        <v>ATIVO AINDA NÃO CHEGOU NO SGM</v>
      </c>
      <c r="H15" s="16">
        <v>5849892032</v>
      </c>
      <c r="I15" s="2">
        <v>58</v>
      </c>
      <c r="J15" s="3">
        <v>44964</v>
      </c>
      <c r="K15" s="3">
        <v>45308</v>
      </c>
      <c r="L15" s="9" t="s">
        <v>26</v>
      </c>
      <c r="M15" s="17">
        <v>45299</v>
      </c>
      <c r="O15" s="1"/>
    </row>
    <row r="16" spans="2:15" x14ac:dyDescent="0.25">
      <c r="B16" s="2">
        <v>5827767081</v>
      </c>
      <c r="C16">
        <v>58</v>
      </c>
      <c r="D16" s="122">
        <v>45293</v>
      </c>
      <c r="E16" s="122">
        <v>45419</v>
      </c>
      <c r="F16" s="9" t="str">
        <f>VLOOKUP(revtar_inr_aecc_CELTINS[[#This Row],[CODIGO]],H:M,5,)</f>
        <v>não encontrado</v>
      </c>
      <c r="H16" s="16">
        <v>5851504001</v>
      </c>
      <c r="I16" s="2">
        <v>58</v>
      </c>
      <c r="J16" s="3">
        <v>45308</v>
      </c>
      <c r="K16" s="3">
        <v>45315</v>
      </c>
      <c r="L16" s="9" t="s">
        <v>15</v>
      </c>
      <c r="M16" s="17">
        <v>45314</v>
      </c>
      <c r="O16" s="1"/>
    </row>
    <row r="17" spans="2:15" x14ac:dyDescent="0.25">
      <c r="B17" s="2">
        <v>5854858149</v>
      </c>
      <c r="C17">
        <v>58</v>
      </c>
      <c r="D17" s="122">
        <v>45425</v>
      </c>
      <c r="E17" s="122">
        <v>45425</v>
      </c>
      <c r="F17" s="9" t="str">
        <f>VLOOKUP(revtar_inr_aecc_CELTINS[[#This Row],[CODIGO]],H:M,5,)</f>
        <v>equipamento já comissionado</v>
      </c>
      <c r="H17" s="18">
        <v>5831240034</v>
      </c>
      <c r="I17" s="2">
        <v>58</v>
      </c>
      <c r="J17" s="3">
        <v>44826</v>
      </c>
      <c r="K17" s="3">
        <v>45328</v>
      </c>
      <c r="L17" s="9" t="s">
        <v>31</v>
      </c>
      <c r="M17" s="17" t="s">
        <v>31</v>
      </c>
      <c r="O17" s="1"/>
    </row>
    <row r="18" spans="2:15" x14ac:dyDescent="0.25">
      <c r="B18" s="2">
        <v>5854977104</v>
      </c>
      <c r="C18">
        <v>58</v>
      </c>
      <c r="D18" s="122">
        <v>45429</v>
      </c>
      <c r="E18" s="122">
        <v>45429</v>
      </c>
      <c r="F18" s="9" t="str">
        <f>VLOOKUP(revtar_inr_aecc_CELTINS[[#This Row],[CODIGO]],H:M,5,)</f>
        <v>ETO-PROT127/2024</v>
      </c>
      <c r="H18" s="16">
        <v>5800765149</v>
      </c>
      <c r="I18" s="2">
        <v>58</v>
      </c>
      <c r="J18" s="3">
        <v>45329</v>
      </c>
      <c r="K18" s="3">
        <v>45329</v>
      </c>
      <c r="L18" s="9" t="s">
        <v>16</v>
      </c>
      <c r="M18" s="17">
        <v>45330</v>
      </c>
      <c r="O18" s="1"/>
    </row>
    <row r="19" spans="2:15" x14ac:dyDescent="0.25">
      <c r="B19" s="2">
        <v>5849248030</v>
      </c>
      <c r="C19">
        <v>58</v>
      </c>
      <c r="D19" s="122">
        <v>45230</v>
      </c>
      <c r="E19" s="122">
        <v>45441</v>
      </c>
      <c r="F19" s="9" t="str">
        <f>VLOOKUP(revtar_inr_aecc_CELTINS[[#This Row],[CODIGO]],H:M,5,)</f>
        <v>atualização MI</v>
      </c>
      <c r="H19" s="16">
        <v>5850410265</v>
      </c>
      <c r="I19" s="2">
        <v>58</v>
      </c>
      <c r="J19" s="3">
        <v>44989</v>
      </c>
      <c r="K19" s="3">
        <v>45343</v>
      </c>
      <c r="L19" s="9" t="s">
        <v>27</v>
      </c>
      <c r="M19" s="17">
        <v>45362</v>
      </c>
      <c r="O19" s="1"/>
    </row>
    <row r="20" spans="2:15" x14ac:dyDescent="0.25">
      <c r="B20" s="2">
        <v>5853032090</v>
      </c>
      <c r="C20">
        <v>58</v>
      </c>
      <c r="D20" s="122">
        <v>45454</v>
      </c>
      <c r="E20" s="122">
        <v>45455</v>
      </c>
      <c r="F20" s="9" t="str">
        <f>VLOOKUP(revtar_inr_aecc_CELTINS[[#This Row],[CODIGO]],H:M,5,)</f>
        <v>ETO-PROT157/2024</v>
      </c>
      <c r="H20" s="16">
        <v>5848305116</v>
      </c>
      <c r="I20" s="2">
        <v>58</v>
      </c>
      <c r="J20" s="3">
        <v>45355</v>
      </c>
      <c r="K20" s="3">
        <v>45355</v>
      </c>
      <c r="L20" s="9" t="s">
        <v>5</v>
      </c>
      <c r="M20" s="17">
        <v>45351</v>
      </c>
      <c r="O20" s="1"/>
    </row>
    <row r="21" spans="2:15" x14ac:dyDescent="0.25">
      <c r="B21" s="2">
        <v>5852775092</v>
      </c>
      <c r="C21">
        <v>58</v>
      </c>
      <c r="D21" s="122">
        <v>45456</v>
      </c>
      <c r="E21" s="122">
        <v>45457</v>
      </c>
      <c r="F21" s="9" t="str">
        <f>VLOOKUP(revtar_inr_aecc_CELTINS[[#This Row],[CODIGO]],H:M,5,)</f>
        <v>ETO-PROT138/2024</v>
      </c>
      <c r="H21" s="16">
        <v>5838020063</v>
      </c>
      <c r="I21" s="2">
        <v>58</v>
      </c>
      <c r="J21" s="3">
        <v>45355</v>
      </c>
      <c r="K21" s="3">
        <v>45355</v>
      </c>
      <c r="L21" s="9" t="s">
        <v>21</v>
      </c>
      <c r="M21" s="17">
        <v>45358</v>
      </c>
      <c r="O21" s="1"/>
    </row>
    <row r="22" spans="2:15" x14ac:dyDescent="0.25">
      <c r="B22" s="2">
        <v>5826450001</v>
      </c>
      <c r="C22">
        <v>58</v>
      </c>
      <c r="D22" s="122">
        <v>44820</v>
      </c>
      <c r="E22" s="122">
        <v>45457</v>
      </c>
      <c r="F22" s="9" t="str">
        <f>VLOOKUP(revtar_inr_aecc_CELTINS[[#This Row],[CODIGO]],H:M,5,)</f>
        <v>ETO-PROT160/2024</v>
      </c>
      <c r="H22" s="16">
        <v>5840227063</v>
      </c>
      <c r="I22" s="2">
        <v>58</v>
      </c>
      <c r="J22" s="3">
        <v>44858</v>
      </c>
      <c r="K22" s="3">
        <v>45355</v>
      </c>
      <c r="L22" s="9" t="s">
        <v>24</v>
      </c>
      <c r="M22" s="17">
        <v>45362</v>
      </c>
      <c r="O22" s="1"/>
    </row>
    <row r="23" spans="2:15" x14ac:dyDescent="0.25">
      <c r="B23" s="2">
        <v>5826450001</v>
      </c>
      <c r="C23">
        <v>58</v>
      </c>
      <c r="D23" s="122">
        <v>45457</v>
      </c>
      <c r="E23" s="122">
        <v>45457</v>
      </c>
      <c r="F23" s="9" t="str">
        <f>VLOOKUP(revtar_inr_aecc_CELTINS[[#This Row],[CODIGO]],H:M,5,)</f>
        <v>ETO-PROT160/2024</v>
      </c>
      <c r="H23" s="16">
        <v>5835685149</v>
      </c>
      <c r="I23" s="2">
        <v>58</v>
      </c>
      <c r="J23" s="3">
        <v>45370</v>
      </c>
      <c r="K23" s="3">
        <v>45370</v>
      </c>
      <c r="L23" s="9" t="s">
        <v>29</v>
      </c>
      <c r="M23" s="17">
        <v>45385</v>
      </c>
      <c r="O23" s="1"/>
    </row>
    <row r="24" spans="2:15" x14ac:dyDescent="0.25">
      <c r="B24" s="2">
        <v>5858330039</v>
      </c>
      <c r="C24">
        <v>58</v>
      </c>
      <c r="D24" s="122">
        <v>45462</v>
      </c>
      <c r="E24" s="122">
        <v>45462</v>
      </c>
      <c r="F24" s="9" t="str">
        <f>VLOOKUP(revtar_inr_aecc_CELTINS[[#This Row],[CODIGO]],H:M,5,)</f>
        <v>ETO-PROT148/2024</v>
      </c>
      <c r="H24" s="16">
        <v>5835284131</v>
      </c>
      <c r="I24" s="2">
        <v>58</v>
      </c>
      <c r="J24" s="3">
        <v>44829</v>
      </c>
      <c r="K24" s="3">
        <v>45376</v>
      </c>
      <c r="L24" s="9" t="s">
        <v>30</v>
      </c>
      <c r="M24" s="17">
        <v>45385</v>
      </c>
      <c r="O24" s="1"/>
    </row>
    <row r="25" spans="2:15" x14ac:dyDescent="0.25">
      <c r="B25" s="2">
        <v>5854766001</v>
      </c>
      <c r="C25">
        <v>58</v>
      </c>
      <c r="D25" s="122">
        <v>45469</v>
      </c>
      <c r="E25" s="122">
        <v>45469</v>
      </c>
      <c r="F25" s="69" t="str">
        <f>VLOOKUP(revtar_inr_aecc_CELTINS[[#This Row],[CODIGO]],H:M,5,)</f>
        <v>ETO-PROT163/2024</v>
      </c>
      <c r="H25" s="16">
        <v>5855063080</v>
      </c>
      <c r="I25" s="2">
        <v>58</v>
      </c>
      <c r="J25" s="3">
        <v>45386</v>
      </c>
      <c r="K25" s="3">
        <v>45387</v>
      </c>
      <c r="L25" s="9" t="s">
        <v>53</v>
      </c>
      <c r="M25" s="17">
        <v>45391</v>
      </c>
      <c r="O25" s="1"/>
    </row>
    <row r="26" spans="2:15" x14ac:dyDescent="0.25">
      <c r="B26" s="2">
        <v>5845347122</v>
      </c>
      <c r="C26">
        <v>58</v>
      </c>
      <c r="D26" s="122">
        <v>45134</v>
      </c>
      <c r="E26" s="122">
        <v>45475</v>
      </c>
      <c r="F26" s="2" t="str">
        <f>VLOOKUP(revtar_inr_aecc_CELTINS[[#This Row],[CODIGO]],H:M,5,)</f>
        <v>Irlley Jose Araujo Castelo Branco</v>
      </c>
      <c r="H26" s="18">
        <v>5826303015</v>
      </c>
      <c r="I26" s="2">
        <v>58</v>
      </c>
      <c r="J26" s="3">
        <v>44825</v>
      </c>
      <c r="K26" s="3">
        <v>45387</v>
      </c>
      <c r="L26" s="9" t="s">
        <v>317</v>
      </c>
      <c r="M26" s="17">
        <v>45622</v>
      </c>
      <c r="O26" s="1"/>
    </row>
    <row r="27" spans="2:15" x14ac:dyDescent="0.25">
      <c r="B27" s="2">
        <v>5845347122</v>
      </c>
      <c r="C27">
        <v>58</v>
      </c>
      <c r="D27" s="122">
        <v>45134</v>
      </c>
      <c r="E27" s="122">
        <v>45475</v>
      </c>
      <c r="F27" s="2" t="str">
        <f>VLOOKUP(revtar_inr_aecc_CELTINS[[#This Row],[CODIGO]],H:M,5,)</f>
        <v>Irlley Jose Araujo Castelo Branco</v>
      </c>
      <c r="H27" s="16">
        <v>5853359076</v>
      </c>
      <c r="I27" s="2">
        <v>58</v>
      </c>
      <c r="J27" s="3">
        <v>45391</v>
      </c>
      <c r="K27" s="3">
        <v>45391</v>
      </c>
      <c r="L27" s="9" t="s">
        <v>69</v>
      </c>
      <c r="M27" s="17">
        <v>45428</v>
      </c>
      <c r="O27" s="1"/>
    </row>
    <row r="28" spans="2:15" x14ac:dyDescent="0.25">
      <c r="B28" s="2">
        <v>5855189265</v>
      </c>
      <c r="C28">
        <v>58</v>
      </c>
      <c r="D28" s="122">
        <v>45478</v>
      </c>
      <c r="E28" s="122">
        <v>45478</v>
      </c>
      <c r="F28" s="2" t="str">
        <f>VLOOKUP(revtar_inr_aecc_CELTINS[[#This Row],[CODIGO]],H:M,5,)</f>
        <v>ETO-PROT172/2024</v>
      </c>
      <c r="H28" s="16">
        <v>5847506122</v>
      </c>
      <c r="I28" s="2">
        <v>58</v>
      </c>
      <c r="J28" s="3">
        <v>45253</v>
      </c>
      <c r="K28" s="3">
        <v>45407</v>
      </c>
      <c r="L28" s="9" t="s">
        <v>60</v>
      </c>
      <c r="M28" s="17">
        <v>45411</v>
      </c>
      <c r="O28" s="1"/>
    </row>
    <row r="29" spans="2:15" ht="30" x14ac:dyDescent="0.25">
      <c r="B29" s="2">
        <v>5842740080</v>
      </c>
      <c r="C29">
        <v>58</v>
      </c>
      <c r="D29" s="122">
        <v>44907</v>
      </c>
      <c r="E29" s="122">
        <v>45479</v>
      </c>
      <c r="F29" s="2" t="str">
        <f>VLOOKUP(revtar_inr_aecc_CELTINS[[#This Row],[CODIGO]],H:M,5,)</f>
        <v>ETO-PROT182/2024</v>
      </c>
      <c r="H29" s="18">
        <v>5851801003</v>
      </c>
      <c r="I29" s="2">
        <v>58</v>
      </c>
      <c r="J29" s="3">
        <v>45411</v>
      </c>
      <c r="K29" s="3">
        <v>45411</v>
      </c>
      <c r="L29" s="9" t="s">
        <v>61</v>
      </c>
      <c r="M29" s="17">
        <v>45412</v>
      </c>
      <c r="O29" s="1"/>
    </row>
    <row r="30" spans="2:15" x14ac:dyDescent="0.25">
      <c r="B30" s="2">
        <v>5855063080</v>
      </c>
      <c r="C30">
        <v>58</v>
      </c>
      <c r="D30" s="122">
        <v>45386</v>
      </c>
      <c r="E30" s="122">
        <v>45479</v>
      </c>
      <c r="F30" s="9" t="str">
        <f>VLOOKUP(revtar_inr_aecc_CELTINS[[#This Row],[CODIGO]],H:M,5,)</f>
        <v>ETO-PRTO84/2024</v>
      </c>
      <c r="H30" s="18">
        <v>5851857001</v>
      </c>
      <c r="I30" s="2">
        <v>58</v>
      </c>
      <c r="J30" s="3">
        <v>45103</v>
      </c>
      <c r="K30" s="3">
        <v>45419</v>
      </c>
      <c r="L30" s="9" t="s">
        <v>67</v>
      </c>
      <c r="M30" s="17">
        <v>45425</v>
      </c>
      <c r="O30" s="1"/>
    </row>
    <row r="31" spans="2:15" x14ac:dyDescent="0.25">
      <c r="B31" s="2">
        <v>5854771001</v>
      </c>
      <c r="C31">
        <v>58</v>
      </c>
      <c r="D31" s="122">
        <v>45485</v>
      </c>
      <c r="E31" s="122">
        <v>45485</v>
      </c>
      <c r="F31" s="9" t="str">
        <f>VLOOKUP(revtar_inr_aecc_CELTINS[[#This Row],[CODIGO]],H:M,5,)</f>
        <v>ETO-PROT191/2024</v>
      </c>
      <c r="H31" s="18">
        <v>5800765149</v>
      </c>
      <c r="I31" s="2">
        <v>58</v>
      </c>
      <c r="J31" s="3">
        <v>45329</v>
      </c>
      <c r="K31" s="3">
        <v>45425</v>
      </c>
      <c r="M31" s="17"/>
      <c r="O31" s="1"/>
    </row>
    <row r="32" spans="2:15" x14ac:dyDescent="0.25">
      <c r="B32" s="2">
        <v>5833195152</v>
      </c>
      <c r="C32">
        <v>58</v>
      </c>
      <c r="D32" s="122">
        <v>44860</v>
      </c>
      <c r="E32" s="122">
        <v>45485</v>
      </c>
      <c r="F32" s="9" t="str">
        <f>VLOOKUP(revtar_inr_aecc_CELTINS[[#This Row],[CODIGO]],H:M,5,)</f>
        <v>ETO-PROT205/2024</v>
      </c>
      <c r="H32" s="16">
        <v>5852775092</v>
      </c>
      <c r="I32" s="2">
        <v>58</v>
      </c>
      <c r="J32" s="3">
        <v>45447</v>
      </c>
      <c r="K32" s="3">
        <v>45447</v>
      </c>
      <c r="L32" s="9" t="s">
        <v>79</v>
      </c>
      <c r="M32" s="17">
        <v>45447</v>
      </c>
      <c r="O32" s="1"/>
    </row>
    <row r="33" spans="2:15" x14ac:dyDescent="0.25">
      <c r="B33" s="2">
        <v>5855165193</v>
      </c>
      <c r="C33">
        <v>58</v>
      </c>
      <c r="D33" s="122">
        <v>45499</v>
      </c>
      <c r="E33" s="122">
        <v>45499</v>
      </c>
      <c r="F33" s="9" t="str">
        <f>VLOOKUP(revtar_inr_aecc_CELTINS[[#This Row],[CODIGO]],H:M,5,)</f>
        <v>ETO-PROT196/2024</v>
      </c>
      <c r="H33" s="16">
        <v>5855063080</v>
      </c>
      <c r="I33" s="2">
        <v>58</v>
      </c>
      <c r="J33" s="3">
        <v>45447</v>
      </c>
      <c r="K33" s="3">
        <v>45447</v>
      </c>
      <c r="L33" s="9" t="s">
        <v>81</v>
      </c>
      <c r="M33" s="17">
        <v>45447</v>
      </c>
      <c r="O33" s="1"/>
    </row>
    <row r="34" spans="2:15" x14ac:dyDescent="0.25">
      <c r="B34" s="2">
        <v>5836514073</v>
      </c>
      <c r="C34">
        <v>58</v>
      </c>
      <c r="D34" s="122">
        <v>44842</v>
      </c>
      <c r="E34" s="122">
        <v>45504</v>
      </c>
      <c r="F34" s="9" t="str">
        <f>VLOOKUP(revtar_inr_aecc_CELTINS[[#This Row],[CODIGO]],H:M,5,)</f>
        <v>ETO-PROT193/2024</v>
      </c>
      <c r="H34" s="16">
        <v>5858330039</v>
      </c>
      <c r="L34" s="9" t="s">
        <v>85</v>
      </c>
      <c r="M34" s="17">
        <v>45453</v>
      </c>
      <c r="O34" s="1"/>
    </row>
    <row r="35" spans="2:15" x14ac:dyDescent="0.25">
      <c r="B35" s="2">
        <v>5800859011</v>
      </c>
      <c r="C35">
        <v>58</v>
      </c>
      <c r="D35" s="122">
        <v>45505</v>
      </c>
      <c r="E35" s="122">
        <v>45505</v>
      </c>
      <c r="F35" s="9" t="str">
        <f>VLOOKUP(revtar_inr_aecc_CELTINS[[#This Row],[CODIGO]],H:M,5,)</f>
        <v>AJUSTE</v>
      </c>
      <c r="H35" s="16">
        <v>5854858149</v>
      </c>
      <c r="I35" s="2">
        <v>58</v>
      </c>
      <c r="J35" s="3">
        <v>45425</v>
      </c>
      <c r="K35" s="3">
        <v>45425</v>
      </c>
      <c r="L35" s="9" t="s">
        <v>92</v>
      </c>
      <c r="M35" s="17">
        <v>45453</v>
      </c>
      <c r="O35" s="1"/>
    </row>
    <row r="36" spans="2:15" x14ac:dyDescent="0.25">
      <c r="B36" s="2">
        <v>5800859011</v>
      </c>
      <c r="C36">
        <v>58</v>
      </c>
      <c r="D36" s="122">
        <v>44831</v>
      </c>
      <c r="E36" s="122">
        <v>45505</v>
      </c>
      <c r="F36" s="9" t="str">
        <f>VLOOKUP(revtar_inr_aecc_CELTINS[[#This Row],[CODIGO]],H:M,5,)</f>
        <v>AJUSTE</v>
      </c>
      <c r="H36" s="16">
        <v>5850308009</v>
      </c>
      <c r="I36" s="2">
        <v>58</v>
      </c>
      <c r="J36" s="3">
        <v>44875</v>
      </c>
      <c r="K36" s="3">
        <v>45429</v>
      </c>
      <c r="L36" s="9" t="s">
        <v>93</v>
      </c>
      <c r="M36" s="17">
        <v>45453</v>
      </c>
      <c r="O36" s="1"/>
    </row>
    <row r="37" spans="2:15" x14ac:dyDescent="0.25">
      <c r="B37" s="2">
        <v>5851857001</v>
      </c>
      <c r="C37">
        <v>58</v>
      </c>
      <c r="D37" s="122">
        <v>45103</v>
      </c>
      <c r="E37" s="122">
        <v>45527</v>
      </c>
      <c r="F37" s="9" t="str">
        <f>VLOOKUP(revtar_inr_aecc_CELTINS[[#This Row],[CODIGO]],H:M,5,)</f>
        <v>AJUSTE</v>
      </c>
      <c r="H37" s="16">
        <v>5854977104</v>
      </c>
      <c r="I37" s="2">
        <v>58</v>
      </c>
      <c r="J37" s="3">
        <v>45429</v>
      </c>
      <c r="K37" s="3">
        <v>45429</v>
      </c>
      <c r="L37" s="9" t="s">
        <v>94</v>
      </c>
      <c r="M37" s="17">
        <v>45453</v>
      </c>
      <c r="O37" s="1"/>
    </row>
    <row r="38" spans="2:15" x14ac:dyDescent="0.25">
      <c r="B38" s="2">
        <v>5855962013</v>
      </c>
      <c r="C38">
        <v>58</v>
      </c>
      <c r="D38" s="122">
        <v>45528</v>
      </c>
      <c r="E38" s="122">
        <v>45528</v>
      </c>
      <c r="F38" s="9" t="str">
        <f>VLOOKUP(revtar_inr_aecc_CELTINS[[#This Row],[CODIGO]],H:M,5,)</f>
        <v>ETO-PROT244/2024</v>
      </c>
      <c r="H38" s="16">
        <v>5849248030</v>
      </c>
      <c r="I38" s="2">
        <v>58</v>
      </c>
      <c r="J38" s="3">
        <v>45230</v>
      </c>
      <c r="K38" s="3">
        <v>45441</v>
      </c>
      <c r="L38" s="9" t="s">
        <v>95</v>
      </c>
      <c r="M38" s="17">
        <v>45453</v>
      </c>
      <c r="O38" s="1"/>
    </row>
    <row r="39" spans="2:15" x14ac:dyDescent="0.25">
      <c r="B39" s="2">
        <v>5854782001</v>
      </c>
      <c r="C39">
        <v>58</v>
      </c>
      <c r="D39" s="122">
        <v>45574</v>
      </c>
      <c r="E39" s="122">
        <v>45574</v>
      </c>
      <c r="F39" s="9" t="str">
        <f>VLOOKUP(revtar_inr_aecc_CELTINS[[#This Row],[CODIGO]],H:M,5,)</f>
        <v>ETO-PROT323/2024</v>
      </c>
      <c r="H39" s="16">
        <v>5853032090</v>
      </c>
      <c r="L39" s="9" t="s">
        <v>102</v>
      </c>
      <c r="M39" s="17">
        <v>45460</v>
      </c>
      <c r="O39" s="1"/>
    </row>
    <row r="40" spans="2:15" x14ac:dyDescent="0.25">
      <c r="B40" s="2">
        <v>5854782001</v>
      </c>
      <c r="C40">
        <v>58</v>
      </c>
      <c r="D40" s="122">
        <v>45570</v>
      </c>
      <c r="E40" s="122">
        <v>45574</v>
      </c>
      <c r="F40" s="9" t="str">
        <f>VLOOKUP(revtar_inr_aecc_CELTINS[[#This Row],[CODIGO]],H:M,5,)</f>
        <v>ETO-PROT323/2024</v>
      </c>
      <c r="H40" s="16">
        <v>5826450001</v>
      </c>
      <c r="I40" s="2">
        <v>58</v>
      </c>
      <c r="J40" s="3">
        <v>45457</v>
      </c>
      <c r="K40" s="3">
        <v>45457</v>
      </c>
      <c r="L40" s="9" t="s">
        <v>104</v>
      </c>
      <c r="M40" s="17">
        <v>45461</v>
      </c>
      <c r="O40" s="1"/>
    </row>
    <row r="41" spans="2:15" x14ac:dyDescent="0.25">
      <c r="B41" s="2">
        <v>5854782001</v>
      </c>
      <c r="C41">
        <v>58</v>
      </c>
      <c r="D41" s="122">
        <v>45570</v>
      </c>
      <c r="E41" s="122">
        <v>45574</v>
      </c>
      <c r="F41" s="9" t="str">
        <f>VLOOKUP(revtar_inr_aecc_CELTINS[[#This Row],[CODIGO]],H:M,5,)</f>
        <v>ETO-PROT323/2024</v>
      </c>
      <c r="H41" s="16">
        <v>5854492004</v>
      </c>
      <c r="I41" s="2">
        <v>58</v>
      </c>
      <c r="J41" s="3">
        <v>45461</v>
      </c>
      <c r="K41" s="3">
        <v>45462</v>
      </c>
      <c r="L41" s="9" t="s">
        <v>109</v>
      </c>
      <c r="M41" s="17">
        <v>45470</v>
      </c>
      <c r="O41" s="1"/>
    </row>
    <row r="42" spans="2:15" x14ac:dyDescent="0.25">
      <c r="B42" s="2">
        <v>5849019063</v>
      </c>
      <c r="C42">
        <v>58</v>
      </c>
      <c r="D42" s="122">
        <v>45546</v>
      </c>
      <c r="E42" s="122">
        <v>45575</v>
      </c>
      <c r="F42" s="9" t="str">
        <f>VLOOKUP(revtar_inr_aecc_CELTINS[[#This Row],[CODIGO]],H:M,5,)</f>
        <v>ETO-PROT275/2024</v>
      </c>
      <c r="H42" s="16">
        <v>5854766001</v>
      </c>
      <c r="I42" s="2">
        <v>58</v>
      </c>
      <c r="J42" s="3">
        <v>45469</v>
      </c>
      <c r="K42" s="3">
        <v>45469</v>
      </c>
      <c r="L42" s="9" t="s">
        <v>110</v>
      </c>
      <c r="M42" s="17">
        <v>45471</v>
      </c>
      <c r="O42" s="1"/>
    </row>
    <row r="43" spans="2:15" x14ac:dyDescent="0.25">
      <c r="B43" s="2">
        <v>5855411017</v>
      </c>
      <c r="C43">
        <v>58</v>
      </c>
      <c r="D43" s="122">
        <v>45541</v>
      </c>
      <c r="E43" s="122">
        <v>45575</v>
      </c>
      <c r="F43" s="9" t="str">
        <f>VLOOKUP(revtar_inr_aecc_CELTINS[[#This Row],[CODIGO]],H:M,5,)</f>
        <v>ETO-PROT269/2024</v>
      </c>
      <c r="H43" s="16">
        <v>5854767035</v>
      </c>
      <c r="I43" s="2">
        <v>58</v>
      </c>
      <c r="J43" s="3">
        <v>45469</v>
      </c>
      <c r="K43" s="3">
        <v>45469</v>
      </c>
      <c r="L43" s="9" t="s">
        <v>111</v>
      </c>
      <c r="M43" s="17">
        <v>45471</v>
      </c>
      <c r="O43" s="1"/>
    </row>
    <row r="44" spans="2:15" ht="30" x14ac:dyDescent="0.25">
      <c r="B44" s="2">
        <v>5849019063</v>
      </c>
      <c r="C44">
        <v>58</v>
      </c>
      <c r="D44" s="122">
        <v>45546</v>
      </c>
      <c r="E44" s="122">
        <v>45575</v>
      </c>
      <c r="F44" s="9" t="str">
        <f>VLOOKUP(revtar_inr_aecc_CELTINS[[#This Row],[CODIGO]],H:M,5,)</f>
        <v>ETO-PROT275/2024</v>
      </c>
      <c r="H44" s="16">
        <v>5845347122</v>
      </c>
      <c r="I44" s="2">
        <v>58</v>
      </c>
      <c r="J44" s="3">
        <v>45475</v>
      </c>
      <c r="K44" s="3">
        <v>45475</v>
      </c>
      <c r="L44" s="9" t="s">
        <v>132</v>
      </c>
      <c r="M44" s="17">
        <v>45482</v>
      </c>
      <c r="O44" s="1"/>
    </row>
    <row r="45" spans="2:15" x14ac:dyDescent="0.25">
      <c r="B45" s="2">
        <v>5855411017</v>
      </c>
      <c r="C45">
        <v>58</v>
      </c>
      <c r="D45" s="122">
        <v>45575</v>
      </c>
      <c r="E45" s="122">
        <v>45575</v>
      </c>
      <c r="F45" s="9" t="str">
        <f>VLOOKUP(revtar_inr_aecc_CELTINS[[#This Row],[CODIGO]],H:M,5,)</f>
        <v>ETO-PROT269/2024</v>
      </c>
      <c r="H45" s="16">
        <v>5855189265</v>
      </c>
      <c r="I45" s="2">
        <v>58</v>
      </c>
      <c r="J45" s="3">
        <v>45482</v>
      </c>
      <c r="K45" s="3">
        <v>45482</v>
      </c>
      <c r="L45" s="9" t="s">
        <v>119</v>
      </c>
      <c r="M45" s="17">
        <v>45482</v>
      </c>
      <c r="O45" s="1"/>
    </row>
    <row r="46" spans="2:15" x14ac:dyDescent="0.25">
      <c r="B46" s="2">
        <v>5855411017</v>
      </c>
      <c r="C46">
        <v>58</v>
      </c>
      <c r="D46" s="122">
        <v>45541</v>
      </c>
      <c r="E46" s="122">
        <v>45575</v>
      </c>
      <c r="F46" s="9" t="str">
        <f>VLOOKUP(revtar_inr_aecc_CELTINS[[#This Row],[CODIGO]],H:M,5,)</f>
        <v>ETO-PROT269/2024</v>
      </c>
      <c r="H46" s="16">
        <v>5854767035</v>
      </c>
      <c r="I46" s="2">
        <v>58</v>
      </c>
      <c r="J46" s="3">
        <v>45482</v>
      </c>
      <c r="K46" s="3">
        <v>45482</v>
      </c>
      <c r="L46" s="9" t="s">
        <v>111</v>
      </c>
      <c r="M46" s="17">
        <v>45482</v>
      </c>
      <c r="O46" s="1"/>
    </row>
    <row r="47" spans="2:15" x14ac:dyDescent="0.25">
      <c r="B47" s="2">
        <v>5857506193</v>
      </c>
      <c r="C47">
        <v>58</v>
      </c>
      <c r="D47" s="122">
        <v>45575</v>
      </c>
      <c r="E47" s="122">
        <v>45576</v>
      </c>
      <c r="F47" s="9" t="str">
        <f>VLOOKUP(revtar_inr_aecc_CELTINS[[#This Row],[CODIGO]],H:M,5,)</f>
        <v>ETO-PROT341/2024</v>
      </c>
      <c r="H47" s="16">
        <v>5842740080</v>
      </c>
      <c r="I47" s="2">
        <v>58</v>
      </c>
      <c r="J47" s="3">
        <v>45479</v>
      </c>
      <c r="K47" s="3">
        <v>45479</v>
      </c>
      <c r="L47" s="9" t="s">
        <v>133</v>
      </c>
      <c r="M47" s="17">
        <v>45482</v>
      </c>
      <c r="O47" s="1"/>
    </row>
    <row r="48" spans="2:15" x14ac:dyDescent="0.25">
      <c r="B48" s="2">
        <v>5857506193</v>
      </c>
      <c r="C48">
        <v>58</v>
      </c>
      <c r="D48" s="122">
        <v>45576</v>
      </c>
      <c r="E48" s="122">
        <v>45576</v>
      </c>
      <c r="F48" s="9" t="str">
        <f>VLOOKUP(revtar_inr_aecc_CELTINS[[#This Row],[CODIGO]],H:M,5,)</f>
        <v>ETO-PROT341/2024</v>
      </c>
      <c r="H48" s="16">
        <v>5854771001</v>
      </c>
      <c r="I48" s="2">
        <v>58</v>
      </c>
      <c r="J48" s="3">
        <v>45485</v>
      </c>
      <c r="K48" s="3">
        <v>45485</v>
      </c>
      <c r="L48" s="9" t="s">
        <v>142</v>
      </c>
      <c r="M48" s="17">
        <v>45495</v>
      </c>
      <c r="O48" s="1"/>
    </row>
    <row r="49" spans="2:15" x14ac:dyDescent="0.25">
      <c r="B49" s="2">
        <v>5857506193</v>
      </c>
      <c r="C49">
        <v>58</v>
      </c>
      <c r="D49" s="122">
        <v>45575</v>
      </c>
      <c r="E49" s="122">
        <v>45576</v>
      </c>
      <c r="F49" s="9" t="str">
        <f>VLOOKUP(revtar_inr_aecc_CELTINS[[#This Row],[CODIGO]],H:M,5,)</f>
        <v>ETO-PROT341/2024</v>
      </c>
      <c r="H49" s="16">
        <v>5855165193</v>
      </c>
      <c r="I49" s="2">
        <v>58</v>
      </c>
      <c r="J49" s="3">
        <v>45497</v>
      </c>
      <c r="K49" s="3">
        <v>45497</v>
      </c>
      <c r="L49" s="9" t="s">
        <v>144</v>
      </c>
      <c r="M49" s="17">
        <v>45497</v>
      </c>
      <c r="O49" s="1"/>
    </row>
    <row r="50" spans="2:15" x14ac:dyDescent="0.25">
      <c r="B50" s="2">
        <v>5854767035</v>
      </c>
      <c r="C50">
        <v>58</v>
      </c>
      <c r="D50" s="122">
        <v>45590</v>
      </c>
      <c r="E50" s="122">
        <v>45590</v>
      </c>
      <c r="F50" s="9" t="str">
        <f>VLOOKUP(revtar_inr_aecc_CELTINS[[#This Row],[CODIGO]],H:M,5,)</f>
        <v>ETO-PROT165/2024</v>
      </c>
      <c r="H50" s="16">
        <v>5833195152</v>
      </c>
      <c r="I50" s="2">
        <v>58</v>
      </c>
      <c r="J50" s="3">
        <v>45502</v>
      </c>
      <c r="K50" s="3">
        <v>45502</v>
      </c>
      <c r="L50" s="9" t="s">
        <v>151</v>
      </c>
      <c r="M50" s="17">
        <v>45502</v>
      </c>
      <c r="O50" s="1"/>
    </row>
    <row r="51" spans="2:15" x14ac:dyDescent="0.25">
      <c r="B51" s="2">
        <v>5854767035</v>
      </c>
      <c r="C51">
        <v>58</v>
      </c>
      <c r="D51" s="122">
        <v>45469</v>
      </c>
      <c r="E51" s="122">
        <v>45590</v>
      </c>
      <c r="F51" s="9" t="str">
        <f>VLOOKUP(revtar_inr_aecc_CELTINS[[#This Row],[CODIGO]],H:M,5,)</f>
        <v>ETO-PROT165/2024</v>
      </c>
      <c r="H51" s="16">
        <v>5853769152</v>
      </c>
      <c r="I51" s="2">
        <v>58</v>
      </c>
      <c r="J51" s="3">
        <v>45502</v>
      </c>
      <c r="K51" s="3">
        <v>45502</v>
      </c>
      <c r="L51" s="9" t="s">
        <v>150</v>
      </c>
      <c r="M51" s="17">
        <v>45502</v>
      </c>
      <c r="O51" s="1"/>
    </row>
    <row r="52" spans="2:15" x14ac:dyDescent="0.25">
      <c r="B52" s="2">
        <v>5854767035</v>
      </c>
      <c r="C52">
        <v>58</v>
      </c>
      <c r="D52" s="122">
        <v>45469</v>
      </c>
      <c r="E52" s="122">
        <v>45590</v>
      </c>
      <c r="F52" s="9" t="str">
        <f>VLOOKUP(revtar_inr_aecc_CELTINS[[#This Row],[CODIGO]],H:M,5,)</f>
        <v>ETO-PROT165/2024</v>
      </c>
      <c r="H52" s="16">
        <v>5836514073</v>
      </c>
      <c r="I52" s="2">
        <v>58</v>
      </c>
      <c r="J52" s="3">
        <v>45496</v>
      </c>
      <c r="K52" s="3" t="s">
        <v>161</v>
      </c>
      <c r="L52" s="9" t="s">
        <v>162</v>
      </c>
      <c r="M52" s="17">
        <v>45496</v>
      </c>
      <c r="O52" s="1"/>
    </row>
    <row r="53" spans="2:15" x14ac:dyDescent="0.25">
      <c r="B53" s="2">
        <v>5855643052</v>
      </c>
      <c r="C53">
        <v>58</v>
      </c>
      <c r="D53" s="122">
        <v>45582</v>
      </c>
      <c r="E53" s="122">
        <v>45608</v>
      </c>
      <c r="F53" s="9" t="str">
        <f>VLOOKUP(revtar_inr_aecc_CELTINS[[#This Row],[CODIGO]],H:M,5,)</f>
        <v>ETO-PROT353/2024</v>
      </c>
      <c r="H53" s="16">
        <v>5800859011</v>
      </c>
      <c r="I53" s="2">
        <v>58</v>
      </c>
      <c r="J53" s="3">
        <v>45505</v>
      </c>
      <c r="K53" s="3">
        <v>45505</v>
      </c>
      <c r="L53" s="9" t="s">
        <v>67</v>
      </c>
      <c r="M53" s="17">
        <v>45511</v>
      </c>
      <c r="O53" s="1"/>
    </row>
    <row r="54" spans="2:15" x14ac:dyDescent="0.25">
      <c r="B54" s="2">
        <v>5800090147</v>
      </c>
      <c r="C54">
        <v>58</v>
      </c>
      <c r="D54" s="122">
        <v>45079</v>
      </c>
      <c r="E54" s="122">
        <v>45609</v>
      </c>
      <c r="F54" s="9" t="str">
        <f>VLOOKUP(revtar_inr_aecc_CELTINS[[#This Row],[CODIGO]],H:M,5,)</f>
        <v>atualização minsait</v>
      </c>
      <c r="H54" s="16">
        <v>5836448001</v>
      </c>
      <c r="I54" s="2">
        <v>58</v>
      </c>
      <c r="J54" s="3">
        <v>45526</v>
      </c>
      <c r="K54" s="3">
        <v>45526</v>
      </c>
      <c r="L54" s="9" t="s">
        <v>31</v>
      </c>
      <c r="M54" s="17">
        <v>45526</v>
      </c>
      <c r="O54" s="1"/>
    </row>
    <row r="55" spans="2:15" x14ac:dyDescent="0.25">
      <c r="B55" s="2">
        <v>5825080020</v>
      </c>
      <c r="C55">
        <v>58</v>
      </c>
      <c r="D55" s="122">
        <v>44823</v>
      </c>
      <c r="E55" s="122">
        <v>45610</v>
      </c>
      <c r="F55" s="9" t="str">
        <f>VLOOKUP(revtar_inr_aecc_CELTINS[[#This Row],[CODIGO]],H:M,5,)</f>
        <v>laudo com o fiscal</v>
      </c>
      <c r="H55" s="16">
        <v>5840260107</v>
      </c>
      <c r="I55" s="2">
        <v>58</v>
      </c>
      <c r="J55" s="3">
        <v>45526</v>
      </c>
      <c r="K55" s="3">
        <v>45526</v>
      </c>
      <c r="L55" s="9" t="s">
        <v>31</v>
      </c>
      <c r="M55" s="17">
        <v>45526</v>
      </c>
      <c r="O55" s="1"/>
    </row>
    <row r="56" spans="2:15" x14ac:dyDescent="0.25">
      <c r="B56" s="2">
        <v>5854906080</v>
      </c>
      <c r="C56">
        <v>58</v>
      </c>
      <c r="D56" s="122">
        <v>45479</v>
      </c>
      <c r="E56" s="122">
        <v>45610</v>
      </c>
      <c r="F56" s="9" t="str">
        <f>VLOOKUP(revtar_inr_aecc_CELTINS[[#This Row],[CODIGO]],H:M,5,)</f>
        <v>ETO-PROT438/2024</v>
      </c>
      <c r="H56" s="16">
        <v>5855962013</v>
      </c>
      <c r="I56" s="2">
        <v>58</v>
      </c>
      <c r="J56" s="3">
        <v>45528</v>
      </c>
      <c r="K56" s="3">
        <v>45528</v>
      </c>
      <c r="L56" s="9" t="s">
        <v>186</v>
      </c>
      <c r="M56" s="17">
        <v>45530</v>
      </c>
      <c r="O56" s="1"/>
    </row>
    <row r="57" spans="2:15" x14ac:dyDescent="0.25">
      <c r="B57" s="2">
        <v>5854681071</v>
      </c>
      <c r="C57">
        <v>58</v>
      </c>
      <c r="D57" s="122">
        <v>45615</v>
      </c>
      <c r="E57" s="122">
        <v>45615</v>
      </c>
      <c r="F57" s="9" t="str">
        <f>VLOOKUP(revtar_inr_aecc_CELTINS[[#This Row],[CODIGO]],H:M,5,)</f>
        <v>ETO-PROT437/2024</v>
      </c>
      <c r="H57" s="16">
        <v>5844369186</v>
      </c>
      <c r="I57" s="2">
        <v>58</v>
      </c>
      <c r="J57" s="3">
        <v>45527</v>
      </c>
      <c r="K57" s="3">
        <v>45527</v>
      </c>
      <c r="L57" s="9" t="s">
        <v>31</v>
      </c>
      <c r="M57" s="17">
        <v>45527</v>
      </c>
      <c r="O57" s="1"/>
    </row>
    <row r="58" spans="2:15" x14ac:dyDescent="0.25">
      <c r="B58" s="2">
        <v>5854492004</v>
      </c>
      <c r="C58">
        <v>58</v>
      </c>
      <c r="D58" s="122">
        <v>45461</v>
      </c>
      <c r="E58" s="122">
        <v>45636</v>
      </c>
      <c r="F58" s="9" t="str">
        <f>VLOOKUP(revtar_inr_aecc_CELTINS[[#This Row],[CODIGO]],H:M,5,)</f>
        <v>ETO-PROT164/2024</v>
      </c>
      <c r="H58" s="16">
        <v>5855411017</v>
      </c>
      <c r="I58" s="2">
        <v>58</v>
      </c>
      <c r="J58" s="3">
        <v>45541</v>
      </c>
      <c r="K58" s="3">
        <v>45541</v>
      </c>
      <c r="L58" s="9" t="s">
        <v>201</v>
      </c>
      <c r="M58" s="17">
        <v>45545</v>
      </c>
      <c r="O58" s="1"/>
    </row>
    <row r="59" spans="2:15" x14ac:dyDescent="0.25">
      <c r="B59" s="2">
        <v>5854492004</v>
      </c>
      <c r="C59">
        <v>58</v>
      </c>
      <c r="D59" s="122">
        <v>45461</v>
      </c>
      <c r="E59" s="122">
        <v>45636</v>
      </c>
      <c r="F59" s="9" t="str">
        <f>VLOOKUP(revtar_inr_aecc_CELTINS[[#This Row],[CODIGO]],H:M,5,)</f>
        <v>ETO-PROT164/2024</v>
      </c>
      <c r="H59" s="16">
        <v>5849019063</v>
      </c>
      <c r="I59" s="2">
        <v>58</v>
      </c>
      <c r="J59" s="3">
        <v>45546</v>
      </c>
      <c r="K59" s="3">
        <v>45546</v>
      </c>
      <c r="L59" s="9" t="s">
        <v>216</v>
      </c>
      <c r="M59" s="17">
        <v>45548</v>
      </c>
      <c r="O59" s="1"/>
    </row>
    <row r="60" spans="2:15" x14ac:dyDescent="0.25">
      <c r="B60" s="2">
        <v>5854492004</v>
      </c>
      <c r="C60">
        <v>58</v>
      </c>
      <c r="D60" s="122">
        <v>45636</v>
      </c>
      <c r="E60" s="122">
        <v>45636</v>
      </c>
      <c r="F60" s="9" t="str">
        <f>VLOOKUP(revtar_inr_aecc_CELTINS[[#This Row],[CODIGO]],H:M,5,)</f>
        <v>ETO-PROT164/2024</v>
      </c>
      <c r="H60" s="16">
        <v>5841307050</v>
      </c>
      <c r="I60" s="2">
        <v>58</v>
      </c>
      <c r="J60" s="3">
        <v>45556</v>
      </c>
      <c r="K60" s="3">
        <v>45559</v>
      </c>
      <c r="L60" s="9" t="s">
        <v>31</v>
      </c>
      <c r="M60" s="17" t="s">
        <v>222</v>
      </c>
      <c r="O60" s="1"/>
    </row>
    <row r="61" spans="2:15" x14ac:dyDescent="0.25">
      <c r="B61" s="2">
        <v>5800786036</v>
      </c>
      <c r="C61">
        <v>58</v>
      </c>
      <c r="D61" s="122">
        <v>44820</v>
      </c>
      <c r="E61" s="122">
        <v>45643</v>
      </c>
      <c r="F61" s="9" t="e">
        <f>VLOOKUP(revtar_inr_aecc_CELTINS[[#This Row],[CODIGO]],H:M,5,)</f>
        <v>#N/A</v>
      </c>
      <c r="H61" s="16">
        <v>5854782001</v>
      </c>
      <c r="I61" s="2">
        <v>58</v>
      </c>
      <c r="J61" s="3">
        <v>45570</v>
      </c>
      <c r="K61" s="3">
        <v>45570</v>
      </c>
      <c r="L61" s="9" t="s">
        <v>237</v>
      </c>
      <c r="M61" s="17">
        <v>45570</v>
      </c>
      <c r="O61" s="1"/>
    </row>
    <row r="62" spans="2:15" x14ac:dyDescent="0.25">
      <c r="B62" s="2">
        <v>5855634038</v>
      </c>
      <c r="C62">
        <v>58</v>
      </c>
      <c r="D62" s="122">
        <v>45649</v>
      </c>
      <c r="E62" s="122">
        <v>45649</v>
      </c>
      <c r="F62" s="9" t="str">
        <f>VLOOKUP(revtar_inr_aecc_CELTINS[[#This Row],[CODIGO]],H:M,5,)</f>
        <v>ETO-PROT503/2024</v>
      </c>
      <c r="H62" s="16">
        <v>5857506193</v>
      </c>
      <c r="I62" s="2">
        <v>58</v>
      </c>
      <c r="J62" s="3">
        <v>45575</v>
      </c>
      <c r="K62" s="3">
        <v>45575</v>
      </c>
      <c r="L62" s="9" t="s">
        <v>242</v>
      </c>
      <c r="M62" s="17">
        <v>45579</v>
      </c>
      <c r="O62" s="1"/>
    </row>
    <row r="63" spans="2:15" x14ac:dyDescent="0.25">
      <c r="B63" s="2">
        <v>5836514073</v>
      </c>
      <c r="C63">
        <v>58</v>
      </c>
      <c r="D63" s="122">
        <v>45504</v>
      </c>
      <c r="E63" s="122">
        <v>45657</v>
      </c>
      <c r="F63" s="9" t="str">
        <f>VLOOKUP(revtar_inr_aecc_CELTINS[[#This Row],[CODIGO]],H:M,5,)</f>
        <v>ETO-PROT193/2024</v>
      </c>
      <c r="H63" s="16">
        <v>5855643052</v>
      </c>
      <c r="I63" s="2">
        <v>58</v>
      </c>
      <c r="J63" s="3">
        <v>45575</v>
      </c>
      <c r="K63" s="3">
        <v>45575</v>
      </c>
      <c r="L63" s="9" t="s">
        <v>244</v>
      </c>
      <c r="M63" s="17">
        <v>45583</v>
      </c>
      <c r="O63" s="1"/>
    </row>
    <row r="64" spans="2:15" x14ac:dyDescent="0.25">
      <c r="B64" s="2">
        <v>5800657026</v>
      </c>
      <c r="C64">
        <v>58</v>
      </c>
      <c r="D64" s="122">
        <v>45061</v>
      </c>
      <c r="E64" s="122">
        <v>45657</v>
      </c>
      <c r="F64" s="9" t="str">
        <f>VLOOKUP(revtar_inr_aecc_CELTINS[[#This Row],[CODIGO]],H:M,5,)</f>
        <v>atualização minsait</v>
      </c>
      <c r="H64" s="16">
        <v>5855634038</v>
      </c>
      <c r="I64" s="2">
        <v>58</v>
      </c>
      <c r="J64" s="3">
        <v>45622</v>
      </c>
      <c r="K64" s="3">
        <v>45622</v>
      </c>
      <c r="L64" s="9" t="s">
        <v>339</v>
      </c>
      <c r="M64" s="17">
        <v>45649</v>
      </c>
      <c r="O64" s="1"/>
    </row>
    <row r="65" spans="2:15" x14ac:dyDescent="0.25">
      <c r="B65" s="2">
        <v>5800224200</v>
      </c>
      <c r="C65">
        <v>58</v>
      </c>
      <c r="D65" s="122">
        <v>44825</v>
      </c>
      <c r="E65" s="122">
        <v>45659</v>
      </c>
      <c r="F65" s="9" t="str">
        <f>VLOOKUP(revtar_inr_aecc_CELTINS[[#This Row],[CODIGO]],H:M,5,)</f>
        <v>ativo não encontrado</v>
      </c>
      <c r="H65" s="16">
        <v>5837995077</v>
      </c>
      <c r="I65" s="2">
        <v>58</v>
      </c>
      <c r="J65" s="3">
        <v>45552</v>
      </c>
      <c r="K65" s="3">
        <v>45608</v>
      </c>
      <c r="L65" s="9" t="s">
        <v>317</v>
      </c>
      <c r="M65" s="17">
        <v>45622</v>
      </c>
      <c r="O65" s="1"/>
    </row>
    <row r="66" spans="2:15" x14ac:dyDescent="0.25">
      <c r="B66" s="2">
        <v>5855776094</v>
      </c>
      <c r="C66">
        <v>58</v>
      </c>
      <c r="D66" s="122">
        <v>45659</v>
      </c>
      <c r="E66" s="122">
        <v>45659</v>
      </c>
      <c r="F66" s="9" t="str">
        <f>VLOOKUP(revtar_inr_aecc_CELTINS[[#This Row],[CODIGO]],H:M,5,)</f>
        <v>ETO-PROT3/2025</v>
      </c>
      <c r="H66" s="16">
        <v>5820044123</v>
      </c>
      <c r="I66" s="2">
        <v>58</v>
      </c>
      <c r="J66" s="3">
        <v>44827</v>
      </c>
      <c r="K66" s="3">
        <v>45609</v>
      </c>
      <c r="L66" s="9" t="s">
        <v>317</v>
      </c>
      <c r="M66" s="17">
        <v>45622</v>
      </c>
      <c r="O66" s="1"/>
    </row>
    <row r="67" spans="2:15" x14ac:dyDescent="0.25">
      <c r="B67" s="2">
        <v>5822343043</v>
      </c>
      <c r="C67">
        <v>58</v>
      </c>
      <c r="D67" s="122">
        <v>44834</v>
      </c>
      <c r="E67" s="122">
        <v>45663</v>
      </c>
      <c r="F67" s="9" t="e">
        <f>VLOOKUP(revtar_inr_aecc_CELTINS[[#This Row],[CODIGO]],H:M,5,)</f>
        <v>#N/A</v>
      </c>
      <c r="H67" s="16">
        <v>5827102054</v>
      </c>
      <c r="I67" s="2">
        <v>58</v>
      </c>
      <c r="J67" s="3">
        <v>45544</v>
      </c>
      <c r="K67" s="3">
        <v>45609</v>
      </c>
      <c r="L67" s="9" t="s">
        <v>317</v>
      </c>
      <c r="M67" s="17">
        <v>45622</v>
      </c>
      <c r="O67" s="1"/>
    </row>
    <row r="68" spans="2:15" x14ac:dyDescent="0.25">
      <c r="B68" s="2">
        <v>5856070091</v>
      </c>
      <c r="C68">
        <v>58</v>
      </c>
      <c r="D68" s="122">
        <v>45664</v>
      </c>
      <c r="E68" s="122">
        <v>45664</v>
      </c>
      <c r="F68" s="9" t="str">
        <f>VLOOKUP(revtar_inr_aecc_CELTINS[[#This Row],[CODIGO]],H:M,5,)</f>
        <v>ETO-PROT17/2025</v>
      </c>
      <c r="H68" s="16">
        <v>5800090147</v>
      </c>
      <c r="I68" s="2">
        <v>58</v>
      </c>
      <c r="J68" s="3">
        <v>45079</v>
      </c>
      <c r="K68" s="3">
        <v>45609</v>
      </c>
      <c r="L68" s="9" t="s">
        <v>317</v>
      </c>
      <c r="M68" s="17">
        <v>45622</v>
      </c>
      <c r="O68" s="1"/>
    </row>
    <row r="69" spans="2:15" x14ac:dyDescent="0.25">
      <c r="B69" s="2">
        <v>5854566043</v>
      </c>
      <c r="C69">
        <v>58</v>
      </c>
      <c r="D69" s="122">
        <v>45663</v>
      </c>
      <c r="E69" s="122">
        <v>45672</v>
      </c>
      <c r="F69" s="9" t="str">
        <f>VLOOKUP(revtar_inr_aecc_CELTINS[[#This Row],[CODIGO]],H:M,5,)</f>
        <v>ETO-PROT6/2025</v>
      </c>
      <c r="H69" s="16">
        <v>5836033037</v>
      </c>
      <c r="I69" s="2">
        <v>58</v>
      </c>
      <c r="J69" s="3">
        <v>44899</v>
      </c>
      <c r="K69" s="3">
        <v>45609</v>
      </c>
      <c r="L69" s="9" t="s">
        <v>317</v>
      </c>
      <c r="M69" s="17">
        <v>45622</v>
      </c>
      <c r="O69" s="1"/>
    </row>
    <row r="70" spans="2:15" x14ac:dyDescent="0.25">
      <c r="B70" s="2">
        <v>5854566043</v>
      </c>
      <c r="C70">
        <v>58</v>
      </c>
      <c r="D70" s="122">
        <v>45663</v>
      </c>
      <c r="E70" s="122">
        <v>45672</v>
      </c>
      <c r="F70" s="9" t="str">
        <f>VLOOKUP(revtar_inr_aecc_CELTINS[[#This Row],[CODIGO]],H:M,5,)</f>
        <v>ETO-PROT6/2025</v>
      </c>
      <c r="H70" s="16">
        <v>5800843075</v>
      </c>
      <c r="I70" s="2">
        <v>58</v>
      </c>
      <c r="J70" s="3">
        <v>44827</v>
      </c>
      <c r="K70" s="3">
        <v>45609</v>
      </c>
      <c r="L70" s="9" t="s">
        <v>317</v>
      </c>
      <c r="M70" s="17">
        <v>45622</v>
      </c>
      <c r="O70" s="1"/>
    </row>
    <row r="71" spans="2:15" x14ac:dyDescent="0.25">
      <c r="B71" s="2">
        <v>5844296001</v>
      </c>
      <c r="C71">
        <v>58</v>
      </c>
      <c r="D71" s="122">
        <v>45021</v>
      </c>
      <c r="E71" s="122">
        <v>45676</v>
      </c>
      <c r="F71" s="9" t="str">
        <f>VLOOKUP(revtar_inr_aecc_CELTINS[[#This Row],[CODIGO]],H:M,5,)</f>
        <v>atualização minsait</v>
      </c>
      <c r="H71" s="16">
        <v>5800148068</v>
      </c>
      <c r="I71" s="2">
        <v>58</v>
      </c>
      <c r="J71" s="3">
        <v>44873</v>
      </c>
      <c r="K71" s="3">
        <v>45609</v>
      </c>
      <c r="L71" s="9" t="s">
        <v>317</v>
      </c>
      <c r="M71" s="17">
        <v>45622</v>
      </c>
      <c r="O71" s="1"/>
    </row>
    <row r="72" spans="2:15" x14ac:dyDescent="0.25">
      <c r="B72" s="2">
        <v>5854999043</v>
      </c>
      <c r="C72">
        <v>58</v>
      </c>
      <c r="D72" s="122">
        <v>45672</v>
      </c>
      <c r="E72" s="122">
        <v>45680</v>
      </c>
      <c r="F72" s="9" t="str">
        <f>VLOOKUP(revtar_inr_aecc_CELTINS[[#This Row],[CODIGO]],H:M,5,)</f>
        <v>top provisória</v>
      </c>
      <c r="H72" s="16">
        <v>5854906080</v>
      </c>
      <c r="I72" s="2">
        <v>58</v>
      </c>
      <c r="J72" s="3">
        <v>45479</v>
      </c>
      <c r="K72" s="3">
        <v>45610</v>
      </c>
      <c r="L72" s="9" t="s">
        <v>318</v>
      </c>
      <c r="M72" s="17">
        <v>45617</v>
      </c>
      <c r="O72" s="1"/>
    </row>
    <row r="73" spans="2:15" x14ac:dyDescent="0.25">
      <c r="B73" s="2">
        <v>5854999043</v>
      </c>
      <c r="C73">
        <v>58</v>
      </c>
      <c r="D73" s="122">
        <v>45672</v>
      </c>
      <c r="E73" s="122">
        <v>45680</v>
      </c>
      <c r="F73" s="9" t="str">
        <f>VLOOKUP(revtar_inr_aecc_CELTINS[[#This Row],[CODIGO]],H:M,5,)</f>
        <v>top provisória</v>
      </c>
      <c r="H73" s="16">
        <v>5825080020</v>
      </c>
      <c r="I73" s="2">
        <v>58</v>
      </c>
      <c r="J73" s="3">
        <v>45610</v>
      </c>
      <c r="K73" s="3">
        <v>45610</v>
      </c>
      <c r="L73" s="9" t="s">
        <v>319</v>
      </c>
      <c r="M73" s="17">
        <v>45622</v>
      </c>
      <c r="O73" s="1"/>
    </row>
    <row r="74" spans="2:15" x14ac:dyDescent="0.25">
      <c r="B74" s="2">
        <v>5854566043</v>
      </c>
      <c r="C74">
        <v>58</v>
      </c>
      <c r="D74" s="122">
        <v>45680</v>
      </c>
      <c r="E74" s="122">
        <v>45681</v>
      </c>
      <c r="F74" s="9" t="str">
        <f>VLOOKUP(revtar_inr_aecc_CELTINS[[#This Row],[CODIGO]],H:M,5,)</f>
        <v>ETO-PROT6/2025</v>
      </c>
      <c r="H74" s="16">
        <v>5854681071</v>
      </c>
      <c r="I74" s="2">
        <v>58</v>
      </c>
      <c r="J74" s="3">
        <v>45479</v>
      </c>
      <c r="K74" s="3">
        <v>45610</v>
      </c>
      <c r="L74" s="9" t="s">
        <v>320</v>
      </c>
      <c r="M74" s="17">
        <v>45617</v>
      </c>
      <c r="O74" s="1"/>
    </row>
    <row r="75" spans="2:15" x14ac:dyDescent="0.25">
      <c r="B75" s="2">
        <v>5849019063</v>
      </c>
      <c r="C75">
        <v>58</v>
      </c>
      <c r="D75" s="122">
        <v>45575</v>
      </c>
      <c r="E75" s="122">
        <v>45688</v>
      </c>
      <c r="F75" s="9" t="str">
        <f>VLOOKUP(revtar_inr_aecc_CELTINS[[#This Row],[CODIGO]],H:M,5,)</f>
        <v>ETO-PROT275/2024</v>
      </c>
      <c r="H75" s="16">
        <v>5800224200</v>
      </c>
      <c r="I75" s="2">
        <v>58</v>
      </c>
      <c r="J75" s="3">
        <v>44825</v>
      </c>
      <c r="K75" s="3">
        <v>45610</v>
      </c>
      <c r="L75" s="9" t="s">
        <v>341</v>
      </c>
      <c r="M75" s="17">
        <v>45610</v>
      </c>
      <c r="O75" s="1"/>
    </row>
    <row r="76" spans="2:15" x14ac:dyDescent="0.25">
      <c r="B76" s="2">
        <v>5814684073</v>
      </c>
      <c r="C76">
        <v>58</v>
      </c>
      <c r="D76" s="122">
        <v>44826</v>
      </c>
      <c r="E76" s="122">
        <v>45707</v>
      </c>
      <c r="F76" s="9" t="e">
        <f>VLOOKUP(revtar_inr_aecc_CELTINS[[#This Row],[CODIGO]],H:M,5,)</f>
        <v>#N/A</v>
      </c>
      <c r="H76" s="16">
        <v>5834837034</v>
      </c>
      <c r="I76" s="2">
        <v>58</v>
      </c>
      <c r="J76" s="3">
        <v>44825</v>
      </c>
      <c r="K76" s="3">
        <v>45610</v>
      </c>
      <c r="L76" s="9" t="s">
        <v>317</v>
      </c>
      <c r="M76" s="17">
        <v>45610</v>
      </c>
      <c r="O76" s="1"/>
    </row>
    <row r="77" spans="2:15" x14ac:dyDescent="0.25">
      <c r="B77" s="2">
        <v>5853769152</v>
      </c>
      <c r="C77">
        <v>58</v>
      </c>
      <c r="D77" s="122">
        <v>45485</v>
      </c>
      <c r="E77" s="122">
        <v>45727</v>
      </c>
      <c r="F77" s="9" t="str">
        <f>VLOOKUP(revtar_inr_aecc_CELTINS[[#This Row],[CODIGO]],H:M,5,)</f>
        <v>ETO-PROT204/2024</v>
      </c>
      <c r="H77" s="16">
        <v>5839394012</v>
      </c>
      <c r="I77" s="2">
        <v>58</v>
      </c>
      <c r="J77" s="3">
        <v>45615</v>
      </c>
      <c r="K77" s="3">
        <v>45615</v>
      </c>
      <c r="L77" s="9" t="s">
        <v>317</v>
      </c>
      <c r="M77" s="17">
        <v>45615</v>
      </c>
      <c r="O77" s="1"/>
    </row>
    <row r="78" spans="2:15" x14ac:dyDescent="0.25">
      <c r="B78" s="2">
        <v>5858783119</v>
      </c>
      <c r="C78">
        <v>58</v>
      </c>
      <c r="D78" s="122">
        <v>45737</v>
      </c>
      <c r="E78" s="122">
        <v>45737</v>
      </c>
      <c r="F78" s="9" t="str">
        <f>VLOOKUP(revtar_inr_aecc_CELTINS[[#This Row],[CODIGO]],H:M,5,)</f>
        <v>ETO-PROT119/2025</v>
      </c>
      <c r="H78" s="16">
        <v>5858227036</v>
      </c>
      <c r="I78" s="2">
        <v>58</v>
      </c>
      <c r="J78" s="3">
        <v>45615</v>
      </c>
      <c r="K78" s="3">
        <v>45615</v>
      </c>
      <c r="L78" s="9" t="s">
        <v>337</v>
      </c>
      <c r="M78" s="17">
        <v>45649</v>
      </c>
      <c r="O78" s="1"/>
    </row>
    <row r="79" spans="2:15" x14ac:dyDescent="0.25">
      <c r="B79" s="2">
        <v>5857409073</v>
      </c>
      <c r="C79">
        <v>58</v>
      </c>
      <c r="D79" s="122">
        <v>45737</v>
      </c>
      <c r="E79" s="122">
        <v>45738</v>
      </c>
      <c r="F79" s="9" t="str">
        <f>VLOOKUP(revtar_inr_aecc_CELTINS[[#This Row],[CODIGO]],H:M,5,)</f>
        <v>ETO-PROT120/2025</v>
      </c>
      <c r="H79" s="16">
        <v>5804170122</v>
      </c>
      <c r="I79" s="2">
        <v>58</v>
      </c>
      <c r="J79" s="3">
        <v>44830</v>
      </c>
      <c r="K79" s="3">
        <v>45657</v>
      </c>
      <c r="L79" s="9" t="s">
        <v>317</v>
      </c>
      <c r="M79" s="17">
        <v>45664</v>
      </c>
      <c r="O79" s="1"/>
    </row>
    <row r="80" spans="2:15" x14ac:dyDescent="0.25">
      <c r="B80" s="2">
        <v>5857855025</v>
      </c>
      <c r="C80">
        <v>58</v>
      </c>
      <c r="D80" s="122">
        <v>45740</v>
      </c>
      <c r="E80" s="122">
        <v>45740</v>
      </c>
      <c r="F80" s="9" t="str">
        <f>VLOOKUP(revtar_inr_aecc_CELTINS[[#This Row],[CODIGO]],H:M,5,)</f>
        <v>ETO-PROT122/2025</v>
      </c>
      <c r="H80" s="16">
        <v>5800778005</v>
      </c>
      <c r="I80" s="2">
        <v>58</v>
      </c>
      <c r="J80" s="3">
        <v>45205</v>
      </c>
      <c r="K80" s="3">
        <v>45657</v>
      </c>
      <c r="L80" s="9" t="s">
        <v>317</v>
      </c>
      <c r="M80" s="17">
        <v>45664</v>
      </c>
      <c r="O80" s="1"/>
    </row>
    <row r="81" spans="2:15" x14ac:dyDescent="0.25">
      <c r="B81" s="2">
        <v>5856825025</v>
      </c>
      <c r="C81">
        <v>58</v>
      </c>
      <c r="D81" s="122">
        <v>45740</v>
      </c>
      <c r="E81" s="122">
        <v>45740</v>
      </c>
      <c r="F81" s="9" t="str">
        <f>VLOOKUP(revtar_inr_aecc_CELTINS[[#This Row],[CODIGO]],H:M,5,)</f>
        <v>ETO-PROT121/2025</v>
      </c>
      <c r="H81" s="16">
        <v>5800566084</v>
      </c>
      <c r="I81" s="2">
        <v>58</v>
      </c>
      <c r="J81" s="3">
        <v>44826</v>
      </c>
      <c r="K81" s="3">
        <v>45657</v>
      </c>
      <c r="L81" s="9" t="s">
        <v>317</v>
      </c>
      <c r="M81" s="17">
        <v>45664</v>
      </c>
      <c r="O81" s="1"/>
    </row>
    <row r="82" spans="2:15" x14ac:dyDescent="0.25">
      <c r="B82" s="2">
        <v>5862050086</v>
      </c>
      <c r="C82">
        <v>58</v>
      </c>
      <c r="D82" s="122">
        <v>45742</v>
      </c>
      <c r="E82" s="122">
        <v>45742</v>
      </c>
      <c r="F82" s="9" t="str">
        <f>VLOOKUP(revtar_inr_aecc_CELTINS[[#This Row],[CODIGO]],H:M,5,)</f>
        <v>ETO-PROT136/2025</v>
      </c>
      <c r="H82" s="16">
        <v>5800657026</v>
      </c>
      <c r="I82" s="2">
        <v>58</v>
      </c>
      <c r="J82" s="3">
        <v>45061</v>
      </c>
      <c r="K82" s="3">
        <v>45657</v>
      </c>
      <c r="L82" s="9" t="s">
        <v>317</v>
      </c>
      <c r="M82" s="17">
        <v>45664</v>
      </c>
      <c r="O82" s="1"/>
    </row>
    <row r="83" spans="2:15" x14ac:dyDescent="0.25">
      <c r="B83" s="2">
        <v>5838182027</v>
      </c>
      <c r="C83">
        <v>58</v>
      </c>
      <c r="D83" s="122">
        <v>44859</v>
      </c>
      <c r="E83" s="122">
        <v>45747</v>
      </c>
      <c r="F83" s="9" t="str">
        <f>VLOOKUP(revtar_inr_aecc_CELTINS[[#This Row],[CODIGO]],H:M,5,)</f>
        <v>-</v>
      </c>
      <c r="H83" s="16">
        <v>5838014063</v>
      </c>
      <c r="I83" s="2">
        <v>58</v>
      </c>
      <c r="J83" s="3">
        <v>44837</v>
      </c>
      <c r="K83" s="3">
        <v>45657</v>
      </c>
      <c r="L83" s="9" t="s">
        <v>317</v>
      </c>
      <c r="M83" s="17">
        <v>45664</v>
      </c>
      <c r="O83" s="1"/>
    </row>
    <row r="84" spans="2:15" x14ac:dyDescent="0.25">
      <c r="B84" s="2">
        <v>5855606027</v>
      </c>
      <c r="C84">
        <v>58</v>
      </c>
      <c r="D84" s="122">
        <v>45747</v>
      </c>
      <c r="E84" s="122">
        <v>45747</v>
      </c>
      <c r="F84" s="9" t="str">
        <f>VLOOKUP(revtar_inr_aecc_CELTINS[[#This Row],[CODIGO]],H:M,5,)</f>
        <v>ETO-PROT137/2025</v>
      </c>
      <c r="H84" s="16">
        <v>5800371025</v>
      </c>
      <c r="I84" s="2">
        <v>58</v>
      </c>
      <c r="J84" s="3">
        <v>44825</v>
      </c>
      <c r="K84" s="3">
        <v>45657</v>
      </c>
      <c r="L84" s="9" t="s">
        <v>317</v>
      </c>
      <c r="M84" s="17">
        <v>45664</v>
      </c>
      <c r="O84" s="1"/>
    </row>
    <row r="85" spans="2:15" x14ac:dyDescent="0.25">
      <c r="B85" s="2">
        <v>5800299073</v>
      </c>
      <c r="C85">
        <v>58</v>
      </c>
      <c r="D85" s="122">
        <v>44823</v>
      </c>
      <c r="E85" s="122">
        <v>45749</v>
      </c>
      <c r="F85" s="9" t="str">
        <f>VLOOKUP(revtar_inr_aecc_CELTINS[[#This Row],[CODIGO]],H:M,5,)</f>
        <v>ETO-PROT143/2025</v>
      </c>
      <c r="H85" s="16">
        <v>5800559153</v>
      </c>
      <c r="I85" s="2">
        <v>58</v>
      </c>
      <c r="J85" s="3">
        <v>44821</v>
      </c>
      <c r="K85" s="3">
        <v>45657</v>
      </c>
      <c r="L85" s="9" t="s">
        <v>317</v>
      </c>
      <c r="M85" s="17">
        <v>45664</v>
      </c>
      <c r="O85" s="1"/>
    </row>
    <row r="86" spans="2:15" x14ac:dyDescent="0.25">
      <c r="B86" s="2">
        <v>5800299073</v>
      </c>
      <c r="C86">
        <v>58</v>
      </c>
      <c r="D86" s="122">
        <v>45749</v>
      </c>
      <c r="E86" s="122">
        <v>45749</v>
      </c>
      <c r="F86" s="9" t="str">
        <f>VLOOKUP(revtar_inr_aecc_CELTINS[[#This Row],[CODIGO]],H:M,5,)</f>
        <v>ETO-PROT143/2025</v>
      </c>
      <c r="H86" s="16">
        <v>5856070091</v>
      </c>
      <c r="I86" s="2">
        <v>58</v>
      </c>
      <c r="J86" s="3">
        <v>45664</v>
      </c>
      <c r="K86" s="3">
        <v>45664</v>
      </c>
      <c r="L86" s="9" t="s">
        <v>342</v>
      </c>
      <c r="M86" s="17">
        <v>45666</v>
      </c>
      <c r="N86" t="s">
        <v>303</v>
      </c>
    </row>
    <row r="87" spans="2:15" x14ac:dyDescent="0.25">
      <c r="B87" s="2">
        <v>5858227036</v>
      </c>
      <c r="C87">
        <v>58</v>
      </c>
      <c r="D87" s="122">
        <v>45643</v>
      </c>
      <c r="E87" s="122">
        <v>45757</v>
      </c>
      <c r="F87" s="9" t="str">
        <f>VLOOKUP(revtar_inr_aecc_CELTINS[[#This Row],[CODIGO]],H:M,5,)</f>
        <v>ETO-PROT502/2024</v>
      </c>
      <c r="H87" s="16">
        <v>5854566043</v>
      </c>
      <c r="I87" s="2">
        <v>58</v>
      </c>
      <c r="J87" s="3">
        <v>45663</v>
      </c>
      <c r="K87" s="3">
        <v>45663</v>
      </c>
      <c r="L87" s="9" t="s">
        <v>343</v>
      </c>
      <c r="M87" s="17">
        <v>45663</v>
      </c>
      <c r="N87" t="s">
        <v>303</v>
      </c>
    </row>
    <row r="88" spans="2:15" x14ac:dyDescent="0.25">
      <c r="B88" s="2">
        <v>5835685149</v>
      </c>
      <c r="C88">
        <v>58</v>
      </c>
      <c r="D88" s="122">
        <v>45370</v>
      </c>
      <c r="E88" s="122">
        <v>45763</v>
      </c>
      <c r="F88" s="9" t="str">
        <f>VLOOKUP(revtar_inr_aecc_CELTINS[[#This Row],[CODIGO]],H:M,5,)</f>
        <v>BDGD</v>
      </c>
      <c r="H88" s="16">
        <v>5855776094</v>
      </c>
      <c r="I88" s="2">
        <v>58</v>
      </c>
      <c r="J88" s="3">
        <v>45659</v>
      </c>
      <c r="K88" s="3">
        <v>45659</v>
      </c>
      <c r="L88" s="9" t="s">
        <v>344</v>
      </c>
      <c r="M88" s="17">
        <v>45665</v>
      </c>
      <c r="N88" t="s">
        <v>303</v>
      </c>
    </row>
    <row r="89" spans="2:15" x14ac:dyDescent="0.25">
      <c r="B89" s="2">
        <v>5835685149</v>
      </c>
      <c r="C89">
        <v>58</v>
      </c>
      <c r="D89" s="122">
        <v>45370</v>
      </c>
      <c r="E89" s="122">
        <v>45763</v>
      </c>
      <c r="F89" s="9" t="str">
        <f>VLOOKUP(revtar_inr_aecc_CELTINS[[#This Row],[CODIGO]],H:M,5,)</f>
        <v>BDGD</v>
      </c>
      <c r="H89" s="16">
        <v>5836764032</v>
      </c>
      <c r="I89" s="2">
        <v>58</v>
      </c>
      <c r="J89" s="3">
        <v>44825</v>
      </c>
      <c r="K89" s="3">
        <v>45657</v>
      </c>
      <c r="L89" s="9" t="s">
        <v>317</v>
      </c>
      <c r="M89" s="17">
        <v>45665</v>
      </c>
      <c r="O89" s="1"/>
    </row>
    <row r="90" spans="2:15" x14ac:dyDescent="0.25">
      <c r="B90" s="2">
        <v>5853770152</v>
      </c>
      <c r="C90">
        <v>58</v>
      </c>
      <c r="D90" s="122">
        <v>45485</v>
      </c>
      <c r="E90" s="122">
        <v>45807</v>
      </c>
      <c r="F90" s="9" t="str">
        <f>VLOOKUP(revtar_inr_aecc_CELTINS[[#This Row],[CODIGO]],H:M,5,)</f>
        <v>5853769152=&gt;5853770152</v>
      </c>
      <c r="H90" s="16">
        <v>5820143038</v>
      </c>
      <c r="I90" s="2">
        <v>58</v>
      </c>
      <c r="J90" s="3">
        <v>44823</v>
      </c>
      <c r="K90" s="3">
        <v>45657</v>
      </c>
      <c r="L90" s="9" t="s">
        <v>317</v>
      </c>
      <c r="M90" s="17">
        <v>45665</v>
      </c>
      <c r="O90" s="1"/>
    </row>
    <row r="91" spans="2:15" x14ac:dyDescent="0.25">
      <c r="B91" s="2">
        <v>5853359076</v>
      </c>
      <c r="C91">
        <v>58</v>
      </c>
      <c r="D91" s="122">
        <v>45391</v>
      </c>
      <c r="E91" s="122">
        <v>45807</v>
      </c>
      <c r="F91" s="9" t="str">
        <f>VLOOKUP(revtar_inr_aecc_CELTINS[[#This Row],[CODIGO]],H:M,5,)</f>
        <v>ETO-PROT123/2024</v>
      </c>
      <c r="H91" s="16">
        <v>5840274021</v>
      </c>
      <c r="I91" s="2">
        <v>58</v>
      </c>
      <c r="J91" s="3">
        <v>44820</v>
      </c>
      <c r="K91" s="3">
        <v>45657</v>
      </c>
      <c r="L91" s="9" t="s">
        <v>317</v>
      </c>
      <c r="M91" s="17">
        <v>45665</v>
      </c>
      <c r="O91" s="1"/>
    </row>
    <row r="92" spans="2:15" x14ac:dyDescent="0.25">
      <c r="B92" s="2">
        <v>5856661005</v>
      </c>
      <c r="C92">
        <v>58</v>
      </c>
      <c r="D92" s="122">
        <v>45610</v>
      </c>
      <c r="E92" s="122">
        <v>45814</v>
      </c>
      <c r="F92" s="9" t="str">
        <f>VLOOKUP(revtar_inr_aecc_CELTINS[[#This Row],[CODIGO]],H:M,5,)</f>
        <v>ETO-PROT196/2025</v>
      </c>
      <c r="H92" s="16">
        <v>5840203077</v>
      </c>
      <c r="I92" s="2">
        <v>58</v>
      </c>
      <c r="J92" s="3">
        <v>44897</v>
      </c>
      <c r="K92" s="3">
        <v>45657</v>
      </c>
      <c r="L92" s="9" t="s">
        <v>317</v>
      </c>
      <c r="M92" s="17">
        <v>45665</v>
      </c>
      <c r="O92" s="1"/>
    </row>
    <row r="93" spans="2:15" x14ac:dyDescent="0.25">
      <c r="B93" s="2">
        <v>5856156091</v>
      </c>
      <c r="C93">
        <v>58</v>
      </c>
      <c r="D93" s="122">
        <v>45822</v>
      </c>
      <c r="E93" s="122">
        <v>45822</v>
      </c>
      <c r="F93" s="9" t="str">
        <f>VLOOKUP(revtar_inr_aecc_CELTINS[[#This Row],[CODIGO]],H:M,5,)</f>
        <v>ETO-PROT198/2025</v>
      </c>
      <c r="H93" s="16">
        <v>5844296001</v>
      </c>
      <c r="I93" s="2">
        <v>58</v>
      </c>
      <c r="J93" s="3">
        <v>45021</v>
      </c>
      <c r="K93" s="3">
        <v>45657</v>
      </c>
      <c r="L93" s="9" t="s">
        <v>317</v>
      </c>
      <c r="M93" s="17">
        <v>45665</v>
      </c>
      <c r="O93" s="1"/>
    </row>
    <row r="94" spans="2:15" x14ac:dyDescent="0.25">
      <c r="B94" s="2">
        <v>5860621001</v>
      </c>
      <c r="C94">
        <v>58</v>
      </c>
      <c r="D94" s="122">
        <v>45835</v>
      </c>
      <c r="E94" s="122">
        <v>45835</v>
      </c>
      <c r="F94" s="9" t="str">
        <f>VLOOKUP(revtar_inr_aecc_CELTINS[[#This Row],[CODIGO]],H:M,5,)</f>
        <v>ETO-PROT215/2025</v>
      </c>
      <c r="H94" s="16">
        <v>5836785074</v>
      </c>
      <c r="I94" s="2">
        <v>58</v>
      </c>
      <c r="J94" s="3">
        <v>44896</v>
      </c>
      <c r="K94" s="3">
        <v>45657</v>
      </c>
      <c r="L94" s="9" t="s">
        <v>317</v>
      </c>
      <c r="M94" s="17">
        <v>45665</v>
      </c>
      <c r="O94" s="1"/>
    </row>
    <row r="95" spans="2:15" x14ac:dyDescent="0.25">
      <c r="B95" s="2">
        <v>5809431091</v>
      </c>
      <c r="C95">
        <v>58</v>
      </c>
      <c r="D95" s="122">
        <v>44876</v>
      </c>
      <c r="E95" s="122">
        <v>45836</v>
      </c>
      <c r="F95" s="9" t="str">
        <f>VLOOKUP(revtar_inr_aecc_CELTINS[[#This Row],[CODIGO]],H:M,5,)</f>
        <v>5809431028 =&gt; 5809431091</v>
      </c>
      <c r="H95" s="16">
        <v>5841467200</v>
      </c>
      <c r="I95" s="2">
        <v>58</v>
      </c>
      <c r="J95" s="3">
        <v>44760</v>
      </c>
      <c r="K95" s="3">
        <v>45659</v>
      </c>
      <c r="L95" s="9" t="s">
        <v>317</v>
      </c>
      <c r="M95" s="17">
        <v>45665</v>
      </c>
      <c r="O95" s="1"/>
    </row>
    <row r="96" spans="2:15" x14ac:dyDescent="0.25">
      <c r="B96" s="2">
        <v>5863382155</v>
      </c>
      <c r="C96">
        <v>58</v>
      </c>
      <c r="D96" s="122">
        <v>45840</v>
      </c>
      <c r="E96" s="122">
        <v>45840</v>
      </c>
      <c r="F96" s="9" t="str">
        <f>VLOOKUP(revtar_inr_aecc_CELTINS[[#This Row],[CODIGO]],H:M,5,)</f>
        <v>ETO-PROT212/2025</v>
      </c>
      <c r="H96" s="16">
        <v>5854999043</v>
      </c>
      <c r="I96" s="2">
        <v>58</v>
      </c>
      <c r="J96" s="3">
        <v>45672</v>
      </c>
      <c r="K96" s="3">
        <v>45672</v>
      </c>
      <c r="L96" s="9" t="s">
        <v>352</v>
      </c>
      <c r="M96" s="17">
        <v>45672</v>
      </c>
      <c r="O96" s="1"/>
    </row>
    <row r="97" spans="2:15" x14ac:dyDescent="0.25">
      <c r="B97" s="2">
        <v>5863382155</v>
      </c>
      <c r="C97">
        <v>58</v>
      </c>
      <c r="D97" s="122">
        <v>45839</v>
      </c>
      <c r="E97" s="122">
        <v>45840</v>
      </c>
      <c r="F97" s="9" t="str">
        <f>VLOOKUP(revtar_inr_aecc_CELTINS[[#This Row],[CODIGO]],H:M,5,)</f>
        <v>ETO-PROT212/2025</v>
      </c>
      <c r="H97" s="16">
        <v>5826657122</v>
      </c>
      <c r="I97" s="2">
        <v>58</v>
      </c>
      <c r="J97" s="3">
        <v>44825</v>
      </c>
      <c r="K97" s="3">
        <v>45660</v>
      </c>
      <c r="L97" s="9" t="s">
        <v>317</v>
      </c>
      <c r="M97" s="17">
        <v>45680</v>
      </c>
      <c r="O97" s="1"/>
    </row>
    <row r="98" spans="2:15" x14ac:dyDescent="0.25">
      <c r="B98" s="2">
        <v>5863382155</v>
      </c>
      <c r="C98">
        <v>58</v>
      </c>
      <c r="D98" s="122">
        <v>45839</v>
      </c>
      <c r="E98" s="122">
        <v>45840</v>
      </c>
      <c r="F98" s="9" t="str">
        <f>VLOOKUP(revtar_inr_aecc_CELTINS[[#This Row],[CODIGO]],H:M,5,)</f>
        <v>ETO-PROT212/2025</v>
      </c>
      <c r="H98" s="16">
        <v>5856529073</v>
      </c>
      <c r="I98" s="2">
        <v>58</v>
      </c>
      <c r="J98" s="3">
        <v>45707</v>
      </c>
      <c r="K98" s="3">
        <v>45707</v>
      </c>
      <c r="L98" s="9" t="s">
        <v>356</v>
      </c>
      <c r="M98" s="17">
        <v>45708</v>
      </c>
      <c r="N98" t="s">
        <v>303</v>
      </c>
    </row>
    <row r="99" spans="2:15" x14ac:dyDescent="0.25">
      <c r="B99" s="2">
        <v>5863381155</v>
      </c>
      <c r="C99">
        <v>58</v>
      </c>
      <c r="D99" s="122">
        <v>45840</v>
      </c>
      <c r="E99" s="122">
        <v>45841</v>
      </c>
      <c r="F99" s="9" t="str">
        <f>VLOOKUP(revtar_inr_aecc_CELTINS[[#This Row],[CODIGO]],H:M,5,)</f>
        <v>ETO-PROT213/2025</v>
      </c>
      <c r="H99" s="16">
        <v>5858783119</v>
      </c>
      <c r="I99" s="2">
        <v>58</v>
      </c>
      <c r="J99" s="3">
        <v>45737</v>
      </c>
      <c r="K99" s="3">
        <v>45737</v>
      </c>
      <c r="L99" s="9" t="s">
        <v>359</v>
      </c>
      <c r="M99" s="17">
        <v>45740</v>
      </c>
      <c r="N99" t="s">
        <v>303</v>
      </c>
    </row>
    <row r="100" spans="2:15" x14ac:dyDescent="0.25">
      <c r="B100" s="2">
        <v>5863381155</v>
      </c>
      <c r="C100">
        <v>58</v>
      </c>
      <c r="D100" s="122">
        <v>45840</v>
      </c>
      <c r="E100" s="122">
        <v>45841</v>
      </c>
      <c r="F100" s="9" t="str">
        <f>VLOOKUP(revtar_inr_aecc_CELTINS[[#This Row],[CODIGO]],H:M,5,)</f>
        <v>ETO-PROT213/2025</v>
      </c>
      <c r="H100" s="16">
        <v>5857409073</v>
      </c>
      <c r="I100" s="2">
        <v>58</v>
      </c>
      <c r="J100" s="3">
        <v>45737</v>
      </c>
      <c r="K100" s="3">
        <v>45738</v>
      </c>
      <c r="L100" s="9" t="s">
        <v>360</v>
      </c>
      <c r="M100" s="17">
        <v>45740</v>
      </c>
      <c r="N100" t="s">
        <v>303</v>
      </c>
    </row>
    <row r="101" spans="2:15" x14ac:dyDescent="0.25">
      <c r="B101" s="2">
        <v>5863381155</v>
      </c>
      <c r="C101">
        <v>58</v>
      </c>
      <c r="D101" s="122">
        <v>45841</v>
      </c>
      <c r="E101" s="122">
        <v>45841</v>
      </c>
      <c r="F101" s="9" t="str">
        <f>VLOOKUP(revtar_inr_aecc_CELTINS[[#This Row],[CODIGO]],H:M,5,)</f>
        <v>ETO-PROT213/2025</v>
      </c>
      <c r="H101" s="16">
        <v>5853770152</v>
      </c>
      <c r="I101" s="2">
        <v>58</v>
      </c>
      <c r="J101" s="3">
        <v>45485</v>
      </c>
      <c r="K101" s="3">
        <v>45725</v>
      </c>
      <c r="L101" s="9" t="s">
        <v>361</v>
      </c>
      <c r="M101" s="17">
        <v>45725</v>
      </c>
      <c r="O101" s="1"/>
    </row>
    <row r="102" spans="2:15" x14ac:dyDescent="0.25">
      <c r="B102" s="2">
        <v>5860500009</v>
      </c>
      <c r="C102">
        <v>58</v>
      </c>
      <c r="D102" s="122">
        <v>45853</v>
      </c>
      <c r="E102" s="122">
        <v>45853</v>
      </c>
      <c r="F102" s="9" t="str">
        <f>VLOOKUP(revtar_inr_aecc_CELTINS[[#This Row],[CODIGO]],H:M,5,)</f>
        <v>ETO-PROT227/2025</v>
      </c>
      <c r="H102" s="16">
        <v>5853769152</v>
      </c>
      <c r="I102" s="2">
        <v>58</v>
      </c>
      <c r="J102" s="3">
        <v>45485</v>
      </c>
      <c r="K102" s="3">
        <v>45727</v>
      </c>
      <c r="L102" s="9" t="s">
        <v>362</v>
      </c>
      <c r="M102" s="17">
        <v>45727</v>
      </c>
      <c r="O102" s="1"/>
    </row>
    <row r="103" spans="2:15" x14ac:dyDescent="0.25">
      <c r="B103" s="2">
        <v>5848554003</v>
      </c>
      <c r="C103">
        <v>58</v>
      </c>
      <c r="D103" s="122">
        <v>45002</v>
      </c>
      <c r="E103" s="122">
        <v>45859</v>
      </c>
      <c r="F103" s="9" t="str">
        <f>VLOOKUP(revtar_inr_aecc_CELTINS[[#This Row],[CODIGO]],H:M,5,)</f>
        <v>EM OPERAÇÃO</v>
      </c>
      <c r="H103" s="16">
        <v>5856825025</v>
      </c>
      <c r="I103" s="2">
        <v>58</v>
      </c>
      <c r="J103" s="3">
        <v>45740</v>
      </c>
      <c r="K103" s="3">
        <v>45740</v>
      </c>
      <c r="L103" s="9" t="s">
        <v>363</v>
      </c>
      <c r="M103" s="17">
        <v>45741</v>
      </c>
      <c r="N103" t="s">
        <v>303</v>
      </c>
    </row>
    <row r="104" spans="2:15" x14ac:dyDescent="0.25">
      <c r="B104" s="2">
        <v>5861382036</v>
      </c>
      <c r="C104">
        <v>58</v>
      </c>
      <c r="D104" s="122">
        <v>45860</v>
      </c>
      <c r="E104" s="122">
        <v>45860</v>
      </c>
      <c r="F104" s="9" t="str">
        <f>VLOOKUP(revtar_inr_aecc_CELTINS[[#This Row],[CODIGO]],H:M,5,)</f>
        <v>ETO-PROT230/2025</v>
      </c>
      <c r="H104" s="16">
        <v>5857855025</v>
      </c>
      <c r="I104" s="2">
        <v>58</v>
      </c>
      <c r="J104" s="3">
        <v>45740</v>
      </c>
      <c r="K104" s="3">
        <v>45740</v>
      </c>
      <c r="L104" s="9" t="s">
        <v>364</v>
      </c>
      <c r="M104" s="17">
        <v>45741</v>
      </c>
      <c r="N104" t="s">
        <v>303</v>
      </c>
    </row>
    <row r="105" spans="2:15" x14ac:dyDescent="0.25">
      <c r="B105" s="2">
        <v>5861366005</v>
      </c>
      <c r="C105">
        <v>58</v>
      </c>
      <c r="D105" s="122">
        <v>45864</v>
      </c>
      <c r="E105" s="122">
        <v>45864</v>
      </c>
      <c r="F105" s="9" t="str">
        <f>VLOOKUP(revtar_inr_aecc_CELTINS[[#This Row],[CODIGO]],H:M,5,)</f>
        <v>ETO-PROT235/2025</v>
      </c>
      <c r="H105" s="16">
        <v>5862050086</v>
      </c>
      <c r="I105" s="2">
        <v>58</v>
      </c>
      <c r="J105" s="3">
        <v>45742</v>
      </c>
      <c r="K105" s="3">
        <v>45742</v>
      </c>
      <c r="L105" s="9" t="s">
        <v>368</v>
      </c>
      <c r="M105" s="17">
        <v>45748</v>
      </c>
      <c r="N105" t="s">
        <v>303</v>
      </c>
    </row>
    <row r="106" spans="2:15" x14ac:dyDescent="0.25">
      <c r="B106" s="2">
        <v>5861324076</v>
      </c>
      <c r="C106">
        <v>58</v>
      </c>
      <c r="D106" s="122">
        <v>45867</v>
      </c>
      <c r="E106" s="122">
        <v>45867</v>
      </c>
      <c r="F106" s="9" t="str">
        <f>VLOOKUP(revtar_inr_aecc_CELTINS[[#This Row],[CODIGO]],H:M,5,)</f>
        <v>ETO-PROT238/2025</v>
      </c>
      <c r="H106" s="16">
        <v>5855606027</v>
      </c>
      <c r="I106" s="2">
        <v>58</v>
      </c>
      <c r="J106" s="3">
        <v>45747</v>
      </c>
      <c r="K106" s="3">
        <v>45747</v>
      </c>
      <c r="L106" s="9" t="s">
        <v>369</v>
      </c>
      <c r="M106" s="17">
        <v>45748</v>
      </c>
      <c r="N106" t="s">
        <v>303</v>
      </c>
    </row>
    <row r="107" spans="2:15" x14ac:dyDescent="0.25">
      <c r="B107" s="2">
        <v>5809431091</v>
      </c>
      <c r="C107">
        <v>58</v>
      </c>
      <c r="D107" s="122">
        <v>45836</v>
      </c>
      <c r="E107" s="122">
        <v>45868</v>
      </c>
      <c r="F107" s="9" t="str">
        <f>VLOOKUP(revtar_inr_aecc_CELTINS[[#This Row],[CODIGO]],H:M,5,)</f>
        <v>5809431028 =&gt; 5809431091</v>
      </c>
      <c r="H107" s="16">
        <v>5846328094</v>
      </c>
      <c r="I107" s="2">
        <v>58</v>
      </c>
      <c r="J107" s="3">
        <v>44793</v>
      </c>
      <c r="K107" s="3">
        <v>44793</v>
      </c>
      <c r="L107" s="9" t="s">
        <v>371</v>
      </c>
      <c r="M107" s="17">
        <v>45750</v>
      </c>
    </row>
    <row r="108" spans="2:15" x14ac:dyDescent="0.25">
      <c r="B108" s="2">
        <v>5800517155</v>
      </c>
      <c r="C108">
        <v>58</v>
      </c>
      <c r="D108" s="122">
        <v>44831</v>
      </c>
      <c r="E108" s="122">
        <v>45869</v>
      </c>
      <c r="F108" s="9" t="e">
        <f>VLOOKUP(revtar_inr_aecc_CELTINS[[#This Row],[CODIGO]],H:M,5,)</f>
        <v>#N/A</v>
      </c>
      <c r="H108" s="87">
        <v>5800299073</v>
      </c>
      <c r="I108" s="2">
        <v>58</v>
      </c>
      <c r="J108" s="3">
        <v>45749</v>
      </c>
      <c r="K108" s="3">
        <v>45749</v>
      </c>
      <c r="L108" s="9" t="s">
        <v>379</v>
      </c>
      <c r="M108" s="17">
        <v>45754</v>
      </c>
      <c r="N108" t="s">
        <v>468</v>
      </c>
    </row>
    <row r="109" spans="2:15" x14ac:dyDescent="0.25">
      <c r="B109" s="2">
        <v>5862546023</v>
      </c>
      <c r="C109">
        <v>58</v>
      </c>
      <c r="D109" s="122">
        <v>45869</v>
      </c>
      <c r="E109" s="122">
        <v>45869</v>
      </c>
      <c r="F109" s="9" t="s">
        <v>642</v>
      </c>
      <c r="H109" s="16">
        <v>5849327013</v>
      </c>
      <c r="I109" s="2">
        <v>58</v>
      </c>
      <c r="J109" s="90">
        <v>44875</v>
      </c>
      <c r="K109" s="3">
        <v>45770</v>
      </c>
      <c r="L109" s="9" t="s">
        <v>108</v>
      </c>
      <c r="M109" s="17">
        <v>45771</v>
      </c>
      <c r="O109" s="1"/>
    </row>
    <row r="110" spans="2:15" x14ac:dyDescent="0.25">
      <c r="B110" s="2">
        <v>5861441026</v>
      </c>
      <c r="C110">
        <v>58</v>
      </c>
      <c r="D110" s="122">
        <v>45840</v>
      </c>
      <c r="E110" s="122">
        <v>45882</v>
      </c>
      <c r="F110" s="9" t="str">
        <f>VLOOKUP(revtar_inr_aecc_CELTINS[[#This Row],[CODIGO]],H:M,5,)</f>
        <v>5861441256 =&gt; 5861441026</v>
      </c>
      <c r="H110" s="16">
        <v>5856661005</v>
      </c>
      <c r="I110" s="2">
        <v>58</v>
      </c>
      <c r="J110" s="3">
        <v>45610</v>
      </c>
      <c r="K110" s="3">
        <v>45814</v>
      </c>
      <c r="L110" s="9" t="s">
        <v>432</v>
      </c>
      <c r="M110" s="17">
        <v>45817</v>
      </c>
      <c r="N110" t="s">
        <v>303</v>
      </c>
    </row>
    <row r="111" spans="2:15" x14ac:dyDescent="0.25">
      <c r="B111" s="2">
        <v>5835587001</v>
      </c>
      <c r="C111">
        <v>58</v>
      </c>
      <c r="D111" s="122">
        <v>44826</v>
      </c>
      <c r="E111" s="122">
        <v>45898</v>
      </c>
      <c r="F111" s="9" t="str">
        <f>VLOOKUP(revtar_inr_aecc_CELTINS[[#This Row],[CODIGO]],H:M,5,)</f>
        <v>ETO-PROT269/2025</v>
      </c>
      <c r="H111" s="16">
        <v>5856156091</v>
      </c>
      <c r="I111" s="2">
        <v>58</v>
      </c>
      <c r="J111" s="3">
        <v>45822</v>
      </c>
      <c r="K111" s="3">
        <v>45822</v>
      </c>
      <c r="L111" s="9" t="s">
        <v>433</v>
      </c>
      <c r="M111" s="17">
        <v>45824</v>
      </c>
      <c r="N111" t="s">
        <v>468</v>
      </c>
    </row>
    <row r="112" spans="2:15" x14ac:dyDescent="0.25">
      <c r="B112" s="2">
        <v>5835587001</v>
      </c>
      <c r="C112">
        <v>58</v>
      </c>
      <c r="D112" s="122">
        <v>45898</v>
      </c>
      <c r="E112" s="122">
        <v>45898</v>
      </c>
      <c r="F112" s="9" t="str">
        <f>VLOOKUP(revtar_inr_aecc_CELTINS[[#This Row],[CODIGO]],H:M,5,)</f>
        <v>ETO-PROT269/2025</v>
      </c>
      <c r="H112" s="16">
        <v>5861441256</v>
      </c>
      <c r="I112" s="2">
        <v>58</v>
      </c>
      <c r="J112" s="3">
        <v>45840</v>
      </c>
      <c r="K112" s="3">
        <v>45840</v>
      </c>
      <c r="L112" s="9" t="s">
        <v>439</v>
      </c>
      <c r="M112" s="17">
        <v>45840</v>
      </c>
      <c r="N112" t="s">
        <v>467</v>
      </c>
    </row>
    <row r="113" spans="2:15" x14ac:dyDescent="0.25">
      <c r="B113" s="2">
        <v>5856661091</v>
      </c>
      <c r="C113">
        <v>58</v>
      </c>
      <c r="D113" s="122">
        <v>45904</v>
      </c>
      <c r="E113" s="122">
        <v>45904</v>
      </c>
      <c r="F113" s="9" t="str">
        <f>VLOOKUP(revtar_inr_aecc_CELTINS[[#This Row],[CODIGO]],H:M,5,)</f>
        <v>ETO-PROT268/2025</v>
      </c>
      <c r="H113" s="16">
        <v>5863382155</v>
      </c>
      <c r="I113" s="2">
        <v>58</v>
      </c>
      <c r="J113" s="3">
        <v>45840</v>
      </c>
      <c r="K113" s="3">
        <v>45840</v>
      </c>
      <c r="L113" s="9" t="s">
        <v>440</v>
      </c>
      <c r="M113" s="17">
        <v>45840</v>
      </c>
      <c r="N113" t="s">
        <v>303</v>
      </c>
    </row>
    <row r="114" spans="2:15" x14ac:dyDescent="0.25">
      <c r="B114" s="2">
        <v>5836778028</v>
      </c>
      <c r="C114">
        <v>58</v>
      </c>
      <c r="D114" s="122">
        <v>44823</v>
      </c>
      <c r="E114" s="122">
        <v>45904</v>
      </c>
      <c r="F114" s="9" t="e">
        <f>VLOOKUP(revtar_inr_aecc_CELTINS[[#This Row],[CODIGO]],H:M,5,)</f>
        <v>#N/A</v>
      </c>
      <c r="H114" s="16">
        <v>5863381155</v>
      </c>
      <c r="I114" s="2">
        <v>58</v>
      </c>
      <c r="J114" s="3">
        <v>45840</v>
      </c>
      <c r="K114" s="3">
        <v>45840</v>
      </c>
      <c r="L114" s="9" t="s">
        <v>441</v>
      </c>
      <c r="M114" s="17">
        <v>45841</v>
      </c>
      <c r="N114" t="s">
        <v>303</v>
      </c>
    </row>
    <row r="115" spans="2:15" x14ac:dyDescent="0.25">
      <c r="B115" s="2">
        <v>5851504001</v>
      </c>
      <c r="C115">
        <v>58</v>
      </c>
      <c r="D115" s="122">
        <v>45308</v>
      </c>
      <c r="E115" s="122">
        <v>45925</v>
      </c>
      <c r="F115" s="9" t="str">
        <f>VLOOKUP(revtar_inr_aecc_CELTINS[[#This Row],[CODIGO]],H:M,5,)</f>
        <v>ETO-PROT35/2024</v>
      </c>
      <c r="H115" s="16">
        <v>5803327001</v>
      </c>
      <c r="I115" s="2">
        <v>58</v>
      </c>
      <c r="J115" s="3">
        <v>44825</v>
      </c>
      <c r="K115" s="3">
        <v>45835</v>
      </c>
      <c r="L115" s="9" t="s">
        <v>444</v>
      </c>
      <c r="M115" s="17">
        <v>45842</v>
      </c>
      <c r="O115" s="1"/>
    </row>
    <row r="116" spans="2:15" x14ac:dyDescent="0.25">
      <c r="B116" s="2">
        <v>5863887001</v>
      </c>
      <c r="C116">
        <v>58</v>
      </c>
      <c r="D116" s="122">
        <v>45925</v>
      </c>
      <c r="E116" s="122">
        <v>45933</v>
      </c>
      <c r="F116" s="9" t="str">
        <f>VLOOKUP(revtar_inr_aecc_CELTINS[[#This Row],[CODIGO]],H:M,5,)</f>
        <v>ETO-PROT368/2025</v>
      </c>
      <c r="H116" s="16">
        <v>5860621001</v>
      </c>
      <c r="I116" s="2">
        <v>58</v>
      </c>
      <c r="J116" s="3">
        <v>45835</v>
      </c>
      <c r="K116" s="3">
        <v>45835</v>
      </c>
      <c r="L116" s="9" t="s">
        <v>445</v>
      </c>
      <c r="M116" s="17">
        <v>45842</v>
      </c>
      <c r="N116" t="s">
        <v>303</v>
      </c>
    </row>
    <row r="117" spans="2:15" x14ac:dyDescent="0.25">
      <c r="B117" s="2">
        <v>5863887001</v>
      </c>
      <c r="C117">
        <v>58</v>
      </c>
      <c r="D117" s="122">
        <v>45925</v>
      </c>
      <c r="E117" s="122">
        <v>45933</v>
      </c>
      <c r="F117" s="9" t="str">
        <f>VLOOKUP(revtar_inr_aecc_CELTINS[[#This Row],[CODIGO]],H:M,5,)</f>
        <v>ETO-PROT368/2025</v>
      </c>
      <c r="H117" s="16">
        <v>5809431028</v>
      </c>
      <c r="I117" s="2">
        <v>58</v>
      </c>
      <c r="J117" s="3">
        <v>45836</v>
      </c>
      <c r="K117" s="3">
        <v>45836</v>
      </c>
      <c r="L117" s="9" t="s">
        <v>446</v>
      </c>
      <c r="M117" s="17">
        <v>45842</v>
      </c>
      <c r="N117" t="s">
        <v>303</v>
      </c>
    </row>
    <row r="118" spans="2:15" x14ac:dyDescent="0.25">
      <c r="B118">
        <v>5845347122</v>
      </c>
      <c r="C118">
        <v>58</v>
      </c>
      <c r="D118" s="1">
        <v>45936</v>
      </c>
      <c r="E118" s="1">
        <v>45936</v>
      </c>
      <c r="F118" s="9" t="str">
        <f>VLOOKUP(revtar_inr_aecc_CELTINS[[#This Row],[CODIGO]],H:M,5,)</f>
        <v>Irlley Jose Araujo Castelo Branco</v>
      </c>
      <c r="H118" s="16">
        <v>5860500009</v>
      </c>
      <c r="I118" s="2">
        <v>58</v>
      </c>
      <c r="J118" s="3">
        <v>45853</v>
      </c>
      <c r="K118" s="3">
        <v>45853</v>
      </c>
      <c r="L118" s="9" t="s">
        <v>450</v>
      </c>
      <c r="M118" s="17">
        <v>45855</v>
      </c>
      <c r="N118" t="s">
        <v>303</v>
      </c>
    </row>
    <row r="119" spans="2:15" x14ac:dyDescent="0.25">
      <c r="B119">
        <v>5845347122</v>
      </c>
      <c r="C119">
        <v>58</v>
      </c>
      <c r="D119" s="1">
        <v>45475</v>
      </c>
      <c r="E119" s="1">
        <v>45936</v>
      </c>
      <c r="F119" s="9" t="str">
        <f>VLOOKUP(revtar_inr_aecc_CELTINS[[#This Row],[CODIGO]],H:M,5,)</f>
        <v>Irlley Jose Araujo Castelo Branco</v>
      </c>
      <c r="G119" s="72"/>
      <c r="H119" s="2">
        <v>5861382036</v>
      </c>
      <c r="I119" s="2">
        <v>58</v>
      </c>
      <c r="J119" s="3">
        <v>45860</v>
      </c>
      <c r="K119" s="3">
        <v>45860</v>
      </c>
      <c r="L119" s="9" t="s">
        <v>453</v>
      </c>
      <c r="M119" s="17">
        <v>45863</v>
      </c>
      <c r="N119" t="s">
        <v>303</v>
      </c>
    </row>
    <row r="120" spans="2:15" x14ac:dyDescent="0.25">
      <c r="B120">
        <v>5845347122</v>
      </c>
      <c r="C120">
        <v>58</v>
      </c>
      <c r="D120" s="1">
        <v>45475</v>
      </c>
      <c r="E120" s="1">
        <v>45936</v>
      </c>
      <c r="F120" s="9" t="str">
        <f>VLOOKUP(revtar_inr_aecc_CELTINS[[#This Row],[CODIGO]],H:M,5,)</f>
        <v>Irlley Jose Araujo Castelo Branco</v>
      </c>
      <c r="G120" s="72"/>
      <c r="H120" s="2">
        <v>5861366005</v>
      </c>
      <c r="I120" s="2">
        <v>58</v>
      </c>
      <c r="J120" s="3">
        <v>45864</v>
      </c>
      <c r="K120" s="3">
        <v>45864</v>
      </c>
      <c r="L120" s="9" t="s">
        <v>457</v>
      </c>
      <c r="M120" s="17">
        <v>45866</v>
      </c>
      <c r="N120" t="s">
        <v>303</v>
      </c>
    </row>
    <row r="121" spans="2:15" x14ac:dyDescent="0.25">
      <c r="B121">
        <v>5862464001</v>
      </c>
      <c r="C121">
        <v>58</v>
      </c>
      <c r="D121" s="1">
        <v>45951</v>
      </c>
      <c r="E121" s="1">
        <v>45951</v>
      </c>
      <c r="F121" s="9" t="str">
        <f>VLOOKUP(revtar_inr_aecc_CELTINS[[#This Row],[CODIGO]],H:M,5,)</f>
        <v>ETO-PROT 329/2023</v>
      </c>
      <c r="H121" s="16">
        <v>5861324076</v>
      </c>
      <c r="I121" s="2">
        <v>58</v>
      </c>
      <c r="J121" s="3">
        <v>45867</v>
      </c>
      <c r="K121" s="3">
        <v>45867</v>
      </c>
      <c r="L121" s="9" t="s">
        <v>458</v>
      </c>
      <c r="M121" s="17">
        <v>45868</v>
      </c>
      <c r="N121" t="s">
        <v>303</v>
      </c>
    </row>
    <row r="122" spans="2:15" x14ac:dyDescent="0.25">
      <c r="B122">
        <v>5803327001</v>
      </c>
      <c r="C122">
        <v>58</v>
      </c>
      <c r="D122" s="1">
        <v>44825</v>
      </c>
      <c r="E122" s="1">
        <v>45951</v>
      </c>
      <c r="F122" s="9" t="str">
        <f>VLOOKUP(revtar_inr_aecc_CELTINS[[#This Row],[CODIGO]],H:M,5,)</f>
        <v>AJUSTE ROTA DE CH DO RG</v>
      </c>
      <c r="H122" s="16">
        <v>5862236091</v>
      </c>
      <c r="I122" s="2">
        <v>58</v>
      </c>
      <c r="J122" s="3">
        <v>45868</v>
      </c>
      <c r="K122" s="3">
        <v>45868</v>
      </c>
      <c r="L122" s="9" t="s">
        <v>459</v>
      </c>
      <c r="M122" s="17">
        <v>45869</v>
      </c>
      <c r="N122" t="s">
        <v>303</v>
      </c>
    </row>
    <row r="123" spans="2:15" x14ac:dyDescent="0.25">
      <c r="B123">
        <v>5803327001</v>
      </c>
      <c r="C123">
        <v>58</v>
      </c>
      <c r="D123" s="1">
        <v>45951</v>
      </c>
      <c r="E123" s="1">
        <v>45951</v>
      </c>
      <c r="F123" s="9" t="str">
        <f>VLOOKUP(revtar_inr_aecc_CELTINS[[#This Row],[CODIGO]],H:M,5,)</f>
        <v>AJUSTE ROTA DE CH DO RG</v>
      </c>
      <c r="H123" s="16">
        <v>5809431091</v>
      </c>
      <c r="I123" s="2">
        <v>58</v>
      </c>
      <c r="J123" s="3">
        <v>45836</v>
      </c>
      <c r="K123" s="3">
        <v>45868</v>
      </c>
      <c r="L123" s="9" t="s">
        <v>460</v>
      </c>
      <c r="M123" s="17">
        <v>45869</v>
      </c>
    </row>
    <row r="124" spans="2:15" x14ac:dyDescent="0.25">
      <c r="B124">
        <v>5862236091</v>
      </c>
      <c r="C124">
        <v>58</v>
      </c>
      <c r="D124" s="1">
        <v>45868</v>
      </c>
      <c r="E124" s="1">
        <v>45992</v>
      </c>
      <c r="F124" s="9" t="str">
        <f>VLOOKUP(revtar_inr_aecc_CELTINS[[#This Row],[CODIGO]],H:M,5,)</f>
        <v>ETO-PROT239/2025</v>
      </c>
      <c r="H124" s="16">
        <v>5862546023</v>
      </c>
      <c r="I124" s="2">
        <v>58</v>
      </c>
      <c r="J124" s="3">
        <v>45869</v>
      </c>
      <c r="K124" s="3">
        <v>45869</v>
      </c>
      <c r="L124" s="9" t="s">
        <v>465</v>
      </c>
      <c r="M124" s="17">
        <v>45869</v>
      </c>
      <c r="N124" t="s">
        <v>303</v>
      </c>
    </row>
    <row r="125" spans="2:15" x14ac:dyDescent="0.25">
      <c r="B125">
        <v>5862236091</v>
      </c>
      <c r="C125">
        <v>58</v>
      </c>
      <c r="D125" s="1">
        <v>45868</v>
      </c>
      <c r="E125" s="1">
        <v>45992</v>
      </c>
      <c r="F125" s="9" t="str">
        <f>VLOOKUP(revtar_inr_aecc_CELTINS[[#This Row],[CODIGO]],H:M,5,)</f>
        <v>ETO-PROT239/2025</v>
      </c>
      <c r="H125" s="16">
        <v>5848554003</v>
      </c>
      <c r="I125" s="2">
        <v>58</v>
      </c>
      <c r="J125" s="3">
        <v>45002</v>
      </c>
      <c r="K125" s="3">
        <v>45859</v>
      </c>
      <c r="L125" s="9" t="s">
        <v>442</v>
      </c>
      <c r="M125" s="17">
        <v>45873</v>
      </c>
      <c r="O125" s="1"/>
    </row>
    <row r="126" spans="2:15" x14ac:dyDescent="0.25">
      <c r="B126">
        <v>5862236091</v>
      </c>
      <c r="C126">
        <v>58</v>
      </c>
      <c r="D126" s="1">
        <v>45992</v>
      </c>
      <c r="E126" s="1">
        <v>45992</v>
      </c>
      <c r="F126" s="9" t="str">
        <f>VLOOKUP(revtar_inr_aecc_CELTINS[[#This Row],[CODIGO]],H:M,5,)</f>
        <v>ETO-PROT239/2025</v>
      </c>
      <c r="H126" s="16">
        <v>5847227003</v>
      </c>
      <c r="I126" s="2">
        <v>58</v>
      </c>
      <c r="J126" s="3">
        <v>44838</v>
      </c>
      <c r="K126" s="3">
        <v>45861</v>
      </c>
      <c r="L126" s="9" t="s">
        <v>442</v>
      </c>
      <c r="M126" s="17">
        <v>45873</v>
      </c>
      <c r="O126" s="1"/>
    </row>
    <row r="127" spans="2:15" x14ac:dyDescent="0.25">
      <c r="B127">
        <v>5847506122</v>
      </c>
      <c r="C127">
        <v>58</v>
      </c>
      <c r="D127" s="1">
        <v>45253</v>
      </c>
      <c r="E127" s="1">
        <v>45995</v>
      </c>
      <c r="F127" s="9" t="str">
        <f>VLOOKUP(revtar_inr_aecc_CELTINS[[#This Row],[CODIGO]],H:M,5,)</f>
        <v>ETO-PRTO115/2024</v>
      </c>
      <c r="H127" s="16">
        <v>5861441026</v>
      </c>
      <c r="I127" s="2">
        <v>58</v>
      </c>
      <c r="J127" s="3">
        <v>45840</v>
      </c>
      <c r="K127" s="3">
        <v>45882</v>
      </c>
      <c r="L127" s="9" t="s">
        <v>469</v>
      </c>
      <c r="M127" s="17">
        <v>45883</v>
      </c>
    </row>
    <row r="128" spans="2:15" x14ac:dyDescent="0.25">
      <c r="B128">
        <v>5847506122</v>
      </c>
      <c r="C128">
        <v>58</v>
      </c>
      <c r="D128" s="1">
        <v>45253</v>
      </c>
      <c r="E128" s="1">
        <v>45995</v>
      </c>
      <c r="F128" s="9" t="str">
        <f>VLOOKUP(revtar_inr_aecc_CELTINS[[#This Row],[CODIGO]],H:M,5,)</f>
        <v>ETO-PRTO115/2024</v>
      </c>
      <c r="H128" s="16">
        <v>5856661091</v>
      </c>
      <c r="I128" s="2">
        <v>58</v>
      </c>
      <c r="J128" s="3">
        <v>45904</v>
      </c>
      <c r="K128" s="3">
        <v>45904</v>
      </c>
      <c r="L128" s="6" t="s">
        <v>479</v>
      </c>
      <c r="M128" s="17">
        <v>45905</v>
      </c>
    </row>
    <row r="129" spans="2:14" x14ac:dyDescent="0.25">
      <c r="B129">
        <v>5863887001</v>
      </c>
      <c r="C129">
        <v>58</v>
      </c>
      <c r="D129" s="1">
        <v>45933</v>
      </c>
      <c r="E129" s="1">
        <v>46015</v>
      </c>
      <c r="F129" s="9" t="str">
        <f>VLOOKUP(revtar_inr_aecc_CELTINS[[#This Row],[CODIGO]],H:M,5,)</f>
        <v>ETO-PROT368/2025</v>
      </c>
      <c r="H129" s="16">
        <v>5835587001</v>
      </c>
      <c r="I129" s="2">
        <v>58</v>
      </c>
      <c r="J129" s="3">
        <v>45898</v>
      </c>
      <c r="K129" s="3">
        <v>45898</v>
      </c>
      <c r="L129" s="6" t="s">
        <v>480</v>
      </c>
      <c r="M129" s="17">
        <v>45909</v>
      </c>
    </row>
    <row r="130" spans="2:14" x14ac:dyDescent="0.25">
      <c r="B130">
        <v>5857855056</v>
      </c>
      <c r="C130">
        <v>58</v>
      </c>
      <c r="D130" s="1">
        <v>46043</v>
      </c>
      <c r="E130" s="1">
        <v>46043</v>
      </c>
      <c r="F130" s="9" t="str">
        <f>VLOOKUP(revtar_inr_aecc_CELTINS[[#This Row],[CODIGO]],H:M,5,)</f>
        <v>ETO-PROT28/2026</v>
      </c>
      <c r="H130" s="16">
        <v>5862523111</v>
      </c>
      <c r="I130" s="2">
        <v>58</v>
      </c>
      <c r="J130" s="3">
        <v>45933</v>
      </c>
      <c r="K130" s="3">
        <v>45933</v>
      </c>
      <c r="L130" s="6" t="s">
        <v>498</v>
      </c>
      <c r="M130" s="17">
        <v>45939</v>
      </c>
    </row>
    <row r="131" spans="2:14" x14ac:dyDescent="0.25">
      <c r="B131">
        <v>5800366016</v>
      </c>
      <c r="C131">
        <v>58</v>
      </c>
      <c r="D131" s="1">
        <v>44826</v>
      </c>
      <c r="E131" s="1">
        <v>46050</v>
      </c>
      <c r="F131" s="9" t="str">
        <f>VLOOKUP(revtar_inr_aecc_CELTINS[[#This Row],[CODIGO]],H:M,5,)</f>
        <v>-</v>
      </c>
      <c r="H131" s="16">
        <v>5862464001</v>
      </c>
      <c r="I131" s="2">
        <v>58</v>
      </c>
      <c r="J131" s="3">
        <v>45951</v>
      </c>
      <c r="K131" s="3">
        <v>45951</v>
      </c>
      <c r="L131" s="6" t="s">
        <v>510</v>
      </c>
      <c r="M131" s="17">
        <v>45953</v>
      </c>
    </row>
    <row r="132" spans="2:14" x14ac:dyDescent="0.25">
      <c r="B132">
        <v>5800366016</v>
      </c>
      <c r="C132">
        <v>58</v>
      </c>
      <c r="D132" s="1">
        <v>46050</v>
      </c>
      <c r="E132" s="1">
        <v>46050</v>
      </c>
      <c r="F132" s="9" t="str">
        <f>VLOOKUP(revtar_inr_aecc_CELTINS[[#This Row],[CODIGO]],H:M,5,)</f>
        <v>-</v>
      </c>
      <c r="H132" s="65">
        <v>5863887001</v>
      </c>
      <c r="I132" s="66">
        <v>58</v>
      </c>
      <c r="J132" s="67">
        <v>45933</v>
      </c>
      <c r="K132" s="67">
        <v>45933</v>
      </c>
      <c r="L132" s="70" t="s">
        <v>536</v>
      </c>
      <c r="M132" s="68">
        <v>45985</v>
      </c>
    </row>
    <row r="133" spans="2:14" x14ac:dyDescent="0.25">
      <c r="B133">
        <v>5862523111</v>
      </c>
      <c r="C133">
        <v>58</v>
      </c>
      <c r="D133" s="1">
        <v>45933</v>
      </c>
      <c r="E133" s="1">
        <v>46063</v>
      </c>
      <c r="F133" s="9" t="str">
        <f>VLOOKUP(revtar_inr_aecc_CELTINS[[#This Row],[CODIGO]],H:M,5,)</f>
        <v>ETO-PROT302/2025</v>
      </c>
      <c r="H133" s="111">
        <v>5857855056</v>
      </c>
      <c r="I133" s="112">
        <v>58</v>
      </c>
      <c r="J133" s="113">
        <v>46043</v>
      </c>
      <c r="K133" s="113">
        <v>46043</v>
      </c>
      <c r="L133" s="114" t="s">
        <v>554</v>
      </c>
      <c r="M133" s="115">
        <v>46045</v>
      </c>
      <c r="N133" s="99" t="s">
        <v>549</v>
      </c>
    </row>
    <row r="134" spans="2:14" x14ac:dyDescent="0.25">
      <c r="B134">
        <v>5800252090</v>
      </c>
      <c r="C134">
        <v>58</v>
      </c>
      <c r="D134" s="1">
        <v>44827</v>
      </c>
      <c r="E134" s="1">
        <v>46063</v>
      </c>
      <c r="F134" s="9" t="e">
        <f>VLOOKUP(revtar_inr_aecc_CELTINS[[#This Row],[CODIGO]],H:M,5,)</f>
        <v>#N/A</v>
      </c>
      <c r="H134" s="111">
        <v>5844369186</v>
      </c>
      <c r="I134" s="112">
        <v>58</v>
      </c>
      <c r="J134" s="113">
        <v>44900</v>
      </c>
      <c r="K134" s="113">
        <v>45527</v>
      </c>
      <c r="L134" s="120" t="s">
        <v>557</v>
      </c>
      <c r="M134" s="115">
        <v>46052</v>
      </c>
    </row>
    <row r="135" spans="2:14" x14ac:dyDescent="0.25">
      <c r="B135">
        <v>5863384078</v>
      </c>
      <c r="C135">
        <v>58</v>
      </c>
      <c r="D135" s="1">
        <v>46063</v>
      </c>
      <c r="E135" s="1">
        <v>46063</v>
      </c>
      <c r="F135" s="9" t="str">
        <f>VLOOKUP(revtar_inr_aecc_CELTINS[[#This Row],[CODIGO]],H:M,5,)</f>
        <v>ETO-PROT40/2026</v>
      </c>
      <c r="H135" s="11">
        <v>5800366016</v>
      </c>
      <c r="I135" s="12">
        <v>58</v>
      </c>
      <c r="J135" s="13">
        <v>46050</v>
      </c>
      <c r="K135" s="13">
        <v>46050</v>
      </c>
      <c r="L135" s="14" t="s">
        <v>558</v>
      </c>
      <c r="M135" s="15">
        <v>45698</v>
      </c>
      <c r="N135" t="s">
        <v>547</v>
      </c>
    </row>
    <row r="136" spans="2:14" x14ac:dyDescent="0.25">
      <c r="B136">
        <v>5865120195</v>
      </c>
      <c r="C136">
        <v>58</v>
      </c>
      <c r="D136" s="1">
        <v>46063</v>
      </c>
      <c r="E136" s="1">
        <v>46063</v>
      </c>
      <c r="F136" s="9" t="str">
        <f>VLOOKUP(revtar_inr_aecc_CELTINS[[#This Row],[CODIGO]],H:M,5,)</f>
        <v>ETO-PROT41/2026</v>
      </c>
      <c r="H136" s="16">
        <v>5863384078</v>
      </c>
      <c r="I136" s="2">
        <v>58</v>
      </c>
      <c r="J136" s="3">
        <v>46063</v>
      </c>
      <c r="K136" s="3">
        <v>46063</v>
      </c>
      <c r="L136" s="9" t="s">
        <v>562</v>
      </c>
      <c r="M136" s="17">
        <v>45699</v>
      </c>
      <c r="N136" t="s">
        <v>549</v>
      </c>
    </row>
    <row r="137" spans="2:14" x14ac:dyDescent="0.25">
      <c r="B137">
        <v>5841308190</v>
      </c>
      <c r="C137">
        <v>58</v>
      </c>
      <c r="D137" s="1">
        <v>44033</v>
      </c>
      <c r="E137" s="1">
        <v>46065</v>
      </c>
      <c r="F137" s="9" t="str">
        <f>VLOOKUP(revtar_inr_aecc_CELTINS[[#This Row],[CODIGO]],H:M,5,)</f>
        <v>-</v>
      </c>
      <c r="H137" s="65">
        <v>5865120195</v>
      </c>
      <c r="I137" s="66">
        <v>58</v>
      </c>
      <c r="J137" s="67">
        <v>46063</v>
      </c>
      <c r="K137" s="67">
        <v>46063</v>
      </c>
      <c r="L137" s="70" t="s">
        <v>563</v>
      </c>
      <c r="M137" s="68">
        <v>45699</v>
      </c>
      <c r="N137" t="s">
        <v>549</v>
      </c>
    </row>
    <row r="138" spans="2:14" x14ac:dyDescent="0.25">
      <c r="B138">
        <v>5841308190</v>
      </c>
      <c r="C138">
        <v>58</v>
      </c>
      <c r="D138" s="1">
        <v>46065</v>
      </c>
      <c r="E138" s="1">
        <v>46065</v>
      </c>
      <c r="F138" s="9" t="str">
        <f>VLOOKUP(revtar_inr_aecc_CELTINS[[#This Row],[CODIGO]],H:M,5,)</f>
        <v>-</v>
      </c>
      <c r="H138" s="2">
        <v>5860477104</v>
      </c>
      <c r="I138" s="2">
        <v>58</v>
      </c>
      <c r="J138" s="3">
        <v>46063</v>
      </c>
      <c r="K138" s="3">
        <v>46065</v>
      </c>
      <c r="L138" s="9" t="s">
        <v>590</v>
      </c>
      <c r="M138" s="3">
        <v>45700</v>
      </c>
      <c r="N138" t="s">
        <v>549</v>
      </c>
    </row>
    <row r="139" spans="2:14" x14ac:dyDescent="0.25">
      <c r="B139">
        <v>5860477104</v>
      </c>
      <c r="C139">
        <v>58</v>
      </c>
      <c r="D139" s="1">
        <v>46063</v>
      </c>
      <c r="E139" s="1">
        <v>46065</v>
      </c>
      <c r="F139" s="9" t="str">
        <f>VLOOKUP(revtar_inr_aecc_CELTINS[[#This Row],[CODIGO]],H:M,5,)</f>
        <v>ETO-PROT42/2026</v>
      </c>
      <c r="H139" s="2">
        <v>5866894016</v>
      </c>
      <c r="I139" s="2">
        <v>58</v>
      </c>
      <c r="J139" s="3">
        <v>46073</v>
      </c>
      <c r="K139" s="3">
        <v>46073</v>
      </c>
      <c r="L139" s="9" t="s">
        <v>641</v>
      </c>
      <c r="N139" t="s">
        <v>549</v>
      </c>
    </row>
    <row r="140" spans="2:14" x14ac:dyDescent="0.25">
      <c r="B140">
        <v>5863659055</v>
      </c>
      <c r="C140">
        <v>58</v>
      </c>
      <c r="D140" s="1">
        <v>46057</v>
      </c>
      <c r="E140" s="1">
        <v>46066</v>
      </c>
      <c r="F140" s="9" t="str">
        <f>VLOOKUP(revtar_inr_aecc_CELTINS[[#This Row],[CODIGO]],H:M,5,)</f>
        <v>ETO-PROT105/2026</v>
      </c>
      <c r="H140" s="2">
        <v>5863659055</v>
      </c>
      <c r="I140" s="2">
        <v>58</v>
      </c>
      <c r="J140" s="3">
        <v>46057</v>
      </c>
      <c r="K140" s="3">
        <v>46057</v>
      </c>
      <c r="L140" s="9" t="s">
        <v>642</v>
      </c>
      <c r="N140" t="s">
        <v>549</v>
      </c>
    </row>
    <row r="141" spans="2:14" x14ac:dyDescent="0.25">
      <c r="B141">
        <v>5863659055</v>
      </c>
      <c r="C141">
        <v>58</v>
      </c>
      <c r="D141" s="1">
        <v>46057</v>
      </c>
      <c r="E141" s="1">
        <v>46066</v>
      </c>
      <c r="F141" s="9" t="str">
        <f>VLOOKUP(revtar_inr_aecc_CELTINS[[#This Row],[CODIGO]],H:M,5,)</f>
        <v>ETO-PROT105/2026</v>
      </c>
      <c r="H141" s="2">
        <v>5863000094</v>
      </c>
      <c r="I141" s="2">
        <v>58</v>
      </c>
      <c r="J141" s="3">
        <v>44771</v>
      </c>
      <c r="K141" s="3">
        <v>46057</v>
      </c>
      <c r="L141" s="9" t="s">
        <v>511</v>
      </c>
      <c r="N141" t="s">
        <v>547</v>
      </c>
    </row>
    <row r="142" spans="2:14" x14ac:dyDescent="0.25">
      <c r="B142">
        <v>5866894016</v>
      </c>
      <c r="C142">
        <v>58</v>
      </c>
      <c r="D142" s="1">
        <v>46073</v>
      </c>
      <c r="E142" s="1">
        <v>46073</v>
      </c>
      <c r="F142" s="9" t="str">
        <f>VLOOKUP(revtar_inr_aecc_CELTINS[[#This Row],[CODIGO]],H:M,5,)</f>
        <v>ETO-PROT104/2026</v>
      </c>
    </row>
    <row r="143" spans="2:14" x14ac:dyDescent="0.25">
      <c r="B143">
        <v>5863659055</v>
      </c>
      <c r="C143">
        <v>58</v>
      </c>
      <c r="D143" s="1">
        <v>46066</v>
      </c>
      <c r="E143" s="1">
        <v>46091</v>
      </c>
      <c r="F143" s="9" t="str">
        <f>VLOOKUP(revtar_inr_aecc_CELTINS[[#This Row],[CODIGO]],H:M,5,)</f>
        <v>ETO-PROT105/2026</v>
      </c>
      <c r="H143" s="2">
        <v>5837992077</v>
      </c>
      <c r="I143" s="2">
        <v>58</v>
      </c>
      <c r="J143" s="3">
        <v>46093</v>
      </c>
      <c r="K143" s="3">
        <v>46093</v>
      </c>
      <c r="L143" s="9" t="s">
        <v>610</v>
      </c>
      <c r="M143" s="3">
        <v>46111</v>
      </c>
    </row>
    <row r="144" spans="2:14" x14ac:dyDescent="0.25">
      <c r="B144">
        <v>5837992077</v>
      </c>
      <c r="C144">
        <v>58</v>
      </c>
      <c r="D144" s="1">
        <v>46093</v>
      </c>
      <c r="E144" s="1">
        <v>46093</v>
      </c>
      <c r="F144" s="9" t="str">
        <f>VLOOKUP(revtar_inr_aecc_CELTINS[[#This Row],[CODIGO]],H:M,5,)</f>
        <v>CORREÇÃO ADMS</v>
      </c>
      <c r="H144" s="2">
        <v>5800366078</v>
      </c>
      <c r="I144" s="2">
        <v>58</v>
      </c>
      <c r="J144" s="3">
        <v>46093</v>
      </c>
      <c r="K144" s="3">
        <v>46093</v>
      </c>
      <c r="L144" s="9" t="s">
        <v>610</v>
      </c>
      <c r="M144" s="3">
        <v>46111</v>
      </c>
    </row>
    <row r="145" spans="2:13" x14ac:dyDescent="0.25">
      <c r="B145">
        <v>5837995077</v>
      </c>
      <c r="C145">
        <v>58</v>
      </c>
      <c r="D145" s="1">
        <v>46093</v>
      </c>
      <c r="E145" s="1">
        <v>46093</v>
      </c>
      <c r="F145" s="9" t="str">
        <f>VLOOKUP(revtar_inr_aecc_CELTINS[[#This Row],[CODIGO]],H:M,5,)</f>
        <v>atualização minsait</v>
      </c>
      <c r="H145" s="2">
        <v>5843320223</v>
      </c>
      <c r="I145" s="2">
        <v>58</v>
      </c>
      <c r="J145" s="3">
        <v>46094</v>
      </c>
      <c r="K145" s="3">
        <v>46094</v>
      </c>
      <c r="L145" s="9" t="s">
        <v>610</v>
      </c>
      <c r="M145" s="3">
        <v>46111</v>
      </c>
    </row>
    <row r="146" spans="2:13" x14ac:dyDescent="0.25">
      <c r="B146">
        <v>5800366078</v>
      </c>
      <c r="C146">
        <v>58</v>
      </c>
      <c r="D146" s="1">
        <v>46093</v>
      </c>
      <c r="E146" s="1">
        <v>46093</v>
      </c>
      <c r="F146" s="9" t="str">
        <f>VLOOKUP(revtar_inr_aecc_CELTINS[[#This Row],[CODIGO]],H:M,5,)</f>
        <v>CORREÇÃO ADMS</v>
      </c>
      <c r="H146" s="2">
        <v>5844577073</v>
      </c>
      <c r="I146" s="2">
        <v>58</v>
      </c>
      <c r="J146" s="3">
        <v>46095</v>
      </c>
      <c r="K146" s="3">
        <v>46095</v>
      </c>
      <c r="L146" s="9" t="s">
        <v>610</v>
      </c>
      <c r="M146" s="3">
        <v>46111</v>
      </c>
    </row>
    <row r="147" spans="2:13" x14ac:dyDescent="0.25">
      <c r="B147">
        <v>5800366078</v>
      </c>
      <c r="C147">
        <v>58</v>
      </c>
      <c r="D147" s="1">
        <v>44837</v>
      </c>
      <c r="E147">
        <v>46093</v>
      </c>
      <c r="F147" s="9" t="s">
        <v>650</v>
      </c>
      <c r="H147" s="2">
        <v>5837543086</v>
      </c>
      <c r="I147" s="2">
        <v>58</v>
      </c>
      <c r="J147" s="3">
        <v>46095</v>
      </c>
      <c r="K147" s="3">
        <v>46095</v>
      </c>
      <c r="L147" s="9" t="s">
        <v>610</v>
      </c>
      <c r="M147" s="3">
        <v>46111</v>
      </c>
    </row>
    <row r="148" spans="2:13" x14ac:dyDescent="0.25">
      <c r="B148">
        <v>5837992077</v>
      </c>
      <c r="C148">
        <v>58</v>
      </c>
      <c r="D148" s="1">
        <v>44832</v>
      </c>
      <c r="E148" s="1">
        <v>46093</v>
      </c>
      <c r="F148" s="9" t="s">
        <v>660</v>
      </c>
      <c r="H148" s="2">
        <v>5833576116</v>
      </c>
      <c r="I148" s="2">
        <v>58</v>
      </c>
      <c r="J148" s="3">
        <v>46098</v>
      </c>
      <c r="K148" s="3">
        <v>46098</v>
      </c>
      <c r="L148" s="9" t="s">
        <v>610</v>
      </c>
      <c r="M148" s="3">
        <v>46111</v>
      </c>
    </row>
    <row r="149" spans="2:13" x14ac:dyDescent="0.25">
      <c r="B149">
        <v>5837995077</v>
      </c>
      <c r="C149">
        <v>58</v>
      </c>
      <c r="D149" s="1">
        <v>44821</v>
      </c>
      <c r="E149" s="1">
        <v>46093</v>
      </c>
      <c r="F149" s="69" t="s">
        <v>678</v>
      </c>
      <c r="H149" s="2">
        <v>5833578028</v>
      </c>
      <c r="I149" s="2">
        <v>58</v>
      </c>
      <c r="J149" s="3">
        <v>46098</v>
      </c>
      <c r="K149" s="3">
        <v>46098</v>
      </c>
      <c r="L149" s="9" t="s">
        <v>610</v>
      </c>
      <c r="M149" s="3">
        <v>46111</v>
      </c>
    </row>
    <row r="150" spans="2:13" x14ac:dyDescent="0.25">
      <c r="B150">
        <v>5843320223</v>
      </c>
      <c r="C150">
        <v>58</v>
      </c>
      <c r="D150" s="1">
        <v>44824</v>
      </c>
      <c r="E150" s="1">
        <v>46094</v>
      </c>
      <c r="F150" s="69" t="s">
        <v>679</v>
      </c>
      <c r="H150" s="2">
        <v>5800438116</v>
      </c>
      <c r="I150" s="2">
        <v>58</v>
      </c>
      <c r="J150" s="3">
        <v>46098</v>
      </c>
      <c r="K150" s="3">
        <v>46098</v>
      </c>
      <c r="L150" s="9" t="s">
        <v>610</v>
      </c>
      <c r="M150" s="3">
        <v>46111</v>
      </c>
    </row>
    <row r="151" spans="2:13" x14ac:dyDescent="0.25">
      <c r="B151">
        <v>5800566084</v>
      </c>
      <c r="C151">
        <v>58</v>
      </c>
      <c r="D151" s="1">
        <v>46094</v>
      </c>
      <c r="E151" s="1">
        <v>46094</v>
      </c>
      <c r="F151" s="69" t="s">
        <v>680</v>
      </c>
      <c r="H151" s="2">
        <v>5843544107</v>
      </c>
      <c r="I151" s="2">
        <v>58</v>
      </c>
      <c r="J151" s="3">
        <v>46099</v>
      </c>
      <c r="K151" s="3">
        <v>46099</v>
      </c>
      <c r="L151" s="9" t="s">
        <v>610</v>
      </c>
      <c r="M151" s="3">
        <v>46111</v>
      </c>
    </row>
    <row r="152" spans="2:13" x14ac:dyDescent="0.25">
      <c r="B152">
        <v>5800566084</v>
      </c>
      <c r="C152">
        <v>58</v>
      </c>
      <c r="D152" s="1">
        <v>44826</v>
      </c>
      <c r="E152" s="1">
        <v>46094</v>
      </c>
      <c r="F152" s="69" t="s">
        <v>681</v>
      </c>
      <c r="H152" s="2">
        <v>5833725083</v>
      </c>
      <c r="I152" s="2">
        <v>58</v>
      </c>
      <c r="J152" s="3">
        <v>46100</v>
      </c>
      <c r="K152" s="3">
        <v>46100</v>
      </c>
      <c r="L152" s="9" t="s">
        <v>610</v>
      </c>
      <c r="M152" s="3">
        <v>46111</v>
      </c>
    </row>
    <row r="153" spans="2:13" x14ac:dyDescent="0.25">
      <c r="B153">
        <v>5843320223</v>
      </c>
      <c r="C153">
        <v>58</v>
      </c>
      <c r="D153" s="1">
        <v>46094</v>
      </c>
      <c r="E153" s="1">
        <v>46094</v>
      </c>
      <c r="F153" s="69" t="s">
        <v>682</v>
      </c>
      <c r="H153" s="2">
        <v>5800243083</v>
      </c>
      <c r="I153" s="2">
        <v>58</v>
      </c>
      <c r="J153" s="3">
        <v>46100</v>
      </c>
      <c r="K153" s="3">
        <v>46100</v>
      </c>
      <c r="L153" s="9" t="s">
        <v>610</v>
      </c>
      <c r="M153" s="3">
        <v>46111</v>
      </c>
    </row>
    <row r="154" spans="2:13" x14ac:dyDescent="0.25">
      <c r="B154">
        <v>5837543086</v>
      </c>
      <c r="C154">
        <v>58</v>
      </c>
      <c r="D154" s="1">
        <v>44823</v>
      </c>
      <c r="E154">
        <v>46095</v>
      </c>
      <c r="F154"/>
      <c r="H154" s="2">
        <v>5800445049</v>
      </c>
      <c r="I154" s="2">
        <v>58</v>
      </c>
      <c r="J154" s="3">
        <v>46100</v>
      </c>
      <c r="K154" s="3">
        <v>46100</v>
      </c>
      <c r="L154" s="9" t="s">
        <v>610</v>
      </c>
      <c r="M154" s="3">
        <v>46111</v>
      </c>
    </row>
    <row r="155" spans="2:13" x14ac:dyDescent="0.25">
      <c r="B155">
        <v>5837543086</v>
      </c>
      <c r="C155">
        <v>58</v>
      </c>
      <c r="D155" s="1">
        <v>46095</v>
      </c>
      <c r="E155">
        <v>46095</v>
      </c>
      <c r="F155"/>
      <c r="H155" s="2">
        <v>5826651083</v>
      </c>
      <c r="I155" s="2">
        <v>58</v>
      </c>
      <c r="J155" s="3">
        <v>46100</v>
      </c>
      <c r="K155" s="3">
        <v>46100</v>
      </c>
      <c r="L155" s="9" t="s">
        <v>610</v>
      </c>
      <c r="M155" s="3">
        <v>46111</v>
      </c>
    </row>
    <row r="156" spans="2:13" x14ac:dyDescent="0.25">
      <c r="B156">
        <v>5844577073</v>
      </c>
      <c r="C156">
        <v>58</v>
      </c>
      <c r="D156" s="1">
        <v>46095</v>
      </c>
      <c r="E156">
        <v>46095</v>
      </c>
      <c r="F156"/>
      <c r="H156" s="2">
        <v>5843904032</v>
      </c>
      <c r="I156" s="2">
        <v>58</v>
      </c>
      <c r="J156" s="3">
        <v>46100</v>
      </c>
      <c r="K156" s="3">
        <v>46100</v>
      </c>
      <c r="L156" s="9" t="s">
        <v>610</v>
      </c>
      <c r="M156" s="3">
        <v>46111</v>
      </c>
    </row>
    <row r="157" spans="2:13" x14ac:dyDescent="0.25">
      <c r="B157">
        <v>5844577073</v>
      </c>
      <c r="C157">
        <v>58</v>
      </c>
      <c r="D157" s="1">
        <v>44889</v>
      </c>
      <c r="E157">
        <v>46095</v>
      </c>
      <c r="F157"/>
      <c r="H157" s="2">
        <v>5838053076</v>
      </c>
      <c r="I157" s="2">
        <v>58</v>
      </c>
      <c r="J157" s="3">
        <v>46100</v>
      </c>
      <c r="K157" s="3">
        <v>46100</v>
      </c>
      <c r="L157" s="9" t="s">
        <v>610</v>
      </c>
      <c r="M157" s="3">
        <v>46111</v>
      </c>
    </row>
    <row r="158" spans="2:13" x14ac:dyDescent="0.25">
      <c r="B158">
        <v>5800438116</v>
      </c>
      <c r="C158">
        <v>58</v>
      </c>
      <c r="D158" s="1">
        <v>44827</v>
      </c>
      <c r="E158">
        <v>46098</v>
      </c>
      <c r="F158"/>
      <c r="H158" s="2">
        <v>5834625193</v>
      </c>
      <c r="I158" s="2">
        <v>58</v>
      </c>
      <c r="J158" s="3">
        <v>46101</v>
      </c>
      <c r="K158" s="3">
        <v>46101</v>
      </c>
      <c r="L158" s="9" t="s">
        <v>610</v>
      </c>
      <c r="M158" s="3">
        <v>46111</v>
      </c>
    </row>
    <row r="159" spans="2:13" x14ac:dyDescent="0.25">
      <c r="B159">
        <v>5838014063</v>
      </c>
      <c r="C159">
        <v>58</v>
      </c>
      <c r="D159" s="1">
        <v>46098</v>
      </c>
      <c r="E159">
        <v>46098</v>
      </c>
      <c r="F159"/>
      <c r="H159" s="2">
        <v>5840261097</v>
      </c>
      <c r="I159" s="2">
        <v>58</v>
      </c>
      <c r="J159" s="3">
        <v>44879</v>
      </c>
      <c r="K159" s="3">
        <v>46104</v>
      </c>
      <c r="L159" s="9" t="s">
        <v>611</v>
      </c>
      <c r="M159" s="3">
        <v>46111</v>
      </c>
    </row>
    <row r="160" spans="2:13" x14ac:dyDescent="0.25">
      <c r="B160">
        <v>5840227063</v>
      </c>
      <c r="C160">
        <v>58</v>
      </c>
      <c r="D160" s="1">
        <v>46098</v>
      </c>
      <c r="E160">
        <v>46098</v>
      </c>
      <c r="F160"/>
      <c r="H160" s="2">
        <v>5843204066</v>
      </c>
      <c r="I160" s="2">
        <v>58</v>
      </c>
      <c r="J160" s="3">
        <v>46105</v>
      </c>
      <c r="K160" s="3">
        <v>46105</v>
      </c>
      <c r="L160" s="9" t="s">
        <v>610</v>
      </c>
      <c r="M160" s="3">
        <v>46111</v>
      </c>
    </row>
    <row r="161" spans="2:14" x14ac:dyDescent="0.25">
      <c r="B161">
        <v>5838020063</v>
      </c>
      <c r="C161">
        <v>58</v>
      </c>
      <c r="D161" s="1">
        <v>46098</v>
      </c>
      <c r="E161">
        <v>46098</v>
      </c>
      <c r="F161"/>
      <c r="H161" s="2">
        <v>5863512038</v>
      </c>
      <c r="I161" s="2">
        <v>58</v>
      </c>
      <c r="J161" s="3">
        <v>46111</v>
      </c>
      <c r="K161" s="3">
        <v>46111</v>
      </c>
      <c r="L161" s="9" t="s">
        <v>643</v>
      </c>
      <c r="M161" s="3" t="s">
        <v>651</v>
      </c>
    </row>
    <row r="162" spans="2:14" x14ac:dyDescent="0.25">
      <c r="B162">
        <v>5840227063</v>
      </c>
      <c r="C162">
        <v>58</v>
      </c>
      <c r="D162" s="1">
        <v>44858</v>
      </c>
      <c r="E162">
        <v>46098</v>
      </c>
      <c r="F162"/>
      <c r="H162" s="2">
        <v>5838622038</v>
      </c>
      <c r="I162" s="2">
        <v>58</v>
      </c>
      <c r="J162" s="3">
        <v>46112</v>
      </c>
      <c r="K162" s="3" t="s">
        <v>640</v>
      </c>
      <c r="L162" s="9" t="s">
        <v>644</v>
      </c>
    </row>
    <row r="163" spans="2:14" x14ac:dyDescent="0.25">
      <c r="B163">
        <v>5838014063</v>
      </c>
      <c r="C163">
        <v>58</v>
      </c>
      <c r="D163" s="1">
        <v>44837</v>
      </c>
      <c r="E163">
        <v>46098</v>
      </c>
      <c r="F163"/>
      <c r="H163" s="2">
        <v>5843614038</v>
      </c>
      <c r="I163" s="2">
        <v>58</v>
      </c>
      <c r="J163" s="3">
        <v>46112</v>
      </c>
      <c r="K163" s="3">
        <v>46112</v>
      </c>
      <c r="L163" s="9" t="s">
        <v>645</v>
      </c>
      <c r="M163" s="3" t="s">
        <v>653</v>
      </c>
    </row>
    <row r="164" spans="2:14" x14ac:dyDescent="0.25">
      <c r="B164">
        <v>5800438116</v>
      </c>
      <c r="C164">
        <v>58</v>
      </c>
      <c r="D164" s="1">
        <v>46098</v>
      </c>
      <c r="E164">
        <v>46098</v>
      </c>
      <c r="F164"/>
      <c r="H164" s="2">
        <v>5831914015</v>
      </c>
      <c r="I164" s="2">
        <v>58</v>
      </c>
      <c r="J164" s="3">
        <v>44827</v>
      </c>
      <c r="K164" s="3">
        <v>46115</v>
      </c>
      <c r="L164" s="9" t="s">
        <v>511</v>
      </c>
      <c r="M164" s="3">
        <v>46118</v>
      </c>
    </row>
    <row r="165" spans="2:14" x14ac:dyDescent="0.25">
      <c r="B165">
        <v>5838020063</v>
      </c>
      <c r="C165">
        <v>58</v>
      </c>
      <c r="D165" s="1">
        <v>45370</v>
      </c>
      <c r="E165">
        <v>46098</v>
      </c>
      <c r="F165"/>
      <c r="H165" s="2">
        <v>5867938149</v>
      </c>
      <c r="I165" s="2">
        <v>58</v>
      </c>
      <c r="J165" s="3">
        <v>45329</v>
      </c>
      <c r="K165" s="3">
        <v>46161</v>
      </c>
      <c r="L165" s="9" t="s">
        <v>654</v>
      </c>
      <c r="M165" s="3">
        <v>46149</v>
      </c>
      <c r="N165" t="s">
        <v>652</v>
      </c>
    </row>
    <row r="166" spans="2:14" x14ac:dyDescent="0.25">
      <c r="B166">
        <v>5833576116</v>
      </c>
      <c r="C166">
        <v>58</v>
      </c>
      <c r="D166" s="1">
        <v>44823</v>
      </c>
      <c r="E166">
        <v>46098</v>
      </c>
      <c r="F166"/>
      <c r="H166" s="2">
        <v>5868303009</v>
      </c>
      <c r="I166" s="2">
        <v>58</v>
      </c>
      <c r="J166" s="3">
        <v>46141</v>
      </c>
      <c r="K166" s="3">
        <v>46141</v>
      </c>
      <c r="L166" s="9" t="s">
        <v>655</v>
      </c>
      <c r="M166" s="3">
        <v>46161</v>
      </c>
    </row>
    <row r="167" spans="2:14" x14ac:dyDescent="0.25">
      <c r="B167">
        <v>5833578028</v>
      </c>
      <c r="C167">
        <v>58</v>
      </c>
      <c r="D167" s="1">
        <v>44823</v>
      </c>
      <c r="E167">
        <v>46098</v>
      </c>
      <c r="F167"/>
      <c r="H167" s="2">
        <v>580076514</v>
      </c>
      <c r="I167" s="2" t="s">
        <v>661</v>
      </c>
      <c r="J167" s="3">
        <v>46177</v>
      </c>
      <c r="K167" s="3">
        <v>46177</v>
      </c>
      <c r="L167" s="9" t="s">
        <v>660</v>
      </c>
      <c r="M167" s="3">
        <v>46183</v>
      </c>
    </row>
    <row r="168" spans="2:14" x14ac:dyDescent="0.25">
      <c r="B168">
        <v>5833576116</v>
      </c>
      <c r="C168">
        <v>58</v>
      </c>
      <c r="D168" s="1">
        <v>46098</v>
      </c>
      <c r="E168">
        <v>46098</v>
      </c>
      <c r="F168"/>
      <c r="H168" s="2">
        <v>5843614038</v>
      </c>
      <c r="I168" s="2">
        <v>58</v>
      </c>
      <c r="J168" s="3">
        <v>46112</v>
      </c>
      <c r="K168" s="3">
        <v>46177</v>
      </c>
      <c r="L168" s="9" t="s">
        <v>511</v>
      </c>
    </row>
    <row r="169" spans="2:14" x14ac:dyDescent="0.25">
      <c r="B169">
        <v>5833578028</v>
      </c>
      <c r="C169">
        <v>58</v>
      </c>
      <c r="D169" s="1">
        <v>46098</v>
      </c>
      <c r="E169">
        <v>46098</v>
      </c>
      <c r="F169"/>
      <c r="H169" s="2">
        <v>5867939086</v>
      </c>
      <c r="I169" s="2">
        <v>58</v>
      </c>
      <c r="J169" s="3">
        <v>46204</v>
      </c>
      <c r="K169" s="3">
        <v>46204</v>
      </c>
      <c r="L169" s="9" t="s">
        <v>664</v>
      </c>
      <c r="M169" s="3">
        <v>46153</v>
      </c>
    </row>
    <row r="170" spans="2:14" x14ac:dyDescent="0.25">
      <c r="B170">
        <v>5838020063</v>
      </c>
      <c r="C170">
        <v>58</v>
      </c>
      <c r="D170" s="1">
        <v>45370</v>
      </c>
      <c r="E170">
        <v>46098</v>
      </c>
      <c r="F170"/>
      <c r="H170" s="2">
        <v>5865426021</v>
      </c>
      <c r="I170" s="2">
        <v>58</v>
      </c>
      <c r="J170" s="3">
        <v>44760</v>
      </c>
      <c r="K170" s="3">
        <v>46247</v>
      </c>
      <c r="L170" s="9" t="s">
        <v>678</v>
      </c>
      <c r="M170" s="3">
        <v>46266</v>
      </c>
    </row>
    <row r="171" spans="2:14" x14ac:dyDescent="0.25">
      <c r="B171">
        <v>5843544107</v>
      </c>
      <c r="C171">
        <v>58</v>
      </c>
      <c r="D171" s="1">
        <v>46099</v>
      </c>
      <c r="E171">
        <v>46099</v>
      </c>
      <c r="F171"/>
      <c r="H171" s="2">
        <v>5863049038</v>
      </c>
      <c r="I171" s="2">
        <v>58</v>
      </c>
      <c r="J171" s="3">
        <v>46247</v>
      </c>
      <c r="K171" s="3">
        <v>46247</v>
      </c>
      <c r="L171" s="9" t="s">
        <v>679</v>
      </c>
      <c r="M171" s="3">
        <v>46266</v>
      </c>
    </row>
    <row r="172" spans="2:14" x14ac:dyDescent="0.25">
      <c r="B172">
        <v>5843544107</v>
      </c>
      <c r="C172">
        <v>58</v>
      </c>
      <c r="D172" s="1">
        <v>45002</v>
      </c>
      <c r="E172">
        <v>46099</v>
      </c>
      <c r="F172"/>
      <c r="H172" s="2">
        <v>5863050038</v>
      </c>
      <c r="I172" s="2">
        <v>58</v>
      </c>
      <c r="J172" s="3">
        <v>46249</v>
      </c>
      <c r="K172" s="3">
        <v>46249</v>
      </c>
      <c r="L172" s="2" t="s">
        <v>680</v>
      </c>
      <c r="M172" s="3">
        <v>46266</v>
      </c>
    </row>
    <row r="173" spans="2:14" x14ac:dyDescent="0.25">
      <c r="B173">
        <v>5840260107</v>
      </c>
      <c r="C173">
        <v>58</v>
      </c>
      <c r="D173" s="1">
        <v>44576</v>
      </c>
      <c r="E173">
        <v>46099</v>
      </c>
      <c r="F173"/>
      <c r="H173" s="2">
        <v>5868049271</v>
      </c>
      <c r="I173" s="2">
        <v>58</v>
      </c>
      <c r="J173" s="3">
        <v>46254</v>
      </c>
      <c r="K173" s="3">
        <v>46254</v>
      </c>
      <c r="L173" s="9" t="s">
        <v>681</v>
      </c>
      <c r="M173" s="3">
        <v>46266</v>
      </c>
    </row>
    <row r="174" spans="2:14" x14ac:dyDescent="0.25">
      <c r="B174">
        <v>5843544107</v>
      </c>
      <c r="C174">
        <v>58</v>
      </c>
      <c r="D174" s="1">
        <v>45002</v>
      </c>
      <c r="E174">
        <v>46099</v>
      </c>
      <c r="F174"/>
      <c r="H174" s="2">
        <v>5865525015</v>
      </c>
      <c r="I174" s="2">
        <v>58</v>
      </c>
      <c r="J174" s="3">
        <v>46127</v>
      </c>
      <c r="K174" s="3">
        <v>46254</v>
      </c>
      <c r="L174" s="9" t="s">
        <v>682</v>
      </c>
      <c r="M174" s="3">
        <v>46266</v>
      </c>
    </row>
    <row r="175" spans="2:14" x14ac:dyDescent="0.25">
      <c r="B175">
        <v>5840260107</v>
      </c>
      <c r="C175">
        <v>58</v>
      </c>
      <c r="D175" s="1">
        <v>46099</v>
      </c>
      <c r="E175">
        <v>46099</v>
      </c>
      <c r="F175"/>
      <c r="H175" s="2">
        <v>5863000094</v>
      </c>
      <c r="I175" s="2">
        <v>58</v>
      </c>
      <c r="J175" s="140">
        <v>44771</v>
      </c>
      <c r="K175" s="140">
        <v>46107</v>
      </c>
      <c r="L175" s="9" t="s">
        <v>683</v>
      </c>
      <c r="M175" s="3">
        <v>46275</v>
      </c>
      <c r="N175" t="s">
        <v>547</v>
      </c>
    </row>
    <row r="176" spans="2:14" x14ac:dyDescent="0.25">
      <c r="B176">
        <v>5800778005</v>
      </c>
      <c r="C176">
        <v>58</v>
      </c>
      <c r="D176" s="1">
        <v>45205</v>
      </c>
      <c r="E176">
        <v>46100</v>
      </c>
      <c r="F176"/>
    </row>
    <row r="177" spans="2:6" x14ac:dyDescent="0.25">
      <c r="B177">
        <v>5843904032</v>
      </c>
      <c r="C177">
        <v>58</v>
      </c>
      <c r="D177" s="1">
        <v>44827</v>
      </c>
      <c r="E177">
        <v>46100</v>
      </c>
      <c r="F177"/>
    </row>
    <row r="178" spans="2:6" x14ac:dyDescent="0.25">
      <c r="B178">
        <v>5843904032</v>
      </c>
      <c r="C178">
        <v>58</v>
      </c>
      <c r="D178" s="1">
        <v>46100</v>
      </c>
      <c r="E178">
        <v>46100</v>
      </c>
      <c r="F178"/>
    </row>
    <row r="179" spans="2:6" x14ac:dyDescent="0.25">
      <c r="B179">
        <v>5833725083</v>
      </c>
      <c r="C179">
        <v>58</v>
      </c>
      <c r="D179" s="1">
        <v>44829</v>
      </c>
      <c r="E179">
        <v>46100</v>
      </c>
      <c r="F179"/>
    </row>
    <row r="180" spans="2:6" x14ac:dyDescent="0.25">
      <c r="B180">
        <v>5826651083</v>
      </c>
      <c r="C180">
        <v>58</v>
      </c>
      <c r="D180" s="1">
        <v>44829</v>
      </c>
      <c r="E180">
        <v>46100</v>
      </c>
      <c r="F180"/>
    </row>
    <row r="181" spans="2:6" x14ac:dyDescent="0.25">
      <c r="B181">
        <v>5800778005</v>
      </c>
      <c r="C181">
        <v>58</v>
      </c>
      <c r="D181" s="1">
        <v>46100</v>
      </c>
      <c r="E181">
        <v>46100</v>
      </c>
      <c r="F181"/>
    </row>
    <row r="182" spans="2:6" x14ac:dyDescent="0.25">
      <c r="B182">
        <v>5800445049</v>
      </c>
      <c r="C182">
        <v>58</v>
      </c>
      <c r="D182" s="1">
        <v>44829</v>
      </c>
      <c r="E182">
        <v>46100</v>
      </c>
      <c r="F182"/>
    </row>
    <row r="183" spans="2:6" x14ac:dyDescent="0.25">
      <c r="B183">
        <v>5838053076</v>
      </c>
      <c r="C183">
        <v>58</v>
      </c>
      <c r="D183" s="1">
        <v>46100</v>
      </c>
      <c r="E183">
        <v>46100</v>
      </c>
      <c r="F183"/>
    </row>
    <row r="184" spans="2:6" x14ac:dyDescent="0.25">
      <c r="B184">
        <v>5826651083</v>
      </c>
      <c r="C184">
        <v>58</v>
      </c>
      <c r="D184" s="1">
        <v>46100</v>
      </c>
      <c r="E184">
        <v>46100</v>
      </c>
      <c r="F184"/>
    </row>
    <row r="185" spans="2:6" x14ac:dyDescent="0.25">
      <c r="B185">
        <v>5800243083</v>
      </c>
      <c r="C185">
        <v>58</v>
      </c>
      <c r="D185" s="1">
        <v>44837</v>
      </c>
      <c r="E185">
        <v>46100</v>
      </c>
      <c r="F185"/>
    </row>
    <row r="186" spans="2:6" x14ac:dyDescent="0.25">
      <c r="B186">
        <v>5800243083</v>
      </c>
      <c r="C186">
        <v>58</v>
      </c>
      <c r="D186" s="1">
        <v>46100</v>
      </c>
      <c r="E186">
        <v>46100</v>
      </c>
      <c r="F186"/>
    </row>
    <row r="187" spans="2:6" x14ac:dyDescent="0.25">
      <c r="B187">
        <v>5838053076</v>
      </c>
      <c r="C187">
        <v>58</v>
      </c>
      <c r="D187" s="1">
        <v>44850</v>
      </c>
      <c r="E187">
        <v>46100</v>
      </c>
      <c r="F187"/>
    </row>
    <row r="188" spans="2:6" x14ac:dyDescent="0.25">
      <c r="B188">
        <v>5800778005</v>
      </c>
      <c r="C188">
        <v>58</v>
      </c>
      <c r="D188" s="1">
        <v>45205</v>
      </c>
      <c r="E188">
        <v>46100</v>
      </c>
      <c r="F188"/>
    </row>
    <row r="189" spans="2:6" x14ac:dyDescent="0.25">
      <c r="B189">
        <v>5800445049</v>
      </c>
      <c r="C189">
        <v>58</v>
      </c>
      <c r="D189" s="1">
        <v>46100</v>
      </c>
      <c r="E189">
        <v>46100</v>
      </c>
      <c r="F189"/>
    </row>
    <row r="190" spans="2:6" x14ac:dyDescent="0.25">
      <c r="B190">
        <v>5833725083</v>
      </c>
      <c r="C190">
        <v>58</v>
      </c>
      <c r="D190" s="1">
        <v>46100</v>
      </c>
      <c r="E190">
        <v>46100</v>
      </c>
      <c r="F190"/>
    </row>
    <row r="191" spans="2:6" x14ac:dyDescent="0.25">
      <c r="B191">
        <v>5836785074</v>
      </c>
      <c r="C191">
        <v>58</v>
      </c>
      <c r="D191" s="1">
        <v>44896</v>
      </c>
      <c r="E191">
        <v>46101</v>
      </c>
      <c r="F191"/>
    </row>
    <row r="192" spans="2:6" x14ac:dyDescent="0.25">
      <c r="B192">
        <v>5834625193</v>
      </c>
      <c r="C192">
        <v>58</v>
      </c>
      <c r="D192" s="1">
        <v>46101</v>
      </c>
      <c r="E192">
        <v>46101</v>
      </c>
      <c r="F192"/>
    </row>
    <row r="193" spans="2:6" x14ac:dyDescent="0.25">
      <c r="B193">
        <v>5834625193</v>
      </c>
      <c r="C193">
        <v>58</v>
      </c>
      <c r="D193" s="1">
        <v>44825</v>
      </c>
      <c r="E193">
        <v>46101</v>
      </c>
      <c r="F193"/>
    </row>
    <row r="194" spans="2:6" x14ac:dyDescent="0.25">
      <c r="B194">
        <v>5836785074</v>
      </c>
      <c r="C194">
        <v>58</v>
      </c>
      <c r="D194" s="1">
        <v>46101</v>
      </c>
      <c r="E194">
        <v>46101</v>
      </c>
      <c r="F194"/>
    </row>
    <row r="195" spans="2:6" x14ac:dyDescent="0.25">
      <c r="B195">
        <v>5825122040</v>
      </c>
      <c r="C195">
        <v>58</v>
      </c>
      <c r="D195" s="1">
        <v>46104</v>
      </c>
      <c r="E195">
        <v>46104</v>
      </c>
      <c r="F195"/>
    </row>
    <row r="196" spans="2:6" x14ac:dyDescent="0.25">
      <c r="B196">
        <v>5825122040</v>
      </c>
      <c r="C196">
        <v>58</v>
      </c>
      <c r="D196" s="1">
        <v>44825</v>
      </c>
      <c r="E196">
        <v>46104</v>
      </c>
      <c r="F196"/>
    </row>
    <row r="197" spans="2:6" x14ac:dyDescent="0.25">
      <c r="B197">
        <v>5831240034</v>
      </c>
      <c r="C197">
        <v>58</v>
      </c>
      <c r="D197" s="1">
        <v>44826</v>
      </c>
      <c r="E197">
        <v>46105</v>
      </c>
      <c r="F197"/>
    </row>
    <row r="198" spans="2:6" x14ac:dyDescent="0.25">
      <c r="B198">
        <v>5834837034</v>
      </c>
      <c r="C198">
        <v>58</v>
      </c>
      <c r="D198" s="1">
        <v>46105</v>
      </c>
      <c r="E198">
        <v>46105</v>
      </c>
      <c r="F198"/>
    </row>
    <row r="199" spans="2:6" x14ac:dyDescent="0.25">
      <c r="B199">
        <v>5831240034</v>
      </c>
      <c r="C199">
        <v>58</v>
      </c>
      <c r="D199" s="1">
        <v>46105</v>
      </c>
      <c r="E199">
        <v>46105</v>
      </c>
      <c r="F199"/>
    </row>
    <row r="200" spans="2:6" x14ac:dyDescent="0.25">
      <c r="B200">
        <v>5843204066</v>
      </c>
      <c r="C200">
        <v>58</v>
      </c>
      <c r="D200" s="1">
        <v>46105</v>
      </c>
      <c r="E200">
        <v>46105</v>
      </c>
      <c r="F200"/>
    </row>
    <row r="201" spans="2:6" x14ac:dyDescent="0.25">
      <c r="B201">
        <v>5834837034</v>
      </c>
      <c r="C201">
        <v>58</v>
      </c>
      <c r="D201" s="1">
        <v>44829</v>
      </c>
      <c r="E201">
        <v>46105</v>
      </c>
      <c r="F201"/>
    </row>
    <row r="202" spans="2:6" x14ac:dyDescent="0.25">
      <c r="B202">
        <v>5843204066</v>
      </c>
      <c r="C202">
        <v>58</v>
      </c>
      <c r="D202" s="1">
        <v>44897</v>
      </c>
      <c r="E202">
        <v>46105</v>
      </c>
      <c r="F202"/>
    </row>
    <row r="203" spans="2:6" x14ac:dyDescent="0.25">
      <c r="B203">
        <v>5847506122</v>
      </c>
      <c r="C203">
        <v>58</v>
      </c>
      <c r="D203" s="1">
        <v>45995</v>
      </c>
      <c r="E203">
        <v>46108</v>
      </c>
      <c r="F203"/>
    </row>
    <row r="204" spans="2:6" x14ac:dyDescent="0.25">
      <c r="B204">
        <v>5856529073</v>
      </c>
      <c r="C204">
        <v>58</v>
      </c>
      <c r="D204" s="1">
        <v>45707</v>
      </c>
      <c r="E204">
        <v>46108</v>
      </c>
      <c r="F204"/>
    </row>
    <row r="205" spans="2:6" x14ac:dyDescent="0.25">
      <c r="B205">
        <v>5826303015</v>
      </c>
      <c r="C205">
        <v>58</v>
      </c>
      <c r="D205" s="1">
        <v>44825</v>
      </c>
      <c r="E205">
        <v>46127</v>
      </c>
      <c r="F205"/>
    </row>
    <row r="206" spans="2:6" x14ac:dyDescent="0.25">
      <c r="B206">
        <v>5868303009</v>
      </c>
      <c r="C206">
        <v>58</v>
      </c>
      <c r="D206" s="1">
        <v>46141</v>
      </c>
      <c r="E206">
        <v>46141</v>
      </c>
      <c r="F206"/>
    </row>
    <row r="207" spans="2:6" x14ac:dyDescent="0.25">
      <c r="B207">
        <v>5867939086</v>
      </c>
      <c r="C207">
        <v>58</v>
      </c>
      <c r="D207" s="1">
        <v>46161</v>
      </c>
      <c r="E207">
        <v>46176</v>
      </c>
      <c r="F207"/>
    </row>
    <row r="208" spans="2:6" x14ac:dyDescent="0.25">
      <c r="B208">
        <v>5867939086</v>
      </c>
      <c r="C208">
        <v>58</v>
      </c>
      <c r="D208" s="1">
        <v>46161</v>
      </c>
      <c r="E208">
        <v>46176</v>
      </c>
      <c r="F208"/>
    </row>
    <row r="209" spans="2:6" x14ac:dyDescent="0.25">
      <c r="B209">
        <v>5867938149</v>
      </c>
      <c r="C209">
        <v>58</v>
      </c>
      <c r="D209" s="1">
        <v>45329</v>
      </c>
      <c r="E209">
        <v>46177</v>
      </c>
      <c r="F209"/>
    </row>
    <row r="210" spans="2:6" x14ac:dyDescent="0.25">
      <c r="B210">
        <v>580076514</v>
      </c>
      <c r="C210">
        <v>58</v>
      </c>
      <c r="D210" s="1">
        <v>46177</v>
      </c>
      <c r="E210">
        <v>46186</v>
      </c>
      <c r="F210"/>
    </row>
    <row r="211" spans="2:6" x14ac:dyDescent="0.25">
      <c r="B211">
        <v>5800765149</v>
      </c>
      <c r="C211">
        <v>58</v>
      </c>
      <c r="D211" s="1">
        <v>46186</v>
      </c>
      <c r="E211">
        <v>46186</v>
      </c>
      <c r="F211"/>
    </row>
    <row r="212" spans="2:6" x14ac:dyDescent="0.25">
      <c r="B212">
        <v>580076514</v>
      </c>
      <c r="C212">
        <v>58</v>
      </c>
      <c r="D212" s="1">
        <v>46177</v>
      </c>
      <c r="E212">
        <v>46186</v>
      </c>
      <c r="F212"/>
    </row>
    <row r="213" spans="2:6" x14ac:dyDescent="0.25">
      <c r="B213">
        <v>5838622038</v>
      </c>
      <c r="C213">
        <v>58</v>
      </c>
      <c r="D213" s="1">
        <v>46112</v>
      </c>
      <c r="E213">
        <v>46195</v>
      </c>
      <c r="F213"/>
    </row>
    <row r="214" spans="2:6" x14ac:dyDescent="0.25">
      <c r="B214">
        <v>5843614038</v>
      </c>
      <c r="C214">
        <v>58</v>
      </c>
      <c r="D214" s="1">
        <v>46112</v>
      </c>
      <c r="E214">
        <v>46195</v>
      </c>
      <c r="F214"/>
    </row>
    <row r="215" spans="2:6" x14ac:dyDescent="0.25">
      <c r="B215">
        <v>5863512038</v>
      </c>
      <c r="C215">
        <v>58</v>
      </c>
      <c r="D215" s="1">
        <v>46111</v>
      </c>
      <c r="E215">
        <v>46199</v>
      </c>
      <c r="F215"/>
    </row>
    <row r="216" spans="2:6" x14ac:dyDescent="0.25">
      <c r="B216">
        <v>586793908</v>
      </c>
      <c r="C216">
        <v>58</v>
      </c>
      <c r="D216" s="1">
        <v>46177</v>
      </c>
      <c r="E216">
        <v>46204</v>
      </c>
      <c r="F216"/>
    </row>
    <row r="217" spans="2:6" x14ac:dyDescent="0.25">
      <c r="B217">
        <v>586793908</v>
      </c>
      <c r="C217">
        <v>58</v>
      </c>
      <c r="D217" s="1">
        <v>46177</v>
      </c>
      <c r="E217">
        <v>46204</v>
      </c>
      <c r="F217"/>
    </row>
    <row r="218" spans="2:6" x14ac:dyDescent="0.25">
      <c r="B218">
        <v>5867939086</v>
      </c>
      <c r="C218">
        <v>58</v>
      </c>
      <c r="D218" s="1">
        <v>46204</v>
      </c>
      <c r="E218">
        <v>46204</v>
      </c>
      <c r="F218"/>
    </row>
    <row r="219" spans="2:6" x14ac:dyDescent="0.25">
      <c r="B219">
        <v>5863050038</v>
      </c>
      <c r="C219">
        <v>58</v>
      </c>
      <c r="D219" s="1">
        <v>46249</v>
      </c>
      <c r="E219">
        <v>46249</v>
      </c>
      <c r="F219"/>
    </row>
    <row r="220" spans="2:6" x14ac:dyDescent="0.25">
      <c r="B220">
        <v>5868049271</v>
      </c>
      <c r="C220">
        <v>58</v>
      </c>
      <c r="D220" s="1">
        <v>46254</v>
      </c>
      <c r="E220">
        <v>46254</v>
      </c>
      <c r="F220"/>
    </row>
    <row r="221" spans="2:6" x14ac:dyDescent="0.25">
      <c r="B221">
        <v>5865525015</v>
      </c>
      <c r="C221">
        <v>58</v>
      </c>
      <c r="D221" s="1">
        <v>46127</v>
      </c>
      <c r="E221">
        <v>46254</v>
      </c>
      <c r="F221"/>
    </row>
    <row r="222" spans="2:6" x14ac:dyDescent="0.25">
      <c r="B222">
        <v>5868495155</v>
      </c>
      <c r="C222">
        <v>58</v>
      </c>
      <c r="D222" s="1">
        <v>46261</v>
      </c>
      <c r="E222">
        <v>46261</v>
      </c>
      <c r="F222"/>
    </row>
    <row r="223" spans="2:6" x14ac:dyDescent="0.25">
      <c r="B223">
        <v>5862247038</v>
      </c>
      <c r="C223">
        <v>58</v>
      </c>
      <c r="D223" s="1">
        <v>46245</v>
      </c>
      <c r="E223">
        <v>46267</v>
      </c>
      <c r="F223"/>
    </row>
    <row r="224" spans="2:6" x14ac:dyDescent="0.25">
      <c r="B224">
        <v>5863049038</v>
      </c>
      <c r="C224">
        <v>58</v>
      </c>
      <c r="D224" s="1">
        <v>46269</v>
      </c>
      <c r="E224">
        <v>46269</v>
      </c>
      <c r="F224"/>
    </row>
    <row r="225" spans="2:6" x14ac:dyDescent="0.25">
      <c r="B225">
        <v>5863049038</v>
      </c>
      <c r="C225">
        <v>58</v>
      </c>
      <c r="D225" s="1">
        <v>46247</v>
      </c>
      <c r="E225">
        <v>46269</v>
      </c>
      <c r="F225"/>
    </row>
    <row r="226" spans="2:6" x14ac:dyDescent="0.25">
      <c r="B226">
        <v>5863049038</v>
      </c>
      <c r="C226">
        <v>58</v>
      </c>
      <c r="D226" s="1">
        <v>46247</v>
      </c>
      <c r="E226">
        <v>46269</v>
      </c>
      <c r="F226" t="s">
        <v>665</v>
      </c>
    </row>
  </sheetData>
  <autoFilter ref="H3:P126" xr:uid="{00000000-0001-0000-0200-000000000000}"/>
  <phoneticPr fontId="3" type="noConversion"/>
  <conditionalFormatting sqref="H1:H1048576">
    <cfRule type="duplicateValues" dxfId="15" priority="2"/>
  </conditionalFormatting>
  <conditionalFormatting sqref="I172:L172">
    <cfRule type="duplicateValues" dxfId="14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F232-CD59-45F8-BADC-CAD365B50B47}">
  <sheetPr codeName="Planilha5">
    <tabColor rgb="FF002060"/>
  </sheetPr>
  <dimension ref="A1:T18"/>
  <sheetViews>
    <sheetView workbookViewId="0">
      <selection activeCell="M5" sqref="M5"/>
    </sheetView>
  </sheetViews>
  <sheetFormatPr defaultRowHeight="15" x14ac:dyDescent="0.25"/>
  <cols>
    <col min="1" max="1" width="5" bestFit="1" customWidth="1"/>
    <col min="2" max="2" width="20.5703125" customWidth="1"/>
    <col min="3" max="3" width="21.7109375" customWidth="1"/>
    <col min="4" max="4" width="18.7109375" customWidth="1"/>
    <col min="5" max="5" width="17.85546875" customWidth="1"/>
    <col min="6" max="6" width="21.7109375" customWidth="1"/>
    <col min="8" max="8" width="13.5703125" customWidth="1"/>
    <col min="9" max="20" width="5.7109375" customWidth="1"/>
  </cols>
  <sheetData>
    <row r="1" spans="1:20" ht="15.75" thickBot="1" x14ac:dyDescent="0.3"/>
    <row r="2" spans="1:20" s="75" customFormat="1" ht="37.5" customHeight="1" thickBot="1" x14ac:dyDescent="0.3">
      <c r="B2" s="84"/>
      <c r="C2" s="76" t="s">
        <v>377</v>
      </c>
      <c r="D2" s="77" t="s">
        <v>378</v>
      </c>
      <c r="E2" s="77" t="s">
        <v>376</v>
      </c>
      <c r="F2" s="78" t="s">
        <v>428</v>
      </c>
      <c r="I2" s="141" t="s">
        <v>639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3"/>
    </row>
    <row r="3" spans="1:20" ht="15.75" thickBot="1" x14ac:dyDescent="0.3">
      <c r="B3" s="79" t="s">
        <v>427</v>
      </c>
      <c r="C3" s="105">
        <v>18</v>
      </c>
      <c r="D3" s="109" t="s">
        <v>31</v>
      </c>
      <c r="E3" s="109" t="s">
        <v>31</v>
      </c>
      <c r="F3" s="116" t="s">
        <v>31</v>
      </c>
      <c r="I3" s="132" t="s">
        <v>591</v>
      </c>
      <c r="J3" s="133" t="s">
        <v>592</v>
      </c>
      <c r="K3" s="133" t="s">
        <v>600</v>
      </c>
      <c r="L3" s="133" t="s">
        <v>616</v>
      </c>
      <c r="M3" s="133" t="s">
        <v>631</v>
      </c>
      <c r="N3" s="133" t="s">
        <v>632</v>
      </c>
      <c r="O3" s="133" t="s">
        <v>633</v>
      </c>
      <c r="P3" s="133" t="s">
        <v>634</v>
      </c>
      <c r="Q3" s="133" t="s">
        <v>635</v>
      </c>
      <c r="R3" s="133" t="s">
        <v>636</v>
      </c>
      <c r="S3" s="133" t="s">
        <v>637</v>
      </c>
      <c r="T3" s="134" t="s">
        <v>638</v>
      </c>
    </row>
    <row r="4" spans="1:20" ht="75.75" thickBot="1" x14ac:dyDescent="0.3">
      <c r="A4" s="74">
        <v>230</v>
      </c>
      <c r="B4" s="91" t="s">
        <v>373</v>
      </c>
      <c r="C4" s="92">
        <v>229</v>
      </c>
      <c r="D4" s="110">
        <v>1</v>
      </c>
      <c r="E4" s="110"/>
      <c r="F4" s="117" t="s">
        <v>625</v>
      </c>
      <c r="H4" s="135" t="s">
        <v>373</v>
      </c>
      <c r="I4" s="136">
        <v>220</v>
      </c>
      <c r="J4" s="137">
        <v>220</v>
      </c>
      <c r="K4" s="136">
        <v>224</v>
      </c>
      <c r="L4" s="137">
        <v>229</v>
      </c>
      <c r="M4" s="136"/>
      <c r="N4" s="137">
        <v>230</v>
      </c>
      <c r="O4" s="136"/>
      <c r="P4" s="137"/>
      <c r="Q4" s="136"/>
      <c r="R4" s="137"/>
      <c r="S4" s="136"/>
      <c r="T4" s="138"/>
    </row>
    <row r="5" spans="1:20" ht="45.75" thickBot="1" x14ac:dyDescent="0.3">
      <c r="A5" s="74">
        <v>1643</v>
      </c>
      <c r="B5" s="80" t="s">
        <v>372</v>
      </c>
      <c r="C5" s="93">
        <v>1286</v>
      </c>
      <c r="D5" s="110">
        <v>1</v>
      </c>
      <c r="E5" s="110"/>
      <c r="F5" s="118" t="s">
        <v>627</v>
      </c>
      <c r="H5" s="135" t="s">
        <v>372</v>
      </c>
      <c r="I5" s="136">
        <v>1275</v>
      </c>
      <c r="J5" s="137">
        <v>1277</v>
      </c>
      <c r="K5" s="136">
        <v>1280</v>
      </c>
      <c r="L5" s="137">
        <v>1283</v>
      </c>
      <c r="M5" s="136"/>
      <c r="N5" s="137">
        <v>1287</v>
      </c>
      <c r="O5" s="136"/>
      <c r="P5" s="137"/>
      <c r="Q5" s="136"/>
      <c r="R5" s="137"/>
      <c r="S5" s="136"/>
      <c r="T5" s="138"/>
    </row>
    <row r="6" spans="1:20" ht="15.75" thickBot="1" x14ac:dyDescent="0.3">
      <c r="A6" s="74">
        <v>249</v>
      </c>
      <c r="B6" s="80" t="s">
        <v>374</v>
      </c>
      <c r="C6" s="94">
        <v>189</v>
      </c>
      <c r="D6" s="110"/>
      <c r="E6" s="110"/>
      <c r="F6" s="118" t="s">
        <v>31</v>
      </c>
      <c r="H6" s="139" t="s">
        <v>374</v>
      </c>
      <c r="I6" s="129">
        <v>178</v>
      </c>
      <c r="J6" s="130">
        <v>183</v>
      </c>
      <c r="K6" s="129">
        <v>183</v>
      </c>
      <c r="L6" s="130">
        <v>187</v>
      </c>
      <c r="M6" s="129"/>
      <c r="N6" s="130">
        <v>189</v>
      </c>
      <c r="O6" s="129"/>
      <c r="P6" s="130"/>
      <c r="Q6" s="129"/>
      <c r="R6" s="130"/>
      <c r="S6" s="129"/>
      <c r="T6" s="131"/>
    </row>
    <row r="7" spans="1:20" ht="19.5" thickBot="1" x14ac:dyDescent="0.35">
      <c r="B7" s="81" t="s">
        <v>375</v>
      </c>
      <c r="C7" s="95">
        <f>C3+C4+C5+C6</f>
        <v>1722</v>
      </c>
      <c r="D7" s="82">
        <f>SUM(D3:D6)</f>
        <v>2</v>
      </c>
      <c r="E7" s="82">
        <f>SUM(E3:E6)</f>
        <v>0</v>
      </c>
      <c r="F7" s="83">
        <f>E7</f>
        <v>0</v>
      </c>
    </row>
    <row r="9" spans="1:20" x14ac:dyDescent="0.25">
      <c r="B9" s="96" t="s">
        <v>452</v>
      </c>
      <c r="C9" t="s">
        <v>466</v>
      </c>
      <c r="G9" s="88"/>
    </row>
    <row r="12" spans="1:20" x14ac:dyDescent="0.25">
      <c r="B12" t="s">
        <v>601</v>
      </c>
      <c r="C12" t="s">
        <v>602</v>
      </c>
      <c r="D12" t="s">
        <v>606</v>
      </c>
      <c r="E12" t="s">
        <v>628</v>
      </c>
    </row>
    <row r="13" spans="1:20" x14ac:dyDescent="0.25">
      <c r="B13" s="2">
        <v>5866894016</v>
      </c>
      <c r="C13" s="3">
        <v>46073</v>
      </c>
      <c r="D13" t="s">
        <v>603</v>
      </c>
      <c r="E13" t="s">
        <v>629</v>
      </c>
    </row>
    <row r="14" spans="1:20" x14ac:dyDescent="0.25">
      <c r="B14" s="2">
        <v>5863659055</v>
      </c>
      <c r="C14" s="3">
        <v>46057</v>
      </c>
      <c r="D14" t="s">
        <v>604</v>
      </c>
      <c r="E14" t="s">
        <v>629</v>
      </c>
      <c r="F14" s="75"/>
    </row>
    <row r="15" spans="1:20" x14ac:dyDescent="0.25">
      <c r="B15" s="2">
        <v>5863000094</v>
      </c>
      <c r="C15" s="3">
        <v>46057</v>
      </c>
      <c r="D15" t="s">
        <v>605</v>
      </c>
      <c r="E15" t="s">
        <v>629</v>
      </c>
      <c r="F15" s="6"/>
    </row>
    <row r="16" spans="1:20" x14ac:dyDescent="0.25">
      <c r="B16" s="2">
        <v>5863512038</v>
      </c>
      <c r="C16" s="3">
        <v>46111</v>
      </c>
      <c r="E16" t="s">
        <v>630</v>
      </c>
      <c r="F16" s="75"/>
      <c r="H16" s="74"/>
    </row>
    <row r="17" spans="2:5" x14ac:dyDescent="0.25">
      <c r="B17" s="2">
        <v>5838622038</v>
      </c>
      <c r="C17" s="3">
        <v>46112</v>
      </c>
      <c r="E17" t="s">
        <v>630</v>
      </c>
    </row>
    <row r="18" spans="2:5" x14ac:dyDescent="0.25">
      <c r="B18" s="2">
        <v>5843614038</v>
      </c>
      <c r="C18" s="3">
        <v>46112</v>
      </c>
      <c r="E18" t="s">
        <v>630</v>
      </c>
    </row>
  </sheetData>
  <mergeCells count="1">
    <mergeCell ref="I2:T2"/>
  </mergeCells>
  <phoneticPr fontId="3" type="noConversion"/>
  <conditionalFormatting sqref="B13:B18">
    <cfRule type="duplicateValues" dxfId="13" priority="1"/>
  </conditionalFormatting>
  <conditionalFormatting sqref="I3:T3 F3:F6">
    <cfRule type="beginsWith" dxfId="12" priority="2" operator="beginsWith" text="ETO">
      <formula>LEFT(F3,LEN("ETO"))="ETO"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BA7120-CE57-43B8-9951-318B8C4628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TR DE ATERRAMENTO - 55</vt:lpstr>
      <vt:lpstr>REATOR - BR</vt:lpstr>
      <vt:lpstr>CAPACITOR - 59</vt:lpstr>
      <vt:lpstr>RELIGADOR - 79</vt:lpstr>
      <vt:lpstr>REGULADOR - 58</vt:lpstr>
      <vt:lpstr>REPORT 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Milhomem</dc:creator>
  <cp:lastModifiedBy>Egivaldo Junior Penha Gomes</cp:lastModifiedBy>
  <cp:lastPrinted>2025-02-25T16:50:32Z</cp:lastPrinted>
  <dcterms:created xsi:type="dcterms:W3CDTF">2024-02-28T10:53:52Z</dcterms:created>
  <dcterms:modified xsi:type="dcterms:W3CDTF">2026-09-14T18:16:36Z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
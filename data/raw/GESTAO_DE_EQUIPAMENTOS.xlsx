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EstaPastaDeTrabalho" hidePivotFieldList="1"/>
  <mc:AlternateContent xmlns:mc="http://schemas.openxmlformats.org/markup-compatibility/2006">
    <mc:Choice Requires="x15">
      <x15ac:absPath xmlns:x15ac="http://schemas.microsoft.com/office/spreadsheetml/2010/11/ac" url="https://energisa.sharepoint.com/sites/DCMDETO/Documentos Compartilhados/COEP/Engenharia da Manutenção/EQUIPAMENTOS ESPECIAIS 2026/"/>
    </mc:Choice>
  </mc:AlternateContent>
  <xr:revisionPtr revIDLastSave="825" documentId="11_AD4D361C20488DEA4E38A0A33C5D65765ADEDD92" xr6:coauthVersionLast="47" xr6:coauthVersionMax="47" xr10:uidLastSave="{8D6B626D-05FE-4357-923E-C0221EC423CA}"/>
  <bookViews>
    <workbookView minimized="1" xWindow="2865" yWindow="2190" windowWidth="15375" windowHeight="7785" firstSheet="9" activeTab="10" xr2:uid="{00000000-000D-0000-FFFF-FFFF00000000}"/>
  </bookViews>
  <sheets>
    <sheet name="1007ALLan" sheetId="11" r:id="rId1"/>
    <sheet name="BASE SS_OS" sheetId="2" state="hidden" r:id="rId2"/>
    <sheet name="Plan1" sheetId="1" r:id="rId3"/>
    <sheet name="Detalhes1" sheetId="12" r:id="rId4"/>
    <sheet name="Dados Apresentação" sheetId="5" r:id="rId5"/>
    <sheet name="Planilha3" sheetId="8" r:id="rId6"/>
    <sheet name="Planilha1" sheetId="3" r:id="rId7"/>
    <sheet name="Custos" sheetId="4" r:id="rId8"/>
    <sheet name="Check" sheetId="6" r:id="rId9"/>
    <sheet name="Ajustes RL Poste" sheetId="15" r:id="rId10"/>
    <sheet name="Ajustes Reguladores de Tensão" sheetId="16" r:id="rId11"/>
  </sheets>
  <externalReferences>
    <externalReference r:id="rId12"/>
    <externalReference r:id="rId13"/>
    <externalReference r:id="rId14"/>
    <externalReference r:id="rId15"/>
  </externalReferences>
  <definedNames>
    <definedName name="_xlnm._FilterDatabase" localSheetId="10" hidden="1">'Ajustes Reguladores de Tensão'!$A$1:$O$426</definedName>
    <definedName name="_xlnm._FilterDatabase" localSheetId="9" hidden="1">'Ajustes RL Poste'!$A$1:$N$1307</definedName>
    <definedName name="_xlnm._FilterDatabase" localSheetId="6" hidden="1">Planilha1!$A$1:$N$66</definedName>
    <definedName name="_xlcn.WorksheetConnection_Planilha1A1L661" hidden="1">Planilha1!$A$1:$M$66</definedName>
    <definedName name="DadosExternos_1" localSheetId="1" hidden="1">'BASE SS_OS'!$A$1:$AB$79</definedName>
    <definedName name="embs4" localSheetId="10">'Ajustes Reguladores de Tensão'!$L$140</definedName>
    <definedName name="embs4">'Ajustes Reguladores de Tensão'!$L$63</definedName>
    <definedName name="Z_9E6A761F_9225_47A0_8E80_273ADB9EE1D1_.wvu.FilterData" localSheetId="10" hidden="1">'Ajustes Reguladores de Tensão'!$A$1:$M$108</definedName>
    <definedName name="Z_B8C8E95B_0A65_46EC_8856_9DECBA6CCEDE_.wvu.FilterData" localSheetId="10" hidden="1">'Ajustes Reguladores de Tensão'!$A$1:$M$108</definedName>
  </definedNames>
  <calcPr calcId="191028"/>
  <pivotCaches>
    <pivotCache cacheId="56" r:id="rId16"/>
    <pivotCache cacheId="57" r:id="rId17"/>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ntervalo" name="Intervalo" connection="WorksheetConnection_Planilha1!$A$1:$L$66"/>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3" l="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2" i="3"/>
  <c r="B2" i="16" l="1"/>
  <c r="N2" i="16"/>
  <c r="O2" i="16"/>
  <c r="B3" i="16"/>
  <c r="I3" i="16"/>
  <c r="N3" i="16"/>
  <c r="O3" i="16"/>
  <c r="B4" i="16"/>
  <c r="I4" i="16"/>
  <c r="N4" i="16"/>
  <c r="O4" i="16"/>
  <c r="B5" i="16"/>
  <c r="I5" i="16"/>
  <c r="N5" i="16"/>
  <c r="O5" i="16"/>
  <c r="B6" i="16"/>
  <c r="I6" i="16"/>
  <c r="N6" i="16"/>
  <c r="O6" i="16"/>
  <c r="B7" i="16"/>
  <c r="I7" i="16"/>
  <c r="N7" i="16"/>
  <c r="O7" i="16"/>
  <c r="B8" i="16"/>
  <c r="I8" i="16"/>
  <c r="N8" i="16"/>
  <c r="O8" i="16"/>
  <c r="B9" i="16"/>
  <c r="I9" i="16"/>
  <c r="N9" i="16"/>
  <c r="O9" i="16"/>
  <c r="B10" i="16"/>
  <c r="I10" i="16"/>
  <c r="N10" i="16"/>
  <c r="O10" i="16"/>
  <c r="B11" i="16"/>
  <c r="I11" i="16"/>
  <c r="N11" i="16"/>
  <c r="O11" i="16"/>
  <c r="B12" i="16"/>
  <c r="I12" i="16"/>
  <c r="N12" i="16"/>
  <c r="O12" i="16"/>
  <c r="B13" i="16"/>
  <c r="I13" i="16"/>
  <c r="N13" i="16"/>
  <c r="O13" i="16"/>
  <c r="B14" i="16"/>
  <c r="I14" i="16"/>
  <c r="N14" i="16"/>
  <c r="O14" i="16"/>
  <c r="B15" i="16"/>
  <c r="I15" i="16"/>
  <c r="N15" i="16"/>
  <c r="O15" i="16"/>
  <c r="B16" i="16"/>
  <c r="I16" i="16"/>
  <c r="N16" i="16"/>
  <c r="O16" i="16"/>
  <c r="B17" i="16"/>
  <c r="I17" i="16"/>
  <c r="N17" i="16"/>
  <c r="O17" i="16"/>
  <c r="B18" i="16"/>
  <c r="I18" i="16"/>
  <c r="N18" i="16"/>
  <c r="O18" i="16"/>
  <c r="B19" i="16"/>
  <c r="I19" i="16"/>
  <c r="N19" i="16"/>
  <c r="O19" i="16"/>
  <c r="B20" i="16"/>
  <c r="I20" i="16"/>
  <c r="N20" i="16"/>
  <c r="O20" i="16"/>
  <c r="B21" i="16"/>
  <c r="I21" i="16"/>
  <c r="N21" i="16"/>
  <c r="O21" i="16"/>
  <c r="B22" i="16"/>
  <c r="I22" i="16"/>
  <c r="N22" i="16"/>
  <c r="O22" i="16"/>
  <c r="B23" i="16"/>
  <c r="I23" i="16"/>
  <c r="N23" i="16"/>
  <c r="O23" i="16"/>
  <c r="B24" i="16"/>
  <c r="I24" i="16"/>
  <c r="N24" i="16"/>
  <c r="O24" i="16"/>
  <c r="B25" i="16"/>
  <c r="I25" i="16"/>
  <c r="N25" i="16"/>
  <c r="O25" i="16"/>
  <c r="B26" i="16"/>
  <c r="I26" i="16"/>
  <c r="N26" i="16"/>
  <c r="O26" i="16"/>
  <c r="B27" i="16"/>
  <c r="I27" i="16"/>
  <c r="N27" i="16"/>
  <c r="O27" i="16"/>
  <c r="B28" i="16"/>
  <c r="I28" i="16"/>
  <c r="N28" i="16"/>
  <c r="O28" i="16"/>
  <c r="B29" i="16"/>
  <c r="I29" i="16"/>
  <c r="N29" i="16"/>
  <c r="O29" i="16"/>
  <c r="B30" i="16"/>
  <c r="I30" i="16"/>
  <c r="N30" i="16"/>
  <c r="O30" i="16"/>
  <c r="B31" i="16"/>
  <c r="I31" i="16"/>
  <c r="N31" i="16"/>
  <c r="O31" i="16"/>
  <c r="B32" i="16"/>
  <c r="I32" i="16"/>
  <c r="N32" i="16"/>
  <c r="O32" i="16"/>
  <c r="B33" i="16"/>
  <c r="I33" i="16"/>
  <c r="N33" i="16"/>
  <c r="O33" i="16"/>
  <c r="B34" i="16"/>
  <c r="I34" i="16"/>
  <c r="N34" i="16"/>
  <c r="O34" i="16"/>
  <c r="B35" i="16"/>
  <c r="I35" i="16"/>
  <c r="N35" i="16"/>
  <c r="O35" i="16"/>
  <c r="B36" i="16"/>
  <c r="I36" i="16"/>
  <c r="O36" i="16"/>
  <c r="B37" i="16"/>
  <c r="I37" i="16"/>
  <c r="N37" i="16"/>
  <c r="O37" i="16"/>
  <c r="B38" i="16"/>
  <c r="I38" i="16"/>
  <c r="N38" i="16"/>
  <c r="O38" i="16"/>
  <c r="B39" i="16"/>
  <c r="I39" i="16"/>
  <c r="N39" i="16"/>
  <c r="O39" i="16"/>
  <c r="B40" i="16"/>
  <c r="I40" i="16"/>
  <c r="N40" i="16"/>
  <c r="O40" i="16"/>
  <c r="B41" i="16"/>
  <c r="I41" i="16"/>
  <c r="N41" i="16"/>
  <c r="O41" i="16"/>
  <c r="B42" i="16"/>
  <c r="I42" i="16"/>
  <c r="N42" i="16"/>
  <c r="O42" i="16"/>
  <c r="B43" i="16"/>
  <c r="I43" i="16"/>
  <c r="N43" i="16"/>
  <c r="O43" i="16"/>
  <c r="B44" i="16"/>
  <c r="I44" i="16"/>
  <c r="N44" i="16"/>
  <c r="O44" i="16"/>
  <c r="B45" i="16"/>
  <c r="I45" i="16"/>
  <c r="N45" i="16"/>
  <c r="O45" i="16"/>
  <c r="B46" i="16"/>
  <c r="I46" i="16"/>
  <c r="N46" i="16"/>
  <c r="O46" i="16"/>
  <c r="B47" i="16"/>
  <c r="I47" i="16"/>
  <c r="N47" i="16"/>
  <c r="O47" i="16"/>
  <c r="B48" i="16"/>
  <c r="I48" i="16"/>
  <c r="N48" i="16"/>
  <c r="O48" i="16"/>
  <c r="B49" i="16"/>
  <c r="I49" i="16"/>
  <c r="N49" i="16"/>
  <c r="O49" i="16"/>
  <c r="B50" i="16"/>
  <c r="I50" i="16"/>
  <c r="N50" i="16"/>
  <c r="O50" i="16"/>
  <c r="B51" i="16"/>
  <c r="I51" i="16"/>
  <c r="N51" i="16"/>
  <c r="O51" i="16"/>
  <c r="B52" i="16"/>
  <c r="I52" i="16"/>
  <c r="N52" i="16"/>
  <c r="O52" i="16"/>
  <c r="B53" i="16"/>
  <c r="I53" i="16"/>
  <c r="N53" i="16"/>
  <c r="O53" i="16"/>
  <c r="B54" i="16"/>
  <c r="I54" i="16"/>
  <c r="N54" i="16"/>
  <c r="O54" i="16"/>
  <c r="B55" i="16"/>
  <c r="I55" i="16"/>
  <c r="N55" i="16"/>
  <c r="O55" i="16"/>
  <c r="B56" i="16"/>
  <c r="I56" i="16"/>
  <c r="N56" i="16"/>
  <c r="O56" i="16"/>
  <c r="B57" i="16"/>
  <c r="I57" i="16"/>
  <c r="N57" i="16"/>
  <c r="O57" i="16"/>
  <c r="B58" i="16"/>
  <c r="I58" i="16"/>
  <c r="N58" i="16"/>
  <c r="O58" i="16"/>
  <c r="B59" i="16"/>
  <c r="I59" i="16"/>
  <c r="N59" i="16"/>
  <c r="O59" i="16"/>
  <c r="B60" i="16"/>
  <c r="I60" i="16"/>
  <c r="N60" i="16"/>
  <c r="O60" i="16"/>
  <c r="B61" i="16"/>
  <c r="I61" i="16"/>
  <c r="N61" i="16"/>
  <c r="O61" i="16"/>
  <c r="B62" i="16"/>
  <c r="I62" i="16"/>
  <c r="N62" i="16"/>
  <c r="O62" i="16"/>
  <c r="B63" i="16"/>
  <c r="I63" i="16"/>
  <c r="N63" i="16"/>
  <c r="O63" i="16"/>
  <c r="B64" i="16"/>
  <c r="I64" i="16"/>
  <c r="N64" i="16"/>
  <c r="O64" i="16"/>
  <c r="B65" i="16"/>
  <c r="I65" i="16"/>
  <c r="N65" i="16"/>
  <c r="O65" i="16"/>
  <c r="B66" i="16"/>
  <c r="I66" i="16"/>
  <c r="N66" i="16"/>
  <c r="O66" i="16"/>
  <c r="B67" i="16"/>
  <c r="I67" i="16"/>
  <c r="N67" i="16"/>
  <c r="O67" i="16"/>
  <c r="B68" i="16"/>
  <c r="I68" i="16"/>
  <c r="N68" i="16"/>
  <c r="O68" i="16"/>
  <c r="B69" i="16"/>
  <c r="I69" i="16"/>
  <c r="N69" i="16"/>
  <c r="O69" i="16"/>
  <c r="B70" i="16"/>
  <c r="I70" i="16"/>
  <c r="N70" i="16"/>
  <c r="O70" i="16"/>
  <c r="B71" i="16"/>
  <c r="I71" i="16"/>
  <c r="N71" i="16"/>
  <c r="O71" i="16"/>
  <c r="B72" i="16"/>
  <c r="I72" i="16"/>
  <c r="N72" i="16"/>
  <c r="O72" i="16"/>
  <c r="B73" i="16"/>
  <c r="I73" i="16"/>
  <c r="N73" i="16"/>
  <c r="O73" i="16"/>
  <c r="B74" i="16"/>
  <c r="I74" i="16"/>
  <c r="N74" i="16"/>
  <c r="O74" i="16"/>
  <c r="B75" i="16"/>
  <c r="I75" i="16"/>
  <c r="N75" i="16"/>
  <c r="O75" i="16"/>
  <c r="B76" i="16"/>
  <c r="I76" i="16"/>
  <c r="N76" i="16"/>
  <c r="O76" i="16"/>
  <c r="B77" i="16"/>
  <c r="I77" i="16"/>
  <c r="N77" i="16"/>
  <c r="O77" i="16"/>
  <c r="B78" i="16"/>
  <c r="I78" i="16"/>
  <c r="N78" i="16"/>
  <c r="O78" i="16"/>
  <c r="B79" i="16"/>
  <c r="I79" i="16"/>
  <c r="N79" i="16"/>
  <c r="O79" i="16"/>
  <c r="B80" i="16"/>
  <c r="I80" i="16"/>
  <c r="N80" i="16"/>
  <c r="O80" i="16"/>
  <c r="B81" i="16"/>
  <c r="I81" i="16"/>
  <c r="N81" i="16"/>
  <c r="O81" i="16"/>
  <c r="B82" i="16"/>
  <c r="I82" i="16"/>
  <c r="N82" i="16"/>
  <c r="O82" i="16"/>
  <c r="B83" i="16"/>
  <c r="I83" i="16"/>
  <c r="N83" i="16"/>
  <c r="O83" i="16"/>
  <c r="B84" i="16"/>
  <c r="I84" i="16"/>
  <c r="N84" i="16"/>
  <c r="O84" i="16"/>
  <c r="B85" i="16"/>
  <c r="I85" i="16"/>
  <c r="N85" i="16"/>
  <c r="O85" i="16"/>
  <c r="B86" i="16"/>
  <c r="I86" i="16"/>
  <c r="N86" i="16"/>
  <c r="O86" i="16"/>
  <c r="B87" i="16"/>
  <c r="I87" i="16"/>
  <c r="N87" i="16"/>
  <c r="O87" i="16"/>
  <c r="B88" i="16"/>
  <c r="I88" i="16"/>
  <c r="N88" i="16"/>
  <c r="O88" i="16"/>
  <c r="B89" i="16"/>
  <c r="I89" i="16"/>
  <c r="N89" i="16"/>
  <c r="O89" i="16"/>
  <c r="B90" i="16"/>
  <c r="I90" i="16"/>
  <c r="N90" i="16"/>
  <c r="O90" i="16"/>
  <c r="B91" i="16"/>
  <c r="I91" i="16"/>
  <c r="N91" i="16"/>
  <c r="O91" i="16"/>
  <c r="B92" i="16"/>
  <c r="I92" i="16"/>
  <c r="N92" i="16"/>
  <c r="O92" i="16"/>
  <c r="B93" i="16"/>
  <c r="I93" i="16"/>
  <c r="N93" i="16"/>
  <c r="O93" i="16"/>
  <c r="B94" i="16"/>
  <c r="I94" i="16"/>
  <c r="N94" i="16"/>
  <c r="O94" i="16"/>
  <c r="B95" i="16"/>
  <c r="I95" i="16"/>
  <c r="N95" i="16"/>
  <c r="O95" i="16"/>
  <c r="B96" i="16"/>
  <c r="I96" i="16"/>
  <c r="N96" i="16"/>
  <c r="O96" i="16"/>
  <c r="B97" i="16"/>
  <c r="I97" i="16"/>
  <c r="N97" i="16"/>
  <c r="O97" i="16"/>
  <c r="B98" i="16"/>
  <c r="I98" i="16"/>
  <c r="N98" i="16"/>
  <c r="O98" i="16"/>
  <c r="B99" i="16"/>
  <c r="I99" i="16"/>
  <c r="N99" i="16"/>
  <c r="O99" i="16"/>
  <c r="B100" i="16"/>
  <c r="I100" i="16"/>
  <c r="N100" i="16"/>
  <c r="O100" i="16"/>
  <c r="B101" i="16"/>
  <c r="I101" i="16"/>
  <c r="N101" i="16"/>
  <c r="O101" i="16"/>
  <c r="B102" i="16"/>
  <c r="I102" i="16"/>
  <c r="N102" i="16"/>
  <c r="O102" i="16"/>
  <c r="B103" i="16"/>
  <c r="I103" i="16"/>
  <c r="N103" i="16"/>
  <c r="O103" i="16"/>
  <c r="B104" i="16"/>
  <c r="I104" i="16"/>
  <c r="N104" i="16"/>
  <c r="O104" i="16"/>
  <c r="B105" i="16"/>
  <c r="I105" i="16"/>
  <c r="N105" i="16"/>
  <c r="O105" i="16"/>
  <c r="B106" i="16"/>
  <c r="I106" i="16"/>
  <c r="N106" i="16"/>
  <c r="O106" i="16"/>
  <c r="B107" i="16"/>
  <c r="I107" i="16"/>
  <c r="N107" i="16"/>
  <c r="O107" i="16"/>
  <c r="B108" i="16"/>
  <c r="I108" i="16"/>
  <c r="N108" i="16"/>
  <c r="O108" i="16"/>
  <c r="B109" i="16"/>
  <c r="I109" i="16"/>
  <c r="N109" i="16"/>
  <c r="O109" i="16"/>
  <c r="B110" i="16"/>
  <c r="I110" i="16"/>
  <c r="N110" i="16"/>
  <c r="O110" i="16"/>
  <c r="B111" i="16"/>
  <c r="I111" i="16"/>
  <c r="N111" i="16"/>
  <c r="O111" i="16"/>
  <c r="B112" i="16"/>
  <c r="I112" i="16"/>
  <c r="N112" i="16"/>
  <c r="O112" i="16"/>
  <c r="B113" i="16"/>
  <c r="I113" i="16"/>
  <c r="N113" i="16"/>
  <c r="O113" i="16"/>
  <c r="B114" i="16"/>
  <c r="I114" i="16"/>
  <c r="N114" i="16"/>
  <c r="O114" i="16"/>
  <c r="B115" i="16"/>
  <c r="I115" i="16"/>
  <c r="N115" i="16"/>
  <c r="O115" i="16"/>
  <c r="B116" i="16"/>
  <c r="I116" i="16"/>
  <c r="N116" i="16"/>
  <c r="O116" i="16"/>
  <c r="B117" i="16"/>
  <c r="I117" i="16"/>
  <c r="N117" i="16"/>
  <c r="O117" i="16"/>
  <c r="B118" i="16"/>
  <c r="I118" i="16"/>
  <c r="N118" i="16"/>
  <c r="O118" i="16"/>
  <c r="B119" i="16"/>
  <c r="I119" i="16"/>
  <c r="N119" i="16"/>
  <c r="O119" i="16"/>
  <c r="B120" i="16"/>
  <c r="I120" i="16"/>
  <c r="N120" i="16"/>
  <c r="O120" i="16"/>
  <c r="B121" i="16"/>
  <c r="I121" i="16"/>
  <c r="N121" i="16"/>
  <c r="O121" i="16"/>
  <c r="B122" i="16"/>
  <c r="I122" i="16"/>
  <c r="N122" i="16"/>
  <c r="O122" i="16"/>
  <c r="B123" i="16"/>
  <c r="I123" i="16"/>
  <c r="N123" i="16"/>
  <c r="O123" i="16"/>
  <c r="B124" i="16"/>
  <c r="I124" i="16"/>
  <c r="N124" i="16"/>
  <c r="O124" i="16"/>
  <c r="B125" i="16"/>
  <c r="I125" i="16"/>
  <c r="N125" i="16"/>
  <c r="O125" i="16"/>
  <c r="B126" i="16"/>
  <c r="I126" i="16"/>
  <c r="N126" i="16"/>
  <c r="O126" i="16"/>
  <c r="B127" i="16"/>
  <c r="I127" i="16"/>
  <c r="N127" i="16"/>
  <c r="O127" i="16"/>
  <c r="B128" i="16"/>
  <c r="I128" i="16"/>
  <c r="N128" i="16"/>
  <c r="O128" i="16"/>
  <c r="B129" i="16"/>
  <c r="I129" i="16"/>
  <c r="N129" i="16"/>
  <c r="O129" i="16"/>
  <c r="B130" i="16"/>
  <c r="I130" i="16"/>
  <c r="N130" i="16"/>
  <c r="O130" i="16"/>
  <c r="B131" i="16"/>
  <c r="I131" i="16"/>
  <c r="N131" i="16"/>
  <c r="O131" i="16"/>
  <c r="B132" i="16"/>
  <c r="I132" i="16"/>
  <c r="N132" i="16"/>
  <c r="O132" i="16"/>
  <c r="B133" i="16"/>
  <c r="I133" i="16"/>
  <c r="N133" i="16"/>
  <c r="O133" i="16"/>
  <c r="B134" i="16"/>
  <c r="I134" i="16"/>
  <c r="N134" i="16"/>
  <c r="O134" i="16"/>
  <c r="B135" i="16"/>
  <c r="I135" i="16"/>
  <c r="N135" i="16"/>
  <c r="O135" i="16"/>
  <c r="B136" i="16"/>
  <c r="I136" i="16"/>
  <c r="N136" i="16"/>
  <c r="O136" i="16"/>
  <c r="B137" i="16"/>
  <c r="I137" i="16"/>
  <c r="N137" i="16"/>
  <c r="O137" i="16"/>
  <c r="B138" i="16"/>
  <c r="I138" i="16"/>
  <c r="N138" i="16"/>
  <c r="O138" i="16"/>
  <c r="B139" i="16"/>
  <c r="I139" i="16"/>
  <c r="N139" i="16"/>
  <c r="O139" i="16"/>
  <c r="B140" i="16"/>
  <c r="I140" i="16"/>
  <c r="N140" i="16"/>
  <c r="O140" i="16"/>
  <c r="B141" i="16"/>
  <c r="I141" i="16"/>
  <c r="N141" i="16"/>
  <c r="O141" i="16"/>
  <c r="B142" i="16"/>
  <c r="I142" i="16"/>
  <c r="N142" i="16"/>
  <c r="O142" i="16"/>
  <c r="B143" i="16"/>
  <c r="I143" i="16"/>
  <c r="N143" i="16"/>
  <c r="O143" i="16"/>
  <c r="B144" i="16"/>
  <c r="I144" i="16"/>
  <c r="N144" i="16"/>
  <c r="O144" i="16"/>
  <c r="B145" i="16"/>
  <c r="I145" i="16"/>
  <c r="N145" i="16"/>
  <c r="O145" i="16"/>
  <c r="B146" i="16"/>
  <c r="I146" i="16"/>
  <c r="N146" i="16"/>
  <c r="O146" i="16"/>
  <c r="B147" i="16"/>
  <c r="I147" i="16"/>
  <c r="N147" i="16"/>
  <c r="O147" i="16"/>
  <c r="B148" i="16"/>
  <c r="I148" i="16"/>
  <c r="N148" i="16"/>
  <c r="O148" i="16"/>
  <c r="B149" i="16"/>
  <c r="I149" i="16"/>
  <c r="N149" i="16"/>
  <c r="O149" i="16"/>
  <c r="B150" i="16"/>
  <c r="I150" i="16"/>
  <c r="N150" i="16"/>
  <c r="O150" i="16"/>
  <c r="B151" i="16"/>
  <c r="I151" i="16"/>
  <c r="N151" i="16"/>
  <c r="O151" i="16"/>
  <c r="B152" i="16"/>
  <c r="I152" i="16"/>
  <c r="N152" i="16"/>
  <c r="O152" i="16"/>
  <c r="B153" i="16"/>
  <c r="I153" i="16"/>
  <c r="N153" i="16"/>
  <c r="O153" i="16"/>
  <c r="B154" i="16"/>
  <c r="I154" i="16"/>
  <c r="N154" i="16"/>
  <c r="O154" i="16"/>
  <c r="B155" i="16"/>
  <c r="I155" i="16"/>
  <c r="N155" i="16"/>
  <c r="O155" i="16"/>
  <c r="B156" i="16"/>
  <c r="I156" i="16"/>
  <c r="N156" i="16"/>
  <c r="O156" i="16"/>
  <c r="B157" i="16"/>
  <c r="I157" i="16"/>
  <c r="N157" i="16"/>
  <c r="O157" i="16"/>
  <c r="B158" i="16"/>
  <c r="I158" i="16"/>
  <c r="N158" i="16"/>
  <c r="O158" i="16"/>
  <c r="B159" i="16"/>
  <c r="I159" i="16"/>
  <c r="N159" i="16"/>
  <c r="O159" i="16"/>
  <c r="B160" i="16"/>
  <c r="I160" i="16"/>
  <c r="N160" i="16"/>
  <c r="O160" i="16"/>
  <c r="B161" i="16"/>
  <c r="I161" i="16"/>
  <c r="N161" i="16"/>
  <c r="O161" i="16"/>
  <c r="B162" i="16"/>
  <c r="I162" i="16"/>
  <c r="N162" i="16"/>
  <c r="O162" i="16"/>
  <c r="B163" i="16"/>
  <c r="I163" i="16"/>
  <c r="N163" i="16"/>
  <c r="O163" i="16"/>
  <c r="B164" i="16"/>
  <c r="I164" i="16"/>
  <c r="N164" i="16"/>
  <c r="O164" i="16"/>
  <c r="B165" i="16"/>
  <c r="I165" i="16"/>
  <c r="N165" i="16"/>
  <c r="O165" i="16"/>
  <c r="B166" i="16"/>
  <c r="I166" i="16"/>
  <c r="N166" i="16"/>
  <c r="O166" i="16"/>
  <c r="B167" i="16"/>
  <c r="I167" i="16"/>
  <c r="N167" i="16"/>
  <c r="O167" i="16"/>
  <c r="B168" i="16"/>
  <c r="I168" i="16"/>
  <c r="N168" i="16"/>
  <c r="O168" i="16"/>
  <c r="B169" i="16"/>
  <c r="I169" i="16"/>
  <c r="N169" i="16"/>
  <c r="O169" i="16"/>
  <c r="B170" i="16"/>
  <c r="I170" i="16"/>
  <c r="N170" i="16"/>
  <c r="O170" i="16"/>
  <c r="B171" i="16"/>
  <c r="I171" i="16"/>
  <c r="N171" i="16"/>
  <c r="O171" i="16"/>
  <c r="B172" i="16"/>
  <c r="I172" i="16"/>
  <c r="N172" i="16"/>
  <c r="O172" i="16"/>
  <c r="B173" i="16"/>
  <c r="I173" i="16"/>
  <c r="N173" i="16"/>
  <c r="O173" i="16"/>
  <c r="B174" i="16"/>
  <c r="I174" i="16"/>
  <c r="N174" i="16"/>
  <c r="O174" i="16"/>
  <c r="B175" i="16"/>
  <c r="I175" i="16"/>
  <c r="N175" i="16"/>
  <c r="O175" i="16"/>
  <c r="B176" i="16"/>
  <c r="I176" i="16"/>
  <c r="N176" i="16"/>
  <c r="O176" i="16"/>
  <c r="B177" i="16"/>
  <c r="I177" i="16"/>
  <c r="N177" i="16"/>
  <c r="O177" i="16"/>
  <c r="B178" i="16"/>
  <c r="I178" i="16"/>
  <c r="B179" i="16"/>
  <c r="I179" i="16"/>
  <c r="N179" i="16"/>
  <c r="O179" i="16"/>
  <c r="B180" i="16"/>
  <c r="I180" i="16"/>
  <c r="N180" i="16"/>
  <c r="O180" i="16"/>
  <c r="B181" i="16"/>
  <c r="I181" i="16"/>
  <c r="N181" i="16"/>
  <c r="O181" i="16"/>
  <c r="B182" i="16"/>
  <c r="I182" i="16"/>
  <c r="N182" i="16"/>
  <c r="O182" i="16"/>
  <c r="B183" i="16"/>
  <c r="I183" i="16"/>
  <c r="N183" i="16"/>
  <c r="O183" i="16"/>
  <c r="B184" i="16"/>
  <c r="I184" i="16"/>
  <c r="N184" i="16"/>
  <c r="O184" i="16"/>
  <c r="B185" i="16"/>
  <c r="I185" i="16"/>
  <c r="N185" i="16"/>
  <c r="O185" i="16"/>
  <c r="B186" i="16"/>
  <c r="I186" i="16"/>
  <c r="N186" i="16"/>
  <c r="O186" i="16"/>
  <c r="B187" i="16"/>
  <c r="I187" i="16"/>
  <c r="N187" i="16"/>
  <c r="O187" i="16"/>
  <c r="B188" i="16"/>
  <c r="I188" i="16"/>
  <c r="N188" i="16"/>
  <c r="O188" i="16"/>
  <c r="B189" i="16"/>
  <c r="I189" i="16"/>
  <c r="N189" i="16"/>
  <c r="O189" i="16"/>
  <c r="B190" i="16"/>
  <c r="I190" i="16"/>
  <c r="N190" i="16"/>
  <c r="O190" i="16"/>
  <c r="B191" i="16"/>
  <c r="I191" i="16"/>
  <c r="N191" i="16"/>
  <c r="O191" i="16"/>
  <c r="I192" i="16"/>
  <c r="N192" i="16"/>
  <c r="O192" i="16"/>
  <c r="I193" i="16"/>
  <c r="N193" i="16"/>
  <c r="O193" i="16"/>
  <c r="I194" i="16"/>
  <c r="N194" i="16"/>
  <c r="O194" i="16"/>
  <c r="I195" i="16"/>
  <c r="N195" i="16"/>
  <c r="O195" i="16"/>
  <c r="I196" i="16"/>
  <c r="N196" i="16"/>
  <c r="O196" i="16"/>
  <c r="I197" i="16"/>
  <c r="N197" i="16"/>
  <c r="O197" i="16"/>
  <c r="I198" i="16"/>
  <c r="N198" i="16"/>
  <c r="O198" i="16"/>
  <c r="I199" i="16"/>
  <c r="N199" i="16"/>
  <c r="O199" i="16"/>
  <c r="I200" i="16"/>
  <c r="N200" i="16"/>
  <c r="O200" i="16"/>
  <c r="I201" i="16"/>
  <c r="N201" i="16"/>
  <c r="O201" i="16"/>
  <c r="I202" i="16"/>
  <c r="N202" i="16"/>
  <c r="O202" i="16"/>
  <c r="I203" i="16"/>
  <c r="N203" i="16"/>
  <c r="O203" i="16"/>
  <c r="I204" i="16"/>
  <c r="N204" i="16"/>
  <c r="O204" i="16"/>
  <c r="I205" i="16"/>
  <c r="N205" i="16"/>
  <c r="O205" i="16"/>
  <c r="I206" i="16"/>
  <c r="N206" i="16"/>
  <c r="O206" i="16"/>
  <c r="I207" i="16"/>
  <c r="N207" i="16"/>
  <c r="O207" i="16"/>
  <c r="I208" i="16"/>
  <c r="N208" i="16"/>
  <c r="O208" i="16"/>
  <c r="I209" i="16"/>
  <c r="N209" i="16"/>
  <c r="O209" i="16"/>
  <c r="I210" i="16"/>
  <c r="N210" i="16"/>
  <c r="O210" i="16"/>
  <c r="I211" i="16"/>
  <c r="N211" i="16"/>
  <c r="O211" i="16"/>
  <c r="I212" i="16"/>
  <c r="N212" i="16"/>
  <c r="O212" i="16"/>
  <c r="I213" i="16"/>
  <c r="N213" i="16"/>
  <c r="O213" i="16"/>
  <c r="I214" i="16"/>
  <c r="N214" i="16"/>
  <c r="O214" i="16"/>
  <c r="I215" i="16"/>
  <c r="N215" i="16"/>
  <c r="O215" i="16"/>
  <c r="I216" i="16"/>
  <c r="N216" i="16"/>
  <c r="O216" i="16"/>
  <c r="I217" i="16"/>
  <c r="N217" i="16"/>
  <c r="O217" i="16"/>
  <c r="I218" i="16"/>
  <c r="N218" i="16"/>
  <c r="O218" i="16"/>
  <c r="I219" i="16"/>
  <c r="N219" i="16"/>
  <c r="O219" i="16"/>
  <c r="I220" i="16"/>
  <c r="N220" i="16"/>
  <c r="O220" i="16"/>
  <c r="I221" i="16"/>
  <c r="N221" i="16"/>
  <c r="O221" i="16"/>
  <c r="I222" i="16"/>
  <c r="N222" i="16"/>
  <c r="O222" i="16"/>
  <c r="I223" i="16"/>
  <c r="N223" i="16"/>
  <c r="O223" i="16"/>
  <c r="I224" i="16"/>
  <c r="N224" i="16"/>
  <c r="O224" i="16"/>
  <c r="I225" i="16"/>
  <c r="N225" i="16"/>
  <c r="O225" i="16"/>
  <c r="I226" i="16"/>
  <c r="N226" i="16"/>
  <c r="O226" i="16"/>
  <c r="I227" i="16"/>
  <c r="N227" i="16"/>
  <c r="O227" i="16"/>
  <c r="I228" i="16"/>
  <c r="N228" i="16"/>
  <c r="O228" i="16"/>
  <c r="I229" i="16"/>
  <c r="N229" i="16"/>
  <c r="O229" i="16"/>
  <c r="I230" i="16"/>
  <c r="N230" i="16"/>
  <c r="O230" i="16"/>
  <c r="I231" i="16"/>
  <c r="N231" i="16"/>
  <c r="O231" i="16"/>
  <c r="I232" i="16"/>
  <c r="N232" i="16"/>
  <c r="O232" i="16"/>
  <c r="I233" i="16"/>
  <c r="N233" i="16"/>
  <c r="O233" i="16"/>
  <c r="I234" i="16"/>
  <c r="N234" i="16"/>
  <c r="O234" i="16"/>
  <c r="I235" i="16"/>
  <c r="N235" i="16"/>
  <c r="O235" i="16"/>
  <c r="I236" i="16"/>
  <c r="N236" i="16"/>
  <c r="O236" i="16"/>
  <c r="I237" i="16"/>
  <c r="N237" i="16"/>
  <c r="O237" i="16"/>
  <c r="I238" i="16"/>
  <c r="N238" i="16"/>
  <c r="O238" i="16"/>
  <c r="I239" i="16"/>
  <c r="N239" i="16"/>
  <c r="O239" i="16"/>
  <c r="I240" i="16"/>
  <c r="N240" i="16"/>
  <c r="O240" i="16"/>
  <c r="I241" i="16"/>
  <c r="N241" i="16"/>
  <c r="O241" i="16"/>
  <c r="I242" i="16"/>
  <c r="N242" i="16"/>
  <c r="O242" i="16"/>
  <c r="I243" i="16"/>
  <c r="N243" i="16"/>
  <c r="O243" i="16"/>
  <c r="I244" i="16"/>
  <c r="N244" i="16"/>
  <c r="O244" i="16"/>
  <c r="I245" i="16"/>
  <c r="N245" i="16"/>
  <c r="O245" i="16"/>
  <c r="I246" i="16"/>
  <c r="N246" i="16"/>
  <c r="O246" i="16"/>
  <c r="I247" i="16"/>
  <c r="N247" i="16"/>
  <c r="O247" i="16"/>
  <c r="I248" i="16"/>
  <c r="N248" i="16"/>
  <c r="O248" i="16"/>
  <c r="I249" i="16"/>
  <c r="N249" i="16"/>
  <c r="O249" i="16"/>
  <c r="I250" i="16"/>
  <c r="N250" i="16"/>
  <c r="O250" i="16"/>
  <c r="I251" i="16"/>
  <c r="N251" i="16"/>
  <c r="O251" i="16"/>
  <c r="I252" i="16"/>
  <c r="N252" i="16"/>
  <c r="O252" i="16"/>
  <c r="I253" i="16"/>
  <c r="N253" i="16"/>
  <c r="O253" i="16"/>
  <c r="I254" i="16"/>
  <c r="N254" i="16"/>
  <c r="O254" i="16"/>
  <c r="I255" i="16"/>
  <c r="N255" i="16"/>
  <c r="O255" i="16"/>
  <c r="I256" i="16"/>
  <c r="N256" i="16"/>
  <c r="O256" i="16"/>
  <c r="I257" i="16"/>
  <c r="N257" i="16"/>
  <c r="O257" i="16"/>
  <c r="I258" i="16"/>
  <c r="N258" i="16"/>
  <c r="O258" i="16"/>
  <c r="I259" i="16"/>
  <c r="N259" i="16"/>
  <c r="O259" i="16"/>
  <c r="I260" i="16"/>
  <c r="N260" i="16"/>
  <c r="O260" i="16"/>
  <c r="I261" i="16"/>
  <c r="N261" i="16"/>
  <c r="O261" i="16"/>
  <c r="I262" i="16"/>
  <c r="N262" i="16"/>
  <c r="O262" i="16"/>
  <c r="I263" i="16"/>
  <c r="N263" i="16"/>
  <c r="O263" i="16"/>
  <c r="I264" i="16"/>
  <c r="N264" i="16"/>
  <c r="O264" i="16"/>
  <c r="I265" i="16"/>
  <c r="N265" i="16"/>
  <c r="O265" i="16"/>
  <c r="I266" i="16"/>
  <c r="N266" i="16"/>
  <c r="O266" i="16"/>
  <c r="I267" i="16"/>
  <c r="N267" i="16"/>
  <c r="O267" i="16"/>
  <c r="I268" i="16"/>
  <c r="N268" i="16"/>
  <c r="O268" i="16"/>
  <c r="I269" i="16"/>
  <c r="N269" i="16"/>
  <c r="O269" i="16"/>
  <c r="I270" i="16"/>
  <c r="N270" i="16"/>
  <c r="O270" i="16"/>
  <c r="I271" i="16"/>
  <c r="N271" i="16"/>
  <c r="O271" i="16"/>
  <c r="I272" i="16"/>
  <c r="N272" i="16"/>
  <c r="O272" i="16"/>
  <c r="I273" i="16"/>
  <c r="N273" i="16"/>
  <c r="O273" i="16"/>
  <c r="I274" i="16"/>
  <c r="N274" i="16"/>
  <c r="O274" i="16"/>
  <c r="I275" i="16"/>
  <c r="N275" i="16"/>
  <c r="O275" i="16"/>
  <c r="I276" i="16"/>
  <c r="N276" i="16"/>
  <c r="O276" i="16"/>
  <c r="I277" i="16"/>
  <c r="N277" i="16"/>
  <c r="O277" i="16"/>
  <c r="I278" i="16"/>
  <c r="N278" i="16"/>
  <c r="O278" i="16"/>
  <c r="I279" i="16"/>
  <c r="N279" i="16"/>
  <c r="O279" i="16"/>
  <c r="I280" i="16"/>
  <c r="N280" i="16"/>
  <c r="O280" i="16"/>
  <c r="I281" i="16"/>
  <c r="N281" i="16"/>
  <c r="O281" i="16"/>
  <c r="I282" i="16"/>
  <c r="N282" i="16"/>
  <c r="O282" i="16"/>
  <c r="I283" i="16"/>
  <c r="N283" i="16"/>
  <c r="O283" i="16"/>
  <c r="I284" i="16"/>
  <c r="N284" i="16"/>
  <c r="O284" i="16"/>
  <c r="I285" i="16"/>
  <c r="N285" i="16"/>
  <c r="O285" i="16"/>
  <c r="I286" i="16"/>
  <c r="N286" i="16"/>
  <c r="O286" i="16"/>
  <c r="I287" i="16"/>
  <c r="N287" i="16"/>
  <c r="O287" i="16"/>
  <c r="I288" i="16"/>
  <c r="N288" i="16"/>
  <c r="O288" i="16"/>
  <c r="I289" i="16"/>
  <c r="N289" i="16"/>
  <c r="O289" i="16"/>
  <c r="I290" i="16"/>
  <c r="N290" i="16"/>
  <c r="O290" i="16"/>
  <c r="I291" i="16"/>
  <c r="N291" i="16"/>
  <c r="O291" i="16"/>
  <c r="I292" i="16"/>
  <c r="N292" i="16"/>
  <c r="O292" i="16"/>
  <c r="I293" i="16"/>
  <c r="N293" i="16"/>
  <c r="O293" i="16"/>
  <c r="I294" i="16"/>
  <c r="N294" i="16"/>
  <c r="O294" i="16"/>
  <c r="I295" i="16"/>
  <c r="N295" i="16"/>
  <c r="O295" i="16"/>
  <c r="I296" i="16"/>
  <c r="N296" i="16"/>
  <c r="O296" i="16"/>
  <c r="I297" i="16"/>
  <c r="N297" i="16"/>
  <c r="O297" i="16"/>
  <c r="I298" i="16"/>
  <c r="N298" i="16"/>
  <c r="O298" i="16"/>
  <c r="I299" i="16"/>
  <c r="N299" i="16"/>
  <c r="O299" i="16"/>
  <c r="I300" i="16"/>
  <c r="N300" i="16"/>
  <c r="O300" i="16"/>
  <c r="I301" i="16"/>
  <c r="N301" i="16"/>
  <c r="O301" i="16"/>
  <c r="I302" i="16"/>
  <c r="N302" i="16"/>
  <c r="O302" i="16"/>
  <c r="I303" i="16"/>
  <c r="N303" i="16"/>
  <c r="O303" i="16"/>
  <c r="I304" i="16"/>
  <c r="N304" i="16"/>
  <c r="O304" i="16"/>
  <c r="I305" i="16"/>
  <c r="N305" i="16"/>
  <c r="O305" i="16"/>
  <c r="I306" i="16"/>
  <c r="N306" i="16"/>
  <c r="O306" i="16"/>
  <c r="I307" i="16"/>
  <c r="N307" i="16"/>
  <c r="O307" i="16"/>
  <c r="I308" i="16"/>
  <c r="N308" i="16"/>
  <c r="O308" i="16"/>
  <c r="I309" i="16"/>
  <c r="N309" i="16"/>
  <c r="O309" i="16"/>
  <c r="I310" i="16"/>
  <c r="N310" i="16"/>
  <c r="O310" i="16"/>
  <c r="I311" i="16"/>
  <c r="N311" i="16"/>
  <c r="O311" i="16"/>
  <c r="I312" i="16"/>
  <c r="N312" i="16"/>
  <c r="O312" i="16"/>
  <c r="I313" i="16"/>
  <c r="N313" i="16"/>
  <c r="O313" i="16"/>
  <c r="I314" i="16"/>
  <c r="N314" i="16"/>
  <c r="O314" i="16"/>
  <c r="I315" i="16"/>
  <c r="N315" i="16"/>
  <c r="O315" i="16"/>
  <c r="I316" i="16"/>
  <c r="N316" i="16"/>
  <c r="O316" i="16"/>
  <c r="I317" i="16"/>
  <c r="N317" i="16"/>
  <c r="O317" i="16"/>
  <c r="I318" i="16"/>
  <c r="N318" i="16"/>
  <c r="O318" i="16"/>
  <c r="I319" i="16"/>
  <c r="N319" i="16"/>
  <c r="O319" i="16"/>
  <c r="I320" i="16"/>
  <c r="N320" i="16"/>
  <c r="O320" i="16"/>
  <c r="I321" i="16"/>
  <c r="N321" i="16"/>
  <c r="O321" i="16"/>
  <c r="I322" i="16"/>
  <c r="N322" i="16"/>
  <c r="O322" i="16"/>
  <c r="I323" i="16"/>
  <c r="N323" i="16"/>
  <c r="O323" i="16"/>
  <c r="I324" i="16"/>
  <c r="N324" i="16"/>
  <c r="O324" i="16"/>
  <c r="I325" i="16"/>
  <c r="N325" i="16"/>
  <c r="O325" i="16"/>
  <c r="I326" i="16"/>
  <c r="N326" i="16"/>
  <c r="O326" i="16"/>
  <c r="I327" i="16"/>
  <c r="N327" i="16"/>
  <c r="O327" i="16"/>
  <c r="I328" i="16"/>
  <c r="N328" i="16"/>
  <c r="O328" i="16"/>
  <c r="I329" i="16"/>
  <c r="N329" i="16"/>
  <c r="O329" i="16"/>
  <c r="I330" i="16"/>
  <c r="N330" i="16"/>
  <c r="O330" i="16"/>
  <c r="I331" i="16"/>
  <c r="N331" i="16"/>
  <c r="O331" i="16"/>
  <c r="I332" i="16"/>
  <c r="N332" i="16"/>
  <c r="O332" i="16"/>
  <c r="I333" i="16"/>
  <c r="N333" i="16"/>
  <c r="O333" i="16"/>
  <c r="I334" i="16"/>
  <c r="N334" i="16"/>
  <c r="O334" i="16"/>
  <c r="I335" i="16"/>
  <c r="N335" i="16"/>
  <c r="O335" i="16"/>
  <c r="I336" i="16"/>
  <c r="N336" i="16"/>
  <c r="O336" i="16"/>
  <c r="I337" i="16"/>
  <c r="N337" i="16"/>
  <c r="O337" i="16"/>
  <c r="I338" i="16"/>
  <c r="N338" i="16"/>
  <c r="O338" i="16"/>
  <c r="I339" i="16"/>
  <c r="N339" i="16"/>
  <c r="O339" i="16"/>
  <c r="I340" i="16"/>
  <c r="N340" i="16"/>
  <c r="O340" i="16"/>
  <c r="I341" i="16"/>
  <c r="N341" i="16"/>
  <c r="O341" i="16"/>
  <c r="I342" i="16"/>
  <c r="N342" i="16"/>
  <c r="O342" i="16"/>
  <c r="I343" i="16"/>
  <c r="N343" i="16"/>
  <c r="O343" i="16"/>
  <c r="I344" i="16"/>
  <c r="N344" i="16"/>
  <c r="O344" i="16"/>
  <c r="I345" i="16"/>
  <c r="N345" i="16"/>
  <c r="O345" i="16"/>
  <c r="I346" i="16"/>
  <c r="N346" i="16"/>
  <c r="O346" i="16"/>
  <c r="I347" i="16"/>
  <c r="N347" i="16"/>
  <c r="O347" i="16"/>
  <c r="I348" i="16"/>
  <c r="N348" i="16"/>
  <c r="O348" i="16"/>
  <c r="I349" i="16"/>
  <c r="N349" i="16"/>
  <c r="O349" i="16"/>
  <c r="I350" i="16"/>
  <c r="N350" i="16"/>
  <c r="O350" i="16"/>
  <c r="I351" i="16"/>
  <c r="N351" i="16"/>
  <c r="O351" i="16"/>
  <c r="I352" i="16"/>
  <c r="N352" i="16"/>
  <c r="O352" i="16"/>
  <c r="I353" i="16"/>
  <c r="N353" i="16"/>
  <c r="O353" i="16"/>
  <c r="I354" i="16"/>
  <c r="N354" i="16"/>
  <c r="O354" i="16"/>
  <c r="I355" i="16"/>
  <c r="N355" i="16"/>
  <c r="O355" i="16"/>
  <c r="I356" i="16"/>
  <c r="N356" i="16"/>
  <c r="O356" i="16"/>
  <c r="I357" i="16"/>
  <c r="N357" i="16"/>
  <c r="O357" i="16"/>
  <c r="I358" i="16"/>
  <c r="N358" i="16"/>
  <c r="O358" i="16"/>
  <c r="I359" i="16"/>
  <c r="N359" i="16"/>
  <c r="O359" i="16"/>
  <c r="I360" i="16"/>
  <c r="N360" i="16"/>
  <c r="O360" i="16"/>
  <c r="I361" i="16"/>
  <c r="N361" i="16"/>
  <c r="O361" i="16"/>
  <c r="I362" i="16"/>
  <c r="N362" i="16"/>
  <c r="O362" i="16"/>
  <c r="I363" i="16"/>
  <c r="N363" i="16"/>
  <c r="O363" i="16"/>
  <c r="I364" i="16"/>
  <c r="N364" i="16"/>
  <c r="O364" i="16"/>
  <c r="I365" i="16"/>
  <c r="N365" i="16"/>
  <c r="O365" i="16"/>
  <c r="I366" i="16"/>
  <c r="N366" i="16"/>
  <c r="O366" i="16"/>
  <c r="I367" i="16"/>
  <c r="N367" i="16"/>
  <c r="O367" i="16"/>
  <c r="I368" i="16"/>
  <c r="N368" i="16"/>
  <c r="O368" i="16"/>
  <c r="I369" i="16"/>
  <c r="N369" i="16"/>
  <c r="O369" i="16"/>
  <c r="I370" i="16"/>
  <c r="N370" i="16"/>
  <c r="O370" i="16"/>
  <c r="I371" i="16"/>
  <c r="N371" i="16"/>
  <c r="O371" i="16"/>
  <c r="I372" i="16"/>
  <c r="N372" i="16"/>
  <c r="O372" i="16"/>
  <c r="I373" i="16"/>
  <c r="N373" i="16"/>
  <c r="O373" i="16"/>
  <c r="I374" i="16"/>
  <c r="N374" i="16"/>
  <c r="O374" i="16"/>
  <c r="I375" i="16"/>
  <c r="N375" i="16"/>
  <c r="O375" i="16"/>
  <c r="I376" i="16"/>
  <c r="N376" i="16"/>
  <c r="O376" i="16"/>
  <c r="I377" i="16"/>
  <c r="N377" i="16"/>
  <c r="O377" i="16"/>
  <c r="I378" i="16"/>
  <c r="N378" i="16"/>
  <c r="O378" i="16"/>
  <c r="I379" i="16"/>
  <c r="N379" i="16"/>
  <c r="O379" i="16"/>
  <c r="I380" i="16"/>
  <c r="N380" i="16"/>
  <c r="O380" i="16"/>
  <c r="I381" i="16"/>
  <c r="N381" i="16"/>
  <c r="O381" i="16"/>
  <c r="I382" i="16"/>
  <c r="N382" i="16"/>
  <c r="O382" i="16"/>
  <c r="I383" i="16"/>
  <c r="N383" i="16"/>
  <c r="O383" i="16"/>
  <c r="I384" i="16"/>
  <c r="N384" i="16"/>
  <c r="O384" i="16"/>
  <c r="I385" i="16"/>
  <c r="N385" i="16"/>
  <c r="O385" i="16"/>
  <c r="I386" i="16"/>
  <c r="N386" i="16"/>
  <c r="O386" i="16"/>
  <c r="I387" i="16"/>
  <c r="N387" i="16"/>
  <c r="O387" i="16"/>
  <c r="I388" i="16"/>
  <c r="N388" i="16"/>
  <c r="O388" i="16"/>
  <c r="I389" i="16"/>
  <c r="N389" i="16"/>
  <c r="O389" i="16"/>
  <c r="I390" i="16"/>
  <c r="N390" i="16"/>
  <c r="O390" i="16"/>
  <c r="I391" i="16"/>
  <c r="N391" i="16"/>
  <c r="O391" i="16"/>
  <c r="I392" i="16"/>
  <c r="N392" i="16"/>
  <c r="O392" i="16"/>
  <c r="I393" i="16"/>
  <c r="N393" i="16"/>
  <c r="O393" i="16"/>
  <c r="I394" i="16"/>
  <c r="N394" i="16"/>
  <c r="O394" i="16"/>
  <c r="I395" i="16"/>
  <c r="N395" i="16"/>
  <c r="O395" i="16"/>
  <c r="I396" i="16"/>
  <c r="N396" i="16"/>
  <c r="O396" i="16"/>
  <c r="I397" i="16"/>
  <c r="N397" i="16"/>
  <c r="O397" i="16"/>
  <c r="I398" i="16"/>
  <c r="N398" i="16"/>
  <c r="O398" i="16"/>
  <c r="I399" i="16"/>
  <c r="N399" i="16"/>
  <c r="O399" i="16"/>
  <c r="I400" i="16"/>
  <c r="N400" i="16"/>
  <c r="O400" i="16"/>
  <c r="I401" i="16"/>
  <c r="N401" i="16"/>
  <c r="O401" i="16"/>
  <c r="I402" i="16"/>
  <c r="N402" i="16"/>
  <c r="O402" i="16"/>
  <c r="I403" i="16"/>
  <c r="N403" i="16"/>
  <c r="O403" i="16"/>
  <c r="I404" i="16"/>
  <c r="N404" i="16"/>
  <c r="O404" i="16"/>
  <c r="I405" i="16"/>
  <c r="N405" i="16"/>
  <c r="O405" i="16"/>
  <c r="I406" i="16"/>
  <c r="N406" i="16"/>
  <c r="O406" i="16"/>
  <c r="I407" i="16"/>
  <c r="N407" i="16"/>
  <c r="O407" i="16"/>
  <c r="I408" i="16"/>
  <c r="N408" i="16"/>
  <c r="O408" i="16"/>
  <c r="I409" i="16"/>
  <c r="N409" i="16"/>
  <c r="O409" i="16"/>
  <c r="I410" i="16"/>
  <c r="N410" i="16"/>
  <c r="O410" i="16"/>
  <c r="I411" i="16"/>
  <c r="N411" i="16"/>
  <c r="O411" i="16"/>
  <c r="I412" i="16"/>
  <c r="N412" i="16"/>
  <c r="O412" i="16"/>
  <c r="I413" i="16"/>
  <c r="N413" i="16"/>
  <c r="O413" i="16"/>
  <c r="I414" i="16"/>
  <c r="N414" i="16"/>
  <c r="O414" i="16"/>
  <c r="I415" i="16"/>
  <c r="N415" i="16"/>
  <c r="O415" i="16"/>
  <c r="I416" i="16"/>
  <c r="N416" i="16"/>
  <c r="O416" i="16"/>
  <c r="I417" i="16"/>
  <c r="N417" i="16"/>
  <c r="O417" i="16"/>
  <c r="I418" i="16"/>
  <c r="N418" i="16"/>
  <c r="O418" i="16"/>
  <c r="I419" i="16"/>
  <c r="N419" i="16"/>
  <c r="O419" i="16"/>
  <c r="I420" i="16"/>
  <c r="N420" i="16"/>
  <c r="O420" i="16"/>
  <c r="I421" i="16"/>
  <c r="N421" i="16"/>
  <c r="O421" i="16"/>
  <c r="I422" i="16"/>
  <c r="N422" i="16"/>
  <c r="O422" i="16"/>
  <c r="I423" i="16"/>
  <c r="N423" i="16"/>
  <c r="O423" i="16"/>
  <c r="I424" i="16"/>
  <c r="N424" i="16"/>
  <c r="O424" i="16"/>
  <c r="I425" i="16"/>
  <c r="N425" i="16"/>
  <c r="O425" i="16"/>
  <c r="I426" i="16"/>
  <c r="N426" i="16"/>
  <c r="O426" i="16"/>
  <c r="J2" i="15" l="1"/>
  <c r="M2" i="15"/>
  <c r="N2" i="15"/>
  <c r="J3" i="15"/>
  <c r="M3" i="15"/>
  <c r="N3" i="15"/>
  <c r="J4" i="15"/>
  <c r="M4" i="15"/>
  <c r="N4" i="15"/>
  <c r="J5" i="15"/>
  <c r="M5" i="15"/>
  <c r="N5" i="15"/>
  <c r="J6" i="15"/>
  <c r="M6" i="15"/>
  <c r="N6" i="15"/>
  <c r="J7" i="15"/>
  <c r="M7" i="15"/>
  <c r="N7" i="15"/>
  <c r="J8" i="15"/>
  <c r="M8" i="15"/>
  <c r="N8" i="15"/>
  <c r="J9" i="15"/>
  <c r="M9" i="15"/>
  <c r="N9" i="15"/>
  <c r="J10" i="15"/>
  <c r="M10" i="15"/>
  <c r="N10" i="15"/>
  <c r="J11" i="15"/>
  <c r="M11" i="15"/>
  <c r="N11" i="15"/>
  <c r="J12" i="15"/>
  <c r="M12" i="15"/>
  <c r="N12" i="15"/>
  <c r="J13" i="15"/>
  <c r="M13" i="15"/>
  <c r="N13" i="15"/>
  <c r="J14" i="15"/>
  <c r="M14" i="15"/>
  <c r="N14" i="15"/>
  <c r="J15" i="15"/>
  <c r="M15" i="15"/>
  <c r="N15" i="15"/>
  <c r="J16" i="15"/>
  <c r="M16" i="15"/>
  <c r="N16" i="15"/>
  <c r="J17" i="15"/>
  <c r="M17" i="15"/>
  <c r="N17" i="15"/>
  <c r="J18" i="15"/>
  <c r="M18" i="15"/>
  <c r="N18" i="15"/>
  <c r="J19" i="15"/>
  <c r="M19" i="15"/>
  <c r="N19" i="15"/>
  <c r="J20" i="15"/>
  <c r="M20" i="15"/>
  <c r="N20" i="15"/>
  <c r="J21" i="15"/>
  <c r="M21" i="15"/>
  <c r="N21" i="15"/>
  <c r="J22" i="15"/>
  <c r="M22" i="15"/>
  <c r="N22" i="15"/>
  <c r="J23" i="15"/>
  <c r="M23" i="15"/>
  <c r="N23" i="15"/>
  <c r="J24" i="15"/>
  <c r="M24" i="15"/>
  <c r="N24" i="15"/>
  <c r="J25" i="15"/>
  <c r="M25" i="15"/>
  <c r="N25" i="15"/>
  <c r="J26" i="15"/>
  <c r="M26" i="15"/>
  <c r="N26" i="15"/>
  <c r="J27" i="15"/>
  <c r="M27" i="15"/>
  <c r="N27" i="15"/>
  <c r="J28" i="15"/>
  <c r="M28" i="15"/>
  <c r="N28" i="15"/>
  <c r="J29" i="15"/>
  <c r="M29" i="15"/>
  <c r="N29" i="15"/>
  <c r="J30" i="15"/>
  <c r="M30" i="15"/>
  <c r="N30" i="15"/>
  <c r="J31" i="15"/>
  <c r="M31" i="15"/>
  <c r="N31" i="15"/>
  <c r="J32" i="15"/>
  <c r="M32" i="15"/>
  <c r="N32" i="15"/>
  <c r="J33" i="15"/>
  <c r="M33" i="15"/>
  <c r="N33" i="15"/>
  <c r="J34" i="15"/>
  <c r="M34" i="15"/>
  <c r="N34" i="15"/>
  <c r="J35" i="15"/>
  <c r="M35" i="15"/>
  <c r="N35" i="15"/>
  <c r="J36" i="15"/>
  <c r="M36" i="15"/>
  <c r="N36" i="15"/>
  <c r="J37" i="15"/>
  <c r="M37" i="15"/>
  <c r="N37" i="15"/>
  <c r="J38" i="15"/>
  <c r="M38" i="15"/>
  <c r="N38" i="15"/>
  <c r="J39" i="15"/>
  <c r="M39" i="15"/>
  <c r="N39" i="15"/>
  <c r="J40" i="15"/>
  <c r="M40" i="15"/>
  <c r="N40" i="15"/>
  <c r="J41" i="15"/>
  <c r="M41" i="15"/>
  <c r="N41" i="15"/>
  <c r="J42" i="15"/>
  <c r="M42" i="15"/>
  <c r="N42" i="15"/>
  <c r="J43" i="15"/>
  <c r="M43" i="15"/>
  <c r="N43" i="15"/>
  <c r="J44" i="15"/>
  <c r="M44" i="15"/>
  <c r="N44" i="15"/>
  <c r="J45" i="15"/>
  <c r="M45" i="15"/>
  <c r="N45" i="15"/>
  <c r="J46" i="15"/>
  <c r="M46" i="15"/>
  <c r="N46" i="15"/>
  <c r="J47" i="15"/>
  <c r="M47" i="15"/>
  <c r="N47" i="15"/>
  <c r="J48" i="15"/>
  <c r="M48" i="15"/>
  <c r="N48" i="15"/>
  <c r="J49" i="15"/>
  <c r="M49" i="15"/>
  <c r="N49" i="15"/>
  <c r="J50" i="15"/>
  <c r="M50" i="15"/>
  <c r="N50" i="15"/>
  <c r="J51" i="15"/>
  <c r="M51" i="15"/>
  <c r="N51" i="15"/>
  <c r="J52" i="15"/>
  <c r="M52" i="15"/>
  <c r="N52" i="15"/>
  <c r="J53" i="15"/>
  <c r="M53" i="15"/>
  <c r="N53" i="15"/>
  <c r="J54" i="15"/>
  <c r="M54" i="15"/>
  <c r="N54" i="15"/>
  <c r="J55" i="15"/>
  <c r="M55" i="15"/>
  <c r="N55" i="15"/>
  <c r="J56" i="15"/>
  <c r="M56" i="15"/>
  <c r="N56" i="15"/>
  <c r="J57" i="15"/>
  <c r="M57" i="15"/>
  <c r="N57" i="15"/>
  <c r="J58" i="15"/>
  <c r="M58" i="15"/>
  <c r="N58" i="15"/>
  <c r="J59" i="15"/>
  <c r="M59" i="15"/>
  <c r="N59" i="15"/>
  <c r="J60" i="15"/>
  <c r="M60" i="15"/>
  <c r="N60" i="15"/>
  <c r="J61" i="15"/>
  <c r="M61" i="15"/>
  <c r="N61" i="15"/>
  <c r="J62" i="15"/>
  <c r="M62" i="15"/>
  <c r="N62" i="15"/>
  <c r="J63" i="15"/>
  <c r="M63" i="15"/>
  <c r="N63" i="15"/>
  <c r="J64" i="15"/>
  <c r="M64" i="15"/>
  <c r="N64" i="15"/>
  <c r="J65" i="15"/>
  <c r="M65" i="15"/>
  <c r="N65" i="15"/>
  <c r="J66" i="15"/>
  <c r="M66" i="15"/>
  <c r="N66" i="15"/>
  <c r="J67" i="15"/>
  <c r="M67" i="15"/>
  <c r="N67" i="15"/>
  <c r="J68" i="15"/>
  <c r="M68" i="15"/>
  <c r="N68" i="15"/>
  <c r="J69" i="15"/>
  <c r="M69" i="15"/>
  <c r="N69" i="15"/>
  <c r="J70" i="15"/>
  <c r="M70" i="15"/>
  <c r="N70" i="15"/>
  <c r="J71" i="15"/>
  <c r="M71" i="15"/>
  <c r="N71" i="15"/>
  <c r="J72" i="15"/>
  <c r="M72" i="15"/>
  <c r="N72" i="15"/>
  <c r="J73" i="15"/>
  <c r="M73" i="15"/>
  <c r="N73" i="15"/>
  <c r="J74" i="15"/>
  <c r="M74" i="15"/>
  <c r="N74" i="15"/>
  <c r="J75" i="15"/>
  <c r="M75" i="15"/>
  <c r="N75" i="15"/>
  <c r="J76" i="15"/>
  <c r="M76" i="15"/>
  <c r="N76" i="15"/>
  <c r="J77" i="15"/>
  <c r="M77" i="15"/>
  <c r="N77" i="15"/>
  <c r="J78" i="15"/>
  <c r="M78" i="15"/>
  <c r="N78" i="15"/>
  <c r="J79" i="15"/>
  <c r="M79" i="15"/>
  <c r="N79" i="15"/>
  <c r="J80" i="15"/>
  <c r="M80" i="15"/>
  <c r="N80" i="15"/>
  <c r="J81" i="15"/>
  <c r="M81" i="15"/>
  <c r="N81" i="15"/>
  <c r="J82" i="15"/>
  <c r="M82" i="15"/>
  <c r="N82" i="15"/>
  <c r="J83" i="15"/>
  <c r="M83" i="15"/>
  <c r="N83" i="15"/>
  <c r="J84" i="15"/>
  <c r="M84" i="15"/>
  <c r="N84" i="15"/>
  <c r="J85" i="15"/>
  <c r="M85" i="15"/>
  <c r="N85" i="15"/>
  <c r="J86" i="15"/>
  <c r="M86" i="15"/>
  <c r="N86" i="15"/>
  <c r="J87" i="15"/>
  <c r="M87" i="15"/>
  <c r="N87" i="15"/>
  <c r="J88" i="15"/>
  <c r="M88" i="15"/>
  <c r="N88" i="15"/>
  <c r="J89" i="15"/>
  <c r="M89" i="15"/>
  <c r="N89" i="15"/>
  <c r="J90" i="15"/>
  <c r="M90" i="15"/>
  <c r="N90" i="15"/>
  <c r="J91" i="15"/>
  <c r="M91" i="15"/>
  <c r="N91" i="15"/>
  <c r="J92" i="15"/>
  <c r="M92" i="15"/>
  <c r="N92" i="15"/>
  <c r="J93" i="15"/>
  <c r="M93" i="15"/>
  <c r="N93" i="15"/>
  <c r="J94" i="15"/>
  <c r="M94" i="15"/>
  <c r="N94" i="15"/>
  <c r="J95" i="15"/>
  <c r="M95" i="15"/>
  <c r="N95" i="15"/>
  <c r="J96" i="15"/>
  <c r="M96" i="15"/>
  <c r="N96" i="15"/>
  <c r="J97" i="15"/>
  <c r="M97" i="15"/>
  <c r="N97" i="15"/>
  <c r="J98" i="15"/>
  <c r="M98" i="15"/>
  <c r="N98" i="15"/>
  <c r="J99" i="15"/>
  <c r="M99" i="15"/>
  <c r="N99" i="15"/>
  <c r="J100" i="15"/>
  <c r="M100" i="15"/>
  <c r="N100" i="15"/>
  <c r="J101" i="15"/>
  <c r="M101" i="15"/>
  <c r="N101" i="15"/>
  <c r="J102" i="15"/>
  <c r="M102" i="15"/>
  <c r="N102" i="15"/>
  <c r="J103" i="15"/>
  <c r="M103" i="15"/>
  <c r="N103" i="15"/>
  <c r="J104" i="15"/>
  <c r="M104" i="15"/>
  <c r="N104" i="15"/>
  <c r="J105" i="15"/>
  <c r="M105" i="15"/>
  <c r="N105" i="15"/>
  <c r="J106" i="15"/>
  <c r="M106" i="15"/>
  <c r="N106" i="15"/>
  <c r="J107" i="15"/>
  <c r="M107" i="15"/>
  <c r="N107" i="15"/>
  <c r="J108" i="15"/>
  <c r="M108" i="15"/>
  <c r="N108" i="15"/>
  <c r="J109" i="15"/>
  <c r="M109" i="15"/>
  <c r="N109" i="15"/>
  <c r="J110" i="15"/>
  <c r="M110" i="15"/>
  <c r="N110" i="15"/>
  <c r="J111" i="15"/>
  <c r="M111" i="15"/>
  <c r="N111" i="15"/>
  <c r="J112" i="15"/>
  <c r="M112" i="15"/>
  <c r="N112" i="15"/>
  <c r="J113" i="15"/>
  <c r="M113" i="15"/>
  <c r="N113" i="15"/>
  <c r="J114" i="15"/>
  <c r="M114" i="15"/>
  <c r="N114" i="15"/>
  <c r="J115" i="15"/>
  <c r="M115" i="15"/>
  <c r="N115" i="15"/>
  <c r="J116" i="15"/>
  <c r="M116" i="15"/>
  <c r="N116" i="15"/>
  <c r="J117" i="15"/>
  <c r="M117" i="15"/>
  <c r="N117" i="15"/>
  <c r="J118" i="15"/>
  <c r="M118" i="15"/>
  <c r="N118" i="15"/>
  <c r="J119" i="15"/>
  <c r="M119" i="15"/>
  <c r="N119" i="15"/>
  <c r="J120" i="15"/>
  <c r="M120" i="15"/>
  <c r="N120" i="15"/>
  <c r="J121" i="15"/>
  <c r="M121" i="15"/>
  <c r="N121" i="15"/>
  <c r="J122" i="15"/>
  <c r="M122" i="15"/>
  <c r="N122" i="15"/>
  <c r="J123" i="15"/>
  <c r="M123" i="15"/>
  <c r="N123" i="15"/>
  <c r="J124" i="15"/>
  <c r="M124" i="15"/>
  <c r="N124" i="15"/>
  <c r="J125" i="15"/>
  <c r="M125" i="15"/>
  <c r="N125" i="15"/>
  <c r="J126" i="15"/>
  <c r="M126" i="15"/>
  <c r="N126" i="15"/>
  <c r="J127" i="15"/>
  <c r="M127" i="15"/>
  <c r="N127" i="15"/>
  <c r="J128" i="15"/>
  <c r="M128" i="15"/>
  <c r="N128" i="15"/>
  <c r="J129" i="15"/>
  <c r="M129" i="15"/>
  <c r="N129" i="15"/>
  <c r="J130" i="15"/>
  <c r="M130" i="15"/>
  <c r="N130" i="15"/>
  <c r="J131" i="15"/>
  <c r="M131" i="15"/>
  <c r="N131" i="15"/>
  <c r="J132" i="15"/>
  <c r="M132" i="15"/>
  <c r="N132" i="15"/>
  <c r="J133" i="15"/>
  <c r="M133" i="15"/>
  <c r="N133" i="15"/>
  <c r="J134" i="15"/>
  <c r="M134" i="15"/>
  <c r="N134" i="15"/>
  <c r="J135" i="15"/>
  <c r="M135" i="15"/>
  <c r="N135" i="15"/>
  <c r="J136" i="15"/>
  <c r="M136" i="15"/>
  <c r="N136" i="15"/>
  <c r="J137" i="15"/>
  <c r="M137" i="15"/>
  <c r="N137" i="15"/>
  <c r="J138" i="15"/>
  <c r="M138" i="15"/>
  <c r="N138" i="15"/>
  <c r="J139" i="15"/>
  <c r="M139" i="15"/>
  <c r="N139" i="15"/>
  <c r="J140" i="15"/>
  <c r="M140" i="15"/>
  <c r="N140" i="15"/>
  <c r="J141" i="15"/>
  <c r="M141" i="15"/>
  <c r="N141" i="15"/>
  <c r="J142" i="15"/>
  <c r="M142" i="15"/>
  <c r="N142" i="15"/>
  <c r="J143" i="15"/>
  <c r="M143" i="15"/>
  <c r="N143" i="15"/>
  <c r="J144" i="15"/>
  <c r="M144" i="15"/>
  <c r="N144" i="15"/>
  <c r="J145" i="15"/>
  <c r="M145" i="15"/>
  <c r="N145" i="15"/>
  <c r="J146" i="15"/>
  <c r="M146" i="15"/>
  <c r="N146" i="15"/>
  <c r="J147" i="15"/>
  <c r="M147" i="15"/>
  <c r="N147" i="15"/>
  <c r="J148" i="15"/>
  <c r="M148" i="15"/>
  <c r="N148" i="15"/>
  <c r="J149" i="15"/>
  <c r="M149" i="15"/>
  <c r="N149" i="15"/>
  <c r="J150" i="15"/>
  <c r="M150" i="15"/>
  <c r="N150" i="15"/>
  <c r="J151" i="15"/>
  <c r="M151" i="15"/>
  <c r="N151" i="15"/>
  <c r="J152" i="15"/>
  <c r="M152" i="15"/>
  <c r="N152" i="15"/>
  <c r="J153" i="15"/>
  <c r="M153" i="15"/>
  <c r="N153" i="15"/>
  <c r="J154" i="15"/>
  <c r="M154" i="15"/>
  <c r="N154" i="15"/>
  <c r="J155" i="15"/>
  <c r="M155" i="15"/>
  <c r="N155" i="15"/>
  <c r="J156" i="15"/>
  <c r="M156" i="15"/>
  <c r="N156" i="15"/>
  <c r="J157" i="15"/>
  <c r="M157" i="15"/>
  <c r="N157" i="15"/>
  <c r="J158" i="15"/>
  <c r="M158" i="15"/>
  <c r="N158" i="15"/>
  <c r="J159" i="15"/>
  <c r="M159" i="15"/>
  <c r="N159" i="15"/>
  <c r="J160" i="15"/>
  <c r="M160" i="15"/>
  <c r="N160" i="15"/>
  <c r="J161" i="15"/>
  <c r="M161" i="15"/>
  <c r="N161" i="15"/>
  <c r="J162" i="15"/>
  <c r="M162" i="15"/>
  <c r="N162" i="15"/>
  <c r="J163" i="15"/>
  <c r="M163" i="15"/>
  <c r="N163" i="15"/>
  <c r="J164" i="15"/>
  <c r="M164" i="15"/>
  <c r="N164" i="15"/>
  <c r="J165" i="15"/>
  <c r="M165" i="15"/>
  <c r="N165" i="15"/>
  <c r="J166" i="15"/>
  <c r="M166" i="15"/>
  <c r="N166" i="15"/>
  <c r="J167" i="15"/>
  <c r="M167" i="15"/>
  <c r="N167" i="15"/>
  <c r="J168" i="15"/>
  <c r="M168" i="15"/>
  <c r="N168" i="15"/>
  <c r="J169" i="15"/>
  <c r="M169" i="15"/>
  <c r="N169" i="15"/>
  <c r="J170" i="15"/>
  <c r="M170" i="15"/>
  <c r="N170" i="15"/>
  <c r="J171" i="15"/>
  <c r="M171" i="15"/>
  <c r="N171" i="15"/>
  <c r="J172" i="15"/>
  <c r="M172" i="15"/>
  <c r="N172" i="15"/>
  <c r="J173" i="15"/>
  <c r="M173" i="15"/>
  <c r="N173" i="15"/>
  <c r="J174" i="15"/>
  <c r="M174" i="15"/>
  <c r="N174" i="15"/>
  <c r="J175" i="15"/>
  <c r="M175" i="15"/>
  <c r="N175" i="15"/>
  <c r="J176" i="15"/>
  <c r="M176" i="15"/>
  <c r="N176" i="15"/>
  <c r="J177" i="15"/>
  <c r="M177" i="15"/>
  <c r="N177" i="15"/>
  <c r="J178" i="15"/>
  <c r="M178" i="15"/>
  <c r="N178" i="15"/>
  <c r="J179" i="15"/>
  <c r="M179" i="15"/>
  <c r="N179" i="15"/>
  <c r="J180" i="15"/>
  <c r="M180" i="15"/>
  <c r="N180" i="15"/>
  <c r="J181" i="15"/>
  <c r="M181" i="15"/>
  <c r="N181" i="15"/>
  <c r="J182" i="15"/>
  <c r="M182" i="15"/>
  <c r="N182" i="15"/>
  <c r="J183" i="15"/>
  <c r="M183" i="15"/>
  <c r="N183" i="15"/>
  <c r="J184" i="15"/>
  <c r="M184" i="15"/>
  <c r="N184" i="15"/>
  <c r="J185" i="15"/>
  <c r="M185" i="15"/>
  <c r="N185" i="15"/>
  <c r="J186" i="15"/>
  <c r="M186" i="15"/>
  <c r="N186" i="15"/>
  <c r="J187" i="15"/>
  <c r="M187" i="15"/>
  <c r="N187" i="15"/>
  <c r="J188" i="15"/>
  <c r="M188" i="15"/>
  <c r="N188" i="15"/>
  <c r="J189" i="15"/>
  <c r="M189" i="15"/>
  <c r="N189" i="15"/>
  <c r="J190" i="15"/>
  <c r="M190" i="15"/>
  <c r="N190" i="15"/>
  <c r="J191" i="15"/>
  <c r="M191" i="15"/>
  <c r="N191" i="15"/>
  <c r="J192" i="15"/>
  <c r="M192" i="15"/>
  <c r="N192" i="15"/>
  <c r="J193" i="15"/>
  <c r="M193" i="15"/>
  <c r="N193" i="15"/>
  <c r="J194" i="15"/>
  <c r="M194" i="15"/>
  <c r="N194" i="15"/>
  <c r="J195" i="15"/>
  <c r="M195" i="15"/>
  <c r="N195" i="15"/>
  <c r="J196" i="15"/>
  <c r="M196" i="15"/>
  <c r="N196" i="15"/>
  <c r="J197" i="15"/>
  <c r="M197" i="15"/>
  <c r="N197" i="15"/>
  <c r="J198" i="15"/>
  <c r="M198" i="15"/>
  <c r="N198" i="15"/>
  <c r="J199" i="15"/>
  <c r="M199" i="15"/>
  <c r="N199" i="15"/>
  <c r="J200" i="15"/>
  <c r="M200" i="15"/>
  <c r="N200" i="15"/>
  <c r="J201" i="15"/>
  <c r="M201" i="15"/>
  <c r="N201" i="15"/>
  <c r="J202" i="15"/>
  <c r="M202" i="15"/>
  <c r="N202" i="15"/>
  <c r="J203" i="15"/>
  <c r="M203" i="15"/>
  <c r="N203" i="15"/>
  <c r="J204" i="15"/>
  <c r="M204" i="15"/>
  <c r="N204" i="15"/>
  <c r="J205" i="15"/>
  <c r="M205" i="15"/>
  <c r="N205" i="15"/>
  <c r="J206" i="15"/>
  <c r="M206" i="15"/>
  <c r="N206" i="15"/>
  <c r="J207" i="15"/>
  <c r="M207" i="15"/>
  <c r="N207" i="15"/>
  <c r="J208" i="15"/>
  <c r="M208" i="15"/>
  <c r="N208" i="15"/>
  <c r="J209" i="15"/>
  <c r="M209" i="15"/>
  <c r="N209" i="15"/>
  <c r="J210" i="15"/>
  <c r="M210" i="15"/>
  <c r="N210" i="15"/>
  <c r="J211" i="15"/>
  <c r="M211" i="15"/>
  <c r="N211" i="15"/>
  <c r="J212" i="15"/>
  <c r="M212" i="15"/>
  <c r="N212" i="15"/>
  <c r="J213" i="15"/>
  <c r="M213" i="15"/>
  <c r="N213" i="15"/>
  <c r="J214" i="15"/>
  <c r="M214" i="15"/>
  <c r="N214" i="15"/>
  <c r="J215" i="15"/>
  <c r="M215" i="15"/>
  <c r="N215" i="15"/>
  <c r="J216" i="15"/>
  <c r="M216" i="15"/>
  <c r="N216" i="15"/>
  <c r="J217" i="15"/>
  <c r="M217" i="15"/>
  <c r="N217" i="15"/>
  <c r="J218" i="15"/>
  <c r="M218" i="15"/>
  <c r="N218" i="15"/>
  <c r="J219" i="15"/>
  <c r="M219" i="15"/>
  <c r="N219" i="15"/>
  <c r="J220" i="15"/>
  <c r="M220" i="15"/>
  <c r="N220" i="15"/>
  <c r="J221" i="15"/>
  <c r="M221" i="15"/>
  <c r="N221" i="15"/>
  <c r="J222" i="15"/>
  <c r="M222" i="15"/>
  <c r="N222" i="15"/>
  <c r="J223" i="15"/>
  <c r="M223" i="15"/>
  <c r="N223" i="15"/>
  <c r="J224" i="15"/>
  <c r="M224" i="15"/>
  <c r="N224" i="15"/>
  <c r="J225" i="15"/>
  <c r="M225" i="15"/>
  <c r="N225" i="15"/>
  <c r="J226" i="15"/>
  <c r="M226" i="15"/>
  <c r="N226" i="15"/>
  <c r="J227" i="15"/>
  <c r="M227" i="15"/>
  <c r="N227" i="15"/>
  <c r="J228" i="15"/>
  <c r="M228" i="15"/>
  <c r="N228" i="15"/>
  <c r="J229" i="15"/>
  <c r="M229" i="15"/>
  <c r="N229" i="15"/>
  <c r="J230" i="15"/>
  <c r="M230" i="15"/>
  <c r="N230" i="15"/>
  <c r="J231" i="15"/>
  <c r="M231" i="15"/>
  <c r="N231" i="15"/>
  <c r="J232" i="15"/>
  <c r="M232" i="15"/>
  <c r="N232" i="15"/>
  <c r="J233" i="15"/>
  <c r="M233" i="15"/>
  <c r="N233" i="15"/>
  <c r="J234" i="15"/>
  <c r="M234" i="15"/>
  <c r="N234" i="15"/>
  <c r="J235" i="15"/>
  <c r="M235" i="15"/>
  <c r="N235" i="15"/>
  <c r="J236" i="15"/>
  <c r="M236" i="15"/>
  <c r="N236" i="15"/>
  <c r="J237" i="15"/>
  <c r="M237" i="15"/>
  <c r="N237" i="15"/>
  <c r="J238" i="15"/>
  <c r="M238" i="15"/>
  <c r="N238" i="15"/>
  <c r="J239" i="15"/>
  <c r="M239" i="15"/>
  <c r="N239" i="15"/>
  <c r="J240" i="15"/>
  <c r="M240" i="15"/>
  <c r="N240" i="15"/>
  <c r="J241" i="15"/>
  <c r="M241" i="15"/>
  <c r="N241" i="15"/>
  <c r="J242" i="15"/>
  <c r="M242" i="15"/>
  <c r="N242" i="15"/>
  <c r="J243" i="15"/>
  <c r="M243" i="15"/>
  <c r="N243" i="15"/>
  <c r="J244" i="15"/>
  <c r="M244" i="15"/>
  <c r="N244" i="15"/>
  <c r="J245" i="15"/>
  <c r="M245" i="15"/>
  <c r="N245" i="15"/>
  <c r="J246" i="15"/>
  <c r="M246" i="15"/>
  <c r="N246" i="15"/>
  <c r="J247" i="15"/>
  <c r="M247" i="15"/>
  <c r="N247" i="15"/>
  <c r="J248" i="15"/>
  <c r="M248" i="15"/>
  <c r="N248" i="15"/>
  <c r="J249" i="15"/>
  <c r="M249" i="15"/>
  <c r="N249" i="15"/>
  <c r="J250" i="15"/>
  <c r="M250" i="15"/>
  <c r="N250" i="15"/>
  <c r="J251" i="15"/>
  <c r="M251" i="15"/>
  <c r="N251" i="15"/>
  <c r="J252" i="15"/>
  <c r="M252" i="15"/>
  <c r="N252" i="15"/>
  <c r="J253" i="15"/>
  <c r="M253" i="15"/>
  <c r="N253" i="15"/>
  <c r="J254" i="15"/>
  <c r="M254" i="15"/>
  <c r="N254" i="15"/>
  <c r="J255" i="15"/>
  <c r="M255" i="15"/>
  <c r="N255" i="15"/>
  <c r="J256" i="15"/>
  <c r="M256" i="15"/>
  <c r="N256" i="15"/>
  <c r="J257" i="15"/>
  <c r="M257" i="15"/>
  <c r="N257" i="15"/>
  <c r="J258" i="15"/>
  <c r="M258" i="15"/>
  <c r="N258" i="15"/>
  <c r="J259" i="15"/>
  <c r="M259" i="15"/>
  <c r="N259" i="15"/>
  <c r="J260" i="15"/>
  <c r="M260" i="15"/>
  <c r="N260" i="15"/>
  <c r="J261" i="15"/>
  <c r="M261" i="15"/>
  <c r="N261" i="15"/>
  <c r="J262" i="15"/>
  <c r="M262" i="15"/>
  <c r="N262" i="15"/>
  <c r="J263" i="15"/>
  <c r="M263" i="15"/>
  <c r="N263" i="15"/>
  <c r="J264" i="15"/>
  <c r="M264" i="15"/>
  <c r="N264" i="15"/>
  <c r="J265" i="15"/>
  <c r="M265" i="15"/>
  <c r="N265" i="15"/>
  <c r="J266" i="15"/>
  <c r="M266" i="15"/>
  <c r="N266" i="15"/>
  <c r="J267" i="15"/>
  <c r="M267" i="15"/>
  <c r="N267" i="15"/>
  <c r="J268" i="15"/>
  <c r="M268" i="15"/>
  <c r="N268" i="15"/>
  <c r="J269" i="15"/>
  <c r="M269" i="15"/>
  <c r="N269" i="15"/>
  <c r="J270" i="15"/>
  <c r="M270" i="15"/>
  <c r="N270" i="15"/>
  <c r="J271" i="15"/>
  <c r="M271" i="15"/>
  <c r="N271" i="15"/>
  <c r="J272" i="15"/>
  <c r="M272" i="15"/>
  <c r="N272" i="15"/>
  <c r="J273" i="15"/>
  <c r="M273" i="15"/>
  <c r="N273" i="15"/>
  <c r="J274" i="15"/>
  <c r="M274" i="15"/>
  <c r="N274" i="15"/>
  <c r="J275" i="15"/>
  <c r="M275" i="15"/>
  <c r="N275" i="15"/>
  <c r="J276" i="15"/>
  <c r="M276" i="15"/>
  <c r="N276" i="15"/>
  <c r="J277" i="15"/>
  <c r="M277" i="15"/>
  <c r="N277" i="15"/>
  <c r="J278" i="15"/>
  <c r="M278" i="15"/>
  <c r="N278" i="15"/>
  <c r="J279" i="15"/>
  <c r="M279" i="15"/>
  <c r="N279" i="15"/>
  <c r="J280" i="15"/>
  <c r="M280" i="15"/>
  <c r="N280" i="15"/>
  <c r="J281" i="15"/>
  <c r="M281" i="15"/>
  <c r="N281" i="15"/>
  <c r="J282" i="15"/>
  <c r="M282" i="15"/>
  <c r="N282" i="15"/>
  <c r="J283" i="15"/>
  <c r="M283" i="15"/>
  <c r="N283" i="15"/>
  <c r="J284" i="15"/>
  <c r="M284" i="15"/>
  <c r="N284" i="15"/>
  <c r="J285" i="15"/>
  <c r="M285" i="15"/>
  <c r="N285" i="15"/>
  <c r="J286" i="15"/>
  <c r="M286" i="15"/>
  <c r="N286" i="15"/>
  <c r="J287" i="15"/>
  <c r="M287" i="15"/>
  <c r="N287" i="15"/>
  <c r="J288" i="15"/>
  <c r="M288" i="15"/>
  <c r="N288" i="15"/>
  <c r="J289" i="15"/>
  <c r="M289" i="15"/>
  <c r="N289" i="15"/>
  <c r="J290" i="15"/>
  <c r="M290" i="15"/>
  <c r="N290" i="15"/>
  <c r="J291" i="15"/>
  <c r="M291" i="15"/>
  <c r="N291" i="15"/>
  <c r="J292" i="15"/>
  <c r="M292" i="15"/>
  <c r="N292" i="15"/>
  <c r="J293" i="15"/>
  <c r="M293" i="15"/>
  <c r="N293" i="15"/>
  <c r="J294" i="15"/>
  <c r="M294" i="15"/>
  <c r="N294" i="15"/>
  <c r="J295" i="15"/>
  <c r="M295" i="15"/>
  <c r="N295" i="15"/>
  <c r="J296" i="15"/>
  <c r="M296" i="15"/>
  <c r="N296" i="15"/>
  <c r="J297" i="15"/>
  <c r="M297" i="15"/>
  <c r="N297" i="15"/>
  <c r="J298" i="15"/>
  <c r="M298" i="15"/>
  <c r="N298" i="15"/>
  <c r="J299" i="15"/>
  <c r="M299" i="15"/>
  <c r="N299" i="15"/>
  <c r="J300" i="15"/>
  <c r="M300" i="15"/>
  <c r="N300" i="15"/>
  <c r="J301" i="15"/>
  <c r="M301" i="15"/>
  <c r="N301" i="15"/>
  <c r="J302" i="15"/>
  <c r="M302" i="15"/>
  <c r="N302" i="15"/>
  <c r="J303" i="15"/>
  <c r="M303" i="15"/>
  <c r="N303" i="15"/>
  <c r="J304" i="15"/>
  <c r="M304" i="15"/>
  <c r="N304" i="15"/>
  <c r="J305" i="15"/>
  <c r="M305" i="15"/>
  <c r="N305" i="15"/>
  <c r="J306" i="15"/>
  <c r="M306" i="15"/>
  <c r="N306" i="15"/>
  <c r="J307" i="15"/>
  <c r="M307" i="15"/>
  <c r="N307" i="15"/>
  <c r="J308" i="15"/>
  <c r="M308" i="15"/>
  <c r="N308" i="15"/>
  <c r="J309" i="15"/>
  <c r="M309" i="15"/>
  <c r="N309" i="15"/>
  <c r="J310" i="15"/>
  <c r="M310" i="15"/>
  <c r="N310" i="15"/>
  <c r="J311" i="15"/>
  <c r="M311" i="15"/>
  <c r="N311" i="15"/>
  <c r="J312" i="15"/>
  <c r="M312" i="15"/>
  <c r="N312" i="15"/>
  <c r="J313" i="15"/>
  <c r="M313" i="15"/>
  <c r="N313" i="15"/>
  <c r="J314" i="15"/>
  <c r="M314" i="15"/>
  <c r="N314" i="15"/>
  <c r="J315" i="15"/>
  <c r="M315" i="15"/>
  <c r="N315" i="15"/>
  <c r="J316" i="15"/>
  <c r="M316" i="15"/>
  <c r="N316" i="15"/>
  <c r="J317" i="15"/>
  <c r="M317" i="15"/>
  <c r="N317" i="15"/>
  <c r="J318" i="15"/>
  <c r="M318" i="15"/>
  <c r="N318" i="15"/>
  <c r="J319" i="15"/>
  <c r="M319" i="15"/>
  <c r="N319" i="15"/>
  <c r="J320" i="15"/>
  <c r="M320" i="15"/>
  <c r="N320" i="15"/>
  <c r="J321" i="15"/>
  <c r="M321" i="15"/>
  <c r="N321" i="15"/>
  <c r="J322" i="15"/>
  <c r="M322" i="15"/>
  <c r="N322" i="15"/>
  <c r="J323" i="15"/>
  <c r="M323" i="15"/>
  <c r="N323" i="15"/>
  <c r="J324" i="15"/>
  <c r="M324" i="15"/>
  <c r="N324" i="15"/>
  <c r="J325" i="15"/>
  <c r="M325" i="15"/>
  <c r="N325" i="15"/>
  <c r="J326" i="15"/>
  <c r="M326" i="15"/>
  <c r="N326" i="15"/>
  <c r="J327" i="15"/>
  <c r="M327" i="15"/>
  <c r="N327" i="15"/>
  <c r="J328" i="15"/>
  <c r="M328" i="15"/>
  <c r="N328" i="15"/>
  <c r="J329" i="15"/>
  <c r="M329" i="15"/>
  <c r="N329" i="15"/>
  <c r="J330" i="15"/>
  <c r="M330" i="15"/>
  <c r="N330" i="15"/>
  <c r="J331" i="15"/>
  <c r="M331" i="15"/>
  <c r="N331" i="15"/>
  <c r="J332" i="15"/>
  <c r="M332" i="15"/>
  <c r="N332" i="15"/>
  <c r="J333" i="15"/>
  <c r="M333" i="15"/>
  <c r="N333" i="15"/>
  <c r="J334" i="15"/>
  <c r="M334" i="15"/>
  <c r="N334" i="15"/>
  <c r="J335" i="15"/>
  <c r="M335" i="15"/>
  <c r="N335" i="15"/>
  <c r="J336" i="15"/>
  <c r="M336" i="15"/>
  <c r="N336" i="15"/>
  <c r="J337" i="15"/>
  <c r="M337" i="15"/>
  <c r="N337" i="15"/>
  <c r="J338" i="15"/>
  <c r="M338" i="15"/>
  <c r="N338" i="15"/>
  <c r="J339" i="15"/>
  <c r="M339" i="15"/>
  <c r="N339" i="15"/>
  <c r="J340" i="15"/>
  <c r="M340" i="15"/>
  <c r="N340" i="15"/>
  <c r="J341" i="15"/>
  <c r="M341" i="15"/>
  <c r="N341" i="15"/>
  <c r="J342" i="15"/>
  <c r="M342" i="15"/>
  <c r="N342" i="15"/>
  <c r="J343" i="15"/>
  <c r="M343" i="15"/>
  <c r="N343" i="15"/>
  <c r="J344" i="15"/>
  <c r="M344" i="15"/>
  <c r="N344" i="15"/>
  <c r="J345" i="15"/>
  <c r="M345" i="15"/>
  <c r="N345" i="15"/>
  <c r="J346" i="15"/>
  <c r="M346" i="15"/>
  <c r="N346" i="15"/>
  <c r="J347" i="15"/>
  <c r="M347" i="15"/>
  <c r="N347" i="15"/>
  <c r="J348" i="15"/>
  <c r="M348" i="15"/>
  <c r="N348" i="15"/>
  <c r="J349" i="15"/>
  <c r="M349" i="15"/>
  <c r="N349" i="15"/>
  <c r="J350" i="15"/>
  <c r="M350" i="15"/>
  <c r="N350" i="15"/>
  <c r="J351" i="15"/>
  <c r="M351" i="15"/>
  <c r="N351" i="15"/>
  <c r="J352" i="15"/>
  <c r="M352" i="15"/>
  <c r="N352" i="15"/>
  <c r="J353" i="15"/>
  <c r="M353" i="15"/>
  <c r="N353" i="15"/>
  <c r="J354" i="15"/>
  <c r="M354" i="15"/>
  <c r="N354" i="15"/>
  <c r="J355" i="15"/>
  <c r="M355" i="15"/>
  <c r="N355" i="15"/>
  <c r="J356" i="15"/>
  <c r="M356" i="15"/>
  <c r="N356" i="15"/>
  <c r="J357" i="15"/>
  <c r="M357" i="15"/>
  <c r="N357" i="15"/>
  <c r="J358" i="15"/>
  <c r="M358" i="15"/>
  <c r="N358" i="15"/>
  <c r="J359" i="15"/>
  <c r="M359" i="15"/>
  <c r="N359" i="15"/>
  <c r="J360" i="15"/>
  <c r="M360" i="15"/>
  <c r="N360" i="15"/>
  <c r="J361" i="15"/>
  <c r="M361" i="15"/>
  <c r="N361" i="15"/>
  <c r="J362" i="15"/>
  <c r="M362" i="15"/>
  <c r="N362" i="15"/>
  <c r="J363" i="15"/>
  <c r="M363" i="15"/>
  <c r="N363" i="15"/>
  <c r="J364" i="15"/>
  <c r="M364" i="15"/>
  <c r="N364" i="15"/>
  <c r="J365" i="15"/>
  <c r="M365" i="15"/>
  <c r="N365" i="15"/>
  <c r="J366" i="15"/>
  <c r="M366" i="15"/>
  <c r="N366" i="15"/>
  <c r="J367" i="15"/>
  <c r="M367" i="15"/>
  <c r="N367" i="15"/>
  <c r="J368" i="15"/>
  <c r="M368" i="15"/>
  <c r="N368" i="15"/>
  <c r="J369" i="15"/>
  <c r="M369" i="15"/>
  <c r="N369" i="15"/>
  <c r="J370" i="15"/>
  <c r="M370" i="15"/>
  <c r="N370" i="15"/>
  <c r="J371" i="15"/>
  <c r="M371" i="15"/>
  <c r="N371" i="15"/>
  <c r="J372" i="15"/>
  <c r="M372" i="15"/>
  <c r="N372" i="15"/>
  <c r="J373" i="15"/>
  <c r="M373" i="15"/>
  <c r="N373" i="15"/>
  <c r="J374" i="15"/>
  <c r="M374" i="15"/>
  <c r="N374" i="15"/>
  <c r="J375" i="15"/>
  <c r="M375" i="15"/>
  <c r="N375" i="15"/>
  <c r="J376" i="15"/>
  <c r="M376" i="15"/>
  <c r="N376" i="15"/>
  <c r="J377" i="15"/>
  <c r="M377" i="15"/>
  <c r="N377" i="15"/>
  <c r="J378" i="15"/>
  <c r="M378" i="15"/>
  <c r="N378" i="15"/>
  <c r="J379" i="15"/>
  <c r="M379" i="15"/>
  <c r="N379" i="15"/>
  <c r="J380" i="15"/>
  <c r="M380" i="15"/>
  <c r="N380" i="15"/>
  <c r="J381" i="15"/>
  <c r="M381" i="15"/>
  <c r="N381" i="15"/>
  <c r="J382" i="15"/>
  <c r="M382" i="15"/>
  <c r="N382" i="15"/>
  <c r="J383" i="15"/>
  <c r="M383" i="15"/>
  <c r="N383" i="15"/>
  <c r="J384" i="15"/>
  <c r="M384" i="15"/>
  <c r="N384" i="15"/>
  <c r="J385" i="15"/>
  <c r="M385" i="15"/>
  <c r="N385" i="15"/>
  <c r="J386" i="15"/>
  <c r="M386" i="15"/>
  <c r="N386" i="15"/>
  <c r="J387" i="15"/>
  <c r="M387" i="15"/>
  <c r="N387" i="15"/>
  <c r="J388" i="15"/>
  <c r="M388" i="15"/>
  <c r="N388" i="15"/>
  <c r="J389" i="15"/>
  <c r="M389" i="15"/>
  <c r="N389" i="15"/>
  <c r="J390" i="15"/>
  <c r="M390" i="15"/>
  <c r="N390" i="15"/>
  <c r="J391" i="15"/>
  <c r="M391" i="15"/>
  <c r="N391" i="15"/>
  <c r="J392" i="15"/>
  <c r="M392" i="15"/>
  <c r="N392" i="15"/>
  <c r="J393" i="15"/>
  <c r="M393" i="15"/>
  <c r="N393" i="15"/>
  <c r="J394" i="15"/>
  <c r="M394" i="15"/>
  <c r="N394" i="15"/>
  <c r="J395" i="15"/>
  <c r="M395" i="15"/>
  <c r="N395" i="15"/>
  <c r="J396" i="15"/>
  <c r="M396" i="15"/>
  <c r="N396" i="15"/>
  <c r="J397" i="15"/>
  <c r="M397" i="15"/>
  <c r="N397" i="15"/>
  <c r="J398" i="15"/>
  <c r="M398" i="15"/>
  <c r="N398" i="15"/>
  <c r="J399" i="15"/>
  <c r="M399" i="15"/>
  <c r="N399" i="15"/>
  <c r="J400" i="15"/>
  <c r="M400" i="15"/>
  <c r="N400" i="15"/>
  <c r="J401" i="15"/>
  <c r="M401" i="15"/>
  <c r="N401" i="15"/>
  <c r="J402" i="15"/>
  <c r="M402" i="15"/>
  <c r="N402" i="15"/>
  <c r="J403" i="15"/>
  <c r="M403" i="15"/>
  <c r="N403" i="15"/>
  <c r="J404" i="15"/>
  <c r="M404" i="15"/>
  <c r="N404" i="15"/>
  <c r="J405" i="15"/>
  <c r="M405" i="15"/>
  <c r="N405" i="15"/>
  <c r="J406" i="15"/>
  <c r="M406" i="15"/>
  <c r="N406" i="15"/>
  <c r="J407" i="15"/>
  <c r="M407" i="15"/>
  <c r="N407" i="15"/>
  <c r="J408" i="15"/>
  <c r="M408" i="15"/>
  <c r="N408" i="15"/>
  <c r="J409" i="15"/>
  <c r="M409" i="15"/>
  <c r="N409" i="15"/>
  <c r="J410" i="15"/>
  <c r="M410" i="15"/>
  <c r="N410" i="15"/>
  <c r="J411" i="15"/>
  <c r="M411" i="15"/>
  <c r="N411" i="15"/>
  <c r="J412" i="15"/>
  <c r="M412" i="15"/>
  <c r="N412" i="15"/>
  <c r="J413" i="15"/>
  <c r="M413" i="15"/>
  <c r="N413" i="15"/>
  <c r="J414" i="15"/>
  <c r="M414" i="15"/>
  <c r="N414" i="15"/>
  <c r="J415" i="15"/>
  <c r="M415" i="15"/>
  <c r="N415" i="15"/>
  <c r="J416" i="15"/>
  <c r="M416" i="15"/>
  <c r="N416" i="15"/>
  <c r="J417" i="15"/>
  <c r="M417" i="15"/>
  <c r="N417" i="15"/>
  <c r="J418" i="15"/>
  <c r="M418" i="15"/>
  <c r="N418" i="15"/>
  <c r="J419" i="15"/>
  <c r="M419" i="15"/>
  <c r="N419" i="15"/>
  <c r="J420" i="15"/>
  <c r="M420" i="15"/>
  <c r="N420" i="15"/>
  <c r="J421" i="15"/>
  <c r="M421" i="15"/>
  <c r="N421" i="15"/>
  <c r="J422" i="15"/>
  <c r="M422" i="15"/>
  <c r="N422" i="15"/>
  <c r="J423" i="15"/>
  <c r="M423" i="15"/>
  <c r="N423" i="15"/>
  <c r="J424" i="15"/>
  <c r="M424" i="15"/>
  <c r="N424" i="15"/>
  <c r="J425" i="15"/>
  <c r="M425" i="15"/>
  <c r="N425" i="15"/>
  <c r="J426" i="15"/>
  <c r="M426" i="15"/>
  <c r="N426" i="15"/>
  <c r="J427" i="15"/>
  <c r="M427" i="15"/>
  <c r="N427" i="15"/>
  <c r="J428" i="15"/>
  <c r="M428" i="15"/>
  <c r="N428" i="15"/>
  <c r="J429" i="15"/>
  <c r="M429" i="15"/>
  <c r="N429" i="15"/>
  <c r="J430" i="15"/>
  <c r="M430" i="15"/>
  <c r="N430" i="15"/>
  <c r="J431" i="15"/>
  <c r="M431" i="15"/>
  <c r="N431" i="15"/>
  <c r="J432" i="15"/>
  <c r="M432" i="15"/>
  <c r="N432" i="15"/>
  <c r="J433" i="15"/>
  <c r="M433" i="15"/>
  <c r="N433" i="15"/>
  <c r="J434" i="15"/>
  <c r="M434" i="15"/>
  <c r="N434" i="15"/>
  <c r="J435" i="15"/>
  <c r="M435" i="15"/>
  <c r="N435" i="15"/>
  <c r="J436" i="15"/>
  <c r="M436" i="15"/>
  <c r="N436" i="15"/>
  <c r="J437" i="15"/>
  <c r="M437" i="15"/>
  <c r="N437" i="15"/>
  <c r="J438" i="15"/>
  <c r="M438" i="15"/>
  <c r="N438" i="15"/>
  <c r="J439" i="15"/>
  <c r="M439" i="15"/>
  <c r="N439" i="15"/>
  <c r="J440" i="15"/>
  <c r="M440" i="15"/>
  <c r="N440" i="15"/>
  <c r="J441" i="15"/>
  <c r="M441" i="15"/>
  <c r="N441" i="15"/>
  <c r="J442" i="15"/>
  <c r="M442" i="15"/>
  <c r="N442" i="15"/>
  <c r="J443" i="15"/>
  <c r="M443" i="15"/>
  <c r="N443" i="15"/>
  <c r="J444" i="15"/>
  <c r="M444" i="15"/>
  <c r="N444" i="15"/>
  <c r="J445" i="15"/>
  <c r="M445" i="15"/>
  <c r="N445" i="15"/>
  <c r="J446" i="15"/>
  <c r="M446" i="15"/>
  <c r="N446" i="15"/>
  <c r="J447" i="15"/>
  <c r="M447" i="15"/>
  <c r="N447" i="15"/>
  <c r="J448" i="15"/>
  <c r="M448" i="15"/>
  <c r="N448" i="15"/>
  <c r="J449" i="15"/>
  <c r="M449" i="15"/>
  <c r="N449" i="15"/>
  <c r="J450" i="15"/>
  <c r="M450" i="15"/>
  <c r="N450" i="15"/>
  <c r="J451" i="15"/>
  <c r="M451" i="15"/>
  <c r="N451" i="15"/>
  <c r="J452" i="15"/>
  <c r="M452" i="15"/>
  <c r="N452" i="15"/>
  <c r="J453" i="15"/>
  <c r="M453" i="15"/>
  <c r="N453" i="15"/>
  <c r="J454" i="15"/>
  <c r="M454" i="15"/>
  <c r="N454" i="15"/>
  <c r="J455" i="15"/>
  <c r="M455" i="15"/>
  <c r="N455" i="15"/>
  <c r="J456" i="15"/>
  <c r="M456" i="15"/>
  <c r="N456" i="15"/>
  <c r="J457" i="15"/>
  <c r="M457" i="15"/>
  <c r="N457" i="15"/>
  <c r="J458" i="15"/>
  <c r="M458" i="15"/>
  <c r="N458" i="15"/>
  <c r="J459" i="15"/>
  <c r="M459" i="15"/>
  <c r="N459" i="15"/>
  <c r="J460" i="15"/>
  <c r="M460" i="15"/>
  <c r="N460" i="15"/>
  <c r="J461" i="15"/>
  <c r="M461" i="15"/>
  <c r="N461" i="15"/>
  <c r="J462" i="15"/>
  <c r="M462" i="15"/>
  <c r="N462" i="15"/>
  <c r="J463" i="15"/>
  <c r="M463" i="15"/>
  <c r="N463" i="15"/>
  <c r="J464" i="15"/>
  <c r="M464" i="15"/>
  <c r="N464" i="15"/>
  <c r="J465" i="15"/>
  <c r="M465" i="15"/>
  <c r="N465" i="15"/>
  <c r="J466" i="15"/>
  <c r="M466" i="15"/>
  <c r="N466" i="15"/>
  <c r="J467" i="15"/>
  <c r="M467" i="15"/>
  <c r="N467" i="15"/>
  <c r="J468" i="15"/>
  <c r="M468" i="15"/>
  <c r="N468" i="15"/>
  <c r="J469" i="15"/>
  <c r="M469" i="15"/>
  <c r="N469" i="15"/>
  <c r="J470" i="15"/>
  <c r="M470" i="15"/>
  <c r="N470" i="15"/>
  <c r="J471" i="15"/>
  <c r="M471" i="15"/>
  <c r="N471" i="15"/>
  <c r="J472" i="15"/>
  <c r="M472" i="15"/>
  <c r="N472" i="15"/>
  <c r="J473" i="15"/>
  <c r="M473" i="15"/>
  <c r="N473" i="15"/>
  <c r="J474" i="15"/>
  <c r="M474" i="15"/>
  <c r="N474" i="15"/>
  <c r="J475" i="15"/>
  <c r="M475" i="15"/>
  <c r="N475" i="15"/>
  <c r="J476" i="15"/>
  <c r="M476" i="15"/>
  <c r="N476" i="15"/>
  <c r="J477" i="15"/>
  <c r="M477" i="15"/>
  <c r="N477" i="15"/>
  <c r="J478" i="15"/>
  <c r="M478" i="15"/>
  <c r="N478" i="15"/>
  <c r="J479" i="15"/>
  <c r="M479" i="15"/>
  <c r="N479" i="15"/>
  <c r="J480" i="15"/>
  <c r="M480" i="15"/>
  <c r="N480" i="15"/>
  <c r="J481" i="15"/>
  <c r="M481" i="15"/>
  <c r="N481" i="15"/>
  <c r="J482" i="15"/>
  <c r="M482" i="15"/>
  <c r="N482" i="15"/>
  <c r="J483" i="15"/>
  <c r="M483" i="15"/>
  <c r="N483" i="15"/>
  <c r="J484" i="15"/>
  <c r="M484" i="15"/>
  <c r="N484" i="15"/>
  <c r="J485" i="15"/>
  <c r="M485" i="15"/>
  <c r="N485" i="15"/>
  <c r="J486" i="15"/>
  <c r="M486" i="15"/>
  <c r="N486" i="15"/>
  <c r="J487" i="15"/>
  <c r="M487" i="15"/>
  <c r="N487" i="15"/>
  <c r="J488" i="15"/>
  <c r="M488" i="15"/>
  <c r="N488" i="15"/>
  <c r="J489" i="15"/>
  <c r="M489" i="15"/>
  <c r="N489" i="15"/>
  <c r="J490" i="15"/>
  <c r="M490" i="15"/>
  <c r="N490" i="15"/>
  <c r="J491" i="15"/>
  <c r="M491" i="15"/>
  <c r="N491" i="15"/>
  <c r="J492" i="15"/>
  <c r="M492" i="15"/>
  <c r="N492" i="15"/>
  <c r="J493" i="15"/>
  <c r="M493" i="15"/>
  <c r="N493" i="15"/>
  <c r="J494" i="15"/>
  <c r="M494" i="15"/>
  <c r="N494" i="15"/>
  <c r="J495" i="15"/>
  <c r="M495" i="15"/>
  <c r="N495" i="15"/>
  <c r="J496" i="15"/>
  <c r="M496" i="15"/>
  <c r="N496" i="15"/>
  <c r="J497" i="15"/>
  <c r="M497" i="15"/>
  <c r="N497" i="15"/>
  <c r="J498" i="15"/>
  <c r="M498" i="15"/>
  <c r="N498" i="15"/>
  <c r="J499" i="15"/>
  <c r="M499" i="15"/>
  <c r="N499" i="15"/>
  <c r="J500" i="15"/>
  <c r="M500" i="15"/>
  <c r="N500" i="15"/>
  <c r="J501" i="15"/>
  <c r="M501" i="15"/>
  <c r="N501" i="15"/>
  <c r="J502" i="15"/>
  <c r="M502" i="15"/>
  <c r="N502" i="15"/>
  <c r="J503" i="15"/>
  <c r="M503" i="15"/>
  <c r="N503" i="15"/>
  <c r="J504" i="15"/>
  <c r="M504" i="15"/>
  <c r="N504" i="15"/>
  <c r="J505" i="15"/>
  <c r="M505" i="15"/>
  <c r="N505" i="15"/>
  <c r="J506" i="15"/>
  <c r="M506" i="15"/>
  <c r="N506" i="15"/>
  <c r="J507" i="15"/>
  <c r="M507" i="15"/>
  <c r="N507" i="15"/>
  <c r="J508" i="15"/>
  <c r="M508" i="15"/>
  <c r="N508" i="15"/>
  <c r="J509" i="15"/>
  <c r="M509" i="15"/>
  <c r="N509" i="15"/>
  <c r="J510" i="15"/>
  <c r="M510" i="15"/>
  <c r="N510" i="15"/>
  <c r="J511" i="15"/>
  <c r="M511" i="15"/>
  <c r="N511" i="15"/>
  <c r="J512" i="15"/>
  <c r="M512" i="15"/>
  <c r="N512" i="15"/>
  <c r="J513" i="15"/>
  <c r="M513" i="15"/>
  <c r="N513" i="15"/>
  <c r="J514" i="15"/>
  <c r="M514" i="15"/>
  <c r="N514" i="15"/>
  <c r="J515" i="15"/>
  <c r="M515" i="15"/>
  <c r="N515" i="15"/>
  <c r="J516" i="15"/>
  <c r="M516" i="15"/>
  <c r="N516" i="15"/>
  <c r="J517" i="15"/>
  <c r="M517" i="15"/>
  <c r="N517" i="15"/>
  <c r="J518" i="15"/>
  <c r="M518" i="15"/>
  <c r="N518" i="15"/>
  <c r="J519" i="15"/>
  <c r="M519" i="15"/>
  <c r="N519" i="15"/>
  <c r="J520" i="15"/>
  <c r="M520" i="15"/>
  <c r="N520" i="15"/>
  <c r="J521" i="15"/>
  <c r="M521" i="15"/>
  <c r="N521" i="15"/>
  <c r="J522" i="15"/>
  <c r="M522" i="15"/>
  <c r="N522" i="15"/>
  <c r="J523" i="15"/>
  <c r="M523" i="15"/>
  <c r="N523" i="15"/>
  <c r="J524" i="15"/>
  <c r="M524" i="15"/>
  <c r="N524" i="15"/>
  <c r="J525" i="15"/>
  <c r="M525" i="15"/>
  <c r="N525" i="15"/>
  <c r="J526" i="15"/>
  <c r="M526" i="15"/>
  <c r="N526" i="15"/>
  <c r="J527" i="15"/>
  <c r="M527" i="15"/>
  <c r="N527" i="15"/>
  <c r="J528" i="15"/>
  <c r="M528" i="15"/>
  <c r="N528" i="15"/>
  <c r="J529" i="15"/>
  <c r="M529" i="15"/>
  <c r="N529" i="15"/>
  <c r="J530" i="15"/>
  <c r="M530" i="15"/>
  <c r="N530" i="15"/>
  <c r="J531" i="15"/>
  <c r="M531" i="15"/>
  <c r="N531" i="15"/>
  <c r="J532" i="15"/>
  <c r="M532" i="15"/>
  <c r="N532" i="15"/>
  <c r="J533" i="15"/>
  <c r="M533" i="15"/>
  <c r="N533" i="15"/>
  <c r="J534" i="15"/>
  <c r="M534" i="15"/>
  <c r="N534" i="15"/>
  <c r="J535" i="15"/>
  <c r="M535" i="15"/>
  <c r="N535" i="15"/>
  <c r="J536" i="15"/>
  <c r="M536" i="15"/>
  <c r="N536" i="15"/>
  <c r="J537" i="15"/>
  <c r="M537" i="15"/>
  <c r="N537" i="15"/>
  <c r="J538" i="15"/>
  <c r="M538" i="15"/>
  <c r="N538" i="15"/>
  <c r="J539" i="15"/>
  <c r="M539" i="15"/>
  <c r="N539" i="15"/>
  <c r="J540" i="15"/>
  <c r="M540" i="15"/>
  <c r="N540" i="15"/>
  <c r="J541" i="15"/>
  <c r="M541" i="15"/>
  <c r="N541" i="15"/>
  <c r="J542" i="15"/>
  <c r="M542" i="15"/>
  <c r="N542" i="15"/>
  <c r="J543" i="15"/>
  <c r="M543" i="15"/>
  <c r="N543" i="15"/>
  <c r="J544" i="15"/>
  <c r="M544" i="15"/>
  <c r="N544" i="15"/>
  <c r="J545" i="15"/>
  <c r="M545" i="15"/>
  <c r="N545" i="15"/>
  <c r="J546" i="15"/>
  <c r="M546" i="15"/>
  <c r="N546" i="15"/>
  <c r="J547" i="15"/>
  <c r="M547" i="15"/>
  <c r="N547" i="15"/>
  <c r="J548" i="15"/>
  <c r="M548" i="15"/>
  <c r="N548" i="15"/>
  <c r="J549" i="15"/>
  <c r="M549" i="15"/>
  <c r="N549" i="15"/>
  <c r="J550" i="15"/>
  <c r="M550" i="15"/>
  <c r="N550" i="15"/>
  <c r="J551" i="15"/>
  <c r="M551" i="15"/>
  <c r="N551" i="15"/>
  <c r="J552" i="15"/>
  <c r="M552" i="15"/>
  <c r="N552" i="15"/>
  <c r="J553" i="15"/>
  <c r="M553" i="15"/>
  <c r="N553" i="15"/>
  <c r="J554" i="15"/>
  <c r="M554" i="15"/>
  <c r="N554" i="15"/>
  <c r="J555" i="15"/>
  <c r="M555" i="15"/>
  <c r="N555" i="15"/>
  <c r="J556" i="15"/>
  <c r="M556" i="15"/>
  <c r="N556" i="15"/>
  <c r="J557" i="15"/>
  <c r="M557" i="15"/>
  <c r="N557" i="15"/>
  <c r="J558" i="15"/>
  <c r="M558" i="15"/>
  <c r="N558" i="15"/>
  <c r="J559" i="15"/>
  <c r="M559" i="15"/>
  <c r="N559" i="15"/>
  <c r="J560" i="15"/>
  <c r="M560" i="15"/>
  <c r="N560" i="15"/>
  <c r="J561" i="15"/>
  <c r="M561" i="15"/>
  <c r="N561" i="15"/>
  <c r="J562" i="15"/>
  <c r="M562" i="15"/>
  <c r="N562" i="15"/>
  <c r="J563" i="15"/>
  <c r="M563" i="15"/>
  <c r="N563" i="15"/>
  <c r="J564" i="15"/>
  <c r="M564" i="15"/>
  <c r="N564" i="15"/>
  <c r="J565" i="15"/>
  <c r="M565" i="15"/>
  <c r="N565" i="15"/>
  <c r="J566" i="15"/>
  <c r="M566" i="15"/>
  <c r="N566" i="15"/>
  <c r="J567" i="15"/>
  <c r="M567" i="15"/>
  <c r="N567" i="15"/>
  <c r="J568" i="15"/>
  <c r="M568" i="15"/>
  <c r="N568" i="15"/>
  <c r="J569" i="15"/>
  <c r="M569" i="15"/>
  <c r="N569" i="15"/>
  <c r="J570" i="15"/>
  <c r="M570" i="15"/>
  <c r="N570" i="15"/>
  <c r="J571" i="15"/>
  <c r="M571" i="15"/>
  <c r="N571" i="15"/>
  <c r="J572" i="15"/>
  <c r="M572" i="15"/>
  <c r="N572" i="15"/>
  <c r="J573" i="15"/>
  <c r="M573" i="15"/>
  <c r="N573" i="15"/>
  <c r="J574" i="15"/>
  <c r="M574" i="15"/>
  <c r="N574" i="15"/>
  <c r="J575" i="15"/>
  <c r="M575" i="15"/>
  <c r="N575" i="15"/>
  <c r="J576" i="15"/>
  <c r="M576" i="15"/>
  <c r="N576" i="15"/>
  <c r="J577" i="15"/>
  <c r="M577" i="15"/>
  <c r="N577" i="15"/>
  <c r="J578" i="15"/>
  <c r="M578" i="15"/>
  <c r="N578" i="15"/>
  <c r="J579" i="15"/>
  <c r="M579" i="15"/>
  <c r="N579" i="15"/>
  <c r="J580" i="15"/>
  <c r="M580" i="15"/>
  <c r="N580" i="15"/>
  <c r="J581" i="15"/>
  <c r="M581" i="15"/>
  <c r="N581" i="15"/>
  <c r="J582" i="15"/>
  <c r="M582" i="15"/>
  <c r="N582" i="15"/>
  <c r="J583" i="15"/>
  <c r="M583" i="15"/>
  <c r="N583" i="15"/>
  <c r="J584" i="15"/>
  <c r="M584" i="15"/>
  <c r="N584" i="15"/>
  <c r="J585" i="15"/>
  <c r="M585" i="15"/>
  <c r="N585" i="15"/>
  <c r="J586" i="15"/>
  <c r="M586" i="15"/>
  <c r="N586" i="15"/>
  <c r="J587" i="15"/>
  <c r="M587" i="15"/>
  <c r="N587" i="15"/>
  <c r="J588" i="15"/>
  <c r="M588" i="15"/>
  <c r="N588" i="15"/>
  <c r="J589" i="15"/>
  <c r="M589" i="15"/>
  <c r="N589" i="15"/>
  <c r="J590" i="15"/>
  <c r="M590" i="15"/>
  <c r="N590" i="15"/>
  <c r="J591" i="15"/>
  <c r="M591" i="15"/>
  <c r="N591" i="15"/>
  <c r="J592" i="15"/>
  <c r="M592" i="15"/>
  <c r="N592" i="15"/>
  <c r="J593" i="15"/>
  <c r="M593" i="15"/>
  <c r="N593" i="15"/>
  <c r="J594" i="15"/>
  <c r="M594" i="15"/>
  <c r="N594" i="15"/>
  <c r="J595" i="15"/>
  <c r="M595" i="15"/>
  <c r="N595" i="15"/>
  <c r="J596" i="15"/>
  <c r="M596" i="15"/>
  <c r="N596" i="15"/>
  <c r="J597" i="15"/>
  <c r="M597" i="15"/>
  <c r="N597" i="15"/>
  <c r="J598" i="15"/>
  <c r="M598" i="15"/>
  <c r="N598" i="15"/>
  <c r="J599" i="15"/>
  <c r="M599" i="15"/>
  <c r="N599" i="15"/>
  <c r="J600" i="15"/>
  <c r="M600" i="15"/>
  <c r="N600" i="15"/>
  <c r="J601" i="15"/>
  <c r="M601" i="15"/>
  <c r="N601" i="15"/>
  <c r="J602" i="15"/>
  <c r="M602" i="15"/>
  <c r="N602" i="15"/>
  <c r="J603" i="15"/>
  <c r="M603" i="15"/>
  <c r="N603" i="15"/>
  <c r="J604" i="15"/>
  <c r="M604" i="15"/>
  <c r="N604" i="15"/>
  <c r="J605" i="15"/>
  <c r="M605" i="15"/>
  <c r="N605" i="15"/>
  <c r="J606" i="15"/>
  <c r="M606" i="15"/>
  <c r="N606" i="15"/>
  <c r="J607" i="15"/>
  <c r="M607" i="15"/>
  <c r="N607" i="15"/>
  <c r="J608" i="15"/>
  <c r="M608" i="15"/>
  <c r="N608" i="15"/>
  <c r="J609" i="15"/>
  <c r="M609" i="15"/>
  <c r="N609" i="15"/>
  <c r="J610" i="15"/>
  <c r="M610" i="15"/>
  <c r="N610" i="15"/>
  <c r="J611" i="15"/>
  <c r="M611" i="15"/>
  <c r="N611" i="15"/>
  <c r="J612" i="15"/>
  <c r="M612" i="15"/>
  <c r="N612" i="15"/>
  <c r="J613" i="15"/>
  <c r="M613" i="15"/>
  <c r="N613" i="15"/>
  <c r="J614" i="15"/>
  <c r="M614" i="15"/>
  <c r="N614" i="15"/>
  <c r="J615" i="15"/>
  <c r="M615" i="15"/>
  <c r="N615" i="15"/>
  <c r="J616" i="15"/>
  <c r="M616" i="15"/>
  <c r="N616" i="15"/>
  <c r="J617" i="15"/>
  <c r="M617" i="15"/>
  <c r="N617" i="15"/>
  <c r="J618" i="15"/>
  <c r="M618" i="15"/>
  <c r="N618" i="15"/>
  <c r="J619" i="15"/>
  <c r="M619" i="15"/>
  <c r="N619" i="15"/>
  <c r="J620" i="15"/>
  <c r="M620" i="15"/>
  <c r="N620" i="15"/>
  <c r="J621" i="15"/>
  <c r="M621" i="15"/>
  <c r="N621" i="15"/>
  <c r="J622" i="15"/>
  <c r="M622" i="15"/>
  <c r="N622" i="15"/>
  <c r="J623" i="15"/>
  <c r="M623" i="15"/>
  <c r="N623" i="15"/>
  <c r="J624" i="15"/>
  <c r="M624" i="15"/>
  <c r="N624" i="15"/>
  <c r="J625" i="15"/>
  <c r="M625" i="15"/>
  <c r="N625" i="15"/>
  <c r="J626" i="15"/>
  <c r="M626" i="15"/>
  <c r="N626" i="15"/>
  <c r="J627" i="15"/>
  <c r="M627" i="15"/>
  <c r="N627" i="15"/>
  <c r="J628" i="15"/>
  <c r="M628" i="15"/>
  <c r="N628" i="15"/>
  <c r="J629" i="15"/>
  <c r="M629" i="15"/>
  <c r="N629" i="15"/>
  <c r="J630" i="15"/>
  <c r="M630" i="15"/>
  <c r="N630" i="15"/>
  <c r="J631" i="15"/>
  <c r="M631" i="15"/>
  <c r="N631" i="15"/>
  <c r="J632" i="15"/>
  <c r="M632" i="15"/>
  <c r="N632" i="15"/>
  <c r="J633" i="15"/>
  <c r="M633" i="15"/>
  <c r="N633" i="15"/>
  <c r="J634" i="15"/>
  <c r="M634" i="15"/>
  <c r="N634" i="15"/>
  <c r="J635" i="15"/>
  <c r="M635" i="15"/>
  <c r="N635" i="15"/>
  <c r="J636" i="15"/>
  <c r="M636" i="15"/>
  <c r="N636" i="15"/>
  <c r="J637" i="15"/>
  <c r="M637" i="15"/>
  <c r="N637" i="15"/>
  <c r="J638" i="15"/>
  <c r="M638" i="15"/>
  <c r="N638" i="15"/>
  <c r="J639" i="15"/>
  <c r="M639" i="15"/>
  <c r="N639" i="15"/>
  <c r="J640" i="15"/>
  <c r="M640" i="15"/>
  <c r="N640" i="15"/>
  <c r="J641" i="15"/>
  <c r="M641" i="15"/>
  <c r="N641" i="15"/>
  <c r="J642" i="15"/>
  <c r="M642" i="15"/>
  <c r="N642" i="15"/>
  <c r="J643" i="15"/>
  <c r="M643" i="15"/>
  <c r="N643" i="15"/>
  <c r="J644" i="15"/>
  <c r="M644" i="15"/>
  <c r="N644" i="15"/>
  <c r="J645" i="15"/>
  <c r="M645" i="15"/>
  <c r="N645" i="15"/>
  <c r="J646" i="15"/>
  <c r="M646" i="15"/>
  <c r="N646" i="15"/>
  <c r="J647" i="15"/>
  <c r="M647" i="15"/>
  <c r="N647" i="15"/>
  <c r="J648" i="15"/>
  <c r="M648" i="15"/>
  <c r="N648" i="15"/>
  <c r="J649" i="15"/>
  <c r="M649" i="15"/>
  <c r="N649" i="15"/>
  <c r="J650" i="15"/>
  <c r="M650" i="15"/>
  <c r="N650" i="15"/>
  <c r="J651" i="15"/>
  <c r="M651" i="15"/>
  <c r="N651" i="15"/>
  <c r="J652" i="15"/>
  <c r="M652" i="15"/>
  <c r="N652" i="15"/>
  <c r="J653" i="15"/>
  <c r="M653" i="15"/>
  <c r="N653" i="15"/>
  <c r="J654" i="15"/>
  <c r="M654" i="15"/>
  <c r="N654" i="15"/>
  <c r="J655" i="15"/>
  <c r="M655" i="15"/>
  <c r="N655" i="15"/>
  <c r="J656" i="15"/>
  <c r="M656" i="15"/>
  <c r="N656" i="15"/>
  <c r="J657" i="15"/>
  <c r="M657" i="15"/>
  <c r="N657" i="15"/>
  <c r="J658" i="15"/>
  <c r="M658" i="15"/>
  <c r="N658" i="15"/>
  <c r="J659" i="15"/>
  <c r="M659" i="15"/>
  <c r="N659" i="15"/>
  <c r="J660" i="15"/>
  <c r="M660" i="15"/>
  <c r="N660" i="15"/>
  <c r="J661" i="15"/>
  <c r="M661" i="15"/>
  <c r="N661" i="15"/>
  <c r="J662" i="15"/>
  <c r="M662" i="15"/>
  <c r="N662" i="15"/>
  <c r="J663" i="15"/>
  <c r="M663" i="15"/>
  <c r="N663" i="15"/>
  <c r="J664" i="15"/>
  <c r="M664" i="15"/>
  <c r="N664" i="15"/>
  <c r="J665" i="15"/>
  <c r="M665" i="15"/>
  <c r="N665" i="15"/>
  <c r="J666" i="15"/>
  <c r="M666" i="15"/>
  <c r="N666" i="15"/>
  <c r="J667" i="15"/>
  <c r="M667" i="15"/>
  <c r="N667" i="15"/>
  <c r="J668" i="15"/>
  <c r="M668" i="15"/>
  <c r="N668" i="15"/>
  <c r="J669" i="15"/>
  <c r="M669" i="15"/>
  <c r="N669" i="15"/>
  <c r="J670" i="15"/>
  <c r="M670" i="15"/>
  <c r="N670" i="15"/>
  <c r="J671" i="15"/>
  <c r="M671" i="15"/>
  <c r="N671" i="15"/>
  <c r="J672" i="15"/>
  <c r="M672" i="15"/>
  <c r="N672" i="15"/>
  <c r="J673" i="15"/>
  <c r="M673" i="15"/>
  <c r="N673" i="15"/>
  <c r="J674" i="15"/>
  <c r="M674" i="15"/>
  <c r="N674" i="15"/>
  <c r="J675" i="15"/>
  <c r="M675" i="15"/>
  <c r="N675" i="15"/>
  <c r="J676" i="15"/>
  <c r="M676" i="15"/>
  <c r="N676" i="15"/>
  <c r="J677" i="15"/>
  <c r="M677" i="15"/>
  <c r="N677" i="15"/>
  <c r="J678" i="15"/>
  <c r="M678" i="15"/>
  <c r="N678" i="15"/>
  <c r="J679" i="15"/>
  <c r="M679" i="15"/>
  <c r="N679" i="15"/>
  <c r="J680" i="15"/>
  <c r="M680" i="15"/>
  <c r="N680" i="15"/>
  <c r="J681" i="15"/>
  <c r="M681" i="15"/>
  <c r="N681" i="15"/>
  <c r="J682" i="15"/>
  <c r="M682" i="15"/>
  <c r="N682" i="15"/>
  <c r="J683" i="15"/>
  <c r="M683" i="15"/>
  <c r="N683" i="15"/>
  <c r="J684" i="15"/>
  <c r="M684" i="15"/>
  <c r="N684" i="15"/>
  <c r="J685" i="15"/>
  <c r="M685" i="15"/>
  <c r="N685" i="15"/>
  <c r="J686" i="15"/>
  <c r="M686" i="15"/>
  <c r="N686" i="15"/>
  <c r="J687" i="15"/>
  <c r="M687" i="15"/>
  <c r="N687" i="15"/>
  <c r="J688" i="15"/>
  <c r="M688" i="15"/>
  <c r="N688" i="15"/>
  <c r="J689" i="15"/>
  <c r="M689" i="15"/>
  <c r="N689" i="15"/>
  <c r="J690" i="15"/>
  <c r="M690" i="15"/>
  <c r="N690" i="15"/>
  <c r="J691" i="15"/>
  <c r="M691" i="15"/>
  <c r="N691" i="15"/>
  <c r="J692" i="15"/>
  <c r="M692" i="15"/>
  <c r="N692" i="15"/>
  <c r="J693" i="15"/>
  <c r="M693" i="15"/>
  <c r="N693" i="15"/>
  <c r="J694" i="15"/>
  <c r="M694" i="15"/>
  <c r="N694" i="15"/>
  <c r="J695" i="15"/>
  <c r="M695" i="15"/>
  <c r="N695" i="15"/>
  <c r="J696" i="15"/>
  <c r="M696" i="15"/>
  <c r="N696" i="15"/>
  <c r="J697" i="15"/>
  <c r="M697" i="15"/>
  <c r="N697" i="15"/>
  <c r="J698" i="15"/>
  <c r="M698" i="15"/>
  <c r="N698" i="15"/>
  <c r="J699" i="15"/>
  <c r="M699" i="15"/>
  <c r="N699" i="15"/>
  <c r="J700" i="15"/>
  <c r="M700" i="15"/>
  <c r="N700" i="15"/>
  <c r="J701" i="15"/>
  <c r="M701" i="15"/>
  <c r="N701" i="15"/>
  <c r="J702" i="15"/>
  <c r="M702" i="15"/>
  <c r="N702" i="15"/>
  <c r="J703" i="15"/>
  <c r="M703" i="15"/>
  <c r="N703" i="15"/>
  <c r="J704" i="15"/>
  <c r="M704" i="15"/>
  <c r="N704" i="15"/>
  <c r="J705" i="15"/>
  <c r="M705" i="15"/>
  <c r="N705" i="15"/>
  <c r="J706" i="15"/>
  <c r="M706" i="15"/>
  <c r="N706" i="15"/>
  <c r="J707" i="15"/>
  <c r="M707" i="15"/>
  <c r="N707" i="15"/>
  <c r="J708" i="15"/>
  <c r="M708" i="15"/>
  <c r="N708" i="15"/>
  <c r="J709" i="15"/>
  <c r="M709" i="15"/>
  <c r="N709" i="15"/>
  <c r="J710" i="15"/>
  <c r="M710" i="15"/>
  <c r="N710" i="15"/>
  <c r="J711" i="15"/>
  <c r="M711" i="15"/>
  <c r="N711" i="15"/>
  <c r="J712" i="15"/>
  <c r="M712" i="15"/>
  <c r="N712" i="15"/>
  <c r="J713" i="15"/>
  <c r="M713" i="15"/>
  <c r="N713" i="15"/>
  <c r="J714" i="15"/>
  <c r="M714" i="15"/>
  <c r="N714" i="15"/>
  <c r="J715" i="15"/>
  <c r="M715" i="15"/>
  <c r="N715" i="15"/>
  <c r="J716" i="15"/>
  <c r="M716" i="15"/>
  <c r="N716" i="15"/>
  <c r="J717" i="15"/>
  <c r="M717" i="15"/>
  <c r="N717" i="15"/>
  <c r="J718" i="15"/>
  <c r="M718" i="15"/>
  <c r="N718" i="15"/>
  <c r="J719" i="15"/>
  <c r="M719" i="15"/>
  <c r="N719" i="15"/>
  <c r="J720" i="15"/>
  <c r="M720" i="15"/>
  <c r="N720" i="15"/>
  <c r="J721" i="15"/>
  <c r="M721" i="15"/>
  <c r="N721" i="15"/>
  <c r="J722" i="15"/>
  <c r="M722" i="15"/>
  <c r="N722" i="15"/>
  <c r="J723" i="15"/>
  <c r="M723" i="15"/>
  <c r="N723" i="15"/>
  <c r="J724" i="15"/>
  <c r="M724" i="15"/>
  <c r="N724" i="15"/>
  <c r="J725" i="15"/>
  <c r="M725" i="15"/>
  <c r="N725" i="15"/>
  <c r="J726" i="15"/>
  <c r="M726" i="15"/>
  <c r="N726" i="15"/>
  <c r="J727" i="15"/>
  <c r="M727" i="15"/>
  <c r="N727" i="15"/>
  <c r="J728" i="15"/>
  <c r="M728" i="15"/>
  <c r="N728" i="15"/>
  <c r="J729" i="15"/>
  <c r="M729" i="15"/>
  <c r="N729" i="15"/>
  <c r="J730" i="15"/>
  <c r="M730" i="15"/>
  <c r="N730" i="15"/>
  <c r="J731" i="15"/>
  <c r="M731" i="15"/>
  <c r="N731" i="15"/>
  <c r="J732" i="15"/>
  <c r="M732" i="15"/>
  <c r="N732" i="15"/>
  <c r="J733" i="15"/>
  <c r="M733" i="15"/>
  <c r="N733" i="15"/>
  <c r="J734" i="15"/>
  <c r="M734" i="15"/>
  <c r="N734" i="15"/>
  <c r="J735" i="15"/>
  <c r="M735" i="15"/>
  <c r="N735" i="15"/>
  <c r="J736" i="15"/>
  <c r="M736" i="15"/>
  <c r="N736" i="15"/>
  <c r="J737" i="15"/>
  <c r="M737" i="15"/>
  <c r="N737" i="15"/>
  <c r="J738" i="15"/>
  <c r="M738" i="15"/>
  <c r="N738" i="15"/>
  <c r="J739" i="15"/>
  <c r="M739" i="15"/>
  <c r="N739" i="15"/>
  <c r="J740" i="15"/>
  <c r="M740" i="15"/>
  <c r="N740" i="15"/>
  <c r="J741" i="15"/>
  <c r="M741" i="15"/>
  <c r="N741" i="15"/>
  <c r="J742" i="15"/>
  <c r="M742" i="15"/>
  <c r="N742" i="15"/>
  <c r="J743" i="15"/>
  <c r="M743" i="15"/>
  <c r="N743" i="15"/>
  <c r="J744" i="15"/>
  <c r="M744" i="15"/>
  <c r="N744" i="15"/>
  <c r="J745" i="15"/>
  <c r="M745" i="15"/>
  <c r="N745" i="15"/>
  <c r="J746" i="15"/>
  <c r="M746" i="15"/>
  <c r="N746" i="15"/>
  <c r="J747" i="15"/>
  <c r="M747" i="15"/>
  <c r="N747" i="15"/>
  <c r="J748" i="15"/>
  <c r="M748" i="15"/>
  <c r="N748" i="15"/>
  <c r="J749" i="15"/>
  <c r="M749" i="15"/>
  <c r="N749" i="15"/>
  <c r="J750" i="15"/>
  <c r="M750" i="15"/>
  <c r="N750" i="15"/>
  <c r="J751" i="15"/>
  <c r="M751" i="15"/>
  <c r="N751" i="15"/>
  <c r="J752" i="15"/>
  <c r="M752" i="15"/>
  <c r="N752" i="15"/>
  <c r="J753" i="15"/>
  <c r="M753" i="15"/>
  <c r="N753" i="15"/>
  <c r="J754" i="15"/>
  <c r="M754" i="15"/>
  <c r="N754" i="15"/>
  <c r="J755" i="15"/>
  <c r="M755" i="15"/>
  <c r="N755" i="15"/>
  <c r="J756" i="15"/>
  <c r="M756" i="15"/>
  <c r="N756" i="15"/>
  <c r="J757" i="15"/>
  <c r="M757" i="15"/>
  <c r="N757" i="15"/>
  <c r="J758" i="15"/>
  <c r="M758" i="15"/>
  <c r="N758" i="15"/>
  <c r="J759" i="15"/>
  <c r="M759" i="15"/>
  <c r="N759" i="15"/>
  <c r="J760" i="15"/>
  <c r="M760" i="15"/>
  <c r="N760" i="15"/>
  <c r="J761" i="15"/>
  <c r="M761" i="15"/>
  <c r="N761" i="15"/>
  <c r="J762" i="15"/>
  <c r="M762" i="15"/>
  <c r="N762" i="15"/>
  <c r="J763" i="15"/>
  <c r="M763" i="15"/>
  <c r="N763" i="15"/>
  <c r="J764" i="15"/>
  <c r="M764" i="15"/>
  <c r="N764" i="15"/>
  <c r="J765" i="15"/>
  <c r="M765" i="15"/>
  <c r="N765" i="15"/>
  <c r="J766" i="15"/>
  <c r="M766" i="15"/>
  <c r="N766" i="15"/>
  <c r="J767" i="15"/>
  <c r="M767" i="15"/>
  <c r="N767" i="15"/>
  <c r="J768" i="15"/>
  <c r="M768" i="15"/>
  <c r="N768" i="15"/>
  <c r="J769" i="15"/>
  <c r="M769" i="15"/>
  <c r="N769" i="15"/>
  <c r="J770" i="15"/>
  <c r="M770" i="15"/>
  <c r="N770" i="15"/>
  <c r="J771" i="15"/>
  <c r="M771" i="15"/>
  <c r="N771" i="15"/>
  <c r="J772" i="15"/>
  <c r="M772" i="15"/>
  <c r="N772" i="15"/>
  <c r="J773" i="15"/>
  <c r="M773" i="15"/>
  <c r="N773" i="15"/>
  <c r="J774" i="15"/>
  <c r="M774" i="15"/>
  <c r="N774" i="15"/>
  <c r="J775" i="15"/>
  <c r="M775" i="15"/>
  <c r="N775" i="15"/>
  <c r="J776" i="15"/>
  <c r="M776" i="15"/>
  <c r="N776" i="15"/>
  <c r="J777" i="15"/>
  <c r="M777" i="15"/>
  <c r="N777" i="15"/>
  <c r="J778" i="15"/>
  <c r="M778" i="15"/>
  <c r="N778" i="15"/>
  <c r="J779" i="15"/>
  <c r="M779" i="15"/>
  <c r="N779" i="15"/>
  <c r="J780" i="15"/>
  <c r="M780" i="15"/>
  <c r="N780" i="15"/>
  <c r="J781" i="15"/>
  <c r="M781" i="15"/>
  <c r="N781" i="15"/>
  <c r="J782" i="15"/>
  <c r="M782" i="15"/>
  <c r="N782" i="15"/>
  <c r="J783" i="15"/>
  <c r="M783" i="15"/>
  <c r="N783" i="15"/>
  <c r="J784" i="15"/>
  <c r="M784" i="15"/>
  <c r="N784" i="15"/>
  <c r="J785" i="15"/>
  <c r="M785" i="15"/>
  <c r="N785" i="15"/>
  <c r="J786" i="15"/>
  <c r="M786" i="15"/>
  <c r="N786" i="15"/>
  <c r="J787" i="15"/>
  <c r="M787" i="15"/>
  <c r="N787" i="15"/>
  <c r="J788" i="15"/>
  <c r="M788" i="15"/>
  <c r="N788" i="15"/>
  <c r="J789" i="15"/>
  <c r="M789" i="15"/>
  <c r="N789" i="15"/>
  <c r="J790" i="15"/>
  <c r="M790" i="15"/>
  <c r="N790" i="15"/>
  <c r="J791" i="15"/>
  <c r="M791" i="15"/>
  <c r="N791" i="15"/>
  <c r="J792" i="15"/>
  <c r="M792" i="15"/>
  <c r="N792" i="15"/>
  <c r="J793" i="15"/>
  <c r="M793" i="15"/>
  <c r="N793" i="15"/>
  <c r="J794" i="15"/>
  <c r="M794" i="15"/>
  <c r="N794" i="15"/>
  <c r="J795" i="15"/>
  <c r="M795" i="15"/>
  <c r="N795" i="15"/>
  <c r="J796" i="15"/>
  <c r="M796" i="15"/>
  <c r="N796" i="15"/>
  <c r="J797" i="15"/>
  <c r="M797" i="15"/>
  <c r="N797" i="15"/>
  <c r="J798" i="15"/>
  <c r="M798" i="15"/>
  <c r="N798" i="15"/>
  <c r="J799" i="15"/>
  <c r="M799" i="15"/>
  <c r="N799" i="15"/>
  <c r="J800" i="15"/>
  <c r="M800" i="15"/>
  <c r="N800" i="15"/>
  <c r="J801" i="15"/>
  <c r="M801" i="15"/>
  <c r="N801" i="15"/>
  <c r="J802" i="15"/>
  <c r="M802" i="15"/>
  <c r="N802" i="15"/>
  <c r="J803" i="15"/>
  <c r="M803" i="15"/>
  <c r="N803" i="15"/>
  <c r="J804" i="15"/>
  <c r="M804" i="15"/>
  <c r="N804" i="15"/>
  <c r="J805" i="15"/>
  <c r="M805" i="15"/>
  <c r="N805" i="15"/>
  <c r="J806" i="15"/>
  <c r="M806" i="15"/>
  <c r="N806" i="15"/>
  <c r="J807" i="15"/>
  <c r="M807" i="15"/>
  <c r="N807" i="15"/>
  <c r="J808" i="15"/>
  <c r="M808" i="15"/>
  <c r="N808" i="15"/>
  <c r="J809" i="15"/>
  <c r="M809" i="15"/>
  <c r="N809" i="15"/>
  <c r="J810" i="15"/>
  <c r="M810" i="15"/>
  <c r="N810" i="15"/>
  <c r="J811" i="15"/>
  <c r="M811" i="15"/>
  <c r="N811" i="15"/>
  <c r="J812" i="15"/>
  <c r="M812" i="15"/>
  <c r="N812" i="15"/>
  <c r="J813" i="15"/>
  <c r="M813" i="15"/>
  <c r="N813" i="15"/>
  <c r="J814" i="15"/>
  <c r="M814" i="15"/>
  <c r="N814" i="15"/>
  <c r="J815" i="15"/>
  <c r="M815" i="15"/>
  <c r="N815" i="15"/>
  <c r="J816" i="15"/>
  <c r="M816" i="15"/>
  <c r="N816" i="15"/>
  <c r="J817" i="15"/>
  <c r="M817" i="15"/>
  <c r="N817" i="15"/>
  <c r="J818" i="15"/>
  <c r="M818" i="15"/>
  <c r="N818" i="15"/>
  <c r="J819" i="15"/>
  <c r="M819" i="15"/>
  <c r="N819" i="15"/>
  <c r="J820" i="15"/>
  <c r="M820" i="15"/>
  <c r="N820" i="15"/>
  <c r="J821" i="15"/>
  <c r="M821" i="15"/>
  <c r="N821" i="15"/>
  <c r="J822" i="15"/>
  <c r="M822" i="15"/>
  <c r="N822" i="15"/>
  <c r="J823" i="15"/>
  <c r="M823" i="15"/>
  <c r="N823" i="15"/>
  <c r="J824" i="15"/>
  <c r="M824" i="15"/>
  <c r="N824" i="15"/>
  <c r="J825" i="15"/>
  <c r="M825" i="15"/>
  <c r="N825" i="15"/>
  <c r="J826" i="15"/>
  <c r="M826" i="15"/>
  <c r="N826" i="15"/>
  <c r="J827" i="15"/>
  <c r="M827" i="15"/>
  <c r="N827" i="15"/>
  <c r="J828" i="15"/>
  <c r="M828" i="15"/>
  <c r="N828" i="15"/>
  <c r="J829" i="15"/>
  <c r="M829" i="15"/>
  <c r="N829" i="15"/>
  <c r="J830" i="15"/>
  <c r="M830" i="15"/>
  <c r="N830" i="15"/>
  <c r="J831" i="15"/>
  <c r="M831" i="15"/>
  <c r="N831" i="15"/>
  <c r="J832" i="15"/>
  <c r="M832" i="15"/>
  <c r="N832" i="15"/>
  <c r="J833" i="15"/>
  <c r="M833" i="15"/>
  <c r="N833" i="15"/>
  <c r="J834" i="15"/>
  <c r="M834" i="15"/>
  <c r="N834" i="15"/>
  <c r="J835" i="15"/>
  <c r="M835" i="15"/>
  <c r="N835" i="15"/>
  <c r="J836" i="15"/>
  <c r="M836" i="15"/>
  <c r="N836" i="15"/>
  <c r="J837" i="15"/>
  <c r="M837" i="15"/>
  <c r="N837" i="15"/>
  <c r="J838" i="15"/>
  <c r="M838" i="15"/>
  <c r="N838" i="15"/>
  <c r="J839" i="15"/>
  <c r="M839" i="15"/>
  <c r="N839" i="15"/>
  <c r="J840" i="15"/>
  <c r="M840" i="15"/>
  <c r="N840" i="15"/>
  <c r="J841" i="15"/>
  <c r="M841" i="15"/>
  <c r="N841" i="15"/>
  <c r="J842" i="15"/>
  <c r="M842" i="15"/>
  <c r="N842" i="15"/>
  <c r="J843" i="15"/>
  <c r="M843" i="15"/>
  <c r="N843" i="15"/>
  <c r="J844" i="15"/>
  <c r="M844" i="15"/>
  <c r="N844" i="15"/>
  <c r="J845" i="15"/>
  <c r="M845" i="15"/>
  <c r="N845" i="15"/>
  <c r="J846" i="15"/>
  <c r="M846" i="15"/>
  <c r="N846" i="15"/>
  <c r="J847" i="15"/>
  <c r="M847" i="15"/>
  <c r="N847" i="15"/>
  <c r="J848" i="15"/>
  <c r="M848" i="15"/>
  <c r="N848" i="15"/>
  <c r="J849" i="15"/>
  <c r="M849" i="15"/>
  <c r="N849" i="15"/>
  <c r="J850" i="15"/>
  <c r="M850" i="15"/>
  <c r="N850" i="15"/>
  <c r="J851" i="15"/>
  <c r="M851" i="15"/>
  <c r="N851" i="15"/>
  <c r="J852" i="15"/>
  <c r="M852" i="15"/>
  <c r="N852" i="15"/>
  <c r="J853" i="15"/>
  <c r="M853" i="15"/>
  <c r="N853" i="15"/>
  <c r="J854" i="15"/>
  <c r="M854" i="15"/>
  <c r="N854" i="15"/>
  <c r="J855" i="15"/>
  <c r="M855" i="15"/>
  <c r="N855" i="15"/>
  <c r="J856" i="15"/>
  <c r="M856" i="15"/>
  <c r="N856" i="15"/>
  <c r="J857" i="15"/>
  <c r="M857" i="15"/>
  <c r="N857" i="15"/>
  <c r="J858" i="15"/>
  <c r="M858" i="15"/>
  <c r="N858" i="15"/>
  <c r="J859" i="15"/>
  <c r="M859" i="15"/>
  <c r="N859" i="15"/>
  <c r="J860" i="15"/>
  <c r="M860" i="15"/>
  <c r="N860" i="15"/>
  <c r="J861" i="15"/>
  <c r="M861" i="15"/>
  <c r="N861" i="15"/>
  <c r="J862" i="15"/>
  <c r="M862" i="15"/>
  <c r="N862" i="15"/>
  <c r="J863" i="15"/>
  <c r="M863" i="15"/>
  <c r="N863" i="15"/>
  <c r="J864" i="15"/>
  <c r="M864" i="15"/>
  <c r="N864" i="15"/>
  <c r="J865" i="15"/>
  <c r="M865" i="15"/>
  <c r="N865" i="15"/>
  <c r="J866" i="15"/>
  <c r="M866" i="15"/>
  <c r="N866" i="15"/>
  <c r="J867" i="15"/>
  <c r="M867" i="15"/>
  <c r="N867" i="15"/>
  <c r="J868" i="15"/>
  <c r="M868" i="15"/>
  <c r="N868" i="15"/>
  <c r="J869" i="15"/>
  <c r="M869" i="15"/>
  <c r="N869" i="15"/>
  <c r="J870" i="15"/>
  <c r="M870" i="15"/>
  <c r="N870" i="15"/>
  <c r="J871" i="15"/>
  <c r="M871" i="15"/>
  <c r="N871" i="15"/>
  <c r="J872" i="15"/>
  <c r="M872" i="15"/>
  <c r="N872" i="15"/>
  <c r="J873" i="15"/>
  <c r="M873" i="15"/>
  <c r="N873" i="15"/>
  <c r="J874" i="15"/>
  <c r="M874" i="15"/>
  <c r="N874" i="15"/>
  <c r="J875" i="15"/>
  <c r="M875" i="15"/>
  <c r="N875" i="15"/>
  <c r="J876" i="15"/>
  <c r="M876" i="15"/>
  <c r="N876" i="15"/>
  <c r="J877" i="15"/>
  <c r="M877" i="15"/>
  <c r="N877" i="15"/>
  <c r="J878" i="15"/>
  <c r="M878" i="15"/>
  <c r="N878" i="15"/>
  <c r="J879" i="15"/>
  <c r="M879" i="15"/>
  <c r="N879" i="15"/>
  <c r="J880" i="15"/>
  <c r="M880" i="15"/>
  <c r="N880" i="15"/>
  <c r="J881" i="15"/>
  <c r="M881" i="15"/>
  <c r="N881" i="15"/>
  <c r="J882" i="15"/>
  <c r="M882" i="15"/>
  <c r="N882" i="15"/>
  <c r="J883" i="15"/>
  <c r="M883" i="15"/>
  <c r="N883" i="15"/>
  <c r="J884" i="15"/>
  <c r="M884" i="15"/>
  <c r="N884" i="15"/>
  <c r="J885" i="15"/>
  <c r="M885" i="15"/>
  <c r="N885" i="15"/>
  <c r="J886" i="15"/>
  <c r="M886" i="15"/>
  <c r="N886" i="15"/>
  <c r="J887" i="15"/>
  <c r="M887" i="15"/>
  <c r="N887" i="15"/>
  <c r="J888" i="15"/>
  <c r="M888" i="15"/>
  <c r="N888" i="15"/>
  <c r="J889" i="15"/>
  <c r="M889" i="15"/>
  <c r="N889" i="15"/>
  <c r="J890" i="15"/>
  <c r="M890" i="15"/>
  <c r="N890" i="15"/>
  <c r="J891" i="15"/>
  <c r="M891" i="15"/>
  <c r="N891" i="15"/>
  <c r="J892" i="15"/>
  <c r="M892" i="15"/>
  <c r="N892" i="15"/>
  <c r="J893" i="15"/>
  <c r="M893" i="15"/>
  <c r="N893" i="15"/>
  <c r="J894" i="15"/>
  <c r="M894" i="15"/>
  <c r="N894" i="15"/>
  <c r="J895" i="15"/>
  <c r="M895" i="15"/>
  <c r="N895" i="15"/>
  <c r="J896" i="15"/>
  <c r="M896" i="15"/>
  <c r="N896" i="15"/>
  <c r="J897" i="15"/>
  <c r="M897" i="15"/>
  <c r="N897" i="15"/>
  <c r="J898" i="15"/>
  <c r="M898" i="15"/>
  <c r="N898" i="15"/>
  <c r="J899" i="15"/>
  <c r="M899" i="15"/>
  <c r="N899" i="15"/>
  <c r="J900" i="15"/>
  <c r="M900" i="15"/>
  <c r="N900" i="15"/>
  <c r="J901" i="15"/>
  <c r="M901" i="15"/>
  <c r="N901" i="15"/>
  <c r="J902" i="15"/>
  <c r="M902" i="15"/>
  <c r="N902" i="15"/>
  <c r="J903" i="15"/>
  <c r="M903" i="15"/>
  <c r="N903" i="15"/>
  <c r="J904" i="15"/>
  <c r="M904" i="15"/>
  <c r="N904" i="15"/>
  <c r="J905" i="15"/>
  <c r="M905" i="15"/>
  <c r="N905" i="15"/>
  <c r="J906" i="15"/>
  <c r="M906" i="15"/>
  <c r="N906" i="15"/>
  <c r="J907" i="15"/>
  <c r="M907" i="15"/>
  <c r="N907" i="15"/>
  <c r="J908" i="15"/>
  <c r="M908" i="15"/>
  <c r="N908" i="15"/>
  <c r="J909" i="15"/>
  <c r="M909" i="15"/>
  <c r="N909" i="15"/>
  <c r="J910" i="15"/>
  <c r="M910" i="15"/>
  <c r="N910" i="15"/>
  <c r="J911" i="15"/>
  <c r="M911" i="15"/>
  <c r="N911" i="15"/>
  <c r="J912" i="15"/>
  <c r="M912" i="15"/>
  <c r="N912" i="15"/>
  <c r="J913" i="15"/>
  <c r="M913" i="15"/>
  <c r="N913" i="15"/>
  <c r="J914" i="15"/>
  <c r="M914" i="15"/>
  <c r="N914" i="15"/>
  <c r="J915" i="15"/>
  <c r="M915" i="15"/>
  <c r="N915" i="15"/>
  <c r="J916" i="15"/>
  <c r="M916" i="15"/>
  <c r="N916" i="15"/>
  <c r="J917" i="15"/>
  <c r="M917" i="15"/>
  <c r="N917" i="15"/>
  <c r="J918" i="15"/>
  <c r="M918" i="15"/>
  <c r="N918" i="15"/>
  <c r="J919" i="15"/>
  <c r="M919" i="15"/>
  <c r="N919" i="15"/>
  <c r="J920" i="15"/>
  <c r="M920" i="15"/>
  <c r="N920" i="15"/>
  <c r="J921" i="15"/>
  <c r="M921" i="15"/>
  <c r="N921" i="15"/>
  <c r="J922" i="15"/>
  <c r="M922" i="15"/>
  <c r="N922" i="15"/>
  <c r="J923" i="15"/>
  <c r="M923" i="15"/>
  <c r="N923" i="15"/>
  <c r="J924" i="15"/>
  <c r="M924" i="15"/>
  <c r="N924" i="15"/>
  <c r="J925" i="15"/>
  <c r="M925" i="15"/>
  <c r="N925" i="15"/>
  <c r="J926" i="15"/>
  <c r="M926" i="15"/>
  <c r="N926" i="15"/>
  <c r="J927" i="15"/>
  <c r="M927" i="15"/>
  <c r="N927" i="15"/>
  <c r="J928" i="15"/>
  <c r="M928" i="15"/>
  <c r="N928" i="15"/>
  <c r="J929" i="15"/>
  <c r="M929" i="15"/>
  <c r="N929" i="15"/>
  <c r="J930" i="15"/>
  <c r="M930" i="15"/>
  <c r="N930" i="15"/>
  <c r="J931" i="15"/>
  <c r="M931" i="15"/>
  <c r="N931" i="15"/>
  <c r="J932" i="15"/>
  <c r="M932" i="15"/>
  <c r="N932" i="15"/>
  <c r="J933" i="15"/>
  <c r="M933" i="15"/>
  <c r="N933" i="15"/>
  <c r="J934" i="15"/>
  <c r="M934" i="15"/>
  <c r="N934" i="15"/>
  <c r="J935" i="15"/>
  <c r="M935" i="15"/>
  <c r="N935" i="15"/>
  <c r="J936" i="15"/>
  <c r="M936" i="15"/>
  <c r="N936" i="15"/>
  <c r="J937" i="15"/>
  <c r="M937" i="15"/>
  <c r="N937" i="15"/>
  <c r="J938" i="15"/>
  <c r="M938" i="15"/>
  <c r="N938" i="15"/>
  <c r="J939" i="15"/>
  <c r="M939" i="15"/>
  <c r="N939" i="15"/>
  <c r="J940" i="15"/>
  <c r="M940" i="15"/>
  <c r="N940" i="15"/>
  <c r="J941" i="15"/>
  <c r="M941" i="15"/>
  <c r="N941" i="15"/>
  <c r="J942" i="15"/>
  <c r="M942" i="15"/>
  <c r="N942" i="15"/>
  <c r="J943" i="15"/>
  <c r="M943" i="15"/>
  <c r="N943" i="15"/>
  <c r="J944" i="15"/>
  <c r="M944" i="15"/>
  <c r="N944" i="15"/>
  <c r="J945" i="15"/>
  <c r="M945" i="15"/>
  <c r="N945" i="15"/>
  <c r="J946" i="15"/>
  <c r="M946" i="15"/>
  <c r="N946" i="15"/>
  <c r="J947" i="15"/>
  <c r="M947" i="15"/>
  <c r="N947" i="15"/>
  <c r="J948" i="15"/>
  <c r="M948" i="15"/>
  <c r="N948" i="15"/>
  <c r="J949" i="15"/>
  <c r="M949" i="15"/>
  <c r="N949" i="15"/>
  <c r="J950" i="15"/>
  <c r="M950" i="15"/>
  <c r="N950" i="15"/>
  <c r="J951" i="15"/>
  <c r="M951" i="15"/>
  <c r="N951" i="15"/>
  <c r="J952" i="15"/>
  <c r="M952" i="15"/>
  <c r="N952" i="15"/>
  <c r="J953" i="15"/>
  <c r="M953" i="15"/>
  <c r="N953" i="15"/>
  <c r="J954" i="15"/>
  <c r="M954" i="15"/>
  <c r="N954" i="15"/>
  <c r="J955" i="15"/>
  <c r="M955" i="15"/>
  <c r="N955" i="15"/>
  <c r="J956" i="15"/>
  <c r="M956" i="15"/>
  <c r="N956" i="15"/>
  <c r="J957" i="15"/>
  <c r="M957" i="15"/>
  <c r="N957" i="15"/>
  <c r="J958" i="15"/>
  <c r="M958" i="15"/>
  <c r="N958" i="15"/>
  <c r="J959" i="15"/>
  <c r="M959" i="15"/>
  <c r="N959" i="15"/>
  <c r="J960" i="15"/>
  <c r="M960" i="15"/>
  <c r="N960" i="15"/>
  <c r="J961" i="15"/>
  <c r="M961" i="15"/>
  <c r="N961" i="15"/>
  <c r="J962" i="15"/>
  <c r="M962" i="15"/>
  <c r="N962" i="15"/>
  <c r="J963" i="15"/>
  <c r="M963" i="15"/>
  <c r="N963" i="15"/>
  <c r="J964" i="15"/>
  <c r="M964" i="15"/>
  <c r="N964" i="15"/>
  <c r="J965" i="15"/>
  <c r="M965" i="15"/>
  <c r="N965" i="15"/>
  <c r="J966" i="15"/>
  <c r="M966" i="15"/>
  <c r="N966" i="15"/>
  <c r="J967" i="15"/>
  <c r="M967" i="15"/>
  <c r="N967" i="15"/>
  <c r="J968" i="15"/>
  <c r="M968" i="15"/>
  <c r="N968" i="15"/>
  <c r="J969" i="15"/>
  <c r="M969" i="15"/>
  <c r="N969" i="15"/>
  <c r="J970" i="15"/>
  <c r="M970" i="15"/>
  <c r="N970" i="15"/>
  <c r="J971" i="15"/>
  <c r="M971" i="15"/>
  <c r="N971" i="15"/>
  <c r="J972" i="15"/>
  <c r="M972" i="15"/>
  <c r="N972" i="15"/>
  <c r="J973" i="15"/>
  <c r="M973" i="15"/>
  <c r="N973" i="15"/>
  <c r="J974" i="15"/>
  <c r="M974" i="15"/>
  <c r="N974" i="15"/>
  <c r="J975" i="15"/>
  <c r="M975" i="15"/>
  <c r="N975" i="15"/>
  <c r="J976" i="15"/>
  <c r="M976" i="15"/>
  <c r="N976" i="15"/>
  <c r="J977" i="15"/>
  <c r="M977" i="15"/>
  <c r="N977" i="15"/>
  <c r="J978" i="15"/>
  <c r="M978" i="15"/>
  <c r="N978" i="15"/>
  <c r="J979" i="15"/>
  <c r="M979" i="15"/>
  <c r="N979" i="15"/>
  <c r="J980" i="15"/>
  <c r="M980" i="15"/>
  <c r="N980" i="15"/>
  <c r="J981" i="15"/>
  <c r="M981" i="15"/>
  <c r="N981" i="15"/>
  <c r="J982" i="15"/>
  <c r="M982" i="15"/>
  <c r="N982" i="15"/>
  <c r="J983" i="15"/>
  <c r="M983" i="15"/>
  <c r="N983" i="15"/>
  <c r="J984" i="15"/>
  <c r="M984" i="15"/>
  <c r="N984" i="15"/>
  <c r="J985" i="15"/>
  <c r="M985" i="15"/>
  <c r="N985" i="15"/>
  <c r="J986" i="15"/>
  <c r="M986" i="15"/>
  <c r="N986" i="15"/>
  <c r="J987" i="15"/>
  <c r="M987" i="15"/>
  <c r="N987" i="15"/>
  <c r="J988" i="15"/>
  <c r="M988" i="15"/>
  <c r="N988" i="15"/>
  <c r="J989" i="15"/>
  <c r="M989" i="15"/>
  <c r="N989" i="15"/>
  <c r="J990" i="15"/>
  <c r="M990" i="15"/>
  <c r="N990" i="15"/>
  <c r="J991" i="15"/>
  <c r="M991" i="15"/>
  <c r="N991" i="15"/>
  <c r="J992" i="15"/>
  <c r="M992" i="15"/>
  <c r="N992" i="15"/>
  <c r="J993" i="15"/>
  <c r="M993" i="15"/>
  <c r="N993" i="15"/>
  <c r="J994" i="15"/>
  <c r="M994" i="15"/>
  <c r="N994" i="15"/>
  <c r="J995" i="15"/>
  <c r="M995" i="15"/>
  <c r="N995" i="15"/>
  <c r="J996" i="15"/>
  <c r="M996" i="15"/>
  <c r="N996" i="15"/>
  <c r="J997" i="15"/>
  <c r="M997" i="15"/>
  <c r="N997" i="15"/>
  <c r="J998" i="15"/>
  <c r="M998" i="15"/>
  <c r="N998" i="15"/>
  <c r="J999" i="15"/>
  <c r="M999" i="15"/>
  <c r="N999" i="15"/>
  <c r="J1000" i="15"/>
  <c r="M1000" i="15"/>
  <c r="N1000" i="15"/>
  <c r="J1001" i="15"/>
  <c r="M1001" i="15"/>
  <c r="N1001" i="15"/>
  <c r="J1002" i="15"/>
  <c r="M1002" i="15"/>
  <c r="N1002" i="15"/>
  <c r="J1003" i="15"/>
  <c r="M1003" i="15"/>
  <c r="N1003" i="15"/>
  <c r="J1004" i="15"/>
  <c r="M1004" i="15"/>
  <c r="N1004" i="15"/>
  <c r="J1005" i="15"/>
  <c r="M1005" i="15"/>
  <c r="N1005" i="15"/>
  <c r="J1006" i="15"/>
  <c r="M1006" i="15"/>
  <c r="N1006" i="15"/>
  <c r="J1007" i="15"/>
  <c r="M1007" i="15"/>
  <c r="N1007" i="15"/>
  <c r="J1008" i="15"/>
  <c r="M1008" i="15"/>
  <c r="N1008" i="15"/>
  <c r="J1009" i="15"/>
  <c r="M1009" i="15"/>
  <c r="N1009" i="15"/>
  <c r="J1010" i="15"/>
  <c r="M1010" i="15"/>
  <c r="N1010" i="15"/>
  <c r="J1011" i="15"/>
  <c r="M1011" i="15"/>
  <c r="N1011" i="15"/>
  <c r="J1012" i="15"/>
  <c r="M1012" i="15"/>
  <c r="N1012" i="15"/>
  <c r="J1013" i="15"/>
  <c r="M1013" i="15"/>
  <c r="N1013" i="15"/>
  <c r="J1014" i="15"/>
  <c r="M1014" i="15"/>
  <c r="N1014" i="15"/>
  <c r="J1015" i="15"/>
  <c r="M1015" i="15"/>
  <c r="N1015" i="15"/>
  <c r="J1016" i="15"/>
  <c r="M1016" i="15"/>
  <c r="N1016" i="15"/>
  <c r="J1017" i="15"/>
  <c r="M1017" i="15"/>
  <c r="N1017" i="15"/>
  <c r="J1018" i="15"/>
  <c r="M1018" i="15"/>
  <c r="N1018" i="15"/>
  <c r="J1019" i="15"/>
  <c r="M1019" i="15"/>
  <c r="N1019" i="15"/>
  <c r="J1020" i="15"/>
  <c r="M1020" i="15"/>
  <c r="N1020" i="15"/>
  <c r="J1021" i="15"/>
  <c r="M1021" i="15"/>
  <c r="N1021" i="15"/>
  <c r="J1022" i="15"/>
  <c r="M1022" i="15"/>
  <c r="N1022" i="15"/>
  <c r="J1023" i="15"/>
  <c r="M1023" i="15"/>
  <c r="N1023" i="15"/>
  <c r="J1024" i="15"/>
  <c r="M1024" i="15"/>
  <c r="N1024" i="15"/>
  <c r="J1025" i="15"/>
  <c r="M1025" i="15"/>
  <c r="N1025" i="15"/>
  <c r="J1026" i="15"/>
  <c r="M1026" i="15"/>
  <c r="N1026" i="15"/>
  <c r="J1027" i="15"/>
  <c r="M1027" i="15"/>
  <c r="N1027" i="15"/>
  <c r="J1028" i="15"/>
  <c r="M1028" i="15"/>
  <c r="N1028" i="15"/>
  <c r="J1029" i="15"/>
  <c r="M1029" i="15"/>
  <c r="N1029" i="15"/>
  <c r="J1030" i="15"/>
  <c r="M1030" i="15"/>
  <c r="N1030" i="15"/>
  <c r="J1031" i="15"/>
  <c r="M1031" i="15"/>
  <c r="N1031" i="15"/>
  <c r="J1032" i="15"/>
  <c r="M1032" i="15"/>
  <c r="N1032" i="15"/>
  <c r="J1033" i="15"/>
  <c r="M1033" i="15"/>
  <c r="N1033" i="15"/>
  <c r="J1034" i="15"/>
  <c r="M1034" i="15"/>
  <c r="N1034" i="15"/>
  <c r="J1035" i="15"/>
  <c r="M1035" i="15"/>
  <c r="N1035" i="15"/>
  <c r="J1036" i="15"/>
  <c r="M1036" i="15"/>
  <c r="N1036" i="15"/>
  <c r="J1037" i="15"/>
  <c r="M1037" i="15"/>
  <c r="N1037" i="15"/>
  <c r="J1038" i="15"/>
  <c r="M1038" i="15"/>
  <c r="N1038" i="15"/>
  <c r="J1039" i="15"/>
  <c r="M1039" i="15"/>
  <c r="N1039" i="15"/>
  <c r="J1040" i="15"/>
  <c r="M1040" i="15"/>
  <c r="N1040" i="15"/>
  <c r="J1041" i="15"/>
  <c r="M1041" i="15"/>
  <c r="N1041" i="15"/>
  <c r="J1042" i="15"/>
  <c r="M1042" i="15"/>
  <c r="N1042" i="15"/>
  <c r="J1043" i="15"/>
  <c r="M1043" i="15"/>
  <c r="N1043" i="15"/>
  <c r="J1044" i="15"/>
  <c r="M1044" i="15"/>
  <c r="N1044" i="15"/>
  <c r="J1045" i="15"/>
  <c r="M1045" i="15"/>
  <c r="N1045" i="15"/>
  <c r="J1046" i="15"/>
  <c r="M1046" i="15"/>
  <c r="N1046" i="15"/>
  <c r="J1047" i="15"/>
  <c r="M1047" i="15"/>
  <c r="N1047" i="15"/>
  <c r="J1048" i="15"/>
  <c r="M1048" i="15"/>
  <c r="N1048" i="15"/>
  <c r="J1049" i="15"/>
  <c r="M1049" i="15"/>
  <c r="N1049" i="15"/>
  <c r="J1050" i="15"/>
  <c r="M1050" i="15"/>
  <c r="N1050" i="15"/>
  <c r="J1051" i="15"/>
  <c r="M1051" i="15"/>
  <c r="N1051" i="15"/>
  <c r="J1052" i="15"/>
  <c r="M1052" i="15"/>
  <c r="N1052" i="15"/>
  <c r="J1053" i="15"/>
  <c r="M1053" i="15"/>
  <c r="N1053" i="15"/>
  <c r="J1054" i="15"/>
  <c r="M1054" i="15"/>
  <c r="N1054" i="15"/>
  <c r="J1055" i="15"/>
  <c r="M1055" i="15"/>
  <c r="N1055" i="15"/>
  <c r="J1056" i="15"/>
  <c r="M1056" i="15"/>
  <c r="N1056" i="15"/>
  <c r="J1057" i="15"/>
  <c r="M1057" i="15"/>
  <c r="N1057" i="15"/>
  <c r="J1058" i="15"/>
  <c r="M1058" i="15"/>
  <c r="N1058" i="15"/>
  <c r="J1059" i="15"/>
  <c r="M1059" i="15"/>
  <c r="N1059" i="15"/>
  <c r="J1060" i="15"/>
  <c r="M1060" i="15"/>
  <c r="N1060" i="15"/>
  <c r="J1061" i="15"/>
  <c r="M1061" i="15"/>
  <c r="N1061" i="15"/>
  <c r="J1062" i="15"/>
  <c r="M1062" i="15"/>
  <c r="N1062" i="15"/>
  <c r="J1063" i="15"/>
  <c r="M1063" i="15"/>
  <c r="N1063" i="15"/>
  <c r="J1064" i="15"/>
  <c r="M1064" i="15"/>
  <c r="N1064" i="15"/>
  <c r="J1065" i="15"/>
  <c r="M1065" i="15"/>
  <c r="N1065" i="15"/>
  <c r="J1066" i="15"/>
  <c r="M1066" i="15"/>
  <c r="N1066" i="15"/>
  <c r="J1067" i="15"/>
  <c r="M1067" i="15"/>
  <c r="N1067" i="15"/>
  <c r="J1068" i="15"/>
  <c r="M1068" i="15"/>
  <c r="N1068" i="15"/>
  <c r="J1069" i="15"/>
  <c r="M1069" i="15"/>
  <c r="N1069" i="15"/>
  <c r="J1070" i="15"/>
  <c r="M1070" i="15"/>
  <c r="N1070" i="15"/>
  <c r="J1071" i="15"/>
  <c r="M1071" i="15"/>
  <c r="N1071" i="15"/>
  <c r="J1072" i="15"/>
  <c r="M1072" i="15"/>
  <c r="N1072" i="15"/>
  <c r="J1073" i="15"/>
  <c r="M1073" i="15"/>
  <c r="N1073" i="15"/>
  <c r="J1074" i="15"/>
  <c r="M1074" i="15"/>
  <c r="N1074" i="15"/>
  <c r="J1075" i="15"/>
  <c r="M1075" i="15"/>
  <c r="N1075" i="15"/>
  <c r="J1076" i="15"/>
  <c r="M1076" i="15"/>
  <c r="N1076" i="15"/>
  <c r="J1077" i="15"/>
  <c r="M1077" i="15"/>
  <c r="N1077" i="15"/>
  <c r="J1078" i="15"/>
  <c r="M1078" i="15"/>
  <c r="N1078" i="15"/>
  <c r="J1079" i="15"/>
  <c r="M1079" i="15"/>
  <c r="N1079" i="15"/>
  <c r="J1080" i="15"/>
  <c r="M1080" i="15"/>
  <c r="N1080" i="15"/>
  <c r="J1081" i="15"/>
  <c r="M1081" i="15"/>
  <c r="N1081" i="15"/>
  <c r="J1082" i="15"/>
  <c r="M1082" i="15"/>
  <c r="N1082" i="15"/>
  <c r="J1083" i="15"/>
  <c r="M1083" i="15"/>
  <c r="N1083" i="15"/>
  <c r="J1084" i="15"/>
  <c r="M1084" i="15"/>
  <c r="N1084" i="15"/>
  <c r="J1085" i="15"/>
  <c r="M1085" i="15"/>
  <c r="N1085" i="15"/>
  <c r="J1086" i="15"/>
  <c r="M1086" i="15"/>
  <c r="N1086" i="15"/>
  <c r="J1087" i="15"/>
  <c r="M1087" i="15"/>
  <c r="N1087" i="15"/>
  <c r="J1088" i="15"/>
  <c r="M1088" i="15"/>
  <c r="N1088" i="15"/>
  <c r="J1089" i="15"/>
  <c r="M1089" i="15"/>
  <c r="N1089" i="15"/>
  <c r="J1090" i="15"/>
  <c r="M1090" i="15"/>
  <c r="N1090" i="15"/>
  <c r="J1091" i="15"/>
  <c r="M1091" i="15"/>
  <c r="N1091" i="15"/>
  <c r="J1092" i="15"/>
  <c r="M1092" i="15"/>
  <c r="N1092" i="15"/>
  <c r="J1093" i="15"/>
  <c r="M1093" i="15"/>
  <c r="N1093" i="15"/>
  <c r="J1094" i="15"/>
  <c r="M1094" i="15"/>
  <c r="N1094" i="15"/>
  <c r="J1095" i="15"/>
  <c r="M1095" i="15"/>
  <c r="N1095" i="15"/>
  <c r="J1096" i="15"/>
  <c r="M1096" i="15"/>
  <c r="N1096" i="15"/>
  <c r="J1097" i="15"/>
  <c r="M1097" i="15"/>
  <c r="N1097" i="15"/>
  <c r="J1098" i="15"/>
  <c r="M1098" i="15"/>
  <c r="N1098" i="15"/>
  <c r="J1099" i="15"/>
  <c r="M1099" i="15"/>
  <c r="N1099" i="15"/>
  <c r="J1100" i="15"/>
  <c r="M1100" i="15"/>
  <c r="N1100" i="15"/>
  <c r="J1101" i="15"/>
  <c r="M1101" i="15"/>
  <c r="N1101" i="15"/>
  <c r="J1102" i="15"/>
  <c r="M1102" i="15"/>
  <c r="N1102" i="15"/>
  <c r="J1103" i="15"/>
  <c r="M1103" i="15"/>
  <c r="N1103" i="15"/>
  <c r="J1104" i="15"/>
  <c r="M1104" i="15"/>
  <c r="N1104" i="15"/>
  <c r="J1105" i="15"/>
  <c r="M1105" i="15"/>
  <c r="N1105" i="15"/>
  <c r="J1106" i="15"/>
  <c r="M1106" i="15"/>
  <c r="N1106" i="15"/>
  <c r="J1107" i="15"/>
  <c r="M1107" i="15"/>
  <c r="N1107" i="15"/>
  <c r="J1108" i="15"/>
  <c r="M1108" i="15"/>
  <c r="N1108" i="15"/>
  <c r="J1109" i="15"/>
  <c r="M1109" i="15"/>
  <c r="N1109" i="15"/>
  <c r="J1110" i="15"/>
  <c r="M1110" i="15"/>
  <c r="N1110" i="15"/>
  <c r="J1111" i="15"/>
  <c r="M1111" i="15"/>
  <c r="N1111" i="15"/>
  <c r="J1112" i="15"/>
  <c r="M1112" i="15"/>
  <c r="N1112" i="15"/>
  <c r="J1113" i="15"/>
  <c r="M1113" i="15"/>
  <c r="N1113" i="15"/>
  <c r="J1114" i="15"/>
  <c r="M1114" i="15"/>
  <c r="N1114" i="15"/>
  <c r="J1115" i="15"/>
  <c r="M1115" i="15"/>
  <c r="N1115" i="15"/>
  <c r="J1116" i="15"/>
  <c r="M1116" i="15"/>
  <c r="N1116" i="15"/>
  <c r="J1117" i="15"/>
  <c r="M1117" i="15"/>
  <c r="N1117" i="15"/>
  <c r="J1118" i="15"/>
  <c r="M1118" i="15"/>
  <c r="N1118" i="15"/>
  <c r="J1119" i="15"/>
  <c r="M1119" i="15"/>
  <c r="N1119" i="15"/>
  <c r="J1120" i="15"/>
  <c r="M1120" i="15"/>
  <c r="N1120" i="15"/>
  <c r="J1121" i="15"/>
  <c r="M1121" i="15"/>
  <c r="N1121" i="15"/>
  <c r="J1122" i="15"/>
  <c r="M1122" i="15"/>
  <c r="N1122" i="15"/>
  <c r="J1123" i="15"/>
  <c r="M1123" i="15"/>
  <c r="N1123" i="15"/>
  <c r="J1124" i="15"/>
  <c r="M1124" i="15"/>
  <c r="N1124" i="15"/>
  <c r="J1125" i="15"/>
  <c r="M1125" i="15"/>
  <c r="N1125" i="15"/>
  <c r="J1126" i="15"/>
  <c r="M1126" i="15"/>
  <c r="N1126" i="15"/>
  <c r="J1127" i="15"/>
  <c r="M1127" i="15"/>
  <c r="N1127" i="15"/>
  <c r="J1128" i="15"/>
  <c r="M1128" i="15"/>
  <c r="N1128" i="15"/>
  <c r="J1129" i="15"/>
  <c r="M1129" i="15"/>
  <c r="N1129" i="15"/>
  <c r="J1130" i="15"/>
  <c r="M1130" i="15"/>
  <c r="N1130" i="15"/>
  <c r="J1131" i="15"/>
  <c r="M1131" i="15"/>
  <c r="N1131" i="15"/>
  <c r="J1132" i="15"/>
  <c r="M1132" i="15"/>
  <c r="N1132" i="15"/>
  <c r="J1133" i="15"/>
  <c r="M1133" i="15"/>
  <c r="N1133" i="15"/>
  <c r="J1134" i="15"/>
  <c r="M1134" i="15"/>
  <c r="N1134" i="15"/>
  <c r="J1135" i="15"/>
  <c r="M1135" i="15"/>
  <c r="N1135" i="15"/>
  <c r="J1136" i="15"/>
  <c r="M1136" i="15"/>
  <c r="N1136" i="15"/>
  <c r="J1137" i="15"/>
  <c r="M1137" i="15"/>
  <c r="N1137" i="15"/>
  <c r="J1138" i="15"/>
  <c r="M1138" i="15"/>
  <c r="N1138" i="15"/>
  <c r="J1139" i="15"/>
  <c r="M1139" i="15"/>
  <c r="N1139" i="15"/>
  <c r="J1140" i="15"/>
  <c r="M1140" i="15"/>
  <c r="N1140" i="15"/>
  <c r="J1141" i="15"/>
  <c r="M1141" i="15"/>
  <c r="N1141" i="15"/>
  <c r="J1142" i="15"/>
  <c r="M1142" i="15"/>
  <c r="N1142" i="15"/>
  <c r="J1143" i="15"/>
  <c r="M1143" i="15"/>
  <c r="N1143" i="15"/>
  <c r="J1144" i="15"/>
  <c r="M1144" i="15"/>
  <c r="N1144" i="15"/>
  <c r="J1145" i="15"/>
  <c r="M1145" i="15"/>
  <c r="N1145" i="15"/>
  <c r="J1146" i="15"/>
  <c r="M1146" i="15"/>
  <c r="N1146" i="15"/>
  <c r="J1147" i="15"/>
  <c r="M1147" i="15"/>
  <c r="N1147" i="15"/>
  <c r="J1148" i="15"/>
  <c r="M1148" i="15"/>
  <c r="N1148" i="15"/>
  <c r="J1149" i="15"/>
  <c r="M1149" i="15"/>
  <c r="N1149" i="15"/>
  <c r="J1150" i="15"/>
  <c r="M1150" i="15"/>
  <c r="N1150" i="15"/>
  <c r="J1151" i="15"/>
  <c r="M1151" i="15"/>
  <c r="N1151" i="15"/>
  <c r="J1152" i="15"/>
  <c r="M1152" i="15"/>
  <c r="N1152" i="15"/>
  <c r="J1153" i="15"/>
  <c r="M1153" i="15"/>
  <c r="N1153" i="15"/>
  <c r="J1154" i="15"/>
  <c r="M1154" i="15"/>
  <c r="N1154" i="15"/>
  <c r="J1155" i="15"/>
  <c r="M1155" i="15"/>
  <c r="N1155" i="15"/>
  <c r="J1156" i="15"/>
  <c r="M1156" i="15"/>
  <c r="N1156" i="15"/>
  <c r="J1157" i="15"/>
  <c r="M1157" i="15"/>
  <c r="N1157" i="15"/>
  <c r="J1158" i="15"/>
  <c r="M1158" i="15"/>
  <c r="N1158" i="15"/>
  <c r="J1159" i="15"/>
  <c r="M1159" i="15"/>
  <c r="N1159" i="15"/>
  <c r="J1160" i="15"/>
  <c r="M1160" i="15"/>
  <c r="N1160" i="15"/>
  <c r="J1161" i="15"/>
  <c r="M1161" i="15"/>
  <c r="N1161" i="15"/>
  <c r="J1162" i="15"/>
  <c r="M1162" i="15"/>
  <c r="N1162" i="15"/>
  <c r="J1163" i="15"/>
  <c r="M1163" i="15"/>
  <c r="N1163" i="15"/>
  <c r="J1164" i="15"/>
  <c r="M1164" i="15"/>
  <c r="N1164" i="15"/>
  <c r="J1165" i="15"/>
  <c r="M1165" i="15"/>
  <c r="N1165" i="15"/>
  <c r="J1166" i="15"/>
  <c r="M1166" i="15"/>
  <c r="N1166" i="15"/>
  <c r="J1167" i="15"/>
  <c r="M1167" i="15"/>
  <c r="N1167" i="15"/>
  <c r="J1168" i="15"/>
  <c r="M1168" i="15"/>
  <c r="N1168" i="15"/>
  <c r="J1169" i="15"/>
  <c r="M1169" i="15"/>
  <c r="N1169" i="15"/>
  <c r="J1170" i="15"/>
  <c r="M1170" i="15"/>
  <c r="N1170" i="15"/>
  <c r="J1171" i="15"/>
  <c r="M1171" i="15"/>
  <c r="N1171" i="15"/>
  <c r="J1172" i="15"/>
  <c r="M1172" i="15"/>
  <c r="N1172" i="15"/>
  <c r="J1173" i="15"/>
  <c r="M1173" i="15"/>
  <c r="N1173" i="15"/>
  <c r="J1174" i="15"/>
  <c r="M1174" i="15"/>
  <c r="N1174" i="15"/>
  <c r="J1175" i="15"/>
  <c r="M1175" i="15"/>
  <c r="N1175" i="15"/>
  <c r="J1176" i="15"/>
  <c r="M1176" i="15"/>
  <c r="N1176" i="15"/>
  <c r="J1177" i="15"/>
  <c r="M1177" i="15"/>
  <c r="N1177" i="15"/>
  <c r="J1178" i="15"/>
  <c r="M1178" i="15"/>
  <c r="N1178" i="15"/>
  <c r="J1179" i="15"/>
  <c r="M1179" i="15"/>
  <c r="N1179" i="15"/>
  <c r="J1180" i="15"/>
  <c r="M1180" i="15"/>
  <c r="N1180" i="15"/>
  <c r="J1181" i="15"/>
  <c r="M1181" i="15"/>
  <c r="N1181" i="15"/>
  <c r="J1182" i="15"/>
  <c r="M1182" i="15"/>
  <c r="N1182" i="15"/>
  <c r="J1183" i="15"/>
  <c r="M1183" i="15"/>
  <c r="N1183" i="15"/>
  <c r="J1184" i="15"/>
  <c r="M1184" i="15"/>
  <c r="N1184" i="15"/>
  <c r="J1185" i="15"/>
  <c r="M1185" i="15"/>
  <c r="N1185" i="15"/>
  <c r="J1186" i="15"/>
  <c r="M1186" i="15"/>
  <c r="N1186" i="15"/>
  <c r="J1187" i="15"/>
  <c r="M1187" i="15"/>
  <c r="N1187" i="15"/>
  <c r="J1188" i="15"/>
  <c r="M1188" i="15"/>
  <c r="N1188" i="15"/>
  <c r="J1189" i="15"/>
  <c r="M1189" i="15"/>
  <c r="N1189" i="15"/>
  <c r="J1190" i="15"/>
  <c r="M1190" i="15"/>
  <c r="N1190" i="15"/>
  <c r="J1191" i="15"/>
  <c r="M1191" i="15"/>
  <c r="N1191" i="15"/>
  <c r="J1192" i="15"/>
  <c r="M1192" i="15"/>
  <c r="N1192" i="15"/>
  <c r="J1193" i="15"/>
  <c r="M1193" i="15"/>
  <c r="N1193" i="15"/>
  <c r="J1194" i="15"/>
  <c r="M1194" i="15"/>
  <c r="N1194" i="15"/>
  <c r="J1195" i="15"/>
  <c r="M1195" i="15"/>
  <c r="N1195" i="15"/>
  <c r="J1196" i="15"/>
  <c r="M1196" i="15"/>
  <c r="N1196" i="15"/>
  <c r="J1197" i="15"/>
  <c r="M1197" i="15"/>
  <c r="N1197" i="15"/>
  <c r="J1198" i="15"/>
  <c r="M1198" i="15"/>
  <c r="N1198" i="15"/>
  <c r="J1199" i="15"/>
  <c r="M1199" i="15"/>
  <c r="N1199" i="15"/>
  <c r="J1200" i="15"/>
  <c r="M1200" i="15"/>
  <c r="N1200" i="15"/>
  <c r="J1201" i="15"/>
  <c r="M1201" i="15"/>
  <c r="N1201" i="15"/>
  <c r="J1202" i="15"/>
  <c r="M1202" i="15"/>
  <c r="N1202" i="15"/>
  <c r="J1203" i="15"/>
  <c r="M1203" i="15"/>
  <c r="N1203" i="15"/>
  <c r="J1204" i="15"/>
  <c r="M1204" i="15"/>
  <c r="N1204" i="15"/>
  <c r="J1205" i="15"/>
  <c r="M1205" i="15"/>
  <c r="N1205" i="15"/>
  <c r="J1206" i="15"/>
  <c r="M1206" i="15"/>
  <c r="N1206" i="15"/>
  <c r="J1207" i="15"/>
  <c r="M1207" i="15"/>
  <c r="N1207" i="15"/>
  <c r="J1208" i="15"/>
  <c r="M1208" i="15"/>
  <c r="N1208" i="15"/>
  <c r="J1209" i="15"/>
  <c r="M1209" i="15"/>
  <c r="N1209" i="15"/>
  <c r="J1210" i="15"/>
  <c r="M1210" i="15"/>
  <c r="N1210" i="15"/>
  <c r="J1211" i="15"/>
  <c r="M1211" i="15"/>
  <c r="N1211" i="15"/>
  <c r="J1212" i="15"/>
  <c r="M1212" i="15"/>
  <c r="N1212" i="15"/>
  <c r="J1213" i="15"/>
  <c r="M1213" i="15"/>
  <c r="N1213" i="15"/>
  <c r="J1214" i="15"/>
  <c r="M1214" i="15"/>
  <c r="N1214" i="15"/>
  <c r="J1215" i="15"/>
  <c r="M1215" i="15"/>
  <c r="N1215" i="15"/>
  <c r="J1216" i="15"/>
  <c r="M1216" i="15"/>
  <c r="N1216" i="15"/>
  <c r="J1217" i="15"/>
  <c r="M1217" i="15"/>
  <c r="N1217" i="15"/>
  <c r="J1218" i="15"/>
  <c r="M1218" i="15"/>
  <c r="N1218" i="15"/>
  <c r="J1219" i="15"/>
  <c r="M1219" i="15"/>
  <c r="N1219" i="15"/>
  <c r="J1220" i="15"/>
  <c r="M1220" i="15"/>
  <c r="N1220" i="15"/>
  <c r="J1221" i="15"/>
  <c r="M1221" i="15"/>
  <c r="N1221" i="15"/>
  <c r="J1222" i="15"/>
  <c r="M1222" i="15"/>
  <c r="N1222" i="15"/>
  <c r="J1223" i="15"/>
  <c r="M1223" i="15"/>
  <c r="N1223" i="15"/>
  <c r="J1224" i="15"/>
  <c r="M1224" i="15"/>
  <c r="N1224" i="15"/>
  <c r="J1225" i="15"/>
  <c r="M1225" i="15"/>
  <c r="N1225" i="15"/>
  <c r="J1226" i="15"/>
  <c r="M1226" i="15"/>
  <c r="N1226" i="15"/>
  <c r="J1227" i="15"/>
  <c r="M1227" i="15"/>
  <c r="N1227" i="15"/>
  <c r="J1228" i="15"/>
  <c r="M1228" i="15"/>
  <c r="N1228" i="15"/>
  <c r="J1229" i="15"/>
  <c r="M1229" i="15"/>
  <c r="N1229" i="15"/>
  <c r="J1230" i="15"/>
  <c r="M1230" i="15"/>
  <c r="N1230" i="15"/>
  <c r="J1231" i="15"/>
  <c r="M1231" i="15"/>
  <c r="N1231" i="15"/>
  <c r="J1232" i="15"/>
  <c r="M1232" i="15"/>
  <c r="N1232" i="15"/>
  <c r="J1233" i="15"/>
  <c r="M1233" i="15"/>
  <c r="N1233" i="15"/>
  <c r="J1234" i="15"/>
  <c r="M1234" i="15"/>
  <c r="N1234" i="15"/>
  <c r="J1235" i="15"/>
  <c r="M1235" i="15"/>
  <c r="N1235" i="15"/>
  <c r="J1236" i="15"/>
  <c r="M1236" i="15"/>
  <c r="N1236" i="15"/>
  <c r="J1237" i="15"/>
  <c r="M1237" i="15"/>
  <c r="N1237" i="15"/>
  <c r="J1238" i="15"/>
  <c r="M1238" i="15"/>
  <c r="N1238" i="15"/>
  <c r="J1239" i="15"/>
  <c r="M1239" i="15"/>
  <c r="N1239" i="15"/>
  <c r="J1240" i="15"/>
  <c r="M1240" i="15"/>
  <c r="N1240" i="15"/>
  <c r="J1241" i="15"/>
  <c r="M1241" i="15"/>
  <c r="N1241" i="15"/>
  <c r="J1242" i="15"/>
  <c r="M1242" i="15"/>
  <c r="N1242" i="15"/>
  <c r="J1243" i="15"/>
  <c r="M1243" i="15"/>
  <c r="N1243" i="15"/>
  <c r="J1244" i="15"/>
  <c r="M1244" i="15"/>
  <c r="N1244" i="15"/>
  <c r="J1245" i="15"/>
  <c r="M1245" i="15"/>
  <c r="N1245" i="15"/>
  <c r="J1246" i="15"/>
  <c r="M1246" i="15"/>
  <c r="N1246" i="15"/>
  <c r="J1247" i="15"/>
  <c r="M1247" i="15"/>
  <c r="N1247" i="15"/>
  <c r="J1248" i="15"/>
  <c r="M1248" i="15"/>
  <c r="N1248" i="15"/>
  <c r="J1249" i="15"/>
  <c r="M1249" i="15"/>
  <c r="N1249" i="15"/>
  <c r="J1250" i="15"/>
  <c r="M1250" i="15"/>
  <c r="N1250" i="15"/>
  <c r="J1251" i="15"/>
  <c r="M1251" i="15"/>
  <c r="N1251" i="15"/>
  <c r="J1252" i="15"/>
  <c r="M1252" i="15"/>
  <c r="N1252" i="15"/>
  <c r="J1253" i="15"/>
  <c r="M1253" i="15"/>
  <c r="N1253" i="15"/>
  <c r="J1254" i="15"/>
  <c r="M1254" i="15"/>
  <c r="N1254" i="15"/>
  <c r="J1255" i="15"/>
  <c r="M1255" i="15"/>
  <c r="N1255" i="15"/>
  <c r="J1256" i="15"/>
  <c r="M1256" i="15"/>
  <c r="N1256" i="15"/>
  <c r="J1257" i="15"/>
  <c r="M1257" i="15"/>
  <c r="N1257" i="15"/>
  <c r="J1258" i="15"/>
  <c r="M1258" i="15"/>
  <c r="N1258" i="15"/>
  <c r="J1259" i="15"/>
  <c r="M1259" i="15"/>
  <c r="N1259" i="15"/>
  <c r="J1260" i="15"/>
  <c r="M1260" i="15"/>
  <c r="N1260" i="15"/>
  <c r="J1261" i="15"/>
  <c r="M1261" i="15"/>
  <c r="N1261" i="15"/>
  <c r="J1262" i="15"/>
  <c r="M1262" i="15"/>
  <c r="N1262" i="15"/>
  <c r="J1263" i="15"/>
  <c r="M1263" i="15"/>
  <c r="N1263" i="15"/>
  <c r="J1264" i="15"/>
  <c r="M1264" i="15"/>
  <c r="N1264" i="15"/>
  <c r="J1265" i="15"/>
  <c r="M1265" i="15"/>
  <c r="N1265" i="15"/>
  <c r="J1266" i="15"/>
  <c r="M1266" i="15"/>
  <c r="N1266" i="15"/>
  <c r="J1267" i="15"/>
  <c r="M1267" i="15"/>
  <c r="N1267" i="15"/>
  <c r="J1268" i="15"/>
  <c r="M1268" i="15"/>
  <c r="N1268" i="15"/>
  <c r="J1269" i="15"/>
  <c r="M1269" i="15"/>
  <c r="N1269" i="15"/>
  <c r="J1270" i="15"/>
  <c r="M1270" i="15"/>
  <c r="N1270" i="15"/>
  <c r="J1271" i="15"/>
  <c r="M1271" i="15"/>
  <c r="N1271" i="15"/>
  <c r="J1272" i="15"/>
  <c r="M1272" i="15"/>
  <c r="N1272" i="15"/>
  <c r="J1273" i="15"/>
  <c r="M1273" i="15"/>
  <c r="N1273" i="15"/>
  <c r="J1274" i="15"/>
  <c r="M1274" i="15"/>
  <c r="N1274" i="15"/>
  <c r="J1275" i="15"/>
  <c r="M1275" i="15"/>
  <c r="N1275" i="15"/>
  <c r="J1276" i="15"/>
  <c r="M1276" i="15"/>
  <c r="N1276" i="15"/>
  <c r="J1277" i="15"/>
  <c r="M1277" i="15"/>
  <c r="N1277" i="15"/>
  <c r="J1278" i="15"/>
  <c r="M1278" i="15"/>
  <c r="N1278" i="15"/>
  <c r="J1279" i="15"/>
  <c r="M1279" i="15"/>
  <c r="N1279" i="15"/>
  <c r="J1280" i="15"/>
  <c r="M1280" i="15"/>
  <c r="N1280" i="15"/>
  <c r="J1281" i="15"/>
  <c r="M1281" i="15"/>
  <c r="N1281" i="15"/>
  <c r="J1282" i="15"/>
  <c r="M1282" i="15"/>
  <c r="N1282" i="15"/>
  <c r="J1283" i="15"/>
  <c r="M1283" i="15"/>
  <c r="N1283" i="15"/>
  <c r="J1284" i="15"/>
  <c r="M1284" i="15"/>
  <c r="N1284" i="15"/>
  <c r="J1285" i="15"/>
  <c r="M1285" i="15"/>
  <c r="N1285" i="15"/>
  <c r="J1286" i="15"/>
  <c r="M1286" i="15"/>
  <c r="N1286" i="15"/>
  <c r="J1287" i="15"/>
  <c r="M1287" i="15"/>
  <c r="N1287" i="15"/>
  <c r="J1288" i="15"/>
  <c r="M1288" i="15"/>
  <c r="N1288" i="15"/>
  <c r="J1289" i="15"/>
  <c r="M1289" i="15"/>
  <c r="N1289" i="15"/>
  <c r="J1290" i="15"/>
  <c r="M1290" i="15"/>
  <c r="N1290" i="15"/>
  <c r="J1291" i="15"/>
  <c r="M1291" i="15"/>
  <c r="N1291" i="15"/>
  <c r="J1292" i="15"/>
  <c r="M1292" i="15"/>
  <c r="N1292" i="15"/>
  <c r="J1293" i="15"/>
  <c r="M1293" i="15"/>
  <c r="N1293" i="15"/>
  <c r="N1294" i="15"/>
  <c r="N1295" i="15"/>
  <c r="N1296" i="15"/>
  <c r="N1297" i="15"/>
  <c r="N1298" i="15"/>
  <c r="N1299" i="15"/>
  <c r="N1300" i="15"/>
  <c r="N1301" i="15"/>
  <c r="N1302" i="15"/>
  <c r="N1303" i="15"/>
  <c r="N1304" i="15"/>
  <c r="N1305" i="15"/>
  <c r="N1306" i="15"/>
  <c r="N1307" i="15"/>
  <c r="F3" i="11" l="1"/>
  <c r="N32" i="3" s="1"/>
  <c r="F4" i="11"/>
  <c r="F5" i="11"/>
  <c r="F6" i="11"/>
  <c r="F7" i="11"/>
  <c r="F8" i="11"/>
  <c r="N26" i="3" s="1"/>
  <c r="F9" i="11"/>
  <c r="N12" i="3" s="1"/>
  <c r="F10" i="11"/>
  <c r="F11" i="11"/>
  <c r="F12" i="11"/>
  <c r="F13" i="11"/>
  <c r="N23" i="3" s="1"/>
  <c r="F14" i="11"/>
  <c r="F15" i="11"/>
  <c r="N16" i="3" s="1"/>
  <c r="F16" i="11"/>
  <c r="N38" i="3" s="1"/>
  <c r="F17" i="11"/>
  <c r="N43" i="3" s="1"/>
  <c r="F18" i="11"/>
  <c r="N8" i="3" s="1"/>
  <c r="F19" i="11"/>
  <c r="N19" i="3" s="1"/>
  <c r="F20" i="11"/>
  <c r="F21" i="11"/>
  <c r="N39" i="3" s="1"/>
  <c r="F22" i="11"/>
  <c r="N64" i="3" s="1"/>
  <c r="F23" i="11"/>
  <c r="F24" i="11"/>
  <c r="N58" i="3" s="1"/>
  <c r="F25" i="11"/>
  <c r="N2" i="3" s="1"/>
  <c r="F26" i="11"/>
  <c r="N33" i="3" s="1"/>
  <c r="F27" i="11"/>
  <c r="N50" i="3" s="1"/>
  <c r="F28" i="11"/>
  <c r="N31" i="3" s="1"/>
  <c r="F29" i="11"/>
  <c r="N4" i="3" s="1"/>
  <c r="F30" i="11"/>
  <c r="F31" i="11"/>
  <c r="F32" i="11"/>
  <c r="N30" i="3" s="1"/>
  <c r="F33" i="11"/>
  <c r="N21" i="3" s="1"/>
  <c r="F34" i="11"/>
  <c r="N61" i="3" s="1"/>
  <c r="F35" i="11"/>
  <c r="N29" i="3" s="1"/>
  <c r="F36" i="11"/>
  <c r="F37" i="11"/>
  <c r="F38" i="11"/>
  <c r="N44" i="3" s="1"/>
  <c r="F39" i="11"/>
  <c r="F40" i="11"/>
  <c r="F41" i="11"/>
  <c r="F42" i="11"/>
  <c r="F43" i="11"/>
  <c r="F44" i="11"/>
  <c r="F45" i="11"/>
  <c r="F46" i="11"/>
  <c r="F47" i="11"/>
  <c r="F48" i="11"/>
  <c r="F49" i="11"/>
  <c r="F50" i="11"/>
  <c r="F51" i="11"/>
  <c r="F52" i="11"/>
  <c r="F53" i="11"/>
  <c r="F54" i="11"/>
  <c r="F55" i="11"/>
  <c r="F56" i="11"/>
  <c r="F57" i="11"/>
  <c r="F58" i="11"/>
  <c r="N57" i="3" s="1"/>
  <c r="F59" i="11"/>
  <c r="N25" i="3" s="1"/>
  <c r="F60" i="11"/>
  <c r="N24" i="3" s="1"/>
  <c r="F61" i="11"/>
  <c r="N3" i="3" s="1"/>
  <c r="F62" i="11"/>
  <c r="F63" i="11"/>
  <c r="F64" i="11"/>
  <c r="N52" i="3" s="1"/>
  <c r="F65" i="11"/>
  <c r="N34" i="3" s="1"/>
  <c r="F66" i="11"/>
  <c r="N41" i="3" s="1"/>
  <c r="F67" i="11"/>
  <c r="F68" i="11"/>
  <c r="F69" i="11"/>
  <c r="N47" i="3" s="1"/>
  <c r="F70" i="11"/>
  <c r="F71" i="11"/>
  <c r="F72" i="11"/>
  <c r="F73" i="11"/>
  <c r="F74" i="11"/>
  <c r="F75" i="11"/>
  <c r="N56" i="3" s="1"/>
  <c r="F76" i="11"/>
  <c r="N13" i="3" s="1"/>
  <c r="F77" i="11"/>
  <c r="N14" i="3" s="1"/>
  <c r="F78" i="11"/>
  <c r="F79" i="11"/>
  <c r="F80" i="11"/>
  <c r="N28" i="3" s="1"/>
  <c r="F81" i="11"/>
  <c r="F82" i="11"/>
  <c r="F83" i="11"/>
  <c r="N45" i="3" s="1"/>
  <c r="F84" i="11"/>
  <c r="F85" i="11"/>
  <c r="N17" i="3" s="1"/>
  <c r="F86" i="11"/>
  <c r="F87" i="11"/>
  <c r="N5" i="3" s="1"/>
  <c r="F88" i="11"/>
  <c r="F89" i="11"/>
  <c r="F90" i="11"/>
  <c r="F91" i="11"/>
  <c r="N37" i="3" s="1"/>
  <c r="F92" i="11"/>
  <c r="F93" i="11"/>
  <c r="F94" i="11"/>
  <c r="F95" i="11"/>
  <c r="F96" i="11"/>
  <c r="N36" i="3" s="1"/>
  <c r="F97" i="11"/>
  <c r="N54" i="3" s="1"/>
  <c r="F98" i="11"/>
  <c r="N49" i="3" s="1"/>
  <c r="F99" i="11"/>
  <c r="N46" i="3" s="1"/>
  <c r="F100" i="11"/>
  <c r="F101" i="11"/>
  <c r="F102" i="11"/>
  <c r="N15" i="3" s="1"/>
  <c r="F103" i="11"/>
  <c r="F104" i="11"/>
  <c r="N11" i="3" s="1"/>
  <c r="F105" i="11"/>
  <c r="F106" i="11"/>
  <c r="F107" i="11"/>
  <c r="F108" i="11"/>
  <c r="F109" i="11"/>
  <c r="F110" i="11"/>
  <c r="F111" i="11"/>
  <c r="F112" i="11"/>
  <c r="F113" i="11"/>
  <c r="F114" i="11"/>
  <c r="F115" i="11"/>
  <c r="N66" i="3" s="1"/>
  <c r="F116" i="11"/>
  <c r="F117" i="11"/>
  <c r="B2" i="11"/>
  <c r="F2" i="11"/>
  <c r="N48" i="3" s="1"/>
  <c r="K2" i="11"/>
  <c r="T2" i="11"/>
  <c r="B3" i="11"/>
  <c r="K3" i="11"/>
  <c r="T3" i="11"/>
  <c r="B4" i="11"/>
  <c r="K4" i="11"/>
  <c r="T4" i="11"/>
  <c r="B5" i="11"/>
  <c r="N60" i="3"/>
  <c r="K5" i="11"/>
  <c r="T5" i="11"/>
  <c r="B6" i="11"/>
  <c r="N51" i="3"/>
  <c r="K6" i="11"/>
  <c r="T6" i="11"/>
  <c r="B7" i="11"/>
  <c r="K7" i="11"/>
  <c r="T7" i="11"/>
  <c r="B8" i="11"/>
  <c r="K8" i="11"/>
  <c r="T8" i="11"/>
  <c r="B9" i="11"/>
  <c r="K9" i="11"/>
  <c r="T9" i="11"/>
  <c r="B10" i="11"/>
  <c r="K10" i="11"/>
  <c r="T10" i="11"/>
  <c r="B11" i="11"/>
  <c r="K11" i="11"/>
  <c r="T11" i="11"/>
  <c r="B12" i="11"/>
  <c r="K12" i="11"/>
  <c r="T12" i="11"/>
  <c r="B13" i="11"/>
  <c r="K13" i="11"/>
  <c r="T13" i="11"/>
  <c r="B14" i="11"/>
  <c r="N27" i="3"/>
  <c r="K14" i="11"/>
  <c r="T14" i="11"/>
  <c r="B15" i="11"/>
  <c r="K15" i="11"/>
  <c r="T15" i="11"/>
  <c r="B16" i="11"/>
  <c r="K16" i="11"/>
  <c r="T16" i="11"/>
  <c r="B17" i="11"/>
  <c r="K17" i="11"/>
  <c r="T17" i="11"/>
  <c r="B18" i="11"/>
  <c r="K18" i="11"/>
  <c r="T18" i="11"/>
  <c r="B19" i="11"/>
  <c r="K19" i="11"/>
  <c r="T19" i="11"/>
  <c r="B20" i="11"/>
  <c r="N53" i="3"/>
  <c r="K20" i="11"/>
  <c r="T20" i="11"/>
  <c r="B21" i="11"/>
  <c r="K21" i="11"/>
  <c r="T21" i="11"/>
  <c r="B22" i="11"/>
  <c r="K22" i="11"/>
  <c r="T22" i="11"/>
  <c r="B23" i="11"/>
  <c r="N10" i="3"/>
  <c r="K23" i="11"/>
  <c r="T23" i="11"/>
  <c r="B24" i="11"/>
  <c r="K24" i="11"/>
  <c r="T24" i="11"/>
  <c r="B25" i="11"/>
  <c r="K25" i="11"/>
  <c r="T25" i="11"/>
  <c r="B26" i="11"/>
  <c r="K26" i="11"/>
  <c r="T26" i="11"/>
  <c r="B27" i="11"/>
  <c r="K27" i="11"/>
  <c r="T27" i="11"/>
  <c r="B28" i="11"/>
  <c r="K28" i="11"/>
  <c r="T28" i="11"/>
  <c r="B29" i="11"/>
  <c r="K29" i="11"/>
  <c r="T29" i="11"/>
  <c r="B30" i="11"/>
  <c r="N40" i="3"/>
  <c r="K30" i="11"/>
  <c r="T30" i="11"/>
  <c r="B31" i="11"/>
  <c r="K31" i="11"/>
  <c r="T31" i="11"/>
  <c r="B32" i="11"/>
  <c r="K32" i="11"/>
  <c r="T32" i="11"/>
  <c r="B33" i="11"/>
  <c r="K33" i="11"/>
  <c r="T33" i="11"/>
  <c r="B34" i="11"/>
  <c r="K34" i="11"/>
  <c r="T34" i="11"/>
  <c r="B35" i="11"/>
  <c r="K35" i="11"/>
  <c r="T35" i="11"/>
  <c r="B36" i="11"/>
  <c r="N62" i="3"/>
  <c r="K36" i="11"/>
  <c r="T36" i="11"/>
  <c r="B37" i="11"/>
  <c r="K37" i="11"/>
  <c r="T37" i="11"/>
  <c r="B38" i="11"/>
  <c r="K38" i="11"/>
  <c r="T38" i="11"/>
  <c r="B39" i="11"/>
  <c r="N7" i="3"/>
  <c r="K39" i="11"/>
  <c r="T39" i="11"/>
  <c r="B40" i="11"/>
  <c r="K40" i="11"/>
  <c r="T40" i="11"/>
  <c r="B41" i="11"/>
  <c r="K41" i="11"/>
  <c r="T41" i="11"/>
  <c r="B42" i="11"/>
  <c r="K42" i="11"/>
  <c r="T42" i="11"/>
  <c r="B43" i="11"/>
  <c r="K43" i="11"/>
  <c r="T43" i="11"/>
  <c r="B44" i="11"/>
  <c r="N22" i="3"/>
  <c r="K44" i="11"/>
  <c r="T44" i="11"/>
  <c r="B45" i="11"/>
  <c r="N59" i="3"/>
  <c r="K45" i="11"/>
  <c r="T45" i="11"/>
  <c r="B46" i="11"/>
  <c r="K46" i="11"/>
  <c r="T46" i="11"/>
  <c r="B47" i="11"/>
  <c r="K47" i="11"/>
  <c r="T47" i="11"/>
  <c r="B48" i="11"/>
  <c r="K48" i="11"/>
  <c r="T48" i="11"/>
  <c r="B49" i="11"/>
  <c r="K49" i="11"/>
  <c r="T49" i="11"/>
  <c r="B50" i="11"/>
  <c r="K50" i="11"/>
  <c r="T50" i="11"/>
  <c r="B51" i="11"/>
  <c r="K51" i="11"/>
  <c r="T51" i="11"/>
  <c r="B52" i="11"/>
  <c r="K52" i="11"/>
  <c r="T52" i="11"/>
  <c r="B53" i="11"/>
  <c r="K53" i="11"/>
  <c r="T53" i="11"/>
  <c r="B54" i="11"/>
  <c r="K54" i="11"/>
  <c r="T54" i="11"/>
  <c r="B55" i="11"/>
  <c r="K55" i="11"/>
  <c r="T55" i="11"/>
  <c r="B56" i="11"/>
  <c r="K56" i="11"/>
  <c r="T56" i="11"/>
  <c r="B57" i="11"/>
  <c r="K57" i="11"/>
  <c r="T57" i="11"/>
  <c r="B58" i="11"/>
  <c r="K58" i="11"/>
  <c r="T58" i="11"/>
  <c r="B59" i="11"/>
  <c r="K59" i="11"/>
  <c r="T59" i="11"/>
  <c r="B60" i="11"/>
  <c r="K60" i="11"/>
  <c r="T60" i="11"/>
  <c r="B61" i="11"/>
  <c r="K61" i="11"/>
  <c r="T61" i="11"/>
  <c r="B62" i="11"/>
  <c r="K62" i="11"/>
  <c r="T62" i="11"/>
  <c r="B63" i="11"/>
  <c r="N35" i="3"/>
  <c r="K63" i="11"/>
  <c r="T63" i="11"/>
  <c r="B64" i="11"/>
  <c r="K64" i="11"/>
  <c r="T64" i="11"/>
  <c r="B65" i="11"/>
  <c r="K65" i="11"/>
  <c r="T65" i="11"/>
  <c r="B66" i="11"/>
  <c r="K66" i="11"/>
  <c r="T66" i="11"/>
  <c r="B67" i="11"/>
  <c r="K67" i="11"/>
  <c r="T67" i="11"/>
  <c r="B68" i="11"/>
  <c r="N55" i="3"/>
  <c r="K68" i="11"/>
  <c r="T68" i="11"/>
  <c r="B69" i="11"/>
  <c r="K69" i="11"/>
  <c r="T69" i="11"/>
  <c r="B70" i="11"/>
  <c r="N42" i="3"/>
  <c r="K70" i="11"/>
  <c r="T70" i="11"/>
  <c r="B71" i="11"/>
  <c r="N65" i="3"/>
  <c r="K71" i="11"/>
  <c r="T71" i="11"/>
  <c r="B72" i="11"/>
  <c r="K72" i="11"/>
  <c r="T72" i="11"/>
  <c r="B73" i="11"/>
  <c r="K73" i="11"/>
  <c r="T73" i="11"/>
  <c r="B74" i="11"/>
  <c r="K74" i="11"/>
  <c r="T74" i="11"/>
  <c r="B75" i="11"/>
  <c r="K75" i="11"/>
  <c r="T75" i="11"/>
  <c r="B76" i="11"/>
  <c r="K76" i="11"/>
  <c r="T76" i="11"/>
  <c r="B77" i="11"/>
  <c r="K77" i="11"/>
  <c r="T77" i="11"/>
  <c r="B78" i="11"/>
  <c r="K78" i="11"/>
  <c r="T78" i="11"/>
  <c r="B79" i="11"/>
  <c r="N20" i="3"/>
  <c r="K79" i="11"/>
  <c r="T79" i="11"/>
  <c r="B80" i="11"/>
  <c r="K80" i="11"/>
  <c r="T80" i="11"/>
  <c r="B81" i="11"/>
  <c r="K81" i="11"/>
  <c r="T81" i="11"/>
  <c r="B82" i="11"/>
  <c r="K82" i="11"/>
  <c r="T82" i="11"/>
  <c r="B83" i="11"/>
  <c r="K83" i="11"/>
  <c r="T83" i="11"/>
  <c r="B84" i="11"/>
  <c r="N9" i="3"/>
  <c r="K84" i="11"/>
  <c r="T84" i="11"/>
  <c r="B85" i="11"/>
  <c r="K85" i="11"/>
  <c r="T85" i="11"/>
  <c r="B86" i="11"/>
  <c r="N18" i="3"/>
  <c r="K86" i="11"/>
  <c r="T86" i="11"/>
  <c r="B87" i="11"/>
  <c r="K87" i="11"/>
  <c r="T87" i="11"/>
  <c r="B88" i="11"/>
  <c r="K88" i="11"/>
  <c r="T88" i="11"/>
  <c r="B89" i="11"/>
  <c r="K89" i="11"/>
  <c r="T89" i="11"/>
  <c r="B90" i="11"/>
  <c r="K90" i="11"/>
  <c r="T90" i="11"/>
  <c r="B91" i="11"/>
  <c r="K91" i="11"/>
  <c r="T91" i="11"/>
  <c r="B92" i="11"/>
  <c r="K92" i="11"/>
  <c r="T92" i="11"/>
  <c r="B93" i="11"/>
  <c r="K93" i="11"/>
  <c r="T93" i="11"/>
  <c r="B94" i="11"/>
  <c r="K94" i="11"/>
  <c r="T94" i="11"/>
  <c r="B95" i="11"/>
  <c r="N63" i="3"/>
  <c r="K95" i="11"/>
  <c r="T95" i="11"/>
  <c r="B96" i="11"/>
  <c r="K96" i="11"/>
  <c r="T96" i="11"/>
  <c r="B97" i="11"/>
  <c r="K97" i="11"/>
  <c r="T97" i="11"/>
  <c r="B98" i="11"/>
  <c r="K98" i="11"/>
  <c r="T98" i="11"/>
  <c r="B99" i="11"/>
  <c r="K99" i="11"/>
  <c r="T99" i="11"/>
  <c r="B100" i="11"/>
  <c r="K100" i="11"/>
  <c r="T100" i="11"/>
  <c r="B101" i="11"/>
  <c r="K101" i="11"/>
  <c r="T101" i="11"/>
  <c r="B102" i="11"/>
  <c r="K102" i="11"/>
  <c r="T102" i="11"/>
  <c r="B103" i="11"/>
  <c r="N6" i="3"/>
  <c r="K103" i="11"/>
  <c r="T103" i="11"/>
  <c r="B104" i="11"/>
  <c r="K104" i="11"/>
  <c r="T104" i="11"/>
  <c r="B105" i="11"/>
  <c r="K105" i="11"/>
  <c r="T105" i="11"/>
  <c r="B106" i="11"/>
  <c r="K106" i="11"/>
  <c r="T106" i="11"/>
  <c r="B107" i="11"/>
  <c r="K107" i="11"/>
  <c r="T107" i="11"/>
  <c r="B108" i="11"/>
  <c r="K108" i="11"/>
  <c r="T108" i="11"/>
  <c r="B109" i="11"/>
  <c r="K109" i="11"/>
  <c r="T109" i="11"/>
  <c r="B110" i="11"/>
  <c r="K110" i="11"/>
  <c r="T110" i="11"/>
  <c r="B111" i="11"/>
  <c r="K111" i="11"/>
  <c r="T111" i="11"/>
  <c r="B112" i="11"/>
  <c r="K112" i="11"/>
  <c r="T112" i="11"/>
  <c r="B113" i="11"/>
  <c r="K113" i="11"/>
  <c r="T113" i="11"/>
  <c r="B114" i="11"/>
  <c r="K114" i="11"/>
  <c r="T114" i="11"/>
  <c r="B115" i="11"/>
  <c r="K115" i="11"/>
  <c r="T115" i="11"/>
  <c r="B116" i="11"/>
  <c r="K116" i="11"/>
  <c r="T116" i="11"/>
  <c r="B117" i="11"/>
  <c r="K117" i="11"/>
  <c r="T117" i="11"/>
  <c r="D15" i="3"/>
  <c r="D38" i="3"/>
  <c r="D48" i="3"/>
  <c r="D57" i="3"/>
  <c r="I19" i="5"/>
  <c r="I18" i="5"/>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2" i="6"/>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2" i="3"/>
  <c r="M3" i="3"/>
  <c r="M4" i="3"/>
  <c r="M5" i="3"/>
  <c r="M6" i="3"/>
  <c r="M8" i="3"/>
  <c r="M9" i="3"/>
  <c r="M10" i="3"/>
  <c r="M11" i="3"/>
  <c r="M12" i="3"/>
  <c r="M13" i="3"/>
  <c r="M14" i="3"/>
  <c r="M16" i="3"/>
  <c r="M17" i="3"/>
  <c r="M18" i="3"/>
  <c r="M20" i="3"/>
  <c r="M21" i="3"/>
  <c r="M23" i="3"/>
  <c r="M24" i="3"/>
  <c r="M25" i="3"/>
  <c r="M26" i="3"/>
  <c r="M28" i="3"/>
  <c r="M29" i="3"/>
  <c r="M30" i="3"/>
  <c r="M31" i="3"/>
  <c r="M32" i="3"/>
  <c r="M33" i="3"/>
  <c r="M34" i="3"/>
  <c r="M35" i="3"/>
  <c r="M36" i="3"/>
  <c r="M37" i="3"/>
  <c r="M38" i="3"/>
  <c r="M39" i="3"/>
  <c r="M40" i="3"/>
  <c r="M41" i="3"/>
  <c r="M42" i="3"/>
  <c r="M43" i="3"/>
  <c r="M46" i="3"/>
  <c r="M47" i="3"/>
  <c r="M49" i="3"/>
  <c r="M50" i="3"/>
  <c r="M51" i="3"/>
  <c r="M52" i="3"/>
  <c r="M53" i="3"/>
  <c r="M54" i="3"/>
  <c r="M55" i="3"/>
  <c r="M58" i="3"/>
  <c r="M59" i="3"/>
  <c r="M61" i="3"/>
  <c r="M62" i="3"/>
  <c r="M63" i="3"/>
  <c r="M64" i="3"/>
  <c r="M2" i="3"/>
  <c r="D25" i="3" l="1"/>
  <c r="D16" i="3"/>
  <c r="D64" i="3"/>
  <c r="D23" i="3"/>
  <c r="D21" i="3"/>
  <c r="D2" i="3"/>
  <c r="D27" i="3"/>
  <c r="D53" i="3"/>
  <c r="D50" i="3"/>
  <c r="D7" i="3"/>
  <c r="D4" i="3"/>
  <c r="D39" i="3"/>
  <c r="D35" i="3"/>
  <c r="D52" i="3"/>
  <c r="D34" i="3"/>
  <c r="D55" i="3"/>
  <c r="D20" i="3"/>
  <c r="D28" i="3"/>
  <c r="D36" i="3"/>
  <c r="D6" i="3"/>
  <c r="D46" i="3" l="1"/>
  <c r="D49" i="3"/>
  <c r="D54" i="3"/>
  <c r="D63" i="3"/>
  <c r="D37" i="3"/>
  <c r="D30" i="3"/>
  <c r="D32" i="3"/>
  <c r="D43" i="3"/>
  <c r="D10" i="3"/>
  <c r="D58" i="3"/>
  <c r="D61" i="3"/>
  <c r="D29" i="3"/>
  <c r="D62" i="3"/>
  <c r="D60" i="3"/>
  <c r="D8" i="3"/>
  <c r="D51" i="3"/>
  <c r="D19" i="3"/>
  <c r="D33" i="3"/>
  <c r="D44" i="3"/>
  <c r="D31" i="3"/>
  <c r="D22" i="3"/>
  <c r="D59" i="3"/>
  <c r="D26" i="3"/>
  <c r="D12" i="3"/>
  <c r="D40" i="3"/>
  <c r="D24" i="3"/>
  <c r="D3" i="3"/>
  <c r="D41" i="3"/>
  <c r="D47" i="3"/>
  <c r="D42" i="3"/>
  <c r="D65" i="3"/>
  <c r="D56" i="3"/>
  <c r="D13" i="3"/>
  <c r="D14" i="3"/>
  <c r="D45" i="3"/>
  <c r="D9" i="3"/>
  <c r="D17" i="3"/>
  <c r="D18" i="3"/>
  <c r="D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tc={2151EE8A-0946-4B33-9235-B9889D52F417}</author>
    <author>tc={50A8C71E-CBEE-4A0D-AF8C-06B28814CE6B}</author>
    <author>tc={AA380214-3CCE-4FCF-BF46-49F49201D416}</author>
    <author>tc={74F7D663-C11B-4057-970B-683E56D9CB12}</author>
  </authors>
  <commentList>
    <comment ref="H24" authorId="0" shapeId="0" xr:uid="{2151EE8A-0946-4B33-9235-B9889D52F417}">
      <text>
        <t>[Comentário encadeado]
Sua versão do Excel permite que você leia este comentário encadeado, no entanto, as edições serão removidas se o arquivo for aberto em uma versão mais recente do Excel. Saiba mais: https://go.microsoft.com/fwlink/?linkid=870924
Comentário:
    ALMOXARIFE ENTREGOU EQUIPAMENTO ERRADO</t>
      </text>
    </comment>
    <comment ref="A31" authorId="1" shapeId="0" xr:uid="{50A8C71E-CBEE-4A0D-AF8C-06B28814CE6B}">
      <text>
        <t>[Comentário encadeado]
Sua versão do Excel permite que você leia este comentário encadeado, no entanto, as edições serão removidas se o arquivo for aberto em uma versão mais recente do Excel. Saiba mais: https://go.microsoft.com/fwlink/?linkid=870924
Comentário:
    Concluído até aqui</t>
      </text>
    </comment>
    <comment ref="G85" authorId="2" shapeId="0" xr:uid="{AA380214-3CCE-4FCF-BF46-49F49201D416}">
      <text>
        <t>[Comentário encadeado]
Sua versão do Excel permite que você leia este comentário encadeado, no entanto, as edições serão removidas se o arquivo for aberto em uma versão mais recente do Excel. Saiba mais: https://go.microsoft.com/fwlink/?linkid=870924
Comentário:
    REPASSEI PARA ELES E REPASSARAM NOVAMENTE</t>
      </text>
    </comment>
    <comment ref="A95" authorId="3" shapeId="0" xr:uid="{74F7D663-C11B-4057-970B-683E56D9CB1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13.800 TANQUE TOCANTINOPOLIS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tc={A1AF3B86-1E1A-44A2-AC2D-34241E78816A}</author>
  </authors>
  <commentList>
    <comment ref="I1" authorId="0" shapeId="0" xr:uid="{A1AF3B86-1E1A-44A2-AC2D-34241E78816A}">
      <text>
        <t>[Comentário encadeado]
Sua versão do Excel permite que você leia este comentário encadeado, no entanto, as edições serão removidas se o arquivo for aberto em uma versão mais recente do Excel. Saiba mais: https://go.microsoft.com/fwlink/?linkid=870924
Comentário:
    As vezes não roda no APP da proteção devido a fórmula</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BC0AAA-EE54-4BF2-8ACF-0E506B37AFAC}" keepAlive="1" name="Consulta - BASE SS_OS" description="Conexão com a consulta 'BASE SS_OS' na pasta de trabalho." type="5" refreshedVersion="8" background="1" saveData="1">
    <dbPr connection="Provider=Microsoft.Mashup.OleDb.1;Data Source=$Workbook$;Location=&quot;BASE SS_OS&quot;;Extended Properties=&quot;&quot;" command="SELECT * FROM [BASE SS_OS]"/>
  </connection>
  <connection id="2" xr16:uid="{23CF986C-B949-4EEE-A512-69CD21040DC4}" keepAlive="1" name="ThisWorkbookDataModel" description="Modelo de Dad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2D41664-1F35-4C90-9D1F-6D5FA76FEF5D}" name="WorksheetConnection_Planilha1!$A$1:$L$66" type="102" refreshedVersion="8" minRefreshableVersion="5">
    <extLst>
      <ext xmlns:x15="http://schemas.microsoft.com/office/spreadsheetml/2010/11/main" uri="{DE250136-89BD-433C-8126-D09CA5730AF9}">
        <x15:connection id="Intervalo" autoDelete="1">
          <x15:rangePr sourceName="_xlcn.WorksheetConnection_Planilha1A1L661"/>
        </x15:connection>
      </ext>
    </extLst>
  </connection>
</connections>
</file>

<file path=xl/sharedStrings.xml><?xml version="1.0" encoding="utf-8"?>
<sst xmlns="http://schemas.openxmlformats.org/spreadsheetml/2006/main" count="17210" uniqueCount="1465">
  <si>
    <t>Ativo</t>
  </si>
  <si>
    <t>Tipo</t>
  </si>
  <si>
    <t>Localidade</t>
  </si>
  <si>
    <t>Polo</t>
  </si>
  <si>
    <t>Regional</t>
  </si>
  <si>
    <t>SS aberta</t>
  </si>
  <si>
    <t>Parecer COEP</t>
  </si>
  <si>
    <t>Observação</t>
  </si>
  <si>
    <t>Check de concluídas</t>
  </si>
  <si>
    <t>Defeito identificado</t>
  </si>
  <si>
    <t>Descrição SS</t>
  </si>
  <si>
    <t>Premissa 1</t>
  </si>
  <si>
    <t>Premissa 2</t>
  </si>
  <si>
    <t>Premissa 3</t>
  </si>
  <si>
    <t>Premissa 4</t>
  </si>
  <si>
    <t>Premissa 5</t>
  </si>
  <si>
    <t>Premissa 6</t>
  </si>
  <si>
    <t>Premissa 7</t>
  </si>
  <si>
    <t>Premissa 8</t>
  </si>
  <si>
    <t>Priorização</t>
  </si>
  <si>
    <t>Criticidade</t>
  </si>
  <si>
    <t>Observação após análise</t>
  </si>
  <si>
    <t>Legenda</t>
  </si>
  <si>
    <t>ARAGUAINA</t>
  </si>
  <si>
    <t>NORTE</t>
  </si>
  <si>
    <t>Aguardando atualização de informação DMSL</t>
  </si>
  <si>
    <t>Muito Alta</t>
  </si>
  <si>
    <t>Transferência de cargas na RDU de Araguaína (2797 UCs)</t>
  </si>
  <si>
    <t>(*)</t>
  </si>
  <si>
    <t>Não houve ataque do DMSL</t>
  </si>
  <si>
    <t>RIO SONO</t>
  </si>
  <si>
    <t>TAQUARALTO</t>
  </si>
  <si>
    <t>CENTRO</t>
  </si>
  <si>
    <t>DMSL verificando sobre as placas em estoque</t>
  </si>
  <si>
    <t>Transferência da RDU de Lizarda (1650 UCs) para fonte alternativa</t>
  </si>
  <si>
    <t>Transferência dos bairros JD Santa Helena, Jd Filadelfiae Setor Caraja em Araguaína (2053 UCs), AL 254R de AR I e AL 214R de AR III</t>
  </si>
  <si>
    <t>PORTO NACIONAL</t>
  </si>
  <si>
    <t>Transferência do Distrito Ind de Porto Nacional e GAs</t>
  </si>
  <si>
    <t>GOIATINS</t>
  </si>
  <si>
    <t>Transferência de Goiatins e GAs (2492 UCs)</t>
  </si>
  <si>
    <t>MATEIROS</t>
  </si>
  <si>
    <t>PONTE ALTA TOCANTINS</t>
  </si>
  <si>
    <t>ETO-TELE 970/2026 concluída e equipamento fora de operação</t>
  </si>
  <si>
    <t>Alta</t>
  </si>
  <si>
    <t>Isolação de trecho e transferência das cidades de São Felix e Mateiros para gerador, além de atendimento de clientes rurais</t>
  </si>
  <si>
    <t>1 tanque NOJA sobrando</t>
  </si>
  <si>
    <t>Em andamento</t>
  </si>
  <si>
    <t>Tanque cooper</t>
  </si>
  <si>
    <t>Transferência de Babaçulândia, 4 RLs sendo 2 operando</t>
  </si>
  <si>
    <t>PALMEIRAS DO TOCANTINS</t>
  </si>
  <si>
    <t>TOCANTINOPOLIS</t>
  </si>
  <si>
    <t>DMSL verificando problema na parte ativa e comunicação</t>
  </si>
  <si>
    <t>Tanque, relé e chave</t>
  </si>
  <si>
    <t>Transferência de Palmeiras, 3 fontes operando</t>
  </si>
  <si>
    <t>Tanque</t>
  </si>
  <si>
    <t>Transferência dos Grupos A -  Ramal do Rossato (TF 225kVA e TF 750kVA)</t>
  </si>
  <si>
    <t>DUERE</t>
  </si>
  <si>
    <t>GURUPI</t>
  </si>
  <si>
    <t>SUL</t>
  </si>
  <si>
    <t>Transferência do Grupo A - Xavante (TF 1087,5 kVA) e outros GA menores</t>
  </si>
  <si>
    <t>ESPERANTINA</t>
  </si>
  <si>
    <t>AUGUSTINOPOLIS</t>
  </si>
  <si>
    <t>Aguardando comissionamento</t>
  </si>
  <si>
    <t>Transferência de Esperantina, fonte principal operando</t>
  </si>
  <si>
    <t>ALMAS</t>
  </si>
  <si>
    <t>DIANOPOLIS</t>
  </si>
  <si>
    <t>Aguardando confirmação em campo sobre o equipamento</t>
  </si>
  <si>
    <t>Conexão invertida entre fonte e carga</t>
  </si>
  <si>
    <t>Conexão invertida</t>
  </si>
  <si>
    <t>-</t>
  </si>
  <si>
    <t>Atendimento da região da Engegold, Nativa, cidade Natividade e Chapada da Natividade</t>
  </si>
  <si>
    <t>Foi realizado os serviços apontados pelo DMSL?</t>
  </si>
  <si>
    <t>Controle e aterramento</t>
  </si>
  <si>
    <t>Em caso de perca da fonte principal é necessário esse RT para alimentação da Frísia</t>
  </si>
  <si>
    <t>SILVANOPOLIS</t>
  </si>
  <si>
    <t>Em processo de aquisição</t>
  </si>
  <si>
    <t>1 célula</t>
  </si>
  <si>
    <t>Aumento de reclamações no atendimento de Silvanópolis por Porto Nacional no período seco (Outra fonte com defeito também)</t>
  </si>
  <si>
    <t>Tanque e rádio</t>
  </si>
  <si>
    <t>Transferência dos bairros Morada do Sol, Vale do Sol, Morada do Sol II, Nova Esperança, Sõa João, Araras I e II e Jardim Laila em Taquaralto (6033 UCs)</t>
  </si>
  <si>
    <t>GOIANORTE</t>
  </si>
  <si>
    <t>GUARAI</t>
  </si>
  <si>
    <t>Transferência de Goianorte, fonte principal operando</t>
  </si>
  <si>
    <t>SANTA RITA DO TOCANTINS</t>
  </si>
  <si>
    <t>Foi redirecionado para priorizar o RL 7933726256</t>
  </si>
  <si>
    <t>Transferência de Santa Rita, fonte principal operando</t>
  </si>
  <si>
    <t>ARAPOEMA</t>
  </si>
  <si>
    <t>COLINAS DO TOCANTINS</t>
  </si>
  <si>
    <t>Relé e fiquei em duvida sobre kit</t>
  </si>
  <si>
    <t>Aumento de reclamações no atendimento de Arapoema no período seco</t>
  </si>
  <si>
    <t>PARAISO DO TOCANTINS</t>
  </si>
  <si>
    <t>Transferência da RDU de Chapada de Areia (937 UCs) para fonte alternativa</t>
  </si>
  <si>
    <t>Opção de isolação de São Félix e Mateiros para alimentação por gerador</t>
  </si>
  <si>
    <t>TUPIRAMA</t>
  </si>
  <si>
    <t>Em processo logístico</t>
  </si>
  <si>
    <t>Aguardando obra COCM</t>
  </si>
  <si>
    <t xml:space="preserve">Controle </t>
  </si>
  <si>
    <t>Atendimento de parte da RDU Guaraí por fonte alternativa</t>
  </si>
  <si>
    <t>Previsão de entrega 07/07</t>
  </si>
  <si>
    <t>Relé Cooper</t>
  </si>
  <si>
    <t>Transferência do 214R de Paraíso I, Centro Comercial de Paraíso</t>
  </si>
  <si>
    <t>BABACULANDIA</t>
  </si>
  <si>
    <t>Aproveitar tanque sobrando em Palmeirante</t>
  </si>
  <si>
    <t>Transferência de Babaçulândia, fonte principal operando</t>
  </si>
  <si>
    <t>PIUM</t>
  </si>
  <si>
    <t>Fonte principal de Pium, RL de transferência operando</t>
  </si>
  <si>
    <t>PARANA</t>
  </si>
  <si>
    <t>PEIXE</t>
  </si>
  <si>
    <t>Primeiro RL do 414R de Paranã, RL a jusante na LD também está bay-passado (630 UCs)</t>
  </si>
  <si>
    <t>Aguardando EMD para envio do material</t>
  </si>
  <si>
    <t>Atendimento da RDU Luzimangues Industrial por fonte alternativa</t>
  </si>
  <si>
    <t>FIGUEIROPOLIS</t>
  </si>
  <si>
    <t>ALVORADA</t>
  </si>
  <si>
    <t>Tanque e relé</t>
  </si>
  <si>
    <t>Transferência da Bunge, Saneatins e secadora</t>
  </si>
  <si>
    <t>Atenidmento da COELBA (Alto potencial de compensação)</t>
  </si>
  <si>
    <t>Transferência dos Grupos A -  VLI e Frisia</t>
  </si>
  <si>
    <t>CHAPADA DA NATIVIDADE</t>
  </si>
  <si>
    <t>Aguardando obra COCM e PARECER DO DMSL</t>
  </si>
  <si>
    <t>Transferência do Grupo A - Engegold (TF 7500 kVA)</t>
  </si>
  <si>
    <t>PALMAS</t>
  </si>
  <si>
    <t>Equipamento entregue ao COCM</t>
  </si>
  <si>
    <t>Tanque e antena</t>
  </si>
  <si>
    <t>Transferência entre 284R SE Palmas IV e 2294R SE Palmas II</t>
  </si>
  <si>
    <t>AURORA DO TOCANTINS</t>
  </si>
  <si>
    <t>Previsão para substituição</t>
  </si>
  <si>
    <t>Proteção da baixa do TF de força da SE Aurora</t>
  </si>
  <si>
    <t>Destinada parte ativa do RL 7900453110</t>
  </si>
  <si>
    <t>Transferência da cidade de Mateiros (733 UCs) para o gerador</t>
  </si>
  <si>
    <t xml:space="preserve">Tanque </t>
  </si>
  <si>
    <t>Seccionamento de trecho do Setor Taquari</t>
  </si>
  <si>
    <t>Previsão para substituição 10/07</t>
  </si>
  <si>
    <t>Religador responsável pela proteção da barra da SE Ponte Alta (2381 UCs)</t>
  </si>
  <si>
    <t>PALMEIRANTE</t>
  </si>
  <si>
    <t>Execução COCM´s</t>
  </si>
  <si>
    <t>ETO-682/2026</t>
  </si>
  <si>
    <t>Tanque e PR do trafo e chave</t>
  </si>
  <si>
    <t>Fonte principal de Palmeirante, RL de transferência operando</t>
  </si>
  <si>
    <t>CENTENARIO</t>
  </si>
  <si>
    <t>Melhoria de aterramento</t>
  </si>
  <si>
    <t>Atendimento das RDUs de Centenário, Recursolândia e clientes rurais</t>
  </si>
  <si>
    <t>MIRACEMA DO TOCANTINS</t>
  </si>
  <si>
    <t>Problema na autorização de passagem</t>
  </si>
  <si>
    <t xml:space="preserve">Cliente não autorizou entrar na propriedade </t>
  </si>
  <si>
    <t>Aumento de reclamações no atendimento de Miracema no período seco</t>
  </si>
  <si>
    <t>Ok</t>
  </si>
  <si>
    <t>Aumento de reclamações no atendimento de Goiatins e GAs relevantes na região</t>
  </si>
  <si>
    <t>ARAGUACU</t>
  </si>
  <si>
    <t>Aumento de reclamações no atendimento de Araguaçu no período seco</t>
  </si>
  <si>
    <t>ARAGUACEMA</t>
  </si>
  <si>
    <t>DIVINOPOLIS</t>
  </si>
  <si>
    <t>Transferência da RDU de Araguacema (1506 UCs)</t>
  </si>
  <si>
    <t>RIO DOS BOIS</t>
  </si>
  <si>
    <t>Fonte principal de Rio dos Bois, RL de transferência operando</t>
  </si>
  <si>
    <t>2 Celula</t>
  </si>
  <si>
    <t>Média</t>
  </si>
  <si>
    <t>Atendimento da região da Engegold, Nativa, cidade Natividade e Chapada da Natividade (Fonte alternativa)</t>
  </si>
  <si>
    <t>TAIPAS DO TOCANTINS</t>
  </si>
  <si>
    <t>Atendimento de Taipas</t>
  </si>
  <si>
    <t>BANDEIRANTES DO TOCANTINS</t>
  </si>
  <si>
    <t>Primeiro ataque DMSL</t>
  </si>
  <si>
    <t>Atendimento da RDU Bandeirantes e clientes rurais</t>
  </si>
  <si>
    <t>Atendimento da RDU Sucupira e clientes rurais</t>
  </si>
  <si>
    <t>MARIANOPOLIS</t>
  </si>
  <si>
    <t>Atendimento da RDU Marianópolis e clientes rurais</t>
  </si>
  <si>
    <t>PEDRO AFONSO</t>
  </si>
  <si>
    <t xml:space="preserve">Atendimento da RDU de Bom Jesus e parcial da RDU de Pedro Afonso </t>
  </si>
  <si>
    <t>Aumento de reclamações no atendimento de São Felix e Mateiros no período seco</t>
  </si>
  <si>
    <t>APARECIDA DO RIO NEGRO</t>
  </si>
  <si>
    <t>Atendimento da RDU de Aparecida do Rio Negro</t>
  </si>
  <si>
    <t>ARAGOMINAS</t>
  </si>
  <si>
    <t>Proteção da baixa do TF de força da SE Aragominas</t>
  </si>
  <si>
    <t>Fonte principal de Marianópolis, RL transferência operando</t>
  </si>
  <si>
    <t>WANDERLANDIA</t>
  </si>
  <si>
    <t>Aumento de reclamações no atendimento de Wanderlândia no período seco</t>
  </si>
  <si>
    <t>NATIVIDADE</t>
  </si>
  <si>
    <t>Equipamento para apoio na transferência de cargas na região de Natividade</t>
  </si>
  <si>
    <t>Transferência de Aragominas, 3 fontes operando</t>
  </si>
  <si>
    <t>Controle</t>
  </si>
  <si>
    <t>Atendimento do PA Mumbuca (106 UCs), no desarme a jusante penaliza parte da RDU de Tocantinópolis (1384 UCs)</t>
  </si>
  <si>
    <t>MONTE DO CARMO</t>
  </si>
  <si>
    <t>SS REALIZADA encaminharem ou para proteção ou para ETO-TELE</t>
  </si>
  <si>
    <t>Aumento de reclamações no atendimento de Silvanópolis por Monte do Carmo no período seco</t>
  </si>
  <si>
    <t>PUGMIL</t>
  </si>
  <si>
    <t>ETO-RD-PS 289/2026 (Aguardando retorno dos COCM's)</t>
  </si>
  <si>
    <t>Controle e melhoria de aterramento</t>
  </si>
  <si>
    <t>Aumento de reclamações no atendimento de Pugmil no período seco</t>
  </si>
  <si>
    <t>Em operação</t>
  </si>
  <si>
    <t>Atendimento de parte da RDU de Guaraí e ramal da PRF/Repetidora</t>
  </si>
  <si>
    <t>SANTA FE DO ARAGUAIA</t>
  </si>
  <si>
    <t>Em proceso de Aquisição</t>
  </si>
  <si>
    <t>Atendimento 3 povoados, na perca 4 ficam fora (900 UCs)</t>
  </si>
  <si>
    <t>SAO SALVADOR DO TOCANTINS</t>
  </si>
  <si>
    <t>Transferência do Ramal do Retiro (246UCs), fonte principal by-passado</t>
  </si>
  <si>
    <t>SAO VALERIO DA NATIVIDADE</t>
  </si>
  <si>
    <t>ETO-TELE 977/2026</t>
  </si>
  <si>
    <t>Fonte principal do Ramal Serranópolis (181 UCs), RL de transferência operando</t>
  </si>
  <si>
    <t>CASEARA</t>
  </si>
  <si>
    <t>(EQUIPAMENTO PARA ANALISE DO DMSL)</t>
  </si>
  <si>
    <t>Atendimento de cargas rurais entre Caseaarra e Araguacema (221 UCs)</t>
  </si>
  <si>
    <t>(COMPRA)</t>
  </si>
  <si>
    <t>3 células e conectores</t>
  </si>
  <si>
    <t>Atendimento da COELBA e GA Alessandro Maurício (1600 kVA)</t>
  </si>
  <si>
    <t>SANTA ROSA DO TOCANTINS</t>
  </si>
  <si>
    <t>Tanque e controle</t>
  </si>
  <si>
    <t>Atendimento de zona rural em Santa Rosa (160 UCs)</t>
  </si>
  <si>
    <t>ARAGUATINS</t>
  </si>
  <si>
    <t>Concluído , em operação repassado ETO-PROT 135/2026</t>
  </si>
  <si>
    <t>Completo</t>
  </si>
  <si>
    <t>Atendimento do PA Esperança Viva (396 UCs)</t>
  </si>
  <si>
    <t>Transferência do Ramal Agrovila (73 UCs)</t>
  </si>
  <si>
    <t>FORMOSO DO ARAGUAIA</t>
  </si>
  <si>
    <t>Equipamento localizado Fonte principal de atendimento a SE Cobrape</t>
  </si>
  <si>
    <t>Atendimento da COELBA</t>
  </si>
  <si>
    <t>Atendimento do Ramal do Marasca e GAs (108 UCs)</t>
  </si>
  <si>
    <t>Atendimento do Grupo A - Matosul (TF 1500 kVA)</t>
  </si>
  <si>
    <t>ETO-TELE 968/2026</t>
  </si>
  <si>
    <t>Transferência de cargas do 444R da SE Paraíso I</t>
  </si>
  <si>
    <t>ETO-RD-AR 1070/2026</t>
  </si>
  <si>
    <t>Transferência de Palmeiras, 3 RLs sendo 2 operando</t>
  </si>
  <si>
    <t>ETO-TELE 971/2026</t>
  </si>
  <si>
    <t>Tranferência do Ramal do Chaparral (251 UCs)</t>
  </si>
  <si>
    <t>ETO- TELE 967/2026</t>
  </si>
  <si>
    <t>Tanque, relé e modulo</t>
  </si>
  <si>
    <t>Transferência entre 424R Araguatins e 434R Augustinópolis</t>
  </si>
  <si>
    <t>MONTE SANTO DO TOCANTINS</t>
  </si>
  <si>
    <t>Previsão de entrega aos COCM's 01/07</t>
  </si>
  <si>
    <t>Relé, controle e ajuste</t>
  </si>
  <si>
    <t>444R de Paraíso I, atendimento de Monte Santo, devido defeito a RDU está manobrada para o 454R</t>
  </si>
  <si>
    <t>NOVO JARDIM</t>
  </si>
  <si>
    <t>Desmobilizado</t>
  </si>
  <si>
    <t>Baixa</t>
  </si>
  <si>
    <t>Equipamento obsoleto com a entrada da SE Serras Gerais</t>
  </si>
  <si>
    <t>NOVA OLINDA</t>
  </si>
  <si>
    <t>1 celula</t>
  </si>
  <si>
    <t>Atendimento dos ramais PA Remansão e Água Branca</t>
  </si>
  <si>
    <t>BARROLANDIA</t>
  </si>
  <si>
    <t>Aguardando a criação da Obra para abrir a requisição</t>
  </si>
  <si>
    <t>Atendimento do Assentamento Irmã Adelaide</t>
  </si>
  <si>
    <t>ETO-PROT 00136</t>
  </si>
  <si>
    <t>Atendimento do Ramal do Gato (288 UCs) e UFV Videira, no desarme a jusante penaliza a cidade de Pindorama</t>
  </si>
  <si>
    <t>Seccionamento do Rural e energização do 224R</t>
  </si>
  <si>
    <t>ETO-TELE 972/2026</t>
  </si>
  <si>
    <t>Atendimento de Clientes rurais (483 UCs)</t>
  </si>
  <si>
    <t>SEM PARECER TÉCNICO DMSL</t>
  </si>
  <si>
    <t>tanque</t>
  </si>
  <si>
    <t>Transferência entre 414R e 424R SE Palmas II</t>
  </si>
  <si>
    <t>(REPASSAR NOVAMENTE A ANÁLISE DO DMSL)</t>
  </si>
  <si>
    <t>Parte ativa danificada</t>
  </si>
  <si>
    <t>Alimentação de Monte do Carmo por Porto Nacional</t>
  </si>
  <si>
    <t>ETO-TELE 974/2026</t>
  </si>
  <si>
    <t>Fonte principal do Ramal do Retiro (246UCs), RL transferência by-passado</t>
  </si>
  <si>
    <t>PINDORAMA DO TOCANTINS</t>
  </si>
  <si>
    <t>Parte ativa danificada (tanque)</t>
  </si>
  <si>
    <t>Transferência da PCH Bagagem</t>
  </si>
  <si>
    <t>DOIS IRMAOS DO TOCANTINS</t>
  </si>
  <si>
    <t>ETO-TELE 964/2026</t>
  </si>
  <si>
    <t>Atendimento do Ramal do Boleu (13 UCs), no desarme a jusante penaliza parte 303 UCs rurais</t>
  </si>
  <si>
    <t>Fonte alternativa de atendimento do Ramal Bacuri (217 UCs)</t>
  </si>
  <si>
    <t>ETO-TELE 969/2026</t>
  </si>
  <si>
    <t>Alimentação do serviço auxiliar da Investco e clientes rurais (260 UCs)</t>
  </si>
  <si>
    <t>Localizado na fonte principal de atendimento de Divinópolis e Abreulândia</t>
  </si>
  <si>
    <t>Em Operação confirmado com os COCM's</t>
  </si>
  <si>
    <t>Atendimento do PA Novo Plano (102 UCs)</t>
  </si>
  <si>
    <t>Atendimento do PA Xobo (194 UCs)</t>
  </si>
  <si>
    <t>LAGOA DO TOCANTINS</t>
  </si>
  <si>
    <t>ETO-TELE 973/2026</t>
  </si>
  <si>
    <t>Completo sem o radio</t>
  </si>
  <si>
    <t>Atendimento do Ramal do Rio Preto (197 UCs)</t>
  </si>
  <si>
    <t>(REPASSAR PARA ANALISE DMSL)</t>
  </si>
  <si>
    <t>Atendimento do Ramal do Bacuri (168 UCs)</t>
  </si>
  <si>
    <t>Em processo logistico</t>
  </si>
  <si>
    <t>Aguardando geração da EMD</t>
  </si>
  <si>
    <t>Atendimento da LD Vale Rio Doce (Nova Aura Mineradora)</t>
  </si>
  <si>
    <t>Levar para analise de religadores furtados no Sul</t>
  </si>
  <si>
    <t>Atendimento de clientes rurais na LD Peixe Angical - Peixe</t>
  </si>
  <si>
    <t>Atendimento de Clientes rurais (48 UCs)</t>
  </si>
  <si>
    <t>Atenidmento do PA Principado (200 UCs)</t>
  </si>
  <si>
    <t>Display</t>
  </si>
  <si>
    <t>Atendimento do PA Piedade (125 UCs)</t>
  </si>
  <si>
    <t>Aguardando retorno COCM's</t>
  </si>
  <si>
    <t>bateria, rádio, trafo (entender sobre bucha da fase A)</t>
  </si>
  <si>
    <t>Transferência do Irmã Adelaide (470 UCs)</t>
  </si>
  <si>
    <t>ETO-RD-DP 403/2025, AGUARDO DO RETORNO</t>
  </si>
  <si>
    <t>Comissionar</t>
  </si>
  <si>
    <t>Equipamento novo furtado antes de ser colocado em operação</t>
  </si>
  <si>
    <t>SAO BENTO DO TOCANTINS</t>
  </si>
  <si>
    <t>Por estrategia não será enviado neste momento equipamento, iremos utilizar em outros reguladores, alinhado com Allan casos de 400 KVA</t>
  </si>
  <si>
    <t>3 celula</t>
  </si>
  <si>
    <t>Equipamento novo furtado antes de ser colocado em operação, não inserido no SCADA</t>
  </si>
  <si>
    <t>PIRAQUE</t>
  </si>
  <si>
    <t>REPASSAR O DMSL (EQUIPAMENTO OPERANDO NO SCADA)</t>
  </si>
  <si>
    <t>Equipamento não identificado no SCADA e Mapa TS</t>
  </si>
  <si>
    <t xml:space="preserve"> </t>
  </si>
  <si>
    <t>BRASILANDIA DO TOCANTINS</t>
  </si>
  <si>
    <t>ITAPIRATINS</t>
  </si>
  <si>
    <t>MAURILANDIA DO TOCANTINS</t>
  </si>
  <si>
    <t>TAGUATINGA</t>
  </si>
  <si>
    <t>PARECER DMSL: *Segue feedback**Equipamento:* RLG 7927413001  *RELÉ TAVRIDA*Data:* 16/04/2026*SID:* 1817/2026*Serviço executado:* Placa de alimentação do equipamento com defeito, VERIFICAR SE É POSSIVEL  substituir o equipamento completo.*Equipamento ficou em operação?*_Não*Pendência:*_Sim*Bateria(s) substituída(s)?*_Nao *Equipe:* Benvindo e Kaique-------------------------------------------------------------------------------------------------Religador 7927413001 sem comunicação foi realizado primeiro ataque porem a comunicação não retornou. Favor enviar equipe para devidas trattivas</t>
  </si>
  <si>
    <t>NUMERO_SS</t>
  </si>
  <si>
    <t>NUMERO_OS</t>
  </si>
  <si>
    <t>NUM_OBRA</t>
  </si>
  <si>
    <t>ORIGEM_SS</t>
  </si>
  <si>
    <t>DEFEITO_SS</t>
  </si>
  <si>
    <t>ORIGEM</t>
  </si>
  <si>
    <t>DEFEITO</t>
  </si>
  <si>
    <t>ESQUEMA</t>
  </si>
  <si>
    <t>TASK</t>
  </si>
  <si>
    <t>ANO</t>
  </si>
  <si>
    <t>ORG_SOLIC</t>
  </si>
  <si>
    <t>COD_EQUIPE</t>
  </si>
  <si>
    <t>ALIMENTADOR</t>
  </si>
  <si>
    <t>NUM_TRAFO</t>
  </si>
  <si>
    <t>COORD_X</t>
  </si>
  <si>
    <t>COORD_Y</t>
  </si>
  <si>
    <t>COD_GIS</t>
  </si>
  <si>
    <t>CRITICIDADE_SS</t>
  </si>
  <si>
    <t>SITUACAO_SS</t>
  </si>
  <si>
    <t>DATA_ABERTURA_SS</t>
  </si>
  <si>
    <t>DATA_TERMINO_SS</t>
  </si>
  <si>
    <t>DATA_LIMITE_SS</t>
  </si>
  <si>
    <t>DESCICAO_DO_ATIVO</t>
  </si>
  <si>
    <t>LOCALIDADE</t>
  </si>
  <si>
    <t>SOLICITANTE</t>
  </si>
  <si>
    <t>RURA_URBANO</t>
  </si>
  <si>
    <t>TIPOSS</t>
  </si>
  <si>
    <t>DESCRIPTION</t>
  </si>
  <si>
    <t>ETO-COEP 00117/2026</t>
  </si>
  <si>
    <t/>
  </si>
  <si>
    <t>COI</t>
  </si>
  <si>
    <t>ETO-COEP</t>
  </si>
  <si>
    <t>LD05028074</t>
  </si>
  <si>
    <t>5800090147</t>
  </si>
  <si>
    <t>190-15787264</t>
  </si>
  <si>
    <t>EMERGENCIAL</t>
  </si>
  <si>
    <t>SS PENDENTE</t>
  </si>
  <si>
    <t>REGULADOR DE TENSAO DE DIST. - 34.5</t>
  </si>
  <si>
    <t>ZENILSON MOREIRA SANTOS</t>
  </si>
  <si>
    <t>RURAL</t>
  </si>
  <si>
    <t>INDISPONIBILIDADE PARA OPERAÇÃO</t>
  </si>
  <si>
    <t>PARECER COEP: AGUARDANDO RETORNO DO DMSLREGULADOR 5800090147 SEM COMUNICAÇÃO E TRAVANDO TAP´S - REALIZAO PRIMEIRO ATAQUE SEM SUCESSO.PARECER DMSL: Favor, substituir a célula da fase C do RT 5800090147 pois o microswitch que renconhece o neutro do regulador está com defeito.Equipamento ficou operando devido ser possível manobrar de forma manual.</t>
  </si>
  <si>
    <t>ETO-RD-PO 00097/2026</t>
  </si>
  <si>
    <t>MANUT</t>
  </si>
  <si>
    <t>ETO-RD-PO</t>
  </si>
  <si>
    <t>LD01051035</t>
  </si>
  <si>
    <t>5800291035</t>
  </si>
  <si>
    <t>190-30990216</t>
  </si>
  <si>
    <t>PROGRAMAVEL</t>
  </si>
  <si>
    <t>JULIA GRAZYELLE BRITO OLIVEIRA</t>
  </si>
  <si>
    <t>PARECER DMSL: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rua.Obs.: Fizeram melhoria na malha de terra, mas não está dentro do aceitável! As outras pendências continuam, favor corrigir. Equipamento ficou em operação?: Não  - Equipe: Benvindo e Kaique- SS ANTIGA ETO-TELE 358/2026</t>
  </si>
  <si>
    <t>ETO-COEP 00187/2025</t>
  </si>
  <si>
    <t>REGULADOR DE TENSÃO</t>
  </si>
  <si>
    <t>ILEGÍVEL</t>
  </si>
  <si>
    <t>LD02010153</t>
  </si>
  <si>
    <t>5800371025</t>
  </si>
  <si>
    <t>190-15773574</t>
  </si>
  <si>
    <t>DIOMAR FERREIRA PEREIRA</t>
  </si>
  <si>
    <t>URBANO</t>
  </si>
  <si>
    <t>PARECER COEP: AVALIAR COM O LEANDRO, PROVAVELMENTE SÓ COMPRAPARECER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etc.Segue nota para veriifcar falha em regulador de tensão N: 5800371025 dentro S/E Arapoema , equipamento esta com 2 reles com falha  marca toshiba .</t>
  </si>
  <si>
    <t>ETO-RD-DP 00404/2026</t>
  </si>
  <si>
    <t>ETO-RD-DP</t>
  </si>
  <si>
    <t>LD04002091</t>
  </si>
  <si>
    <t>5800438116</t>
  </si>
  <si>
    <t>190-32303850</t>
  </si>
  <si>
    <t>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AJUSTES30/06PARECER COEP: AGUARDANDO COCM'S CRIAREM OBRA PARA ENTREGA DO MATERIALSegue nota para normalizar falha em regulador N:5800438116 - Chapada da natividade .equipamento está com fase B e C travada .OBS: a fase B esta sinalizando falha , equipamento não insere TAP negativo na fase B e C , o mesmo ficou no TAP zerado e bloqueado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C.Foi constatado que a placa F do controle está com defeito.</t>
  </si>
  <si>
    <t>ETO-COEP 00115/2026</t>
  </si>
  <si>
    <t>DEFEITO ELETRICO</t>
  </si>
  <si>
    <t>RELÉ REGULADOR DE TENSÃO</t>
  </si>
  <si>
    <t>AL01065015</t>
  </si>
  <si>
    <t>5800859011</t>
  </si>
  <si>
    <t>190-15787179</t>
  </si>
  <si>
    <t>REGULADOR DE TENSAO DE DIST. - 13.8</t>
  </si>
  <si>
    <t>DELIO NUNES OSCAR</t>
  </si>
  <si>
    <t>PARECER COEP: EQUIPAMENTO EM ROTA DE ENTREGAPARECER DMSL: *FEEDBACK EQUIP. ESPECIAIS**Nº DO EQUIPAMENTO:* 5800859011*TIPO EQUIPAMENTO:* RT ITB *TIPO DE COMUNICAÇÃO:* Não *DATA DA MANUTENÇÃO:* 09/06/2026*SID:* 3195/2026*DESCRIÇÃO:* _ Foi identificado relé da fase C com defeito conforme orientação da supervisão e necessário realiza retrofit para instalação de controle rua.*FICOU EM OPERAÇÃO* Não*PENDÊNCIA:* Realizado Retrofit *DADOS DIVERGENTES DA PROGRAMAÇÃO:* Não*BATERIA SUBSTITUÍDA?:* Não*TIPO DE BATERIA:**EQUIPE:* Edeglan e Brunno.Observação: trocar por um controle RUA.------------------------------------------------------------------------------------------Enviar equipe do DMSL, para  fazer correção no RT 5800859011, o mesmo está com o displey da fase C apagado , dificutando  realizar  manobras no mesmo, emvirtude  disso o mesmo ficou BAY PASSADO EM CAMPO</t>
  </si>
  <si>
    <t>ETO-COEP 00221/2025</t>
  </si>
  <si>
    <t>SCADA</t>
  </si>
  <si>
    <t>LD03028074</t>
  </si>
  <si>
    <t>5800961074</t>
  </si>
  <si>
    <t>190-15814905</t>
  </si>
  <si>
    <t>LARA SOARES FARIAS</t>
  </si>
  <si>
    <t>PARECER COEP: EQUIPAMENTO SELECIONADO PARA COMPRASubstituir as 3 células- Melhoria na malha de aterramento - Melhoria no circuito de aterramento qua aterra as células.- Substituir conectores paralelos</t>
  </si>
  <si>
    <t>ETO-COEP 00077/2026</t>
  </si>
  <si>
    <t>EQUIPAMENTO</t>
  </si>
  <si>
    <t>QUEIMADO</t>
  </si>
  <si>
    <t>AL03062013</t>
  </si>
  <si>
    <t>5801866013</t>
  </si>
  <si>
    <t>190-35644534</t>
  </si>
  <si>
    <t>Felipe Batista Ferrreira</t>
  </si>
  <si>
    <t>PARECER COEP: EM PROCESSO DE ENTREGAPARECER DMSL: RT 5801866013Serviço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BR.Obs.: Será necessário baixar todo o banco pelo menos um metro, as buchas estão muito próximas a parte energizada não oferecem segurança para equipe no momento do ensaio elétrico.Equipamento ficou em operação?: Não Possui nobreak: SimPossui antena: SimPossui rádio:SimPendência: SimData da bateria:  Equipe: Benvindo e Kaique._______________________________________________RT 5801866013BY PASSADO DEVIDO DEFEITO EM CELULA BEMVINDO ESTEVE NO LOCAL JUNTO AO COD .NECESSARIO TRATATIVA PARA MESMA .FASE DANIFICADO C</t>
  </si>
  <si>
    <t>ETO-RD-PA 00434/2026</t>
  </si>
  <si>
    <t>FORA DE SERVIÇO</t>
  </si>
  <si>
    <t>ETO-RD-PA</t>
  </si>
  <si>
    <t>AL01102271</t>
  </si>
  <si>
    <t>5803327001</t>
  </si>
  <si>
    <t>190-15851809</t>
  </si>
  <si>
    <t>HELDER SILVA CARVALHO</t>
  </si>
  <si>
    <t>01/07 PARECER COEP: FOI CONFIRMADO COM A OPERAÇÃO QUE O EQUIPAMENTO SEGUIU O FLUXO INTEIRO DE COMISSIONAMENTO, PROTEÇÃO, FAVOR EXPLICAR O QUE FOI REALIZADO E SE EQUIPAMENTO ESTÁ OPERANDO, SENÃO ESTIVER EXPLICAR O QUE FOI FEITO NELE30/06PARECER COEP: REPASSAR DIRETAMENTE PARA OS COCM'SRegulador 5803327001 fora de operação, by passado em campo com painel de comunicação com cabos desconectados tensão 13.8.parecer DMSL: Feedback Equip. EspeciaisRT 5803327001RELÉ RUASid: 4844Data: 19/09/2025Serviço realizado:*Equipamento foi remanejado, 7 km da sua localização sentido Palmas necessário comissionamento completo*Equipamento com um dos cabos umbilicais danificado.* aterramento bucha FC não esta interligada corretamente * para-raios estão no mesmo aterramento da bucha FC.* Tranques  muito alto e próximo da rede  não permitindo o comissionamento com segurança.* Controle alto  demais tem que baixar Equipamento ficou em operação?: nãoPendência: sim, precisa comissionar completoOBS; reprogramar equipamento.Bateria(s) substituída(s) NÃOEquipe: Ellisfran, Ana Maria    PARECER DMSL: Data 03/12/2025-Equipe: Carliel e BenvindoServiço executado foi ensaiado as três células Equipamento ficou em operação: Não  Pendência: sim, Instalar  controle completo, e fazer melhoria na malhar de aterramento</t>
  </si>
  <si>
    <t>ETO-RD-PS 00289/2026</t>
  </si>
  <si>
    <t>OUTROS</t>
  </si>
  <si>
    <t>ETO-RD-PS</t>
  </si>
  <si>
    <t>LD01062013</t>
  </si>
  <si>
    <t>5827102054</t>
  </si>
  <si>
    <t>190-15843147</t>
  </si>
  <si>
    <t>ALTA</t>
  </si>
  <si>
    <t>PARECER COEP:NÃO É POSSÍVEL RETORNAR COM O CONTROLE COMPLETO , MAS DARIA PARA FAZER A MELHORIA NA MALHA DE ATERRAMENTO , ENCAMINHANDO PARA OS COCM'S PARA REALIZAREM A MELHORIAparecer DMSL: :Nobreack com defeito, rele queimado, cabo de comunicação entre o rádio e o rele danificado, malha de aterramento está com a resistência alta!Feito reparo no cabo, substituído nobreack, e rele. Se possível retornar com controle completo pq o q está em campo teve infiltração de água, abrir chamado no scada para atualizar base do equipamento pois o mesmo está com a base antiga, fazer correção da malha de aterramento.Equipamento ficou em operação?: Não Pendência: sim, levar controle novo, fazer correção da malha de terra, levar suporte para fixar antena. OBS; reprogramar equipamento.Bateria(s) substituída(s) simEquipe: Benvindo e Carliel         SOLICITAMOS CONTROLE COMPLETO</t>
  </si>
  <si>
    <t>ETO-COEP 00095/2026</t>
  </si>
  <si>
    <t>LD01066094</t>
  </si>
  <si>
    <t>5836786094</t>
  </si>
  <si>
    <t>190-34648613</t>
  </si>
  <si>
    <t>IZAIAS SANTOS BRAGA JUNIOR</t>
  </si>
  <si>
    <t>PARECER COEP: EQUIPAMENTO FURTADO LEVAR PARA ANÁLISE COM O LEANDRO, NO ENTANTO SEGUE NA CATEGORIA DE COMPRA.Favor levar outro regulador de tensão, pois o mesmo foi furtado em campo.</t>
  </si>
  <si>
    <t>ETO-COEP 00167/2025</t>
  </si>
  <si>
    <t>AL01054060</t>
  </si>
  <si>
    <t>5844630060</t>
  </si>
  <si>
    <t>190-29126245</t>
  </si>
  <si>
    <t>CASSIO GOMES BONFIM</t>
  </si>
  <si>
    <t>PARECER COEP: EQUIPAMENTO EM ROTA DE ENTREGAPARECER DMSL: Célula da fase A encontra-se com vazamento de óleo no pé da torneira. Necessário substituição da célula.Aberto nota para verificar vazamento de óleo fase A no RT 5844630060 - RDU Nova Olinda</t>
  </si>
  <si>
    <t>ETO-COEP 00127/2026</t>
  </si>
  <si>
    <t>COMUTAÇÃO INDEVIDA</t>
  </si>
  <si>
    <t>AL01038009</t>
  </si>
  <si>
    <t>5850308009</t>
  </si>
  <si>
    <t>190-72598729</t>
  </si>
  <si>
    <t>CLESIO CARVALHO MOURA</t>
  </si>
  <si>
    <t>PARECER COEP: Equipamento em operaçãpo no SCADAPARECER DMSL: Após testes, foi constatado que o RT  5850308009 encontra-se com controle danificado, sendo necessária substituição do mesmo.Regulador de tensão 5850308009 quando esta em Automatico esta deixa um fase muito baixa. foi deixado uma fase Manual e transferida parte do alimentaor.</t>
  </si>
  <si>
    <t>ETO-RD-PS 00323/2025</t>
  </si>
  <si>
    <t>LD05050008</t>
  </si>
  <si>
    <t>5853360007</t>
  </si>
  <si>
    <t>190-36538096</t>
  </si>
  <si>
    <t>REALIZAR TESTES NO EQUIPAMENTO E CONFERIR MEDIÇÕES DA MALHA DE ATERRAMENTO. ESTANDO OK, COMISSIONAR EQUIPAMENTO E COLOCA-LO EM OPERAÇÃO.AJUSTES DISPONIVEIS NO APP DA PROTEÇÃdmsl : N° do Equipamento:*RT 5853360007 MIRACEMASID: 2493/2025Data: 13/05/2025Serviço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7a.Equipamento ficou em operação?: Não Equipe: Benvindo e Jardel</t>
  </si>
  <si>
    <t>ETO-COEP 00160/2025</t>
  </si>
  <si>
    <t>LD02072001</t>
  </si>
  <si>
    <t>5854566043</t>
  </si>
  <si>
    <t>190-15797426</t>
  </si>
  <si>
    <t>DANIEL DAS NEVES TEIXEIRA</t>
  </si>
  <si>
    <t>PARECER COEP: EQUIPAMENTO SELECIONADO PARA COMPRAboa noite,segue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t>
  </si>
  <si>
    <t>ETO-COEP 00199/2025</t>
  </si>
  <si>
    <t>AL02017017</t>
  </si>
  <si>
    <t>5855411017</t>
  </si>
  <si>
    <t>190-31114527</t>
  </si>
  <si>
    <t>PARECER COEP: EQUIPAMENTO EM ROTA DE ENTREGASEM COMUNICAÇÃO, FALHA DE ALIMENTAÇÃO - REALIZADO PRIMEIRO ATAQUE SEM SUCESSO.PARECER DMSL: 17/09/2025 Equipamento ficou em operação? Não Pendência: sim. Equipamento ficou Bay passado levar controle  COMPLETO para trocar. ellisfran</t>
  </si>
  <si>
    <t>ETO-COEP 00130/2026</t>
  </si>
  <si>
    <t>5856070091</t>
  </si>
  <si>
    <t>190-55087821</t>
  </si>
  <si>
    <t>BAIXA</t>
  </si>
  <si>
    <t>LEONARDO SIQUEIRA AMORIM</t>
  </si>
  <si>
    <t>PARECER DMSL: não foi regularizado a instalação do equipamento, nota repassada conforme alinhado com o supervisor.____________________________________________COCMS 26.03.26. SS REPASSADA PARA COEP PROVIDENCIAR MATERIAL. NÃO TEMOS AS PÇ EM ESTOQUE PARA FAZER A SUBSTITUIÇÃO. Solicitação de serviço para reposição de equipamentos furtados .COEP: Equipamento fornecido ao COCM-S para regularização.COCMS: Equipamento substituido conforme solicitado. Gentileza comissionar.PARECER DA PROTEÇÃO:SEGUE NOTA REPASSADA PARA DMSL COMISSIONAR.ENG° IRLLEY CASTELO BRANCOPARECER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t>
  </si>
  <si>
    <t>ETO-RD-DP 00403/2026</t>
  </si>
  <si>
    <t>COPC</t>
  </si>
  <si>
    <t>5856156091</t>
  </si>
  <si>
    <t>190-38238593</t>
  </si>
  <si>
    <t>Leonardo Sousa de Lima</t>
  </si>
  <si>
    <t>DCMD 26.03.2026. SS REPASSADA PARA COEP PROVIDENCIAR MATERIAL. NÃO TEMOS O MATERIAL EM ESTOQUE PARA SUBSTITUIÇÃO. COEP: Equipamento fornecido ao COCM-S para regularização.PARECER COEP: EQUIPAMENTOS JÁ FORNECIDOS PARA OS COCM'S PARA REGULARIZAÇÃOPARECER DA PROTEÇÃO:EQUIPAMENTOS FURTADOS. PARA AQUISIÇÃO DAS CELULAS DE REPOSIÇÃO, FAVOR CONSULTAR OS DADOS DE PLACA EM ANEXO.PARECER DA PROTEÇÃO:COMISISONAR RT 5856156091 LD DIANOPOLIS A NATIVIDADE. NECESSARIO REALIZAR MEDIÇÕES DA RESISTENCIA DA MALHA DE ATERRAMENTO.AJUSTES DISPONIVEIS NO APP DA PROTEÇÃO.RELIGADOR N° 5856156091 INSTALADO NA OBRA 0502400526 GENTILEZA, REALIZAR O COMISSIONAMENTO. LAUDO EM ANEXO. COORD EO: 899501, 8714782</t>
  </si>
  <si>
    <t>ETO-COEP 00123/2025</t>
  </si>
  <si>
    <t>LD03005098</t>
  </si>
  <si>
    <t>5858783119</t>
  </si>
  <si>
    <t>190-57123183</t>
  </si>
  <si>
    <t>Thais Jordanna Jesus Silva</t>
  </si>
  <si>
    <t>PARECER COEP: ERRO NA INSTALAÇÃO EQUIPAMENTO SELECIONADO PARA COMPRAPARECER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t>
  </si>
  <si>
    <t>ETO-RD-PA 00326/2026</t>
  </si>
  <si>
    <t>5860621001</t>
  </si>
  <si>
    <t>190-35910322</t>
  </si>
  <si>
    <t>COMISSIONAMENTO</t>
  </si>
  <si>
    <t>PARECER DMSL:  31/03/2026Serviço Executado: realizado a medição da malha de aterramento e vistoria do equipamento.Equipamento ficou em operação?: Não Possui nobreak: SimPossui antena: SimPossui rádio:NãoPendência:* Abaixar o controle rua* ¿Abaixar as 3 células do banco regulador de tensão, pois além de dificultar o trabalho da equipe no momento dos ensaios elétricos não oferece segurança.Equipe: Benvindo e Kaique-------------------------------------------------------------------------------------------------------PARECER DA PROTEÇÃO:COMISSIONAR RT 5860621001 AL 01 SE LUZIMANGUES INDUSTRIAL. NECESSARIO CONFERIR MALHA DE ATERRAMENTO ANTES DE INSERIR O ATIVO NO SISTEMA.AJUSTES DISPONIVEIS NO APP DA PROTEÇÃO.REGULADOR N° 5860621001 INSTALADO NA OBRA 0202300494 GENTILEZA, REALIZAR O COMISSIONAMENTO. LAUDO EM ANEXO. COORD EO: 752965, 8877090PARECER DMSL: Feedback Equip. EspeciaisRT 5860621001RELÉ RUAData: 22/08/2025Serviço Executado: realizado a medição da malha de aterramento e vistoria do equipamento.Equipamento ficou em operação?: Não Possui nobreak: SimPossui antena: SimPossui rádio:NãoPendência:1 - abaixar os 3 tanques2 - abaixar o controle3 - instalar aterramento para o FC e carcaça4 - Aterrar o controle5 - cabos de conexão das buchas estão muito próximos podendo ocasionar curto6 - Distância de segurança entre as buchas e as chaves é inadequada.7 - Não contém cabo da antena8 - Não contém rádio9 - Não contém os conectores para confecção dos cabos10 - Não contém placa de topologia nem numeração pintada no poste para identificação do equipamentoEquipe: Ana Maria e Ellisfran</t>
  </si>
  <si>
    <t>ETO-COEP 00223/2025</t>
  </si>
  <si>
    <t>LD05002091</t>
  </si>
  <si>
    <t>5862236091</t>
  </si>
  <si>
    <t>190-52618825</t>
  </si>
  <si>
    <t>PARECER COEP: AGUARDANDO COCM´s GERAREM A OBRA COM ABERTURA CONTABIL DENER SOARESRealizar substituição da FASE B.Célula da fase B estava com a tampa do contador de tape aberta, pegou chuva e molhou os contatos danificando a peça toda.</t>
  </si>
  <si>
    <t>ETO-RD-GR 00538/2026</t>
  </si>
  <si>
    <t>ETO-RD-GR</t>
  </si>
  <si>
    <t>LD01065015</t>
  </si>
  <si>
    <t>5865120195</t>
  </si>
  <si>
    <t>190-38281711</t>
  </si>
  <si>
    <t>PARECER DMSL:PENDÊNCIA: Realizar melhoria no aterramento por ser tratar de um terreno muito arenoso, e há pendências por parte do time da proteção, os ajustes do RT não estão disponíveis para inserção no referido equipamento.DATA DA MANUTENÇÃO: 12/03/202EQUIPE: Brunno e Edeglan.***********************PARECER DA PROTEÇÃO:FAVOR COMISSIONAR REGULADOR 5865120195 – LD Santa Maria Ramal Centenário e Recursolândia – 34,5kV. AJUSTE REALIZADO, DISPONÍVEL NO APP DA PROTEÇÃO.*********************** INSTALADO NA OBRA 0702400720 GENTILEZA, REALIZAR O COMISSIONAMENTO.LAUDO EM ANEXO.COORD EO: 889017, 9016857</t>
  </si>
  <si>
    <t>ETO-COEP 00084/2026</t>
  </si>
  <si>
    <t>RELÉ</t>
  </si>
  <si>
    <t>AL01062013</t>
  </si>
  <si>
    <t>7900117013</t>
  </si>
  <si>
    <t>190-17421714</t>
  </si>
  <si>
    <t>RELIGADOR DE LINHA - 15,0kV</t>
  </si>
  <si>
    <t>PARECER COEP: PREVISÃO DE ENTREGA AOS COCM'S 01/07Segue nota para correção de anomalia e provável substituição de religador , religador 7900117013 -RDU - Paraiso .OBS: equipe DMSL Elisfran estava atualizando firmware no equipamento  , porém relé parou de funcionar devido essa atualização , sendo necessário sua substituição .em campo o modelo e   cooper Form6 , segundo tecnico deve ser substituído por um Noja .Repassado para o COEP para aquisição do equipamento e posterior repasse para o COCM.</t>
  </si>
  <si>
    <t>ETO-COEP 00087/2026</t>
  </si>
  <si>
    <t>INSPEÇÃO VISUAL</t>
  </si>
  <si>
    <t>LD03040003</t>
  </si>
  <si>
    <t>7900453110</t>
  </si>
  <si>
    <t>190-17412271</t>
  </si>
  <si>
    <t>BLOCO RELIGADOR DE LINHA</t>
  </si>
  <si>
    <t>WESLEY MARCAL MENDES DE OLIVEI</t>
  </si>
  <si>
    <t>30/06.PARECER COEP: ALINHADO COM O ALLAN REMANEJAMOS PARTE ATIVA PARA ATENDER 7933726256PARECER COEP: Aproveitar controle cooper se possível em outro local, previsão de chegada do material dia 01/07 para substituiçãoFavor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completo.Equipamento ficou em operação?: _SIM_a pedido do COS ficou em operação, a operação está ciente da necessidade de substituir.Pendência: Sim, será necessário substituir o equipamento.</t>
  </si>
  <si>
    <t>ETO-COEP 00125/2026</t>
  </si>
  <si>
    <t>BUCHA MT - CARGA (C)</t>
  </si>
  <si>
    <t>LD02424015</t>
  </si>
  <si>
    <t>7900525015</t>
  </si>
  <si>
    <t>190-17404244</t>
  </si>
  <si>
    <t>CLEIDSON RODRIGUES VIEIRA</t>
  </si>
  <si>
    <t>PARECER COEP: É PARA REALIZAR A SUBSTITUIÇÃO DO RELIGADOR OU DAS BUCHAS, CASO SEJA BUCHAS , REPASSAR PARA OS COCM'S , CASO NÃO SEJA ESPECIFIQUE O MODELO , E A TENSÃO, FICO NO AGUARDO DO RETORNONota para manutenção substituir religador 7900525015 que está com as buchas de entrada danificadas fase A estourada e bc danificadas Local LD Pedro Afonso A Chaparral</t>
  </si>
  <si>
    <t>ETO-COEP 00102/2025</t>
  </si>
  <si>
    <t>LD02010004</t>
  </si>
  <si>
    <t>7900532053</t>
  </si>
  <si>
    <t>190-17512744</t>
  </si>
  <si>
    <t>RELIGADOR DE LINHA - 38kV</t>
  </si>
  <si>
    <t>EDNA MARIA DOS SANTOS PINTO</t>
  </si>
  <si>
    <t>30/06-EQUIPAMENTO EM OPERAÇÃO NO SCADA, AGUARDANDO RESPOSTA DO DMSL PARA SEGUIR COM AS TRATATIVASFavor, realizar substituição completa do RLG 7900532053 que encontra-se com defeito devido entrada de água no cordão umbilical e danos causados por abelhas. O rádio também precisa ser fornecido pois o existente está danificado.</t>
  </si>
  <si>
    <t>ETO-COEP 00173/2025</t>
  </si>
  <si>
    <t>CIRCUITO DE COMANDO</t>
  </si>
  <si>
    <t>LD03010004</t>
  </si>
  <si>
    <t>7900535058</t>
  </si>
  <si>
    <t>190-17513181</t>
  </si>
  <si>
    <t>ARTHUR MAGALHAES DAS DORES</t>
  </si>
  <si>
    <t>PARECER COEP: EQUIPAMENTO SELECIONADO PARA COMPRAPARECER DMSL:  Equipamento 7900535058 encontra-se com o relé danificado, firmware corrompido, o mesmo não inicia. Devido ao fato de não possuirmos mais peças de reposição para religador cooper, se faz necessário a  substituição de todo conjunto por um Noja RC10.envar equipe para verificar rlo 7900535058 foi feito primeiro ataque com equipe 040op36 o mesmo esta com RELE TRAVADO E FICOU FORA DE OPERAÇÃO, ATENDE RDR DE SANTA FÉ SAIDA DA CIDADEEQUIPE INFORMOU ABELHAS NA CAIXA DO PAINEL DE COMANDO</t>
  </si>
  <si>
    <t>ETO-COEP 00080/2026</t>
  </si>
  <si>
    <t>AL02033047</t>
  </si>
  <si>
    <t>7900573047</t>
  </si>
  <si>
    <t>190-19172791</t>
  </si>
  <si>
    <t>ANTONIO FAGNER ALVES RIBEIRO</t>
  </si>
  <si>
    <t>PARECER COEP: AGUARDANDO COCM'S GERAREM AS OBRAS PARA PODER ENTREGAR MATERIALFavor providenciar manutenção no RL 7900573047, o mesmo estar em curto conforme fotos anexadas. Equipamento ficou bay passado em campo.PARECER DMSL: Equipe: FABIO AP./JOÃO MARCOSData Executada: 15/10/2025Serviço Executado:Foi constatado que o equipamento esta queimado na parte ativa placa, tanque e relé. Por favor fazer a substituição pelo Noja RC10.</t>
  </si>
  <si>
    <t>ETO-COEP 00113/2026</t>
  </si>
  <si>
    <t>RELIGADOR</t>
  </si>
  <si>
    <t>LD03046026</t>
  </si>
  <si>
    <t>7900594026</t>
  </si>
  <si>
    <t>190-17512671</t>
  </si>
  <si>
    <t>PONTE ALTA DO TOCANTINS</t>
  </si>
  <si>
    <t>PARECER COEP: AGUARDANDO COCM'S PARA ABRIR REQUISIÇÃOPARECER DMSL 10/06/2026: Tem uma nota aberta para esse equipamento solicitando a substituição desde 20/10/2025, como a nota não foi atendida estamos repassando para área responsável. Nota em aberto repassada ETO-COEP 210/2025.Segue nota para verificar intermitência de comunicação nos religadores 7908301026 , 7911120026, 7947959026 , 7908692026, 7900594026 rural- Ponte Alta .</t>
  </si>
  <si>
    <t>ETO-COEP 00061/2026</t>
  </si>
  <si>
    <t>BUCHAS DE PASSAGEM</t>
  </si>
  <si>
    <t>CORROSÃO / OXIDAÇÃO</t>
  </si>
  <si>
    <t>LD04062013</t>
  </si>
  <si>
    <t>7901110084</t>
  </si>
  <si>
    <t>190-17407509</t>
  </si>
  <si>
    <t>DIVINOPOLIS DO TOCANTINS</t>
  </si>
  <si>
    <t>JANES FERREIRA DA SILVA</t>
  </si>
  <si>
    <t>PARECER COEP: EQUIPAMENTO SELECIONADO PARA COMPRAPARECER DMSL: Serviço Executado: Foi feito análise técnica, testes funcionais e identificado que a parte ativa do equipamento está com defeito. Necessário substituir a parte ativa.FICOU EM OPERAÇÃO? Não- EQUIPE: Carliel e BenvindoSegue SS para verificaçao Rl esta danificado dando passagem de tensão mesmo aberto Sim, quando retornar trazer uma fonte pois a mesma foi removida.</t>
  </si>
  <si>
    <t>ETO-COEP 00184/2025</t>
  </si>
  <si>
    <t>LD05010004</t>
  </si>
  <si>
    <t>7903112004</t>
  </si>
  <si>
    <t>190-17512526</t>
  </si>
  <si>
    <t>PARECER COEP: AGUARAR RETORNo RETORNO DMSLApós testes no RLG 7903112004 foi constatado defeito no mesmo e como se trata de um modelo COOPER FORM6 que está obsoleto e não possuímos peças sobressalentes, faz-se necessária substituição completa por modelo NOJA RC10.</t>
  </si>
  <si>
    <t>ETO-RD-PA 00352/2026</t>
  </si>
  <si>
    <t>AJUSTE DE PROTEÇÃO INCORRETO</t>
  </si>
  <si>
    <t>AL03097122</t>
  </si>
  <si>
    <t>7905357122</t>
  </si>
  <si>
    <t>190-17421490</t>
  </si>
  <si>
    <t>RELIGADOR DE LINHA - 19</t>
  </si>
  <si>
    <t>AJUSTES DE PROTEÇÃO</t>
  </si>
  <si>
    <t>PARECER DMSL: Foi alinhado com Irlley da proteção que será necessário substituir o equipamento RLG 7905357122 pois o relé possui limitações no ajuste e por não ser possível acessá-lo para coletar eventos, se tratando de um modelo obsoleto. Foi alinhado que o equipamento permanecerá em operação até que seja substituído. Favor, realizar substiuição por um modelo NOJA RC10 e programar a poda de árvores próxima do equipamento.Boa noite Segue SS para verificação de ajuste de proteção do RL 7905357122 poste a abalroado de ID 57407652 os cabos MT ficou encostanto na arvore pegando fogo e o RL não atuou a proteção.Parecer da proteção:Conferir os ajustes de proteção do RC01, reincidente em não abrir.Realizar teste funcional com mala de carga.Eng° Irlley Castelo Branco</t>
  </si>
  <si>
    <t>ETO-COEP 00122/2026</t>
  </si>
  <si>
    <t>7908196047</t>
  </si>
  <si>
    <t>190-19172792</t>
  </si>
  <si>
    <t>RELIGADOR N° 7908196047 REMANEJADO NA OBRA 0402401150 GENTILEZA, REALIZAR O COMISSIONAMENTO. LAUDO EM ANEXO. COORD EO: 698485, 8657287PARECER DA PROTEÇÃO:AJUSTE DISPONIBILIZADO NO APP DA PROTEÇÃO, NOTA REPASSADA PARA DMSL COMISSIONAR, POLO GURUPI, RL APENAS REMANEJADO DA REDE VELHA PARA REDE NOVA, EQUIPAMENTO COOPER, SE MANTEVE O MESMO NÚMERO DE ATIVO.ENG° IRLLEY CASTELO BRANCO.PARECER DMSL: Constatado curto-circuito no tanque do religador, impedindo as operações de abertura e fechamento do equipamento. Solicita-se a substituição completa do religador, incluindo tanque e unidade de controle.</t>
  </si>
  <si>
    <t>ETO-COEP 00038/2026</t>
  </si>
  <si>
    <t>7908249152</t>
  </si>
  <si>
    <t>190-17512853</t>
  </si>
  <si>
    <t>PARECER COEP: AGUARDANDO RETORNO DMSL, SERIA A COMPRA DA PARTE ATIVA+ CONTROLE+RADIO +RELE?DMSL:Serviço Executado: Houve um curto no equipamento danificando a parte ativa, será necessário fazer a substituição do equipamento completo ( parte ativa e controle) colocar o um cabo pp novo do trafo até o Dj pois o mesmo está sem condições de uso. Obs:. Foi retirado rádio e rele Equipamento ficou em operação?: Não Pendência: Sim, substituir o equipamento completo.</t>
  </si>
  <si>
    <t>ETO-COEP 00135/2026</t>
  </si>
  <si>
    <t>7908302256</t>
  </si>
  <si>
    <t>190-28327585</t>
  </si>
  <si>
    <t>RELIGADOR DE LINHA - 34,5kV</t>
  </si>
  <si>
    <t>Lorrane Sousa Gonçalves</t>
  </si>
  <si>
    <t>SOLICITAÇÃO DE SERVIÇO</t>
  </si>
  <si>
    <t>PARECER DMSL: Equipamento com a parte ativa com defeito, será necessário fazer a substituição da mesma. (Antiga nota era pra ter sido repassada porém foi baixada indevidamente pela equipe)</t>
  </si>
  <si>
    <t>ETO-COEP 00086/2026</t>
  </si>
  <si>
    <t>LD02025012</t>
  </si>
  <si>
    <t>7908686014</t>
  </si>
  <si>
    <t>190-17512665</t>
  </si>
  <si>
    <t>06/07 PARECER COEP: PREVISÃO DE ENTREGA DE ACORDO COM CALENDÁRIO LOGISITCO NOVO 06/07NOTA DMSL: Favor substituir o tanque, ele não está efetuando os comandos enviados. Não substituir o controle pois o mesmo funciona como repetidor de outros equipamentos.Segue nota para verificar falha de fechamento religador 7908686014- Pium .OBS: equipamento não fechou local e remoto , fica sinalizando no painel para verificar alarmes !</t>
  </si>
  <si>
    <t>ETO-RD-DP 00409/2026</t>
  </si>
  <si>
    <t>AL01015049</t>
  </si>
  <si>
    <t>7908705049</t>
  </si>
  <si>
    <t>190-17414963</t>
  </si>
  <si>
    <t>EQUIPAMENTO ENTREGUE, SOLICITO PREVISÃO PARA SUBSTITUIÇÃO:PARECER COEP: PREVISÃO DE ENTREGA AOS COCM'S 01/07Manutenção no RL 7908705049PARECER DMSL(28/08/2025): Equipe foi fazer manutenção no RL e constatou que o tanque e o relé do mesmo se encontra queimado, providenciar substituição.PARECER COCMS 30/04/2026CRIADO OBRA 0512600135 PARA REQUISIÇÃO MATERIAL</t>
  </si>
  <si>
    <t>ETO-COEP 00136/2026</t>
  </si>
  <si>
    <t>LD02059122</t>
  </si>
  <si>
    <t>7910027196</t>
  </si>
  <si>
    <t>190-17512828</t>
  </si>
  <si>
    <t>PARECER DMSL: EQUIPAMENTO FICOU EM OPERACAO, RESTABELCIDO PELA KAROL ação remota com a velp porém ele também deve ser realizado substituição por conta da fase B 7910027196 ta com a leitura incorreta na tensão da fase B. Subsituição do Equipamento Completo exceto o Radio. (Antiga nota era pra ter sido repassada porém foi baixada indevidamente pela equipe)</t>
  </si>
  <si>
    <t>DG-RD-PO 00444/2026</t>
  </si>
  <si>
    <t>ATERRAMENTO</t>
  </si>
  <si>
    <t>DANIFICADO(A)</t>
  </si>
  <si>
    <t>DG-RD-PO</t>
  </si>
  <si>
    <t>7911120026</t>
  </si>
  <si>
    <t>190-17512741</t>
  </si>
  <si>
    <t>Segue nota para recuperar malha de aterramento no RL 7911120026 RDU- Ponte Alta .OBS: Provavelmente foi furtado cabos de aterramento   .</t>
  </si>
  <si>
    <t>ETO-COEP 00114/2026</t>
  </si>
  <si>
    <t>AL01031076</t>
  </si>
  <si>
    <t>7913662076</t>
  </si>
  <si>
    <t>190-17421709</t>
  </si>
  <si>
    <t>30/06 PARECER COEP: AGUARDANDO RETORNO DO DMSL PARA ENTENDER EXATAMENTE O QUE TENHO QUE SUBSTITUIRAberto nota para substituir tanque danificado e chave de entrada fase B danificadaPARECER DMSL: Foi confirmado pela equipe DMSL o defeito do tanque, favor seguir com a substituição e correção da chave de entrada fase B danificada.</t>
  </si>
  <si>
    <t>ETO-COEP 00074/2026</t>
  </si>
  <si>
    <t>LD01047073</t>
  </si>
  <si>
    <t>7919270014</t>
  </si>
  <si>
    <t>190-17407946</t>
  </si>
  <si>
    <t>LAGOA DA CONFUSAO</t>
  </si>
  <si>
    <t>PARECER COEP: AGUARDANDO RETORNO DO DMSL, EQUIPAMENTO FOI INSTALADO NOVO NA OBRA 0212501060, ENTENDER O PORQUE NÃO FOI REALIZADO COMISSIONAMENTOPARECER DMSL: Substituir Equipamento completo problema na placa de alimentação e na parte ativa, falta colocar placa de identificação correta na topologia, baixar o controle.Equipamento ficou em operação?: naoPendência: simBateria(s) substituída(s)? NÃOEquipe: Kaique/ Benvindo----------------------------------------------PARECER DA PROTEÇÃO: Prosseguir com o comissionamento. Ajustes de religador permanecem os mesmos, disponíveis no APP da Proteção.********************************RELIGADOR N°7919270014 REMANEJADO NA OBRA 0212501060 GENTILEZA, REALIZAR O COMISSIONAMENTO. LAUDO EM ANEXO. COORD EO: 617422, 8830787</t>
  </si>
  <si>
    <t>ETO-COEP 00120/2025</t>
  </si>
  <si>
    <t>LD01084002</t>
  </si>
  <si>
    <t>7920024127</t>
  </si>
  <si>
    <t>190-17413318</t>
  </si>
  <si>
    <t>30/06 PARECER COEP: AGUARDANDO O RETORNO DO DMSL , PARA ENTENDER SE O PROBLEMA É NA COMUNICAÇÃO OU PARTE ATIVA, JÁ QUE O EQUIPAMENTO EM QUESTÃO SEGUE COMUNICANDOPARECER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quebrado.RL 7920024127 está desarmando em campo e no SCADA continua fechado, só sinaliza aberto no SCADA quando a equipe faz o resert no equipamento em campo.</t>
  </si>
  <si>
    <t>ETO-COEP 00132/2026</t>
  </si>
  <si>
    <t>LD01025012</t>
  </si>
  <si>
    <t>7921202014</t>
  </si>
  <si>
    <t>EQP-7921202014</t>
  </si>
  <si>
    <t>RELIGADOR 34,5 KV</t>
  </si>
  <si>
    <t>WANDERLEY TAVARES DA SILVA</t>
  </si>
  <si>
    <t>PARECER COEP: PROBLEMA IDENTIFICADO É NA PARTE ATIVA? OU NO RELIGADOR? FAVOR VERIFICAR SE EQUIPAMENTO ESTÁ EM OPERAÇÃO NO SCADA, OU SE É NECESSARIO APENAS A MELHORIA DE ATERRAMENTO PARECER DMSL: Serviço Executado: _ indentificado o problema na parte ativa será  necessário fazer a substituição da mesmo, feito a medição do aterramento. Preciso substituir para raio da fase c.Equipamento ficou em operação?: _NAOPendência: _SimBateria(s) substituída(s)? _NãoData Fabricação/Instalação da(s) bateria(s):_Equipe: _Benvindo e kaique----------------------------------------------------------------------------------RL com defeito no rele, fica só reiniciando ficou By passado OS atendimento primeiro ataque 106530226</t>
  </si>
  <si>
    <t>ETO-COEP 00124/2026</t>
  </si>
  <si>
    <t>AL04010004</t>
  </si>
  <si>
    <t>7923673004</t>
  </si>
  <si>
    <t>190-17421632</t>
  </si>
  <si>
    <t>PARECER COEP: Verificar Disponibilidade de equipamento no Scada e enviar modelo e tensão para a compra.RELIGADOR COM RELÉ DANIFICADO, REALIZAR SUBSTITUIÇÃO</t>
  </si>
  <si>
    <t>ETO-COEP 00079/2025</t>
  </si>
  <si>
    <t>7923927122</t>
  </si>
  <si>
    <t>190-17403330</t>
  </si>
  <si>
    <t>SAMUEL PINTO GOMES</t>
  </si>
  <si>
    <t>30/06 PARECER COEP: EQUIPAMENTO SEM PARECER TECNICO DO DMSLSegue nota para envia manutenção substituir tanque do RL-7923927122 em curto, Anomalia identificada desarme das LD, s Palmas / Aparecida e Palmas Taquaruçu, Acesso livre, Tensão 34,5kv, Local RL de Interligação entre 424R / 414R.</t>
  </si>
  <si>
    <t>ETO-COEP 00222/2025</t>
  </si>
  <si>
    <t>LD01010021</t>
  </si>
  <si>
    <t>7925087021</t>
  </si>
  <si>
    <t>190-17514129</t>
  </si>
  <si>
    <t>PARECER COEP: EM ROTA DE ENTREGA, VERIFICAR PREVISÃO DE CHEGADARealizar a substituição do tanque do equipamento.</t>
  </si>
  <si>
    <t>ETO-COEP 00058/2026</t>
  </si>
  <si>
    <t>LD01414015</t>
  </si>
  <si>
    <t>7925733015</t>
  </si>
  <si>
    <t>190-17404247</t>
  </si>
  <si>
    <t>PARECER COEP: EQUIPAMENTO SELECIONADO PARA COMPRAPARECER DMSL: FEEDBACK EQUIP. ESPECIAISNº DO EQUIPAMENTO: 7925733015TIPO EQUIPAMENTO: Noja RC10TIPO DE COMUNICAÇÃO: Rádio GEDATA DA MANUTENÇÃO: 24/03/2026SID: 1475/2026DESCRIÇÃO: Tanque do equipamento em CurtoFICOU EM OPERAÇÃO?: Não PENDÊNCIA: Sim, repassar a nota para DCMD substituir tanque.DADOS DIVERGENTES DA PROGRAMAÇÃO: NãoBATERIA SUBSTITUÍDA?: Não TIPO DE BATERIA: Lítio EQUIPE: Edicleber e Jhonata(DEOP)------------------------------------------------------------------------------------------------------religador 7925733015 com defeito, equipe fez abertura da chave de saida do mesmo e ele não aceita fehcamento devido provavel curto-circuito interno, enviar equipe para verificar o mesmo ficou by-pass fechado</t>
  </si>
  <si>
    <t>ETO-COEP 00059/2026</t>
  </si>
  <si>
    <t>FALTANDO</t>
  </si>
  <si>
    <t>LD02022033</t>
  </si>
  <si>
    <t>7925744087</t>
  </si>
  <si>
    <t>190-17408622</t>
  </si>
  <si>
    <t>PARECER COEP: EQUIPAMENTO SELECIONADO PARA COMPRAPARECER DMSL: FEEDBACK EQUIP. ESPECIAISNº DO EQUIPAMENTO:  7925744087TIPO EQUIPAMENTO: Noja RC 10TIPO DE COMUNICAÇÃO: Radio GE IPDATA DA MANUTENÇÃO: 19/02/2026SID: 735/2026 DESCRIÇÃO: foi identificado água dentro da parte interna do tanque e cabo umbilical encharcado de água foi passado essas informações para COS.FICOU EM OPERAÇÃO?: Não PENDÊNCIA: Sim substituir tanque e cabo umbilicalDADOS DIVERGENTES DA PROGRAMAÇÃO: NãoBATERIA SUBSTITUÍDA?: Não DATA DA BATERIA: 07/05/2025TIPO DE BATERIA: Lítio EQUIPE: Edeglan e Janio-------------------------------------------------------------------------------------------------RELIGADOR SEM COMUNICAÇÃO, APOS PRIMEIRO ATAQUE RETORNA E FICAR INDEFINIDO.</t>
  </si>
  <si>
    <t>ETO-COEP 00048/2026</t>
  </si>
  <si>
    <t>LD03105019</t>
  </si>
  <si>
    <t>7925871077</t>
  </si>
  <si>
    <t>190-17512510</t>
  </si>
  <si>
    <t>30/06 PARECER COEP: AGUARDANDO RETORNO DO DMSLPARECER DMSL: A PEDIDO DA PCM DO NORTE LARA SOARES REALIZEI A CRIAÇÃO DESSA SS, EM RAZAO DA ANTIGAETO-TELE 337/2026 QUE FOI BAIXADA POR ENGANO DE TAL FORMA SEGUE A MESMA PARA REALIZAR AS TRATATIVAS. PENDENCIA: Religador continua by passado, equipamento está com defeito na parte ativa</t>
  </si>
  <si>
    <t>ETO-COEP 00078/2026</t>
  </si>
  <si>
    <t>RELÉ DE PROTEÇÃO</t>
  </si>
  <si>
    <t>COPO</t>
  </si>
  <si>
    <t>LD03062013</t>
  </si>
  <si>
    <t>7926089013</t>
  </si>
  <si>
    <t>190-17512949</t>
  </si>
  <si>
    <t>CLEBSON ALVES DUARTE</t>
  </si>
  <si>
    <t>PARECER COEP: EQUIPAMENTO SELECIONADO PARA COMPRAPARECER DMSL: Feedback Equip. EspeciaisRLG 7926089013,RELÉ NOJA RC10SID 1805/2026DATA 15/04/2026Serviço Executado: Favor realizar a troca da parte ativa do equipamento --reprogramar para atualizar a base juntamente com escada Equipamento ficou em operação: Não Pendência: sim atualizar a base e  subistituir o tanque Bateria(s) substituída(s)? Não Data de Fabricação/Instalação da(s) bateria(s): Equipe: Carliel e João Vitor Fernando e Elson---------------------------------------------------------------------------------ATUALIZAR AJUSTES DO RL 7926089013 LD PARAISO I  A  PIUM. IMPLEMENTAÇÃO DA FUNÇÃO 27, SUBTENSÃO.AJUSTES DISPONIVEIS NO APP DA PROTEÇÃO.</t>
  </si>
  <si>
    <t>ETO-COEP 00051/2026</t>
  </si>
  <si>
    <t>7926442035</t>
  </si>
  <si>
    <t>190-17513078</t>
  </si>
  <si>
    <t>PARECER COEP: EQUIPAMENTO SELECIONADO PARA COMPRAPARECER DMSL: Data: 12/03/2026 Serviço Executado:- Análise técnica constatou:- Parte ativa do equipamento danificada: necessita substituição- Trafo danificado: foi feitos testes nas buchas secundárias o mesmo não chega tensão    - Vazamento de óleo    - Necessita substituiçãoEquipamento ficou em operação? NãoPendências:- Solicitar limpeza de faixa para acesso ao equipamento- Trocar parte ativa do equipamento- Substituir o trafoEquipe: Carliel e João VitorSegue nota para envia equipe verificar falha de comunicação e automação no RL-7926442035 feito primeiro ataque com equipe 035OP02, porém sem sucesso. </t>
  </si>
  <si>
    <t>ETO-RD-PA 00432/2026</t>
  </si>
  <si>
    <t>7927169001</t>
  </si>
  <si>
    <t>190-17421624</t>
  </si>
  <si>
    <t>PARECER COEP: EQUIPAMENTO ENTREGUE, SEGUE SS PARA O COCM´S , PARA REALIZAR O ATENDIMENTO,FAVOR ADICIONAR O PARECER PARA MANDAR PARA PROTEÇÃOSS ANTIGA: 1500/2025 PARECER DMSL: Serviço Executado: Foi verificado que o tanque do equipamento está danificado, sendo necessário substituir o tanque do equipamento.Equipamento ficou em operação?: NãoPendência: Sim, instalar fonte, disjuntor e DPS, e substituir o tanque.</t>
  </si>
  <si>
    <t>ETO-COEP 00045/2026</t>
  </si>
  <si>
    <t>LD03036052</t>
  </si>
  <si>
    <t>7927396052</t>
  </si>
  <si>
    <t>190-21148967</t>
  </si>
  <si>
    <t>ZELITO ALVES DELGADO</t>
  </si>
  <si>
    <t>PARECER COEP: EQUIPAMENTO SELECIONADO PARA COMPRAreligador foi bay passado devido mesmo esta saindo fumaca do painel e sem comunicação 7927396052.PARECER DMSL: Após testes, equipe DMSL constatou que apenas o tanque do RLG 7927396052 encontra-se queimado. Favor, substituir parte ativa do equipamento.NS Tanque: 0320123040198</t>
  </si>
  <si>
    <t>ETO-RD-PO 00118/2026</t>
  </si>
  <si>
    <t>LD01072001</t>
  </si>
  <si>
    <t>7927413001</t>
  </si>
  <si>
    <t>190-17408527</t>
  </si>
  <si>
    <t>Leonardo Oliveira Bezerra Mato</t>
  </si>
  <si>
    <t>ETO-COEP 00143/2025</t>
  </si>
  <si>
    <t>7927446001</t>
  </si>
  <si>
    <t>190-17412374</t>
  </si>
  <si>
    <t>30/06 PARECER COEP: AGUARDANDO RETORNO DO DMSL PARA SEGUIR COM AS TRATATIVAS, JÁ QUE NÃO TEMOS CERTEZA SE É SOMENTE A PLCA OU O EQUIPAMENTO COMPLETOSegue para verificação RL sem comunicação feito primeiro ataque sem sucesso.PARECER DMSL:Data:* _08/07/2025Serviço Executado: Placa de alimentação danificada, devido a curto, não temos material sobressalente para manutenção! Favor substituir o equipamento completo.Obs.: O rádio ficou dentro do controle, favor orientar a equipe que for substituir colocar dentro do controle novo.Equipamento ficou em operação?: Não Pendência: Sim, substituir equipamento completo.</t>
  </si>
  <si>
    <t>ETO-COEP 00029/2026</t>
  </si>
  <si>
    <t>7927646026</t>
  </si>
  <si>
    <t>190-37070331</t>
  </si>
  <si>
    <t>PARECER COEP: EQUIPAMENTO SELECIONADO PARA COMPRARELIGADOR BY PASSADO POR DEFEITO, NECESSÁRIO AVALIAÇÃO DO PROBLEMA.parecer dmsl:O religador apresenta defeito no tanque, sendo necessário substituir o tanque o mesmo está tirando a linha, e troca os  isoladores. Quando retornar, trazer uma fonte para o equipamento, a mesma foi removida.FICOU EM OPERAÇÃO? NãoPENDÊNCIA: Sim, aguardando peças para substituição.</t>
  </si>
  <si>
    <t>ETO-COEP 00128/2026</t>
  </si>
  <si>
    <t>LD02066094</t>
  </si>
  <si>
    <t>7928241200</t>
  </si>
  <si>
    <t>190-17410002</t>
  </si>
  <si>
    <t>PARECER COEP: FAVOR REAVALIAR DISPONIBILIDADE DO EQUIPAMENTO DO SCADA E DIZER MARCA ,MODELO E TENSÃO DO EQUIPAMENTOPARECER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t>
  </si>
  <si>
    <t>ETO-COEP 00123/2026</t>
  </si>
  <si>
    <t>LD02109039</t>
  </si>
  <si>
    <t>7928564039</t>
  </si>
  <si>
    <t>190-17513063</t>
  </si>
  <si>
    <t>PARECER COEP: QUAL O MODELO DO EQUIPAMENTO? QUAL A FAIXA DE TENSÃO ? O QUE SERIA SISTEMA DE COMUNICAÇÃO COMPLETO?Troca do sistema de comunicação do equipamentoDMSL 28/07/2025: Equipamento com tanque, modulo e rele com defeito, solicitar troca do equipamento ao DCMD.Fotos vão ser enviadas por e-mail</t>
  </si>
  <si>
    <t>ETO-COEP 00120/2026</t>
  </si>
  <si>
    <t>7929376022</t>
  </si>
  <si>
    <t>190-17408409</t>
  </si>
  <si>
    <t>GERCILIO PEDROZA JUNIOR</t>
  </si>
  <si>
    <t>PARECER COEP: PROBLEMA NO ENVIO COCM'S CONTROLE ENVIADO FOI O NOJA , DEVIDO A FALTA DO MODELO NA SS (GRAVE)PARECER DMSL: *FEEDBACK EQUIP. ESPECIAIS**Nº DO EQUIPAMENTO:* 7929376022 *DATA DA MANUTENÇÃO:* 02/04/2026*SID:* 1677/2026*DESCRIÇÃO:* Trocar controle completo*PENDÊNCIA:* Sim.*DADOS DIVERGENTES DA PROGRAMAÇÃO:* Não*BATERIA SUBSTITUÍDA?:* Não*EQUIPE:* Adeilton e Edicleber __________________________________________________________POR GENTILEZA ATENDER SOLICITAÇÃO PRIMEIRO ATAQUE IDENTIFICOU QUE RELE ESTA EM CURTO NOTA ABERTA 224/2026 FOI BAIXADA POREM NÃO FOI CORRIGIDO PROBLEMA EM CAMPO.</t>
  </si>
  <si>
    <t>ETO-RD-PO 00183/2026</t>
  </si>
  <si>
    <t>7931219078</t>
  </si>
  <si>
    <t>190-17404165</t>
  </si>
  <si>
    <t>ITACAJA</t>
  </si>
  <si>
    <t>GERALDO JOSE DE FARIA</t>
  </si>
  <si>
    <t>EM OPERAÇÃO COM ANOMALIA</t>
  </si>
  <si>
    <t>08/07/2026 PARECER COEP: SUBSTITUIÇÃO DE TRAFO AUXILIAR ENCAMINHADO PARA REALIZAR A TROCA , FAVOR COLOCAR O PARECER AQUI E MANDAR DEPOIS PARA PROTEÇÃO , POR FAVORPARECER COEP: SUBSTITUIÇÃO DO TRAFO É DIRETO COM OS COCM'S, NÃO TEM COMPRA DE EQUIPAMENTO ESPECIAL.PARECER DMSL (25/07/2025): Realizada atualização da base do relé. Feito comissionamento com SCADA (Kauana) e testes com COS (Daniel). Equipamento reinserido no SEP sem anomalias. PENDÊNCIA: Sim. Substituir Trafo auxiliar, pois o mesmo está com vazamento significativo de óleo isolante, o que irá causar a avaria podendo afetar todo controle do religador.FAZER INSPEÇÃO E MANUTENÇÃO DO RL 7931219078. RELIGADOR CHAVE ESTA MUDANDO SOZINHA PARA LOCAL.</t>
  </si>
  <si>
    <t>ETO-RD-PO 00180/2026</t>
  </si>
  <si>
    <t>PARECER COEP: SUBSTITUIÇÃO DO TRAFO É DIRETO COM OS COCM'S, NÃO TEM COMPRA DE EQUIPAMENTO ESPECIAL.PARECER DMSL (25/07/2025): Realizada atualização da base do relé. Feito comissionamento com SCADA (Kauana) e testes com COS (Daniel). Equipamento reinserido no SEP sem anomalias. PENDÊNCIA: Sim. Substituir Trafo auxiliar, pois o mesmo está com vazamento significativo de óleo isolante, o que irá causar a avaria podendo afetar todo controle do religador.FAZER INSPEÇÃO E MANUTENÇÃO DO RL 7931219078. RELIGADOR CHAVE ESTA MUDANDO SOZINHA PARA LOCAL.</t>
  </si>
  <si>
    <t>ETO-COEP 00040/2026</t>
  </si>
  <si>
    <t>AL05099059</t>
  </si>
  <si>
    <t>7931608059</t>
  </si>
  <si>
    <t>190-17421389</t>
  </si>
  <si>
    <t>RELIGADOR DE LINHA - 13,8kV</t>
  </si>
  <si>
    <t>PARECER COEP: EQUIPAMENTO SELECIONADO PARA COMPRADMSL:Serviço Executado: Foi feita uma análise técnica no equipamento, devido à falta de comunicação. Também foi identificado que o tanque do equipamento está danificado, sendo assim,  necessário substituir o tanque e o rádio do equipamento, que está queimado, sendo necessário substituir também.</t>
  </si>
  <si>
    <t>DOLP-RD-PA 00728/2026</t>
  </si>
  <si>
    <t>ATERRAMENTO ROMPIDO/SEM CONEXÃO</t>
  </si>
  <si>
    <t>COCM</t>
  </si>
  <si>
    <t>DOLP-RD-PA</t>
  </si>
  <si>
    <t>AL08060122</t>
  </si>
  <si>
    <t>7931610122</t>
  </si>
  <si>
    <t>190-17421623</t>
  </si>
  <si>
    <t>URGENTE</t>
  </si>
  <si>
    <t>MARCELO COSTA PRIMO</t>
  </si>
  <si>
    <t>AVISO DE ANOMALIA</t>
  </si>
  <si>
    <t>30/06 PARECER COEP: EQUIPAMENTO ENTREGUE, SEGUE SS PARA O COCM´S , PARA REALIZAR O ATENDIMENTO,FAVOR ADICIONAR O PARECER PARA MANDAR PARA PROTEÇÃOBom dia,Segue SS para verificação RL sem comunicação com painel apagado equipe DEOP fez primeiro ataque sem sucesso RL 7931610122 RDU de Palmas.Feedback Equipamentos Especiais DMSL: *RLG 7931610122 RDU Palmas*Noja rc10 Data: 14/10/2025SID: 5412Dados de comunicação divergentes da programação: Não. Serviço Executado: Houve um curto no equipamento danificando a parte ativa, e antena! Será necessário fazer a substituição somente da parte ativa (tanque) e da antena.Equipamento ficou em operação?: Não Pendência: Sim, substituir a parte ativa.Bateria(s) substituída(s)?: NãoData Fabricação/Instalação da(s) bateria(s): 2024Equipe: Benvindo, Juliano e Sérgio.*Equipamento ficou em operação?:*Nao Pendência: Sim, substituir parte ativa.Equipe: Benvindo, Juliano e Sérgio.</t>
  </si>
  <si>
    <t>ETO-RD-PA 00433/2026</t>
  </si>
  <si>
    <t>190-17408268</t>
  </si>
  <si>
    <t>30/06 PARECER COEP: EQUIPAMENTO ENTREGUE, SEGUE SS PARA O COCM´S , PARA REALIZAR O ATENDIMENTO,FAVOR ADICIONAR O PARECER PARA MANDAR PARA PROTEÇÃOBom dia,Segue SS para verificação RL sem comunicação com painel apagado equipe DEOP fez primeiro ataque sem sucesso RL 7931610122 RDU de Palmas.Feedback Equipamentos Especiais DMSL: *RLG 7931610122 RDU Palmas*Noja rc10 Data: 14/10/2025SID: 5412Dados de comunicação divergentes da programação: Não. Serviço Executado: Houve um curto no equipamento danificando a parte ativa, e antena! Será necessário fazer a substituição somente da parte ativa (tanque) e da antena.Equipamento ficou em operação?: Não Pendência: Sim, substituir a parte ativa.Bateria(s) substituída(s)?: NãoData Fabricação/Instalação da(s) bateria(s): 2024Equipe: Benvindo, Juliano e Sérgio.</t>
  </si>
  <si>
    <t>ETO-COEP 00024/2026</t>
  </si>
  <si>
    <t>7933585074</t>
  </si>
  <si>
    <t>190-59145750</t>
  </si>
  <si>
    <t>30/06 PARECER COEP: AGUARDANDO RETORNO DO DMSL.REALIZAR SUBSTITUIÇÃO DO TANQUE, O MESMO ESTÁ COM DEFEITO.</t>
  </si>
  <si>
    <t>ETO-RD-PO 00181/2026</t>
  </si>
  <si>
    <t>ARMÁRIO DE CONTROLE</t>
  </si>
  <si>
    <t>7933726256</t>
  </si>
  <si>
    <t>190-17412746</t>
  </si>
  <si>
    <t>01/07 PARECER COEP: REDIRECIONADO PARA O POSTO DO COCM´S EQUIPAMENTO CHEGOU NO LOCAL, FAVOR ENTRAR EM CONTATO COM O DMSL, DEVIDO A URGÊNCIA DO EQUIPAMENTO EM OPERAÇÃO.30/06 PARECER COEP: DEVIDO A ALINHAMENTO COM COI UTILIZAREMOS PARTE ATIVA QUE ORIGINALMENTE FOI ENCOMENDADA PARA 7933726256PARECER DMSL: N° do Equipamento: _RLG 7933726256 MateirosTipo de Equipamento: _RLG NOJA RC 10 REL IIData: _06/05/2026SID: _2288/2026-Serviço Executado: _Equipamento com defeito na parte ativa, será necessário fazer a substituição da parte ativa e fazer melhoria na malha de terra!Equipamento ficou em operação?: _NaoPendência: _SimBateria(s) substituída(s)? NÃOData Fabricação/Instalação da(s) bateria(s):_06/2025Equipe: _Benvindo e Almir-------------------------------------------------------------------------------Religador 7933726256, sem comunicação apos primeiroa ataque não retornou as comunicação.</t>
  </si>
  <si>
    <t>DOLP-RD-PA 00727/2026</t>
  </si>
  <si>
    <t>BORNE DANIFICADO</t>
  </si>
  <si>
    <t>AL01099059</t>
  </si>
  <si>
    <t>7933766059</t>
  </si>
  <si>
    <t>190-58832149</t>
  </si>
  <si>
    <t>PARECER COEP: EQUIPAMENTO ENTREGUE, SEGUE SS PARA O COCM´S , PARA REALIZAR O ATENDIMENTO,FAVOR ADICIONAR O PARECER PARA MANDAR PARA PROTEÇÃOSegue SS para verficar religador de poste 7933766059.Religador esta com defeito na parte ativa no tanque Porte gentilezaenviar equipe verificar.Endereço: TaquariPARECER DMSL: RLG 7933766059 RELÉ NOJA RC 10Mestre 2 Rep. taquaruçu GESID: 5457/2025Data: 15/10/2025Serviço Executado: Houve um curto na parte ativa do equipamento danificando a mesma, será necessário fazer a substituição somente do tanque, parte ativa.</t>
  </si>
  <si>
    <t>ETO-RD-PA 00431/2026</t>
  </si>
  <si>
    <t>190-17409267</t>
  </si>
  <si>
    <t>HERIK BUARQUE DOS SANTOS</t>
  </si>
  <si>
    <t>PARECER COEP: EQUIPAMENTO ENTREGUE, SEGUE SS PARA O COCM´S , PARA REALIZAR O ATENDIMENTO,FAVOR ADICIONAR O PARECER PARA MANDAR PARA PROTEÇÃOSegue SS para verficar religador de poste 7933766059.Religador esta com defeito na parte ativa no tanque Porte gentilezaenviar equipe verificar.Endereço: TaquariPARECER DMSL: RLG 7933766059 RELÉ NOJA RC 10Mestre 2 Rep. taquaruçu GESID: 5457/2025Data: 15/10/2025Serviço Executado: Houve um curto na parte ativa do equipamento danificando a mesma, será necessário fazer a substituição somente do tanque, parte ativa.*Equipamento ficou em operação?:*Nao Pendência: Sim, substituir parte ativa.Equipe: Benvindo, Juliano e Sérgio.</t>
  </si>
  <si>
    <t>ETO-COEP 00129/2026</t>
  </si>
  <si>
    <t>7937102148</t>
  </si>
  <si>
    <t>190-20409576</t>
  </si>
  <si>
    <t>SAO VALERIO</t>
  </si>
  <si>
    <t>PARECER COEP: REAVALIAR DISPONIBILIDADE DO EQUIPAMENTO NO SCADA ASSIM COMO , FORNECER MODELO DO EQUIPAMENTO E FAIXA DE TENSÃO PARA COMPRA / AQUISIÇÃOTanque com defeito, realizar substituição do tanque.</t>
  </si>
  <si>
    <t>ETO-COEP 00158/2025</t>
  </si>
  <si>
    <t>7942485096</t>
  </si>
  <si>
    <t>190-32192324</t>
  </si>
  <si>
    <t>30/06 PARECER COEP: EQUIPAMENTO SELECIONADO PARA COMPRARELIGADOR COM DEFEITO 7942485096, ESTA DANDO PASSAGEM ESTANDO ABERTO. NÃO ACEITA COMANDOS. FICOU BY PASSADO EM CAMPO PARA MANUTENÇÃO.PARECER DMSL: Ao testar o tanque, foi constatado que o mesmo está danificado e precisa ser substituído.Substituir somente o tanque. Deixar claro na nota para o dcmd substituir somente o tanque. Não tem necessidade de substituir o controle.</t>
  </si>
  <si>
    <t>ETO-RD-PA 00427/2026</t>
  </si>
  <si>
    <t>7942572059</t>
  </si>
  <si>
    <t>190-17403393</t>
  </si>
  <si>
    <t>MARCO ANTONIO LOURENCO CAMPOS</t>
  </si>
  <si>
    <t>PARECER COEP: EQUIPAMENTO COM MELHORIA DE ATERRAMENTO É COM A ETO-RD-PA , NÃO PASSA PELO FLUXO DE AQUISIÇÃO DO COEP, FAVOR REALIZAR MELHORIA DE ATERRAMENTO ETO-RD-PAPARECER DMSL 19/05/2026: É necessário fazer melhorias na malha de aterramento.segue nota para RL 794252059 o mesmo esta sem comunicaçao, foi feito primeiro ataque, porem a comunicaçao nao voltou, obs ramal do marasca.</t>
  </si>
  <si>
    <t>ETO-COEP 00063/2026</t>
  </si>
  <si>
    <t>LD01434149</t>
  </si>
  <si>
    <t>7944559149</t>
  </si>
  <si>
    <t>190-35120642</t>
  </si>
  <si>
    <t>30/06 PARECER COEP: AGUARDANDO RETORNO DO DMSL , PARA VIABILIZAR TROCA APENAS DA PLACA , POIS EXISTEM 5 NO SALDO DE ESTOQUEEquipamento ficou em operação?: NãoPendência: Sim será necessário substituir a placaServiço Executado:  curto na placa foi tentando recuperar a mesma porém não teve sucesso!Bateria(s)substituída(s)? NÃOEquipe: Kaique e benvido</t>
  </si>
  <si>
    <t>ETO-COEP 00131/2026</t>
  </si>
  <si>
    <t>LD02065015</t>
  </si>
  <si>
    <t>7947203070</t>
  </si>
  <si>
    <t>190-68154393</t>
  </si>
  <si>
    <t>LAISON OLIVEIRA CARVALHO</t>
  </si>
  <si>
    <t>PARECER COEP: QUAL O MODELO DA PLACA OU CÓDIGO DO MATERIAL?EXISTE DIFERENÇA DE MODELO OU POTÊNCIA?favor verificar RL 7947203070, sem comunicaçao, feito 1° ataque pela equipe 070OP01 e nao retornou a comunicaçao , linformaçao no Scada de bateria.PARECER DMSL: Foi feito análise técnica, a placa do equipamento está queimada nessesario subistituir o equipamento completo -Carliel e Benvindo-05/02</t>
  </si>
  <si>
    <t>ETO-COEP 00050/2026</t>
  </si>
  <si>
    <t>7953610256</t>
  </si>
  <si>
    <t>190-43820334</t>
  </si>
  <si>
    <t>DIONES COSTA SILVA</t>
  </si>
  <si>
    <t>PARECER COEP: AGUARDANDO COCM'S GERAREM A OBRA PARA ENTREGA DO MATERIALPARECER DMSL: Data: 10/03/2026,Serviço Executado: Foi substituído o relé do equipamento, o mesmo estava danificado. Trocado o DPS, o mesmo estava queimado devido ao tanque estar furado. O equipamento ficou em bypass.Equipamento ficou em operação? NãoPendência? Sim, substituir a parte ativa com cordão umbilical.Equipe: Carliel e João VitorSEGUE SS PARA REGULARIZAR AUTOMAÇÃO DO RL 7953610256 NA INTERLIGAÇÃO COM A COELBA (CHAPADA DA MANGABEIRA) - EQUIPE INFOMOU CURTO INTERNO NO GABINETE DJ AC NÃO FECHA</t>
  </si>
  <si>
    <t>ETO-COEP 00134/2026</t>
  </si>
  <si>
    <t>7955946007</t>
  </si>
  <si>
    <t>190-40659920</t>
  </si>
  <si>
    <t>PARECER DMSL: Necessário substituir a placa de alimentação ca, a mesma está em curto não conseguimos recuperar. (Antiga nota era pra ter sido repassada porém foi baixada indevidamente pela equipe)</t>
  </si>
  <si>
    <t>ETO-COEP 00133/2026</t>
  </si>
  <si>
    <t>7955986084</t>
  </si>
  <si>
    <t>190-28065672</t>
  </si>
  <si>
    <t>PARECER DMSL: Equipamento com a placa de alimentação ca em curto, será necessário substituir a placa do equipamento. (Antiga nota era pra ter sido repassada porém foi baixada indevidamente pela equipe)</t>
  </si>
  <si>
    <t>ETO-COEP 00156/2025</t>
  </si>
  <si>
    <t>7957126085</t>
  </si>
  <si>
    <t>190-48432153</t>
  </si>
  <si>
    <t>20/06PARECER COEP: EMD 510216PREVISÃO DE CHEGADA COCM'S 01/07RELIGADOR COM RELÉ QUEIMADO - EQUIPAMENTO BY PASSADO. PARECER DMSL:N° do Equipamento: 7957126085Data: 17/06/2025Localidade: RDU Monte SantoServiço Executado:"Os para raios da fase B e C estão fechando arco na cruzeta. Curto desceu para o controle danificando os componentes. Necessário substituir controle completo, substituir cabo de alimentação da BT e abaixar o tanque para afastar das cruzetas. Solicitar também ao DCMD para verificar se os para raios estão danificados."Ana Maria e Rayr já tinha ido no local anteriormente, na data 14/05/25 e fizeram o diagnostico acima. Equipamento ficou em operação?: NÃO</t>
  </si>
  <si>
    <t>ETO-RD-PA 00246/2026</t>
  </si>
  <si>
    <t>AL05097122</t>
  </si>
  <si>
    <t>7961785122</t>
  </si>
  <si>
    <t>190-17409191</t>
  </si>
  <si>
    <t>RELIGADOR N° 7961785122 REMANEJADO NA OBRA 0102401076 GENTILEZA, REALIZAR O COMISSIONAMENTO. LAUDO EM ANEXO. COORD EO: 792261, 8868643PARECER DA PROTEÇÃO:COORD TS: 792319, 8868633, AJUSTE DISPONIBILIZADO NO APP DA DA PROTEÇÃO, NOTA REPASSADA PARA DMSL COMISSIONAR, POLO PALMAS.ENG° IRLLEY CASTELO BRANCO. PARACER DMSL: DEIXAMOS O EQUIPAMENTO COMISSIONADO E EM OPERAÇÃO, ESTAMOS REPASSANDO A NOTA PARA QUE POSSAM VERIFICAR A PENDENCIA. PARECER DMSL:SERVIÇO REALIZADO:Foi feito o comissionamento do equipamento com scada, realizado testes de comandos local e remotamente.Equipamento ficou em operação?:sim Pendência:sim*#Controle está faltando aterramento.* fibra para melhoria das mesmas.*Observação:Bateria(s) substituída(s)? simData Fabricação/Instalação da(s) bateria(s): 29/08/2025Equipe: Ellisfran/ Ana Maria</t>
  </si>
  <si>
    <t>TIPO</t>
  </si>
  <si>
    <t>Dias Pendente</t>
  </si>
  <si>
    <t>Status Atendimento</t>
  </si>
  <si>
    <t>Responsável</t>
  </si>
  <si>
    <t>SS SGM</t>
  </si>
  <si>
    <t>Município</t>
  </si>
  <si>
    <t>DESCRIÇÃO</t>
  </si>
  <si>
    <t>RL</t>
  </si>
  <si>
    <t>Baixo</t>
  </si>
  <si>
    <t>74 - DIAS AGUARDANDO DCMD</t>
  </si>
  <si>
    <t>COEP</t>
  </si>
  <si>
    <t>Alto</t>
  </si>
  <si>
    <t>317 - DIAS AGUARDANDO DCMD</t>
  </si>
  <si>
    <t>Muito Alto</t>
  </si>
  <si>
    <t>111 - DIAS AGUARDANDO DCMD</t>
  </si>
  <si>
    <t>350 - DIAS AGUARDANDO DCMD</t>
  </si>
  <si>
    <t>RT</t>
  </si>
  <si>
    <t>369 - DIAS AGUARDANDO DCMD</t>
  </si>
  <si>
    <t>0 - DIAS AGUARDANDO DCMD</t>
  </si>
  <si>
    <t>PROTECAO</t>
  </si>
  <si>
    <t>ETO-RD-GR 00685/2026</t>
  </si>
  <si>
    <t>Medio</t>
  </si>
  <si>
    <t>264 - DIAS AGUARDANDO DCMD</t>
  </si>
  <si>
    <t>COCM-C</t>
  </si>
  <si>
    <t>71 - DIAS AGUARDANDO DCMD</t>
  </si>
  <si>
    <t>435 - DIAS AGUARDANDO DCMD</t>
  </si>
  <si>
    <t>8 - DIAS AGUARDANDO DEOP</t>
  </si>
  <si>
    <t>ETO-PROT 00135/2026</t>
  </si>
  <si>
    <t>407 - DIAS AGUARDANDO DCMD</t>
  </si>
  <si>
    <t>371 - DIAS AGUARDANDO DCMD</t>
  </si>
  <si>
    <t>8 - DIAS AGUARDANDO DCMD</t>
  </si>
  <si>
    <t>COCM-S</t>
  </si>
  <si>
    <t>347 - DIAS AGUARDANDO DCMD</t>
  </si>
  <si>
    <t>364 - DIAS AGUARDANDO DCMD</t>
  </si>
  <si>
    <t>8 - DIAS AGUARDANDO DMSL</t>
  </si>
  <si>
    <t>DMSL</t>
  </si>
  <si>
    <t>ETO-TELE 00965/2026</t>
  </si>
  <si>
    <t>305 - DIAS AGUARDANDO DCMD</t>
  </si>
  <si>
    <t>ETO-TELE 00961/2026</t>
  </si>
  <si>
    <t>333 - DIAS AGUARDANDO DCMD</t>
  </si>
  <si>
    <t>1 - DIAS AGUARDANDO DCMD</t>
  </si>
  <si>
    <t>7 - DIAS AGUARDANDO DCMD</t>
  </si>
  <si>
    <t>307 - DIAS AGUARDANDO DCMD</t>
  </si>
  <si>
    <t>280 - DIAS AGUARDANDO DCMD</t>
  </si>
  <si>
    <t>75 - DIAS AGUARDANDO DCMD</t>
  </si>
  <si>
    <t>34 - DIAS AGUARDANDO DMSL</t>
  </si>
  <si>
    <t>ETO-TELE 00888/2026</t>
  </si>
  <si>
    <t>212 - DIAS AGUARDANDO DCMD</t>
  </si>
  <si>
    <t>214 - DIAS AGUARDANDO DCMD</t>
  </si>
  <si>
    <t>ETO-TELE 00960/2026</t>
  </si>
  <si>
    <t>19 - DIAS AGUARDANDO DMSL</t>
  </si>
  <si>
    <t>ETO-TELE 00942/2026</t>
  </si>
  <si>
    <t>99 - DIAS AGUARDANDO DCMD</t>
  </si>
  <si>
    <t>134 - DIAS AGUARDANDO DCMD</t>
  </si>
  <si>
    <t>10 - DIAS AGUARDANDO DEOP</t>
  </si>
  <si>
    <t>ETO-PROT 00134/2026</t>
  </si>
  <si>
    <t>154 - DIAS AGUARDANDO DCMD</t>
  </si>
  <si>
    <t>ETO-TELE 00959/2026</t>
  </si>
  <si>
    <t>161 - DIAS AGUARDANDO DCMD</t>
  </si>
  <si>
    <t>ETO-TELE 00941/2026</t>
  </si>
  <si>
    <t>100 - DIAS AGUARDANDO DCMD</t>
  </si>
  <si>
    <t>51 - DIAS AGUARDANDO DCMD</t>
  </si>
  <si>
    <t>COCM-N</t>
  </si>
  <si>
    <t>127 - DIAS AGUARDANDO DCMD</t>
  </si>
  <si>
    <t>82 - DIAS AGUARDANDO DCMD</t>
  </si>
  <si>
    <t>79 - DIAS AGUARDANDO DCMD</t>
  </si>
  <si>
    <t>114 - DIAS AGUARDANDO DCMD</t>
  </si>
  <si>
    <t>36 - DIAS AGUARDANDO DMSL</t>
  </si>
  <si>
    <t>ETO-TELE 00881/2026</t>
  </si>
  <si>
    <t>ETO-TELE 00962/2026</t>
  </si>
  <si>
    <t>76 - DIAS AGUARDANDO DCMD</t>
  </si>
  <si>
    <t>23 - DIAS AGUARDANDO DCMD</t>
  </si>
  <si>
    <t>ETO-RD-GU 00687/2026</t>
  </si>
  <si>
    <t>28 - DIAS AGUARDANDO DCMD</t>
  </si>
  <si>
    <t>27 - DIAS AGUARDANDO DCMD</t>
  </si>
  <si>
    <t>25 - DIAS AGUARDANDO DCMD</t>
  </si>
  <si>
    <t>49 - DIAS AGUARDANDO DMSL</t>
  </si>
  <si>
    <t>ETO-TELE 00861/2026</t>
  </si>
  <si>
    <t>0 - DIAS AGUARDANDO DMSL</t>
  </si>
  <si>
    <t>ETO-TELE 00985/2026</t>
  </si>
  <si>
    <t>COUTO MAGALHAES</t>
  </si>
  <si>
    <t>28 - DIAS AGUARDANDO DMSL</t>
  </si>
  <si>
    <t>ETO-TELE 00896/2026</t>
  </si>
  <si>
    <t>31 - DIAS AGUARDANDO DMSL</t>
  </si>
  <si>
    <t>ETO-TELE 00892/2026</t>
  </si>
  <si>
    <t>27 - DIAS AGUARDANDO DMSL</t>
  </si>
  <si>
    <t>ETO-TELE 00924/2026</t>
  </si>
  <si>
    <t>24 - DIAS AGUARDANDO DMSL</t>
  </si>
  <si>
    <t>ETO-TELE 00929/2026</t>
  </si>
  <si>
    <t>20 - DIAS AGUARDANDO DMSL</t>
  </si>
  <si>
    <t>ETO-TELE 00938/2026</t>
  </si>
  <si>
    <t>ETO-TELE 00940/2026</t>
  </si>
  <si>
    <t>23 - DIAS AGUARDANDO DMSL</t>
  </si>
  <si>
    <t>ETO-TELE 00932/2026</t>
  </si>
  <si>
    <t>6 - DIAS AGUARDANDO DCMD</t>
  </si>
  <si>
    <t>13 - DIAS AGUARDANDO DMSL</t>
  </si>
  <si>
    <t>ETO-TELE 00950/2026</t>
  </si>
  <si>
    <t>11 - DIAS AGUARDANDO DMSL</t>
  </si>
  <si>
    <t>ETO-TELE 00954/2026</t>
  </si>
  <si>
    <t>ETO-TELE 00978/2026</t>
  </si>
  <si>
    <t>3 - DIAS AGUARDANDO DMSL</t>
  </si>
  <si>
    <t>ETO-TELE 00982/2026</t>
  </si>
  <si>
    <t>Detalhes do Contagem de Ativo - TIPO: RL, Status: Análise DMSL (+)</t>
  </si>
  <si>
    <t>DSC SS</t>
  </si>
  <si>
    <t>Status (apresentação)</t>
  </si>
  <si>
    <t>Status</t>
  </si>
  <si>
    <t>Descrição compra</t>
  </si>
  <si>
    <t>Valor previsto</t>
  </si>
  <si>
    <t>Em compra</t>
  </si>
  <si>
    <t>Tanque + cordão umbilical</t>
  </si>
  <si>
    <t>Tanque (parte ativa)</t>
  </si>
  <si>
    <t>Análise DMSL</t>
  </si>
  <si>
    <t xml:space="preserve">Religador completo (→NOJA) </t>
  </si>
  <si>
    <t>Controle NOJA (tanque cooper reaproveitado do 7900018004)</t>
  </si>
  <si>
    <t>Religador completo (parte ativa)+ Controle</t>
  </si>
  <si>
    <t>Religador completo (Tavrida s/ sobressalente)</t>
  </si>
  <si>
    <t>Tanque( Parte Ativa)</t>
  </si>
  <si>
    <t>Religador completo (Parte Ativa +Tanque)</t>
  </si>
  <si>
    <t>Parte Ativa + Controle</t>
  </si>
  <si>
    <t>Religador completo (parte ativa+controle)</t>
  </si>
  <si>
    <t>Verificar disponibilidade de material</t>
  </si>
  <si>
    <t>Controle completo</t>
  </si>
  <si>
    <t>Tanque + cabo umbilical</t>
  </si>
  <si>
    <t>Tanque + rádio GE</t>
  </si>
  <si>
    <t>Religador completo (parte ativa + tanque) — decisão COEP 08/07</t>
  </si>
  <si>
    <t>Já consumido</t>
  </si>
  <si>
    <t>Contagem de Ativo</t>
  </si>
  <si>
    <t>Soma de Valor previsto</t>
  </si>
  <si>
    <t>R$</t>
  </si>
  <si>
    <t>Qtd</t>
  </si>
  <si>
    <t>Em execução</t>
  </si>
  <si>
    <t>Em logistica</t>
  </si>
  <si>
    <t>Valor referencia</t>
  </si>
  <si>
    <t>(vazio)</t>
  </si>
  <si>
    <t>DEOP</t>
  </si>
  <si>
    <t>Total Geral</t>
  </si>
  <si>
    <t>PREVISÃO DE CONSUMO DE ORÇAMENTO - DCMD</t>
  </si>
  <si>
    <t>(Tudo)</t>
  </si>
  <si>
    <t>EM EXECUÇÃO</t>
  </si>
  <si>
    <t>(Vários itens)</t>
  </si>
  <si>
    <t>RL Total</t>
  </si>
  <si>
    <t>RT Total</t>
  </si>
  <si>
    <t>EM ANÁLISE DE COMPRA</t>
  </si>
  <si>
    <t>GERAR SOMENTE 5</t>
  </si>
  <si>
    <t>Comissionamento</t>
  </si>
  <si>
    <t>Modelo</t>
  </si>
  <si>
    <t>Status 2</t>
  </si>
  <si>
    <t>Furto</t>
  </si>
  <si>
    <t>Problema de autorização de passagem</t>
  </si>
  <si>
    <t>7900230155</t>
  </si>
  <si>
    <t>Controle completo + cabo BT</t>
  </si>
  <si>
    <t>7922995039</t>
  </si>
  <si>
    <t>Placa =&gt; tratada como Controle completo</t>
  </si>
  <si>
    <t>Trafo auxiliar — direto com COCM</t>
  </si>
  <si>
    <t>Religador completo (tanque+módulo+relé)</t>
  </si>
  <si>
    <t>7930428001</t>
  </si>
  <si>
    <t>Tanque + isoladores</t>
  </si>
  <si>
    <t>Tanque + trafo (trafo s/ premissa)</t>
  </si>
  <si>
    <t>Relé prot. 50/51 — MANDAR O RELÉ (decisão gestor 08/07)</t>
  </si>
  <si>
    <t>Religador completo (→NOJA) + chave faca fase A</t>
  </si>
  <si>
    <t>Religador completo (placa+parte ativa)</t>
  </si>
  <si>
    <t>Tanque + chave entrada fase B</t>
  </si>
  <si>
    <t>Tanque (não substituir controle)</t>
  </si>
  <si>
    <t>7938137007</t>
  </si>
  <si>
    <t>Religador completo (tanque+controle)</t>
  </si>
  <si>
    <t>Religador completo (COOPER F6)</t>
  </si>
  <si>
    <t>5840227063</t>
  </si>
  <si>
    <t>Religador completo (→NOJA RC10)</t>
  </si>
  <si>
    <t>Religador completo (Cooper→NOJA RC10)</t>
  </si>
  <si>
    <t>Religador completo + rádio GE</t>
  </si>
  <si>
    <t>5820790038</t>
  </si>
  <si>
    <t>Buchas — aguardando definição (COCM?)</t>
  </si>
  <si>
    <t>Religador completo</t>
  </si>
  <si>
    <t>Religador completo (Cooper F6→NOJA)</t>
  </si>
  <si>
    <t>7954668084</t>
  </si>
  <si>
    <t>Religador completo — EM DÚVIDA (obras=completo x v1.5=tanque)</t>
  </si>
  <si>
    <t>Bateria + rádio + trafo/bucha fase A</t>
  </si>
  <si>
    <t>Tanque + controle NOJA enviado 07/07</t>
  </si>
  <si>
    <t>Religador completo (Cooper→NOJA)</t>
  </si>
  <si>
    <t>Tanque + antena</t>
  </si>
  <si>
    <t>Rádio + antena + controle</t>
  </si>
  <si>
    <t>Religador completo — EM DÚVIDA (obras=completo x v1.5=controle)</t>
  </si>
  <si>
    <t>5851753086</t>
  </si>
  <si>
    <t>Tanque REAPROVEITADO (redirecionado de Santa Rita/7900453110)</t>
  </si>
  <si>
    <t>Célula fase B</t>
  </si>
  <si>
    <t>3 células (óleo furtado)</t>
  </si>
  <si>
    <t>3 células furtadas</t>
  </si>
  <si>
    <t>Controle c/ nobreak</t>
  </si>
  <si>
    <t>Célula fase A</t>
  </si>
  <si>
    <t>3 células (equipamento furtado)</t>
  </si>
  <si>
    <t>Célula fase C</t>
  </si>
  <si>
    <t>3 células</t>
  </si>
  <si>
    <t>5846328094</t>
  </si>
  <si>
    <t>Controle c/ nobreak (retrofit RUA)</t>
  </si>
  <si>
    <t>Controle RUA + kit comunicação + 3 células</t>
  </si>
  <si>
    <t>Célula fase C (microswitch)</t>
  </si>
  <si>
    <t>Repasse COCM — tentar vedação do controle; cancelar obra</t>
  </si>
  <si>
    <t>Células fases B e C — REAPROVEITAMENTO (eq. retirado de obra)</t>
  </si>
  <si>
    <t>7957021094</t>
  </si>
  <si>
    <t>5839141113</t>
  </si>
  <si>
    <t>7943790134</t>
  </si>
  <si>
    <t>7953570026</t>
  </si>
  <si>
    <t>7925713040</t>
  </si>
  <si>
    <t>7949648145</t>
  </si>
  <si>
    <t>7908300096</t>
  </si>
  <si>
    <t>7953211079</t>
  </si>
  <si>
    <t>7902098003</t>
  </si>
  <si>
    <t>7930359149</t>
  </si>
  <si>
    <t>7934697002</t>
  </si>
  <si>
    <t>7948412064</t>
  </si>
  <si>
    <t>7955832052</t>
  </si>
  <si>
    <t>Check</t>
  </si>
  <si>
    <t>RELIGAMENTOS</t>
  </si>
  <si>
    <t>4 GRUPOS</t>
  </si>
  <si>
    <t>CURVA RÁPIDA</t>
  </si>
  <si>
    <t>46 (I2/I1)</t>
  </si>
  <si>
    <t>67 (DIRECIONAL)</t>
  </si>
  <si>
    <t>27 (SUBTENSÃO)</t>
  </si>
  <si>
    <t>SEF</t>
  </si>
  <si>
    <t>ESTUDO</t>
  </si>
  <si>
    <t>RELE</t>
  </si>
  <si>
    <t>TENSÃO</t>
  </si>
  <si>
    <t>RELIGADOR DE POSTE</t>
  </si>
  <si>
    <t>SECC - 2 CONTAGENS</t>
  </si>
  <si>
    <t>NÃO</t>
  </si>
  <si>
    <t>NOJA RC10</t>
  </si>
  <si>
    <t>AL02040004</t>
  </si>
  <si>
    <t>SECC - 3 CONTAGENS</t>
  </si>
  <si>
    <t>COOPER F6</t>
  </si>
  <si>
    <t>3</t>
  </si>
  <si>
    <t>SIM</t>
  </si>
  <si>
    <t>LD03014045</t>
  </si>
  <si>
    <t>AL01028074</t>
  </si>
  <si>
    <t>AL02057189</t>
  </si>
  <si>
    <t>LD01059122</t>
  </si>
  <si>
    <t>AL01006040</t>
  </si>
  <si>
    <t>NOJA RC01</t>
  </si>
  <si>
    <t>AL01008032</t>
  </si>
  <si>
    <t>LD01056046</t>
  </si>
  <si>
    <t>AL01061029</t>
  </si>
  <si>
    <t>ALARME</t>
  </si>
  <si>
    <t>SCHNEIDER ADVC</t>
  </si>
  <si>
    <t>LD05062013</t>
  </si>
  <si>
    <t>AL01036052</t>
  </si>
  <si>
    <t>2</t>
  </si>
  <si>
    <t>AL02003036</t>
  </si>
  <si>
    <t>SEL 751A</t>
  </si>
  <si>
    <t>AL01012025</t>
  </si>
  <si>
    <t>LD01010153</t>
  </si>
  <si>
    <t>LD02047073</t>
  </si>
  <si>
    <t>AL01082006</t>
  </si>
  <si>
    <t>LD02010021</t>
  </si>
  <si>
    <t>AL02043081</t>
  </si>
  <si>
    <t>LD03020023</t>
  </si>
  <si>
    <t xml:space="preserve">SIM </t>
  </si>
  <si>
    <t>PS01112193</t>
  </si>
  <si>
    <t>LD01003036</t>
  </si>
  <si>
    <t>LD02110005</t>
  </si>
  <si>
    <t>AL01003036</t>
  </si>
  <si>
    <t>LD02050008</t>
  </si>
  <si>
    <t>AL01023050</t>
  </si>
  <si>
    <t>LD03414149</t>
  </si>
  <si>
    <t>LD01100001</t>
  </si>
  <si>
    <t>AL04060122</t>
  </si>
  <si>
    <t>LD04038009</t>
  </si>
  <si>
    <t>LD03072001</t>
  </si>
  <si>
    <t>LD03038009</t>
  </si>
  <si>
    <t>AL08097122</t>
  </si>
  <si>
    <t>AL01007055</t>
  </si>
  <si>
    <t>AL04040003</t>
  </si>
  <si>
    <t>AL01041003</t>
  </si>
  <si>
    <t>AL01022033</t>
  </si>
  <si>
    <t>AL08059122</t>
  </si>
  <si>
    <t>AL02103004</t>
  </si>
  <si>
    <t>AL09097122</t>
  </si>
  <si>
    <t>LD01036052</t>
  </si>
  <si>
    <t>AL06072001</t>
  </si>
  <si>
    <t>AL05040003</t>
  </si>
  <si>
    <t>AL03020003</t>
  </si>
  <si>
    <t>AL02097122</t>
  </si>
  <si>
    <t>AL01077088</t>
  </si>
  <si>
    <t>LD03022033</t>
  </si>
  <si>
    <t>LD01050008</t>
  </si>
  <si>
    <t>AL06059122</t>
  </si>
  <si>
    <t>AL05010004</t>
  </si>
  <si>
    <t>AL01072001</t>
  </si>
  <si>
    <t>TAVRIDA</t>
  </si>
  <si>
    <t>LD03059122</t>
  </si>
  <si>
    <t>AL01069026</t>
  </si>
  <si>
    <t>AL03099059</t>
  </si>
  <si>
    <t>AL01018071</t>
  </si>
  <si>
    <t>AL01059122</t>
  </si>
  <si>
    <t>AL06060122</t>
  </si>
  <si>
    <t>AL04072001</t>
  </si>
  <si>
    <t>LD02040003</t>
  </si>
  <si>
    <t>LD02036052</t>
  </si>
  <si>
    <t>LD03010021</t>
  </si>
  <si>
    <t>LD01110005</t>
  </si>
  <si>
    <t>LD02105019</t>
  </si>
  <si>
    <t>LD04040003</t>
  </si>
  <si>
    <t>AL01030124</t>
  </si>
  <si>
    <t>AL01068014</t>
  </si>
  <si>
    <t>LD02020023</t>
  </si>
  <si>
    <t>ARTECHE P500</t>
  </si>
  <si>
    <t>AL01042078</t>
  </si>
  <si>
    <t>LD06002091</t>
  </si>
  <si>
    <t>AL02085042</t>
  </si>
  <si>
    <t>AL07059122</t>
  </si>
  <si>
    <t>AL04059122</t>
  </si>
  <si>
    <t>AL06097122</t>
  </si>
  <si>
    <t>AL03010004</t>
  </si>
  <si>
    <t>AL04040004</t>
  </si>
  <si>
    <t>AL01084002</t>
  </si>
  <si>
    <t>LD01414027</t>
  </si>
  <si>
    <t>AL06099059</t>
  </si>
  <si>
    <t>AL01040003</t>
  </si>
  <si>
    <t>LD07002091</t>
  </si>
  <si>
    <t>LD02001037</t>
  </si>
  <si>
    <t>sim</t>
  </si>
  <si>
    <t>AL04062013</t>
  </si>
  <si>
    <t>LD01054060</t>
  </si>
  <si>
    <t>AL01024113</t>
  </si>
  <si>
    <t>LD02003036</t>
  </si>
  <si>
    <t>AL01053090</t>
  </si>
  <si>
    <t>AL02062013</t>
  </si>
  <si>
    <t>AL03059122</t>
  </si>
  <si>
    <t>AL02099059</t>
  </si>
  <si>
    <t>sIM</t>
  </si>
  <si>
    <t>AL01081100</t>
  </si>
  <si>
    <t>AL05020023</t>
  </si>
  <si>
    <t>REMOVER</t>
  </si>
  <si>
    <t>ALARME - ACO</t>
  </si>
  <si>
    <t>AL02072001</t>
  </si>
  <si>
    <t>LD01095030</t>
  </si>
  <si>
    <t>nÃO</t>
  </si>
  <si>
    <t>AL07060122</t>
  </si>
  <si>
    <t>AL02059122</t>
  </si>
  <si>
    <t>LD02014045</t>
  </si>
  <si>
    <t>LD04010004</t>
  </si>
  <si>
    <t>AL01044024</t>
  </si>
  <si>
    <t>AL01103004</t>
  </si>
  <si>
    <t>AL02010004</t>
  </si>
  <si>
    <t>AL02096004</t>
  </si>
  <si>
    <t>LD03050008</t>
  </si>
  <si>
    <t>AL02054060</t>
  </si>
  <si>
    <t>LD02038009</t>
  </si>
  <si>
    <t>AL01048007</t>
  </si>
  <si>
    <t>AL03101271</t>
  </si>
  <si>
    <t>AL02048007</t>
  </si>
  <si>
    <t>AL01033047</t>
  </si>
  <si>
    <t>AL11060122</t>
  </si>
  <si>
    <t>AL01020023</t>
  </si>
  <si>
    <t>AL02020023</t>
  </si>
  <si>
    <t>AL02084002</t>
  </si>
  <si>
    <t>AL03037009</t>
  </si>
  <si>
    <t>LD04028074</t>
  </si>
  <si>
    <t>LD06047073</t>
  </si>
  <si>
    <t>AL01016065</t>
  </si>
  <si>
    <t>LD02062013</t>
  </si>
  <si>
    <t>LD04105019</t>
  </si>
  <si>
    <t>LD01076103</t>
  </si>
  <si>
    <t>LD01014045</t>
  </si>
  <si>
    <t xml:space="preserve">NÃO </t>
  </si>
  <si>
    <t>LD02095030</t>
  </si>
  <si>
    <t>AL03109039</t>
  </si>
  <si>
    <t>AL01101271</t>
  </si>
  <si>
    <t>AL01010004</t>
  </si>
  <si>
    <t>AL03096004</t>
  </si>
  <si>
    <t>AL07103004</t>
  </si>
  <si>
    <t>LD01020023</t>
  </si>
  <si>
    <t>LD03109039</t>
  </si>
  <si>
    <t>AL01085042</t>
  </si>
  <si>
    <t>LD01035052</t>
  </si>
  <si>
    <t>AL07099059</t>
  </si>
  <si>
    <t>AL09059122</t>
  </si>
  <si>
    <t>AL05072001</t>
  </si>
  <si>
    <t>AL01109039</t>
  </si>
  <si>
    <t>AL02109039</t>
  </si>
  <si>
    <t>AL02036052</t>
  </si>
  <si>
    <t>LD01005098</t>
  </si>
  <si>
    <t>AL08099059</t>
  </si>
  <si>
    <t>AL11059122</t>
  </si>
  <si>
    <t>AL05059122</t>
  </si>
  <si>
    <t>AL02028074</t>
  </si>
  <si>
    <t>AL03040004</t>
  </si>
  <si>
    <t>LD02076103</t>
  </si>
  <si>
    <t>LD01105019</t>
  </si>
  <si>
    <t>AL03113003</t>
  </si>
  <si>
    <t>AL02101271</t>
  </si>
  <si>
    <t>AL01050008</t>
  </si>
  <si>
    <t>AL06020023</t>
  </si>
  <si>
    <t>LD01008032</t>
  </si>
  <si>
    <t>AL09060122</t>
  </si>
  <si>
    <t>AL02037009</t>
  </si>
  <si>
    <t>AL02065015</t>
  </si>
  <si>
    <t>AL03060122</t>
  </si>
  <si>
    <t>AL02060122</t>
  </si>
  <si>
    <t>AL04103004</t>
  </si>
  <si>
    <t>AL03103004</t>
  </si>
  <si>
    <t>AL07097122</t>
  </si>
  <si>
    <t>AL04097122</t>
  </si>
  <si>
    <t>AL01078038</t>
  </si>
  <si>
    <t>LD03002091</t>
  </si>
  <si>
    <t>SCHNEIDER ADVC3</t>
  </si>
  <si>
    <t>AL01037009</t>
  </si>
  <si>
    <t>AL01113003</t>
  </si>
  <si>
    <t>AL04113003</t>
  </si>
  <si>
    <t>AL01098118</t>
  </si>
  <si>
    <t>AL04099059</t>
  </si>
  <si>
    <t>AL03072001</t>
  </si>
  <si>
    <t>AL02050008</t>
  </si>
  <si>
    <t>AL05060122</t>
  </si>
  <si>
    <t>AL01057189</t>
  </si>
  <si>
    <t>AL05103004</t>
  </si>
  <si>
    <t>AL06040003</t>
  </si>
  <si>
    <t>AL03040003</t>
  </si>
  <si>
    <t>AL04244003</t>
  </si>
  <si>
    <t>AL05020003</t>
  </si>
  <si>
    <t>AL01067094</t>
  </si>
  <si>
    <t>AL01001037</t>
  </si>
  <si>
    <t>AL02113003</t>
  </si>
  <si>
    <t>AL01014045</t>
  </si>
  <si>
    <t>AL02014045</t>
  </si>
  <si>
    <t>AL01002091</t>
  </si>
  <si>
    <t>AL05062013</t>
  </si>
  <si>
    <t>AL01032044</t>
  </si>
  <si>
    <t>LD01040003</t>
  </si>
  <si>
    <t>AL02058020</t>
  </si>
  <si>
    <t>AL06103004</t>
  </si>
  <si>
    <t>AL01052028</t>
  </si>
  <si>
    <t>AL01010021</t>
  </si>
  <si>
    <t>AL10060122</t>
  </si>
  <si>
    <t>1</t>
  </si>
  <si>
    <t>LD01028074</t>
  </si>
  <si>
    <t>LD05047073</t>
  </si>
  <si>
    <t>AL01026041</t>
  </si>
  <si>
    <t>AL01071001</t>
  </si>
  <si>
    <t>AL01043081</t>
  </si>
  <si>
    <t>AL01214073</t>
  </si>
  <si>
    <t>AL02224073</t>
  </si>
  <si>
    <t>AL01086016</t>
  </si>
  <si>
    <t>LD02100001</t>
  </si>
  <si>
    <t>AL01005098</t>
  </si>
  <si>
    <t>AL01013005</t>
  </si>
  <si>
    <t>AL01093043</t>
  </si>
  <si>
    <t>AL02040003</t>
  </si>
  <si>
    <t>AL01056046</t>
  </si>
  <si>
    <t>LD03434001</t>
  </si>
  <si>
    <t>AL06010004</t>
  </si>
  <si>
    <t>AL01040004</t>
  </si>
  <si>
    <t>AL01070027</t>
  </si>
  <si>
    <t>MAGVATECH</t>
  </si>
  <si>
    <t>CÓDIGO</t>
  </si>
  <si>
    <t>CONTROLADOR</t>
  </si>
  <si>
    <t>PARTE ATIVA</t>
  </si>
  <si>
    <t>POTÊNCIA [Kvar]</t>
  </si>
  <si>
    <t>CORRENTE [A]</t>
  </si>
  <si>
    <t>TENSÃO CONTROLE [V]</t>
  </si>
  <si>
    <t>TENSÃO PRIMÁRIA [Kv]</t>
  </si>
  <si>
    <t>AUTOMATIZADO</t>
  </si>
  <si>
    <t>AUTOR</t>
  </si>
  <si>
    <t>DATA ESTUDO</t>
  </si>
  <si>
    <t>REGIÃO</t>
  </si>
  <si>
    <t>CTR3</t>
  </si>
  <si>
    <t>ITB</t>
  </si>
  <si>
    <t>SAÍDA DE GUARAÍ II</t>
  </si>
  <si>
    <t>rpm21</t>
  </si>
  <si>
    <t>RUA</t>
  </si>
  <si>
    <t>RAMAL MINERADORA CALIZA</t>
  </si>
  <si>
    <t>RESERVA QUENTE MINERADORAS</t>
  </si>
  <si>
    <t>RAMAL MINERADORA CALTA</t>
  </si>
  <si>
    <t>RAMAL PIRECAL E NATIVO</t>
  </si>
  <si>
    <t>ROMAGNOLE</t>
  </si>
  <si>
    <t>CHEGADA MARIANÓPOLIS</t>
  </si>
  <si>
    <t>ibranco</t>
  </si>
  <si>
    <t>ITB/ROMAGNOLE/ROMAGNOLE</t>
  </si>
  <si>
    <t>MEIO LD CASEARA MARIANÓPOLIS</t>
  </si>
  <si>
    <t>SAÍDA SERRAS GERAIS</t>
  </si>
  <si>
    <t>CHEGADA EM TAGUATINGA</t>
  </si>
  <si>
    <t>SENTIDO WANDERLÂNDIA</t>
  </si>
  <si>
    <t>SENTIDO ARAGUACEMA</t>
  </si>
  <si>
    <t>SENTIDO JAÚ</t>
  </si>
  <si>
    <t>LD SANTA MARIA RAMAL CENTENÁRIO</t>
  </si>
  <si>
    <t>AL PEDRO AFONSO SENTIDO SANTA MARIA</t>
  </si>
  <si>
    <t xml:space="preserve">LD ITACAJÁ A SANTA MARIA </t>
  </si>
  <si>
    <t>239/250</t>
  </si>
  <si>
    <t>300/328</t>
  </si>
  <si>
    <t>124/124,5</t>
  </si>
  <si>
    <t>AL 2 SE ALVORADA</t>
  </si>
  <si>
    <t>msalmeir</t>
  </si>
  <si>
    <t>LD ALMAS A VALE DO RIO DOCE</t>
  </si>
  <si>
    <t>cduarte</t>
  </si>
  <si>
    <t>AL 01 LUZIMANGUES INDUSTIAL</t>
  </si>
  <si>
    <t>LD CASERA A MARIANOPOLIS</t>
  </si>
  <si>
    <t>124/124.5</t>
  </si>
  <si>
    <t>AL02055123</t>
  </si>
  <si>
    <t>BONASA – AGUIARNÓPOLIS</t>
  </si>
  <si>
    <t>LD GUARAI II A PRES KENNEDY</t>
  </si>
  <si>
    <t>ALIMENTADOR 1 NOVA PINHEIROPOLIS</t>
  </si>
  <si>
    <t>TOSHIBA</t>
  </si>
  <si>
    <t>MEIO ALIMENTADOR 3 PORTO NACIONAL</t>
  </si>
  <si>
    <t>AL 01 SE COLINAS</t>
  </si>
  <si>
    <t>LD GURUPI A DUERE</t>
  </si>
  <si>
    <t>TRONCO DA LD DIANÓPOLIS – TAGUATINGA.</t>
  </si>
  <si>
    <t>AL 01 SE ALVORADA</t>
  </si>
  <si>
    <t>LD GUARAI II A MIRANORTE</t>
  </si>
  <si>
    <t>LD ARRAIAS A TAIPAS</t>
  </si>
  <si>
    <t>124/124,5/124</t>
  </si>
  <si>
    <t>LD PEDRO AFONSO A RIO SONO</t>
  </si>
  <si>
    <t>AL 01 SE LUZIMANGUES INDUSTRIAL</t>
  </si>
  <si>
    <t>LD ALMAS A NATIVIDADE (TRONCO ANTES DA NATICAL)</t>
  </si>
  <si>
    <t>LD COLINAS A PALMEIRANTE</t>
  </si>
  <si>
    <t>NOVO ALEGRE</t>
  </si>
  <si>
    <t>LD ALMA A NATIVIDADE</t>
  </si>
  <si>
    <t xml:space="preserve">LD PARAÍSO A PIUM </t>
  </si>
  <si>
    <t>LD ISAMU IKEDA – PONTE ALTA DO TOCANTINS</t>
  </si>
  <si>
    <t>ITB E TOSHIBA</t>
  </si>
  <si>
    <t xml:space="preserve">LD PARANÃ A PALMEIROPOLIS </t>
  </si>
  <si>
    <t>INTERLIGAÇÃO SANTA ROSA - APINAJÉ</t>
  </si>
  <si>
    <t>ANTES DO TREVO DA SAIDA PARA IPUEIRAS</t>
  </si>
  <si>
    <t>LD BERNARDO SAYÃO A ARAPOEMA</t>
  </si>
  <si>
    <t>LD SERRA GERAIS A TAGUATINGA</t>
  </si>
  <si>
    <t xml:space="preserve">LD ANANÁS A CACHOEIRINHA </t>
  </si>
  <si>
    <t>LD LAGOA DA CONFUSÃO A BARREIRA DA CRUZ</t>
  </si>
  <si>
    <t>LD PEIXE A SÃO VALÉRIO</t>
  </si>
  <si>
    <t>LD GURUPI A PEIXE</t>
  </si>
  <si>
    <t>TOSHIBA/ITB/ITB</t>
  </si>
  <si>
    <t>TAQUARUÇU</t>
  </si>
  <si>
    <t>LAGOA DA CONFUSÃO</t>
  </si>
  <si>
    <t>BARREIRA DA CRUZ</t>
  </si>
  <si>
    <t>RDU E RDR PIRAQUÊ</t>
  </si>
  <si>
    <t>300/300/219</t>
  </si>
  <si>
    <t>FINAL DO ALIMENTADOR 1 ITACAJÁ</t>
  </si>
  <si>
    <t>LD ALMAS A NATIVIDADE</t>
  </si>
  <si>
    <t>LD UHE PEIXE A SÃO SALVADOR</t>
  </si>
  <si>
    <t>TOSHIBA/ROMAGNOLE/ITB</t>
  </si>
  <si>
    <t>167/250/167</t>
  </si>
  <si>
    <t>219/328/167</t>
  </si>
  <si>
    <t>124 /124,5/124</t>
  </si>
  <si>
    <t>SE ARRAIAS I</t>
  </si>
  <si>
    <t>CHEGADA SE SILVANÓPOLIS</t>
  </si>
  <si>
    <t>embs4</t>
  </si>
  <si>
    <t>AL 02 ALVORADA</t>
  </si>
  <si>
    <t>LD PARAÍSO A MARIANOPOLIS</t>
  </si>
  <si>
    <t>ALIMENTADOR 1 RDU BREJINHO</t>
  </si>
  <si>
    <t>DARCINÓPOLIS A WANDERLÂNDIA</t>
  </si>
  <si>
    <t>LD FORMOSO A COOPERFORMOSO</t>
  </si>
  <si>
    <t>SERRA CENTRO</t>
  </si>
  <si>
    <t>CALNAMIX CALCÁRIO</t>
  </si>
  <si>
    <t>ALIMENTADOR 2 SE BARROLÂNDIA</t>
  </si>
  <si>
    <t>LD05454153</t>
  </si>
  <si>
    <t>SUPERCAL</t>
  </si>
  <si>
    <t>LD02004013</t>
  </si>
  <si>
    <t>PLENA ALIMENTOS</t>
  </si>
  <si>
    <t>RAMAL PIRACAL, CALTA E NATIVA- 34,5 KV</t>
  </si>
  <si>
    <t>LD BILÂNDIA A CAMPOS LINDOS</t>
  </si>
  <si>
    <t>LD LAGOA DA CONFUSÃO – POVOADO LOROTY</t>
  </si>
  <si>
    <t>DEPOIS DA CIDADE DE BARRA DO OURO</t>
  </si>
  <si>
    <t>LD MONTE DO CARMO- SANTA ROSA</t>
  </si>
  <si>
    <t>LD ARAGUAÍNA A BABAÇULÂNDIA</t>
  </si>
  <si>
    <t xml:space="preserve">LD MONTE DO CARMO A SANTA ROSA </t>
  </si>
  <si>
    <t>LD PORTO A NOVA PINHEIROPÓLIS</t>
  </si>
  <si>
    <t>398/400</t>
  </si>
  <si>
    <t>200/201</t>
  </si>
  <si>
    <t>LD NOVO ACORDO A SÃO FELIX</t>
  </si>
  <si>
    <t>ALIMENTADOR 3 SE ARAGUATINS RURAL</t>
  </si>
  <si>
    <t>124/ 124,5</t>
  </si>
  <si>
    <t>LD ITAGUATINS A MAURILÂNDIA</t>
  </si>
  <si>
    <t xml:space="preserve">LD DUERÉ  LAGOA DA CONFUSÃO </t>
  </si>
  <si>
    <t>ALIMENTADOR 1 SE GUARAÍ II</t>
  </si>
  <si>
    <t>LD PEDRO AFONSO A SANTA MARIA</t>
  </si>
  <si>
    <t>LD DARCINÓPOLIS A WANDELÂNCIA</t>
  </si>
  <si>
    <t>LD NOVA OLINDA – BANDEIRANTES</t>
  </si>
  <si>
    <t>LD BARRA DO OURO</t>
  </si>
  <si>
    <t>LD DIANÓPOLIS – PARANÃ EM TAIPAS</t>
  </si>
  <si>
    <t>LD DIANÓPOLIS A CONCEIÇÃO E PARANÃ</t>
  </si>
  <si>
    <t>TSEA</t>
  </si>
  <si>
    <t>LD ALMAS A POV PRINCIPE</t>
  </si>
  <si>
    <t>LD NOVA OLINDA A ARAPOEMA</t>
  </si>
  <si>
    <t>jveloso</t>
  </si>
  <si>
    <t>ALIMENTADOR 2 SE LUZIMANGUES INDUSTRIAL</t>
  </si>
  <si>
    <t>ENTRE APARECIDA E NOVO ACORDO</t>
  </si>
  <si>
    <t>LD ALVORADA - ARAGUAÇU</t>
  </si>
  <si>
    <t>LD MIRANORTE A MIRACEMA</t>
  </si>
  <si>
    <t>LD DIANOPOLIS CONCEIÇÃO A ARRAIAS</t>
  </si>
  <si>
    <t>ALIMENTADOR 2 SE ALVORADA</t>
  </si>
  <si>
    <t>LD POV. BIELÂNDIA A FILADELFIA</t>
  </si>
  <si>
    <t>LD ARAGUAINA A ARAGOMINAS</t>
  </si>
  <si>
    <t>124/124,5/124,5</t>
  </si>
  <si>
    <t>LD ALMAS A NATICAL</t>
  </si>
  <si>
    <t>rfreita</t>
  </si>
  <si>
    <t>ALIMENTADOR 3 GURUPI</t>
  </si>
  <si>
    <t>LD ALVORADA - PALMEIROPOLIS</t>
  </si>
  <si>
    <t xml:space="preserve">LD GURUPI A  ALIANÇA </t>
  </si>
  <si>
    <t>ALIMENTADOR 3 SE PORTO NACIONAL</t>
  </si>
  <si>
    <t>LD ARRAIAS II - TAGUATINGA, RAMAL SÃO BENTO.</t>
  </si>
  <si>
    <t>ALIMENTADOR 2 GURUPI I</t>
  </si>
  <si>
    <t>ALIMENTADOR 7 PALMAS II</t>
  </si>
  <si>
    <t>ALIMENTADOR 5 COLINAS</t>
  </si>
  <si>
    <t>AL01087030</t>
  </si>
  <si>
    <t>ALIMENTADOR 1 XAMBIOÁ</t>
  </si>
  <si>
    <t>ALIMENTADOR 2 ARAGUAINA II</t>
  </si>
  <si>
    <t>LD MIRANORTE A ARAGUACEMA</t>
  </si>
  <si>
    <t>rfreitas</t>
  </si>
  <si>
    <t>LD AUGUSTINOPOLIS A ESPERANTINA</t>
  </si>
  <si>
    <t>LD GUARAI II A P.KENNEDY</t>
  </si>
  <si>
    <t>PALMAS A LAJEADO</t>
  </si>
  <si>
    <t>LD PARAÍSO I - CASEARA ANTES DE DIVINÓPOLIS</t>
  </si>
  <si>
    <t>ALIMENTADOR 1 NAZARÉ</t>
  </si>
  <si>
    <t>ALIMENTADOR 1 NOVA OLINDA</t>
  </si>
  <si>
    <t>LD LAGOA CONFUSAO AO POVOADO LOROTY</t>
  </si>
  <si>
    <t>LD PALMAS II APARECIDA DO RIO NEGRO</t>
  </si>
  <si>
    <t>LD ARAGUAÇU A FORMOSO</t>
  </si>
  <si>
    <t>AL 3 GUARAI</t>
  </si>
  <si>
    <t>MEIO DA LD ALMAS A NATIVIDADE</t>
  </si>
  <si>
    <t>LD GURUPI – ALIANÇA (CHEGADA DE ALIANÇA)</t>
  </si>
  <si>
    <t>LD LAGOA CONFUSAO A CRISTAL</t>
  </si>
  <si>
    <t>ANTES DE CHAPADA DA NATIVIDADE –</t>
  </si>
  <si>
    <t>LD GUARAI II A COLMEIA</t>
  </si>
  <si>
    <t>LD ARRAIAS II - TAGUATINGA</t>
  </si>
  <si>
    <t>ALIMENTADOR 3 GUARAÍ I</t>
  </si>
  <si>
    <t>LD ARRAIAS II A TAGUATINGA – 34,5 KV</t>
  </si>
  <si>
    <t>RAMAL DA CALTINS</t>
  </si>
  <si>
    <t>ANTES DA ENTRADA DA JOSIDITH</t>
  </si>
  <si>
    <t>ALIMENTADOR 1 ARAGUAÇU</t>
  </si>
  <si>
    <t>LD PARAÍSO I – DIVINÓPOLIS</t>
  </si>
  <si>
    <t>124 V / 124,6</t>
  </si>
  <si>
    <t>LD FORMOSO – COOPERFORMOSO</t>
  </si>
  <si>
    <t>LD AUGUSTINÓPOLIS – ESPERANTINA, BURITI</t>
  </si>
  <si>
    <t>200/398</t>
  </si>
  <si>
    <t>100/200</t>
  </si>
  <si>
    <t>124/120</t>
  </si>
  <si>
    <t>MEIO DA LD APÓS GOIATINS</t>
  </si>
  <si>
    <t>LD DIANÓPOLIS – CONCEIÇÃO - PARANÃ</t>
  </si>
  <si>
    <t>RURAL ALIMENTADOR 1 COUTO MAGALHÃES</t>
  </si>
  <si>
    <t>LD AUGUSTINÓPOLIS A AXIXÁ ( PRAIA NORTE)</t>
  </si>
  <si>
    <t>ANTES DE MATEIROS E SÃO FELIX</t>
  </si>
  <si>
    <t>ANTES DA ENTRADA DA BOA FORTUNA</t>
  </si>
  <si>
    <t>LD PS SUPRIMENTO CEMAR A CAMPOS LINDOS</t>
  </si>
  <si>
    <t>LD SE PEDRO AFONSO A RIO SONO</t>
  </si>
  <si>
    <t>MEIO ALIMENTADOR 1 AXIXÁ</t>
  </si>
  <si>
    <t>MEIO DO AL 1 ITACAJA</t>
  </si>
  <si>
    <t>FINAL DO ALIMENTADOR 1 SE LUZIMANGUES- FRÍSIA</t>
  </si>
  <si>
    <t>CHEGADA EM ARAGUAÇU</t>
  </si>
  <si>
    <t>MEIO DO ALIMENTADOR 1 SE LUZIMANGUES 13,8 KV - VLI</t>
  </si>
  <si>
    <t>LD COLMÉIA A ARAGUACEMA</t>
  </si>
  <si>
    <t>LD GUARAÍ II A PRESIDENTE KENNEDY</t>
  </si>
  <si>
    <t>LD NOVA ROSALÂNDIA A SANTA RITA</t>
  </si>
  <si>
    <t xml:space="preserve">LD GUARAÍ II A PRESIDENTE KENNEDY </t>
  </si>
  <si>
    <t>SE DUERE</t>
  </si>
  <si>
    <t>TOSHIBA//ROMAGNOLE/TOSHIBA</t>
  </si>
  <si>
    <t>219/328/219</t>
  </si>
  <si>
    <t xml:space="preserve">RAMAL DA EMSA </t>
  </si>
  <si>
    <t>LD COLINAS - BERNARDO SAYÃO</t>
  </si>
  <si>
    <t>ANTES DE AGUIARNÓPOLIS</t>
  </si>
  <si>
    <t>LD ARAGUAINA I  A  ARAGOMINAS</t>
  </si>
  <si>
    <t>ALIMENTADOR 1 DE WANDERLÂNDIA</t>
  </si>
  <si>
    <t>ALIMENTADOR 1 DE ALVORADA</t>
  </si>
  <si>
    <t>PRÓXIMO A ESCOLA BRASIL</t>
  </si>
  <si>
    <t>LD DIANÓPOLIS – GERAIS</t>
  </si>
  <si>
    <t>APÓS BRASILÂNDIA</t>
  </si>
  <si>
    <t>RT SE CRISTALÂNDIA</t>
  </si>
  <si>
    <t>CTR2</t>
  </si>
  <si>
    <t>AL01025012</t>
  </si>
  <si>
    <t>SE CRISTALÂNDIA</t>
  </si>
  <si>
    <t>rbrito</t>
  </si>
  <si>
    <t>CRISTALÂNDIA</t>
  </si>
  <si>
    <t>1 e 2 TOSHIBA, 3 ITB</t>
  </si>
  <si>
    <t>ALIMENTADOR 1 PORTO NACIONAL</t>
  </si>
  <si>
    <t>SE ITACAJÁ</t>
  </si>
  <si>
    <t>CTR1 / TB – R1000</t>
  </si>
  <si>
    <t>ITB (CTR1) e Toshiba (TB-R1000)</t>
  </si>
  <si>
    <t>PA TALIBEROL</t>
  </si>
  <si>
    <t>APÓS PUGMIL</t>
  </si>
  <si>
    <t>LD PALMAS - LAJEADO</t>
  </si>
  <si>
    <t>SE AURORA, ALIMENTADOR 01 13,8KV</t>
  </si>
  <si>
    <t>TB – R1000</t>
  </si>
  <si>
    <t>SE ARAPOEMA, FASES A E B</t>
  </si>
  <si>
    <t>RAMAL ALBERTO GUERRA - COLINAS</t>
  </si>
  <si>
    <t>SILVANÓPOLIS</t>
  </si>
  <si>
    <t>PALMEIRÓPOLIS</t>
  </si>
  <si>
    <t>PONTE ALTA DO TOCANTINS, BARRA DE 34,5KV</t>
  </si>
  <si>
    <t>ANTES CIDADE DE GOIATINS</t>
  </si>
  <si>
    <t>INSTALADO NA LD PEDRO AFONSO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</si>
</sst>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R$&quot;\ #,##0.00;[Red]\-&quot;R$&quot;\ #,##0.00"/>
    <numFmt numFmtId="44" formatCode="_-&quot;R$&quot;\ * #,##0.00_-;\-&quot;R$&quot;\ * #,##0.00_-;_-&quot;R$&quot;\ * &quot;-&quot;??_-;_-@_-"/>
    <numFmt numFmtId="164" formatCode="&quot;R$&quot;\ #,##0.00"/>
    <numFmt numFmtId="165" formatCode="0.0"/>
  </numFmts>
  <fonts count="14"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b/>
      <sz val="11"/>
      <color rgb="FF1E53A3"/>
      <name val="Calibri"/>
      <family val="2"/>
      <scheme val="minor"/>
    </font>
    <font>
      <sz val="11"/>
      <name val="Calibri"/>
      <family val="2"/>
      <scheme val="minor"/>
    </font>
    <font>
      <sz val="11"/>
      <color rgb="FF9C0006"/>
      <name val="Calibri"/>
      <family val="2"/>
      <scheme val="minor"/>
    </font>
    <font>
      <b/>
      <sz val="11"/>
      <color rgb="FFFA7D00"/>
      <name val="Calibri"/>
      <family val="2"/>
      <scheme val="minor"/>
    </font>
    <font>
      <sz val="11"/>
      <color rgb="FF000000"/>
      <name val="Calibri"/>
    </font>
    <font>
      <sz val="11"/>
      <name val="&quot;Trebuchet MS&quot;"/>
    </font>
    <font>
      <sz val="11"/>
      <color rgb="FF000000"/>
      <name val="Calibri"/>
      <family val="2"/>
    </font>
    <font>
      <u/>
      <sz val="11"/>
      <color theme="10"/>
      <name val="Calibri"/>
      <family val="2"/>
      <scheme val="minor"/>
    </font>
    <font>
      <sz val="11"/>
      <color rgb="FF000000"/>
      <name val="Calibri"/>
      <family val="2"/>
      <scheme val="minor"/>
    </font>
  </fonts>
  <fills count="1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C000"/>
        <bgColor indexed="64"/>
      </patternFill>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rgb="FF00B050"/>
        <bgColor indexed="64"/>
      </patternFill>
    </fill>
    <fill>
      <patternFill patternType="solid">
        <fgColor theme="3" tint="-0.249977111117893"/>
        <bgColor indexed="64"/>
      </patternFill>
    </fill>
    <fill>
      <patternFill patternType="solid">
        <fgColor rgb="FFFFC7CE"/>
      </patternFill>
    </fill>
    <fill>
      <patternFill patternType="solid">
        <fgColor rgb="FFF2F2F2"/>
      </patternFill>
    </fill>
    <fill>
      <patternFill patternType="solid">
        <fgColor rgb="FFA5A5A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rgb="FFD9D9D9"/>
        <bgColor indexed="64"/>
      </patternFill>
    </fill>
    <fill>
      <patternFill patternType="solid">
        <fgColor theme="3" tint="0.39997558519241921"/>
        <bgColor indexed="64"/>
      </patternFill>
    </fill>
    <fill>
      <patternFill patternType="solid">
        <fgColor rgb="FF00B0F0"/>
        <bgColor indexed="64"/>
      </patternFill>
    </fill>
  </fills>
  <borders count="22">
    <border>
      <left/>
      <right/>
      <top/>
      <bottom/>
      <diagonal/>
    </border>
    <border>
      <left style="thin">
        <color theme="4" tint="0.39997558519241921"/>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double">
        <color theme="0" tint="-0.24994659260841701"/>
      </left>
      <right style="double">
        <color theme="0" tint="-0.24994659260841701"/>
      </right>
      <top style="double">
        <color theme="0" tint="-0.24994659260841701"/>
      </top>
      <bottom/>
      <diagonal/>
    </border>
    <border>
      <left style="double">
        <color theme="0" tint="-0.24994659260841701"/>
      </left>
      <right style="double">
        <color theme="0" tint="-0.24994659260841701"/>
      </right>
      <top/>
      <bottom/>
      <diagonal/>
    </border>
    <border>
      <left style="medium">
        <color indexed="64"/>
      </left>
      <right style="double">
        <color theme="0" tint="-0.24994659260841701"/>
      </right>
      <top/>
      <bottom/>
      <diagonal/>
    </border>
  </borders>
  <cellStyleXfs count="11">
    <xf numFmtId="0" fontId="0" fillId="0" borderId="0"/>
    <xf numFmtId="44" fontId="1" fillId="0" borderId="0" applyFont="0" applyFill="0" applyBorder="0" applyAlignment="0" applyProtection="0"/>
    <xf numFmtId="0" fontId="7" fillId="10" borderId="0" applyNumberFormat="0" applyBorder="0" applyAlignment="0" applyProtection="0"/>
    <xf numFmtId="0" fontId="8" fillId="11" borderId="8" applyNumberFormat="0" applyAlignment="0" applyProtection="0"/>
    <xf numFmtId="0" fontId="2" fillId="12" borderId="9" applyNumberFormat="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9" fillId="0" borderId="0"/>
    <xf numFmtId="0" fontId="1" fillId="0" borderId="0"/>
    <xf numFmtId="0" fontId="12" fillId="0" borderId="0" applyNumberFormat="0" applyFill="0" applyBorder="0" applyAlignment="0" applyProtection="0"/>
  </cellStyleXfs>
  <cellXfs count="111">
    <xf numFmtId="0" fontId="0" fillId="0" borderId="0" xfId="0"/>
    <xf numFmtId="0" fontId="0" fillId="0" borderId="0" xfId="0" applyAlignment="1">
      <alignment vertical="center" wrapText="1"/>
    </xf>
    <xf numFmtId="0" fontId="0" fillId="0" borderId="0" xfId="0" applyAlignment="1">
      <alignment horizontal="center"/>
    </xf>
    <xf numFmtId="22" fontId="0" fillId="0" borderId="0" xfId="0" applyNumberFormat="1"/>
    <xf numFmtId="1" fontId="0" fillId="0" borderId="0" xfId="0" applyNumberFormat="1"/>
    <xf numFmtId="0" fontId="2" fillId="2" borderId="1" xfId="0" applyFont="1" applyFill="1" applyBorder="1"/>
    <xf numFmtId="0" fontId="0" fillId="0" borderId="0" xfId="0" applyAlignment="1">
      <alignment horizontal="left"/>
    </xf>
    <xf numFmtId="0" fontId="0" fillId="4" borderId="0" xfId="0" applyFill="1"/>
    <xf numFmtId="0" fontId="0" fillId="4" borderId="0" xfId="0" applyFill="1" applyAlignment="1">
      <alignment horizontal="left"/>
    </xf>
    <xf numFmtId="0" fontId="4" fillId="0" borderId="0" xfId="0" applyFont="1"/>
    <xf numFmtId="8" fontId="0" fillId="0" borderId="0" xfId="0" applyNumberFormat="1"/>
    <xf numFmtId="8" fontId="5" fillId="0" borderId="0" xfId="0" applyNumberFormat="1" applyFont="1" applyAlignment="1">
      <alignment vertical="center" wrapText="1"/>
    </xf>
    <xf numFmtId="44" fontId="4" fillId="0" borderId="0" xfId="1" applyFont="1"/>
    <xf numFmtId="44" fontId="0" fillId="0" borderId="0" xfId="1" applyFont="1"/>
    <xf numFmtId="44" fontId="0" fillId="0" borderId="0" xfId="0" applyNumberFormat="1"/>
    <xf numFmtId="0" fontId="0" fillId="0" borderId="0" xfId="0" pivotButton="1"/>
    <xf numFmtId="0" fontId="4" fillId="0" borderId="0" xfId="0" applyFont="1" applyAlignment="1">
      <alignment horizontal="center"/>
    </xf>
    <xf numFmtId="0" fontId="0" fillId="3" borderId="1" xfId="0" applyFill="1" applyBorder="1"/>
    <xf numFmtId="0" fontId="0" fillId="0" borderId="1" xfId="0" applyBorder="1"/>
    <xf numFmtId="0" fontId="3" fillId="0" borderId="0" xfId="0" applyFont="1"/>
    <xf numFmtId="0" fontId="0" fillId="0" borderId="2" xfId="0" applyBorder="1" applyAlignment="1">
      <alignment horizontal="center"/>
    </xf>
    <xf numFmtId="0" fontId="0" fillId="0" borderId="2" xfId="0" applyBorder="1" applyAlignment="1">
      <alignment horizontal="center" vertical="center"/>
    </xf>
    <xf numFmtId="44" fontId="0" fillId="0" borderId="2" xfId="1" applyFont="1" applyBorder="1" applyAlignment="1">
      <alignment horizontal="center" vertical="center"/>
    </xf>
    <xf numFmtId="0" fontId="4" fillId="0" borderId="2" xfId="0" applyFont="1" applyBorder="1" applyAlignment="1">
      <alignment horizontal="center" vertical="center"/>
    </xf>
    <xf numFmtId="0" fontId="0" fillId="0" borderId="2" xfId="0" applyBorder="1"/>
    <xf numFmtId="8" fontId="0" fillId="0" borderId="2" xfId="0" applyNumberFormat="1" applyBorder="1"/>
    <xf numFmtId="164" fontId="0" fillId="0" borderId="0" xfId="0" applyNumberFormat="1"/>
    <xf numFmtId="0" fontId="0" fillId="0" borderId="0" xfId="0" applyAlignment="1">
      <alignment horizontal="center" vertical="center"/>
    </xf>
    <xf numFmtId="0" fontId="0" fillId="0" borderId="0" xfId="0" applyAlignment="1">
      <alignment horizontal="left" vertical="center"/>
    </xf>
    <xf numFmtId="0" fontId="0" fillId="5" borderId="0" xfId="0" applyFill="1"/>
    <xf numFmtId="0" fontId="0" fillId="5" borderId="0" xfId="0" applyFill="1" applyAlignment="1">
      <alignment horizontal="center" vertical="center"/>
    </xf>
    <xf numFmtId="0" fontId="0" fillId="5" borderId="0" xfId="0" applyFill="1" applyAlignment="1">
      <alignment horizontal="left" vertical="center"/>
    </xf>
    <xf numFmtId="0" fontId="0" fillId="5" borderId="0" xfId="0" applyFill="1" applyAlignment="1">
      <alignment horizontal="center"/>
    </xf>
    <xf numFmtId="0" fontId="0" fillId="6" borderId="0" xfId="0" applyFill="1" applyAlignment="1">
      <alignment horizontal="center"/>
    </xf>
    <xf numFmtId="0" fontId="0" fillId="5" borderId="2" xfId="0" applyFill="1" applyBorder="1" applyAlignment="1">
      <alignment horizontal="center"/>
    </xf>
    <xf numFmtId="0" fontId="0" fillId="7" borderId="0" xfId="0" applyFill="1" applyAlignment="1">
      <alignment horizontal="center"/>
    </xf>
    <xf numFmtId="0" fontId="0" fillId="4" borderId="0" xfId="0" applyFill="1" applyAlignment="1">
      <alignment horizontal="center" vertical="center"/>
    </xf>
    <xf numFmtId="0" fontId="0" fillId="4" borderId="0" xfId="0" applyFill="1" applyAlignment="1">
      <alignment horizontal="left" vertical="center"/>
    </xf>
    <xf numFmtId="0" fontId="0" fillId="4" borderId="0" xfId="0" applyFill="1" applyAlignment="1">
      <alignment horizontal="center"/>
    </xf>
    <xf numFmtId="0" fontId="6" fillId="0" borderId="0" xfId="0" applyFont="1" applyAlignment="1">
      <alignment horizontal="center"/>
    </xf>
    <xf numFmtId="0" fontId="0" fillId="8" borderId="0" xfId="0" applyFill="1" applyAlignment="1">
      <alignment horizontal="center"/>
    </xf>
    <xf numFmtId="0" fontId="0" fillId="0" borderId="7" xfId="0" applyBorder="1" applyAlignment="1">
      <alignment horizontal="center"/>
    </xf>
    <xf numFmtId="0" fontId="0" fillId="0" borderId="0" xfId="0" applyAlignment="1">
      <alignment horizontal="center" wrapText="1"/>
    </xf>
    <xf numFmtId="44" fontId="0" fillId="4" borderId="0" xfId="0" applyNumberFormat="1" applyFill="1"/>
    <xf numFmtId="0" fontId="0" fillId="7" borderId="0" xfId="0" applyFill="1"/>
    <xf numFmtId="0" fontId="9" fillId="0" borderId="0" xfId="8"/>
    <xf numFmtId="1" fontId="9" fillId="0" borderId="0" xfId="8" applyNumberFormat="1"/>
    <xf numFmtId="49" fontId="10" fillId="0" borderId="0" xfId="8" applyNumberFormat="1" applyFont="1" applyAlignment="1">
      <alignment horizontal="center"/>
    </xf>
    <xf numFmtId="0" fontId="10" fillId="0" borderId="0" xfId="8" applyFont="1" applyAlignment="1">
      <alignment horizontal="center"/>
    </xf>
    <xf numFmtId="1" fontId="10" fillId="0" borderId="0" xfId="8" applyNumberFormat="1" applyFont="1" applyAlignment="1">
      <alignment horizontal="center"/>
    </xf>
    <xf numFmtId="0" fontId="10" fillId="0" borderId="10" xfId="8" applyFont="1" applyBorder="1" applyAlignment="1">
      <alignment horizontal="center"/>
    </xf>
    <xf numFmtId="49" fontId="10" fillId="0" borderId="10" xfId="8" applyNumberFormat="1" applyFont="1" applyBorder="1" applyAlignment="1">
      <alignment horizontal="center"/>
    </xf>
    <xf numFmtId="1" fontId="10" fillId="0" borderId="10" xfId="8" applyNumberFormat="1" applyFont="1" applyBorder="1" applyAlignment="1">
      <alignment horizontal="center"/>
    </xf>
    <xf numFmtId="49" fontId="10" fillId="0" borderId="11" xfId="8" applyNumberFormat="1" applyFont="1" applyBorder="1" applyAlignment="1">
      <alignment horizontal="center"/>
    </xf>
    <xf numFmtId="2" fontId="10" fillId="0" borderId="10" xfId="8" applyNumberFormat="1" applyFont="1" applyBorder="1" applyAlignment="1">
      <alignment horizontal="center"/>
    </xf>
    <xf numFmtId="49" fontId="8" fillId="11" borderId="8" xfId="3" applyNumberFormat="1" applyAlignment="1">
      <alignment horizontal="center"/>
    </xf>
    <xf numFmtId="0" fontId="8" fillId="11" borderId="8" xfId="3" applyNumberFormat="1" applyAlignment="1">
      <alignment horizontal="center"/>
    </xf>
    <xf numFmtId="0" fontId="0" fillId="0" borderId="0" xfId="0" applyAlignment="1">
      <alignment vertical="center"/>
    </xf>
    <xf numFmtId="49" fontId="0" fillId="0" borderId="0" xfId="0" applyNumberFormat="1" applyAlignment="1">
      <alignment vertical="center"/>
    </xf>
    <xf numFmtId="0" fontId="11" fillId="0" borderId="2" xfId="0" applyFont="1" applyBorder="1" applyAlignment="1">
      <alignment horizontal="center" vertical="center"/>
    </xf>
    <xf numFmtId="0" fontId="6" fillId="0" borderId="2" xfId="9" applyFont="1" applyBorder="1" applyAlignment="1">
      <alignment horizontal="center" vertical="center"/>
    </xf>
    <xf numFmtId="14" fontId="6" fillId="0" borderId="12" xfId="9" applyNumberFormat="1" applyFont="1" applyBorder="1" applyAlignment="1">
      <alignment horizontal="center" vertical="center"/>
    </xf>
    <xf numFmtId="0" fontId="6" fillId="0" borderId="13" xfId="9" applyFont="1" applyBorder="1" applyAlignment="1">
      <alignment horizontal="center" vertical="center"/>
    </xf>
    <xf numFmtId="14" fontId="6" fillId="0" borderId="2" xfId="9" applyNumberFormat="1" applyFont="1" applyBorder="1" applyAlignment="1">
      <alignment horizontal="center" vertical="center"/>
    </xf>
    <xf numFmtId="0" fontId="6" fillId="0" borderId="14" xfId="9" applyFont="1" applyBorder="1" applyAlignment="1">
      <alignment horizontal="center" vertical="center"/>
    </xf>
    <xf numFmtId="14" fontId="6" fillId="0" borderId="15" xfId="9" applyNumberFormat="1" applyFont="1" applyBorder="1" applyAlignment="1">
      <alignment horizontal="center" vertical="center"/>
    </xf>
    <xf numFmtId="0" fontId="6" fillId="0" borderId="16" xfId="9" applyFont="1" applyBorder="1" applyAlignment="1">
      <alignment horizontal="center" vertical="center"/>
    </xf>
    <xf numFmtId="0" fontId="6" fillId="0" borderId="15" xfId="9" applyFont="1" applyBorder="1" applyAlignment="1">
      <alignment horizontal="center" vertical="center"/>
    </xf>
    <xf numFmtId="0" fontId="12" fillId="0" borderId="12" xfId="10" applyFill="1" applyBorder="1" applyAlignment="1">
      <alignment horizontal="center" vertical="center"/>
    </xf>
    <xf numFmtId="0" fontId="6" fillId="0" borderId="12" xfId="9" applyFont="1" applyBorder="1" applyAlignment="1">
      <alignment horizontal="center" vertical="center"/>
    </xf>
    <xf numFmtId="14" fontId="6" fillId="0" borderId="17" xfId="9" applyNumberFormat="1" applyFont="1" applyBorder="1" applyAlignment="1">
      <alignment horizontal="center" vertical="center"/>
    </xf>
    <xf numFmtId="0" fontId="6" fillId="0" borderId="18" xfId="9" applyFont="1" applyBorder="1" applyAlignment="1">
      <alignment horizontal="center" vertical="center"/>
    </xf>
    <xf numFmtId="0" fontId="12" fillId="0" borderId="17" xfId="10" applyFill="1" applyBorder="1" applyAlignment="1">
      <alignment horizontal="center" vertical="center"/>
    </xf>
    <xf numFmtId="0" fontId="6" fillId="0" borderId="17" xfId="9" applyFont="1" applyBorder="1" applyAlignment="1">
      <alignment horizontal="center" vertical="center"/>
    </xf>
    <xf numFmtId="0" fontId="12" fillId="0" borderId="2" xfId="10" applyFill="1" applyBorder="1" applyAlignment="1">
      <alignment horizontal="center" vertical="center"/>
    </xf>
    <xf numFmtId="0" fontId="12" fillId="0" borderId="15" xfId="10" applyFill="1" applyBorder="1" applyAlignment="1">
      <alignment horizontal="center" vertical="center"/>
    </xf>
    <xf numFmtId="0" fontId="6" fillId="0" borderId="2" xfId="5" applyFont="1" applyFill="1" applyBorder="1" applyAlignment="1">
      <alignment horizontal="center" vertical="center"/>
    </xf>
    <xf numFmtId="14" fontId="6" fillId="0" borderId="2" xfId="5" applyNumberFormat="1" applyFont="1" applyFill="1" applyBorder="1" applyAlignment="1">
      <alignment horizontal="center" vertical="center"/>
    </xf>
    <xf numFmtId="0" fontId="6" fillId="0" borderId="2" xfId="6" applyFont="1" applyFill="1" applyBorder="1" applyAlignment="1">
      <alignment horizontal="center" vertical="center"/>
    </xf>
    <xf numFmtId="0" fontId="6" fillId="0" borderId="2" xfId="2" applyFont="1" applyFill="1" applyBorder="1" applyAlignment="1">
      <alignment horizontal="center" vertical="center"/>
    </xf>
    <xf numFmtId="0" fontId="6" fillId="0" borderId="2" xfId="7" applyFont="1" applyFill="1" applyBorder="1" applyAlignment="1">
      <alignment horizontal="center" vertical="center"/>
    </xf>
    <xf numFmtId="49" fontId="6" fillId="0" borderId="2" xfId="9" applyNumberFormat="1" applyFont="1" applyBorder="1" applyAlignment="1">
      <alignment horizontal="center" vertical="center"/>
    </xf>
    <xf numFmtId="0" fontId="6" fillId="0" borderId="2" xfId="9" applyFont="1" applyBorder="1" applyAlignment="1">
      <alignment horizontal="center" vertical="center" wrapText="1"/>
    </xf>
    <xf numFmtId="1" fontId="12" fillId="0" borderId="2" xfId="10" applyNumberFormat="1" applyBorder="1" applyAlignment="1">
      <alignment horizontal="center" vertical="center"/>
    </xf>
    <xf numFmtId="1" fontId="11" fillId="0" borderId="2" xfId="0" applyNumberFormat="1" applyFont="1" applyBorder="1" applyAlignment="1">
      <alignment horizontal="center" vertical="center"/>
    </xf>
    <xf numFmtId="49" fontId="11" fillId="0" borderId="2" xfId="0" applyNumberFormat="1" applyFont="1" applyBorder="1" applyAlignment="1">
      <alignment horizontal="center" vertical="center"/>
    </xf>
    <xf numFmtId="1" fontId="12" fillId="0" borderId="5" xfId="10" applyNumberFormat="1" applyBorder="1" applyAlignment="1">
      <alignment horizontal="center" vertical="center"/>
    </xf>
    <xf numFmtId="0" fontId="6" fillId="0" borderId="0" xfId="9" applyFont="1" applyAlignment="1">
      <alignment horizontal="center" vertical="center"/>
    </xf>
    <xf numFmtId="1" fontId="11" fillId="0" borderId="15" xfId="0" applyNumberFormat="1" applyFont="1" applyBorder="1" applyAlignment="1">
      <alignment horizontal="center" vertical="center"/>
    </xf>
    <xf numFmtId="1" fontId="11" fillId="0" borderId="10" xfId="0" applyNumberFormat="1" applyFont="1" applyBorder="1" applyAlignment="1">
      <alignment horizontal="center" vertical="center"/>
    </xf>
    <xf numFmtId="165" fontId="6" fillId="0" borderId="2" xfId="9" quotePrefix="1" applyNumberFormat="1" applyFont="1" applyBorder="1" applyAlignment="1">
      <alignment horizontal="center" vertical="center"/>
    </xf>
    <xf numFmtId="0" fontId="6" fillId="0" borderId="2" xfId="9" quotePrefix="1" applyFont="1" applyBorder="1" applyAlignment="1">
      <alignment horizontal="center" vertical="center"/>
    </xf>
    <xf numFmtId="14" fontId="0" fillId="0" borderId="2" xfId="0" applyNumberFormat="1" applyBorder="1" applyAlignment="1">
      <alignment horizontal="center" vertical="center"/>
    </xf>
    <xf numFmtId="0" fontId="13" fillId="0" borderId="2" xfId="9" applyFont="1" applyBorder="1" applyAlignment="1">
      <alignment horizontal="center" vertical="center"/>
    </xf>
    <xf numFmtId="49" fontId="13" fillId="0" borderId="2" xfId="9" applyNumberFormat="1" applyFont="1" applyBorder="1" applyAlignment="1">
      <alignment horizontal="center" vertical="center"/>
    </xf>
    <xf numFmtId="0" fontId="0" fillId="16" borderId="0" xfId="0" applyFill="1" applyAlignment="1">
      <alignment vertical="center"/>
    </xf>
    <xf numFmtId="49" fontId="6" fillId="0" borderId="2" xfId="9" applyNumberFormat="1" applyFont="1" applyBorder="1" applyAlignment="1" applyProtection="1">
      <alignment horizontal="center" vertical="center"/>
      <protection locked="0"/>
    </xf>
    <xf numFmtId="0" fontId="11" fillId="0" borderId="2" xfId="0" applyFont="1" applyBorder="1" applyAlignment="1">
      <alignment horizontal="center"/>
    </xf>
    <xf numFmtId="165" fontId="6" fillId="0" borderId="2" xfId="9" applyNumberFormat="1" applyFont="1" applyBorder="1" applyAlignment="1">
      <alignment horizontal="center" vertical="center"/>
    </xf>
    <xf numFmtId="3" fontId="6" fillId="0" borderId="2" xfId="9" applyNumberFormat="1" applyFont="1" applyBorder="1" applyAlignment="1">
      <alignment horizontal="center" vertical="center"/>
    </xf>
    <xf numFmtId="0" fontId="2" fillId="17" borderId="19" xfId="4" applyFill="1" applyBorder="1" applyAlignment="1">
      <alignment horizontal="center" vertical="center"/>
    </xf>
    <xf numFmtId="0" fontId="2" fillId="18" borderId="20" xfId="4" applyFill="1" applyBorder="1" applyAlignment="1">
      <alignment horizontal="center" vertical="center"/>
    </xf>
    <xf numFmtId="49" fontId="2" fillId="18" borderId="21" xfId="4" applyNumberFormat="1" applyFill="1" applyBorder="1" applyAlignment="1">
      <alignment horizontal="center" vertical="center"/>
    </xf>
    <xf numFmtId="0" fontId="2" fillId="17" borderId="20" xfId="4" applyFill="1" applyBorder="1" applyAlignment="1">
      <alignment horizontal="center" vertical="center"/>
    </xf>
    <xf numFmtId="0" fontId="2" fillId="17" borderId="19" xfId="4" applyFill="1" applyBorder="1" applyAlignment="1">
      <alignment horizontal="center" vertical="center" wrapText="1"/>
    </xf>
    <xf numFmtId="0" fontId="2" fillId="2" borderId="6" xfId="0" applyFont="1" applyFill="1" applyBorder="1" applyAlignment="1">
      <alignment horizontal="center"/>
    </xf>
    <xf numFmtId="0" fontId="2" fillId="2" borderId="7" xfId="0" applyFont="1" applyFill="1" applyBorder="1" applyAlignment="1">
      <alignment horizont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2" fillId="9" borderId="0" xfId="0" applyFont="1" applyFill="1" applyAlignment="1">
      <alignment horizontal="center"/>
    </xf>
  </cellXfs>
  <cellStyles count="11">
    <cellStyle name="40% - Ênfase4" xfId="5" builtinId="43"/>
    <cellStyle name="40% - Ênfase5" xfId="6" builtinId="47"/>
    <cellStyle name="40% - Ênfase6" xfId="7" builtinId="51"/>
    <cellStyle name="Cálculo" xfId="3" builtinId="22"/>
    <cellStyle name="Célula de Verificação" xfId="4" builtinId="23"/>
    <cellStyle name="Hiperlink" xfId="10" builtinId="8"/>
    <cellStyle name="Moeda" xfId="1" builtinId="4"/>
    <cellStyle name="Normal" xfId="0" builtinId="0"/>
    <cellStyle name="Normal 2" xfId="8" xr:uid="{E221ECC5-9651-4C12-B519-205A2725B64D}"/>
    <cellStyle name="Normal 4" xfId="9" xr:uid="{F5DE9AA3-FE82-4706-91AA-DE2460412572}"/>
    <cellStyle name="Ruim" xfId="2" builtinId="27"/>
  </cellStyles>
  <dxfs count="84">
    <dxf>
      <font>
        <color rgb="FF9C0006"/>
      </font>
      <fill>
        <patternFill>
          <bgColor rgb="FFFFC7CE"/>
        </patternFill>
      </fill>
    </dxf>
    <dxf>
      <font>
        <color rgb="FF9C0006"/>
      </font>
      <fill>
        <patternFill>
          <bgColor rgb="FFFFC7CE"/>
        </patternFill>
      </fill>
    </dxf>
    <dxf>
      <fill>
        <patternFill patternType="solid">
          <fgColor rgb="FFFFFFFF"/>
          <bgColor rgb="FFFFFFFF"/>
        </patternFill>
      </fill>
    </dxf>
    <dxf>
      <fill>
        <patternFill patternType="solid">
          <fgColor rgb="FFFFFFFF"/>
          <bgColor rgb="FFFFFFFF"/>
        </patternFill>
      </fill>
    </dxf>
    <dxf>
      <font>
        <b/>
      </font>
      <fill>
        <patternFill patternType="solid">
          <fgColor rgb="FFF7CAAC"/>
          <bgColor rgb="FFF7CAAC"/>
        </patternFill>
      </fill>
    </dxf>
    <dxf>
      <font>
        <b/>
      </font>
      <fill>
        <patternFill patternType="solid">
          <fgColor rgb="FFF7CAAC"/>
          <bgColor rgb="FFF7CAAC"/>
        </patternFill>
      </fill>
    </dxf>
    <dxf>
      <fill>
        <patternFill patternType="solid">
          <fgColor rgb="FFFFFFFF"/>
          <bgColor rgb="FFFFFFFF"/>
        </patternFill>
      </fill>
    </dxf>
    <dxf>
      <font>
        <b/>
      </font>
      <fill>
        <patternFill patternType="solid">
          <fgColor rgb="FFF7CAAC"/>
          <bgColor rgb="FFF7CAAC"/>
        </patternFill>
      </fill>
    </dxf>
    <dxf>
      <font>
        <b/>
      </font>
      <fill>
        <patternFill patternType="solid">
          <fgColor rgb="FFF7CAAC"/>
          <bgColor rgb="FFF7CAAC"/>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ont>
        <b/>
      </font>
      <fill>
        <patternFill patternType="solid">
          <fgColor rgb="FFF7CAAC"/>
          <bgColor rgb="FFF7CAAC"/>
        </patternFill>
      </fill>
    </dxf>
    <dxf>
      <font>
        <b/>
      </font>
      <fill>
        <patternFill patternType="solid">
          <fgColor rgb="FFF7CAAC"/>
          <bgColor rgb="FFF7CAAC"/>
        </patternFill>
      </fill>
    </dxf>
    <dxf>
      <font>
        <b/>
      </font>
      <fill>
        <patternFill patternType="solid">
          <fgColor rgb="FFF7CAAC"/>
          <bgColor rgb="FFF7CAAC"/>
        </patternFill>
      </fill>
    </dxf>
    <dxf>
      <font>
        <b/>
      </font>
      <fill>
        <patternFill patternType="solid">
          <fgColor rgb="FFF7CAAC"/>
          <bgColor rgb="FFF7CAAC"/>
        </patternFill>
      </fill>
    </dxf>
    <dxf>
      <fill>
        <patternFill patternType="solid">
          <fgColor rgb="FFFFFFFF"/>
          <bgColor rgb="FFFFFF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patternType="solid">
          <bgColor rgb="FFFF0000"/>
        </patternFill>
      </fill>
    </dxf>
    <dxf>
      <fill>
        <patternFill patternType="solid">
          <bgColor rgb="FFFFC000"/>
        </patternFill>
      </fill>
    </dxf>
    <dxf>
      <fill>
        <patternFill>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numFmt numFmtId="0" formatCode="General"/>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general" vertical="bottom" textRotation="0" wrapText="0" indent="0" justifyLastLine="0" shrinkToFit="0" readingOrder="0"/>
    </dxf>
    <dxf>
      <alignment horizontal="left"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theme" Target="theme/theme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pivotCacheDefinition" Target="pivotCache/pivotCacheDefinition2.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powerPivotData" Target="model/item.data"/><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20</xdr:col>
      <xdr:colOff>29135</xdr:colOff>
      <xdr:row>120</xdr:row>
      <xdr:rowOff>119903</xdr:rowOff>
    </xdr:from>
    <xdr:ext cx="4752318" cy="9153525"/>
    <xdr:pic>
      <xdr:nvPicPr>
        <xdr:cNvPr id="2" name="Imagem 1">
          <a:extLst>
            <a:ext uri="{FF2B5EF4-FFF2-40B4-BE49-F238E27FC236}">
              <a16:creationId xmlns:a16="http://schemas.microsoft.com/office/drawing/2014/main" id="{470C5540-31CC-4A1A-8257-936133B811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21135" y="22979903"/>
          <a:ext cx="4752318" cy="9153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5414682</xdr:colOff>
      <xdr:row>118</xdr:row>
      <xdr:rowOff>112059</xdr:rowOff>
    </xdr:from>
    <xdr:ext cx="3714750" cy="6867525"/>
    <xdr:pic>
      <xdr:nvPicPr>
        <xdr:cNvPr id="3" name="Imagem 2">
          <a:extLst>
            <a:ext uri="{FF2B5EF4-FFF2-40B4-BE49-F238E27FC236}">
              <a16:creationId xmlns:a16="http://schemas.microsoft.com/office/drawing/2014/main" id="{94BFDE9C-B914-432C-BD89-586B3949CF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15682" y="22591059"/>
          <a:ext cx="3714750" cy="6867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energisa-my.sharepoint.com/personal/rafael_pemarques_energisa_com_br/Documents/Arquivos%20de%20Chat%20do%20Microsoft%20Teams/Ajustes%20Reguladores.xlsx" TargetMode="External"/><Relationship Id="rId1" Type="http://schemas.openxmlformats.org/officeDocument/2006/relationships/externalLinkPath" Target="https://energisa-my.sharepoint.com/personal/rafael_pemarques_energisa_com_br/Documents/Arquivos%20de%20Chat%20do%20Microsoft%20Teams/Ajustes%20Reguladore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energisa-my.sharepoint.com/personal/allan_souza_energisa_com_br1/Documents/Rela&#231;&#227;o%20dos%20Equipamentos%20Indispon&#237;veis%20-%20ETO%20(ATUALIZADA).xlsx" TargetMode="External"/><Relationship Id="rId1" Type="http://schemas.openxmlformats.org/officeDocument/2006/relationships/externalLinkPath" Target="https://energisa-my.sharepoint.com/personal/allan_souza_energisa_com_br1/Documents/Rela&#231;&#227;o%20dos%20Equipamentos%20Indispon&#237;veis%20-%20ETO%20(ATUALIZADA).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spdj\Downloads\Rela&#231;&#227;o%20dos%20Equipamentos%20Indispon&#237;veis%20-%20ETO%20(1).xlsx" TargetMode="External"/><Relationship Id="rId1" Type="http://schemas.openxmlformats.org/officeDocument/2006/relationships/externalLinkPath" Target="file:///C:\Users\spdj\Downloads\Rela&#231;&#227;o%20dos%20Equipamentos%20Indispon&#237;veis%20-%20ETO%20(1).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jalms2\Downloads\Ajustes%20Religadores%20(2).xlsx" TargetMode="External"/><Relationship Id="rId1" Type="http://schemas.openxmlformats.org/officeDocument/2006/relationships/externalLinkPath" Target="file:///C:\Users\jalms2\Downloads\Ajustes%20Religadores%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nu"/>
      <sheetName val="EQUIPAMENTOS_ETO"/>
      <sheetName val="SEGMENTAÇÃO"/>
      <sheetName val="Planilha2"/>
    </sheetNames>
    <sheetDataSet>
      <sheetData sheetId="0"/>
      <sheetData sheetId="1"/>
      <sheetData sheetId="2">
        <row r="1">
          <cell r="A1" t="str">
            <v>COD_LOC</v>
          </cell>
          <cell r="B1" t="str">
            <v>LOCALIDADE</v>
          </cell>
          <cell r="C1" t="str">
            <v>COD_SECC</v>
          </cell>
          <cell r="D1" t="str">
            <v>SECCIONAL (BASE EQUIPE)</v>
          </cell>
          <cell r="E1" t="str">
            <v>COD_DIST</v>
          </cell>
          <cell r="F1" t="str">
            <v>POLO</v>
          </cell>
          <cell r="G1" t="str">
            <v>COD_REGI</v>
          </cell>
          <cell r="H1" t="str">
            <v>COEC</v>
          </cell>
          <cell r="I1" t="str">
            <v>MUNICIPIO</v>
          </cell>
        </row>
        <row r="2">
          <cell r="A2">
            <v>108</v>
          </cell>
          <cell r="B2" t="str">
            <v>VILA UNIAO</v>
          </cell>
          <cell r="C2" t="str">
            <v>0068</v>
          </cell>
          <cell r="D2" t="str">
            <v>BURITI DO TOCANTINS</v>
          </cell>
          <cell r="E2" t="str">
            <v>0045</v>
          </cell>
          <cell r="F2" t="str">
            <v>AUGUSTINOPOLIS</v>
          </cell>
          <cell r="G2">
            <v>4</v>
          </cell>
          <cell r="H2" t="str">
            <v>NORTE</v>
          </cell>
          <cell r="I2" t="str">
            <v>BURITI DO TOCANTINS</v>
          </cell>
        </row>
        <row r="3">
          <cell r="A3">
            <v>123</v>
          </cell>
          <cell r="B3" t="str">
            <v>AGUIARNOPOLIS</v>
          </cell>
          <cell r="C3" t="str">
            <v>0002</v>
          </cell>
          <cell r="D3" t="str">
            <v>TOCANTINOPOLIS</v>
          </cell>
          <cell r="E3" t="str">
            <v>0002</v>
          </cell>
          <cell r="F3" t="str">
            <v>TOCANTINOPOLIS</v>
          </cell>
          <cell r="G3">
            <v>4</v>
          </cell>
          <cell r="H3" t="str">
            <v>NORTE</v>
          </cell>
          <cell r="I3" t="str">
            <v>AGUIARNOPOLIS</v>
          </cell>
        </row>
        <row r="4">
          <cell r="A4">
            <v>132</v>
          </cell>
          <cell r="B4" t="str">
            <v>SAMPAIO</v>
          </cell>
          <cell r="C4" t="str">
            <v>0045</v>
          </cell>
          <cell r="D4" t="str">
            <v>AUGUSTINOPOLIS</v>
          </cell>
          <cell r="E4" t="str">
            <v>0045</v>
          </cell>
          <cell r="F4" t="str">
            <v>AUGUSTINOPOLIS</v>
          </cell>
          <cell r="G4">
            <v>4</v>
          </cell>
          <cell r="H4" t="str">
            <v>NORTE</v>
          </cell>
          <cell r="I4" t="str">
            <v>SAMPAIO</v>
          </cell>
        </row>
        <row r="5">
          <cell r="A5">
            <v>150</v>
          </cell>
          <cell r="B5" t="str">
            <v>BONFIM</v>
          </cell>
          <cell r="C5" t="str">
            <v>0028</v>
          </cell>
          <cell r="D5" t="str">
            <v>NATIVIDADE</v>
          </cell>
          <cell r="E5" t="str">
            <v>0074</v>
          </cell>
          <cell r="F5" t="str">
            <v>DIANOPOLIS</v>
          </cell>
          <cell r="G5">
            <v>3</v>
          </cell>
          <cell r="H5" t="str">
            <v>SUL</v>
          </cell>
          <cell r="I5" t="str">
            <v>NATIVIDADE</v>
          </cell>
        </row>
        <row r="6">
          <cell r="A6">
            <v>182</v>
          </cell>
          <cell r="B6" t="str">
            <v>CAMPINA VERDE</v>
          </cell>
          <cell r="C6" t="str">
            <v>0013</v>
          </cell>
          <cell r="D6" t="str">
            <v>PARAISO DO TOCANTINS</v>
          </cell>
          <cell r="E6" t="str">
            <v>0013</v>
          </cell>
          <cell r="F6" t="str">
            <v>PARAISO DO TOCANTINS</v>
          </cell>
          <cell r="G6">
            <v>122</v>
          </cell>
          <cell r="H6" t="str">
            <v>CENTRO</v>
          </cell>
          <cell r="I6" t="str">
            <v>MONTE SANTO DO TOCANTINS</v>
          </cell>
        </row>
        <row r="7">
          <cell r="A7">
            <v>249</v>
          </cell>
          <cell r="B7" t="str">
            <v>CANTO DA VAZANTE</v>
          </cell>
          <cell r="C7" t="str">
            <v>0009</v>
          </cell>
          <cell r="D7" t="str">
            <v>GUARAI</v>
          </cell>
          <cell r="E7" t="str">
            <v>0009</v>
          </cell>
          <cell r="F7" t="str">
            <v>GUARAI</v>
          </cell>
          <cell r="G7">
            <v>4</v>
          </cell>
          <cell r="H7" t="str">
            <v>NORTE</v>
          </cell>
          <cell r="I7" t="str">
            <v>GUARAI</v>
          </cell>
        </row>
        <row r="8">
          <cell r="A8">
            <v>274</v>
          </cell>
          <cell r="B8" t="str">
            <v>VINTE MIL - AUGUSTINOPOLIS</v>
          </cell>
          <cell r="C8" t="str">
            <v>0045</v>
          </cell>
          <cell r="D8" t="str">
            <v>AUGUSTINOPOLIS</v>
          </cell>
          <cell r="E8" t="str">
            <v>0045</v>
          </cell>
          <cell r="F8" t="str">
            <v>AUGUSTINOPOLIS</v>
          </cell>
          <cell r="G8">
            <v>4</v>
          </cell>
          <cell r="H8" t="str">
            <v>NORTE</v>
          </cell>
          <cell r="I8" t="str">
            <v>AUGUSTINOPOLIS</v>
          </cell>
        </row>
        <row r="9">
          <cell r="A9">
            <v>68</v>
          </cell>
          <cell r="B9" t="str">
            <v>BURITI DO TOCANTINS</v>
          </cell>
          <cell r="C9" t="str">
            <v>0068</v>
          </cell>
          <cell r="D9" t="str">
            <v>BURITI DO TOCANTINS</v>
          </cell>
          <cell r="E9" t="str">
            <v>0045</v>
          </cell>
          <cell r="F9" t="str">
            <v>AUGUSTINOPOLIS</v>
          </cell>
          <cell r="G9">
            <v>4</v>
          </cell>
          <cell r="H9" t="str">
            <v>NORTE</v>
          </cell>
          <cell r="I9" t="str">
            <v>BURITI DO TOCANTINS</v>
          </cell>
        </row>
        <row r="10">
          <cell r="A10">
            <v>69</v>
          </cell>
          <cell r="B10" t="str">
            <v>SAO SEBASTIAO DO TOCANTINS</v>
          </cell>
          <cell r="C10" t="str">
            <v>0068</v>
          </cell>
          <cell r="D10" t="str">
            <v>BURITI DO TOCANTINS</v>
          </cell>
          <cell r="E10" t="str">
            <v>0045</v>
          </cell>
          <cell r="F10" t="str">
            <v>AUGUSTINOPOLIS</v>
          </cell>
          <cell r="G10">
            <v>4</v>
          </cell>
          <cell r="H10" t="str">
            <v>NORTE</v>
          </cell>
          <cell r="I10" t="str">
            <v>SAO SEBASTIAO DO TOCANTINS</v>
          </cell>
        </row>
        <row r="11">
          <cell r="A11">
            <v>71</v>
          </cell>
          <cell r="B11" t="str">
            <v>BREJINHO DE NAZARE</v>
          </cell>
          <cell r="C11" t="str">
            <v>0071</v>
          </cell>
          <cell r="D11" t="str">
            <v>BREJINHO DE NAZARE</v>
          </cell>
          <cell r="E11" t="str">
            <v>0001</v>
          </cell>
          <cell r="F11" t="str">
            <v>PORTO NACIONAL</v>
          </cell>
          <cell r="G11">
            <v>122</v>
          </cell>
          <cell r="H11" t="str">
            <v>CENTRO</v>
          </cell>
          <cell r="I11" t="str">
            <v>BREJINHO DE NAZARE</v>
          </cell>
        </row>
        <row r="12">
          <cell r="A12">
            <v>73</v>
          </cell>
          <cell r="B12" t="str">
            <v>LAGOA DA CONFUSAO</v>
          </cell>
          <cell r="C12" t="str">
            <v>0073</v>
          </cell>
          <cell r="D12" t="str">
            <v>LAGOA DA CONFUSAO</v>
          </cell>
          <cell r="E12" t="str">
            <v>0013</v>
          </cell>
          <cell r="F12" t="str">
            <v>PARAISO DO TOCANTINS</v>
          </cell>
          <cell r="G12">
            <v>122</v>
          </cell>
          <cell r="H12" t="str">
            <v>CENTRO</v>
          </cell>
          <cell r="I12" t="str">
            <v>LAGOA DA CONFUSAO</v>
          </cell>
        </row>
        <row r="13">
          <cell r="A13">
            <v>75</v>
          </cell>
          <cell r="B13" t="str">
            <v>DOIS IRMAOS DO TOCANTINS</v>
          </cell>
          <cell r="C13" t="str">
            <v>0075</v>
          </cell>
          <cell r="D13" t="str">
            <v>DOIS IRMAOS DO TOCANTINS</v>
          </cell>
          <cell r="E13" t="str">
            <v>0084</v>
          </cell>
          <cell r="F13" t="str">
            <v>DIVINOPOLIS</v>
          </cell>
          <cell r="G13">
            <v>122</v>
          </cell>
          <cell r="H13" t="str">
            <v>CENTRO</v>
          </cell>
          <cell r="I13" t="str">
            <v>DOIS IRMAOS DO TOCANTINS</v>
          </cell>
        </row>
        <row r="14">
          <cell r="A14">
            <v>77</v>
          </cell>
          <cell r="B14" t="str">
            <v>GOIATINS</v>
          </cell>
          <cell r="C14" t="str">
            <v>0077</v>
          </cell>
          <cell r="D14" t="str">
            <v>GOIATINS</v>
          </cell>
          <cell r="E14" t="str">
            <v>0004</v>
          </cell>
          <cell r="F14" t="str">
            <v>ARAGUAINA</v>
          </cell>
          <cell r="G14">
            <v>4</v>
          </cell>
          <cell r="H14" t="str">
            <v>NORTE</v>
          </cell>
          <cell r="I14" t="str">
            <v>GOIATINS</v>
          </cell>
        </row>
        <row r="15">
          <cell r="A15">
            <v>78</v>
          </cell>
          <cell r="B15" t="str">
            <v>ITACAJA</v>
          </cell>
          <cell r="C15" t="str">
            <v>0078</v>
          </cell>
          <cell r="D15" t="str">
            <v>ITACAJA</v>
          </cell>
          <cell r="E15" t="str">
            <v>0009</v>
          </cell>
          <cell r="F15" t="str">
            <v>GUARAI</v>
          </cell>
          <cell r="G15">
            <v>4</v>
          </cell>
          <cell r="H15" t="str">
            <v>NORTE</v>
          </cell>
          <cell r="I15" t="str">
            <v>ITACAJA</v>
          </cell>
        </row>
        <row r="16">
          <cell r="A16">
            <v>98</v>
          </cell>
          <cell r="B16" t="str">
            <v>ANANAS</v>
          </cell>
          <cell r="C16" t="str">
            <v>0098</v>
          </cell>
          <cell r="D16" t="str">
            <v>ANANAS</v>
          </cell>
          <cell r="E16" t="str">
            <v>0002</v>
          </cell>
          <cell r="F16" t="str">
            <v>TOCANTINOPOLIS</v>
          </cell>
          <cell r="G16">
            <v>4</v>
          </cell>
          <cell r="H16" t="str">
            <v>NORTE</v>
          </cell>
          <cell r="I16" t="str">
            <v>ANANAS</v>
          </cell>
        </row>
        <row r="17">
          <cell r="A17">
            <v>81</v>
          </cell>
          <cell r="B17" t="str">
            <v>ITAGUATINS</v>
          </cell>
          <cell r="C17" t="str">
            <v>0081</v>
          </cell>
          <cell r="D17" t="str">
            <v>ITAGUATINS</v>
          </cell>
          <cell r="E17" t="str">
            <v>0045</v>
          </cell>
          <cell r="F17" t="str">
            <v>AUGUSTINOPOLIS</v>
          </cell>
          <cell r="G17">
            <v>4</v>
          </cell>
          <cell r="H17" t="str">
            <v>NORTE</v>
          </cell>
          <cell r="I17" t="str">
            <v>ITAGUATINS</v>
          </cell>
        </row>
        <row r="18">
          <cell r="A18">
            <v>83</v>
          </cell>
          <cell r="B18" t="str">
            <v>APARECIDA DO RIO NEGRO</v>
          </cell>
          <cell r="C18" t="str">
            <v>0083</v>
          </cell>
          <cell r="D18" t="str">
            <v>APARECIDA DO RIO NEGRO</v>
          </cell>
          <cell r="E18" t="str">
            <v>0059</v>
          </cell>
          <cell r="F18" t="str">
            <v>TAQUARALTO</v>
          </cell>
          <cell r="G18">
            <v>122</v>
          </cell>
          <cell r="H18" t="str">
            <v>CENTRO</v>
          </cell>
          <cell r="I18" t="str">
            <v>APARECIDA DO RIO NEGRO</v>
          </cell>
        </row>
        <row r="19">
          <cell r="A19">
            <v>84</v>
          </cell>
          <cell r="B19" t="str">
            <v>DIVINOPOLIS</v>
          </cell>
          <cell r="C19" t="str">
            <v>0084</v>
          </cell>
          <cell r="D19" t="str">
            <v>DIVINOPOLIS</v>
          </cell>
          <cell r="E19" t="str">
            <v>0084</v>
          </cell>
          <cell r="F19" t="str">
            <v>DIVINOPOLIS</v>
          </cell>
          <cell r="G19">
            <v>122</v>
          </cell>
          <cell r="H19" t="str">
            <v>CENTRO</v>
          </cell>
          <cell r="I19" t="str">
            <v>DIVINOPOLIS</v>
          </cell>
        </row>
        <row r="20">
          <cell r="A20">
            <v>85</v>
          </cell>
          <cell r="B20" t="str">
            <v>MONTE SANTO DO TOCANTINS</v>
          </cell>
          <cell r="C20" t="str">
            <v>0013</v>
          </cell>
          <cell r="D20" t="str">
            <v>PARAISO DO TOCANTINS</v>
          </cell>
          <cell r="E20" t="str">
            <v>0013</v>
          </cell>
          <cell r="F20" t="str">
            <v>PARAISO DO TOCANTINS</v>
          </cell>
          <cell r="G20">
            <v>122</v>
          </cell>
          <cell r="H20" t="str">
            <v>CENTRO</v>
          </cell>
          <cell r="I20" t="str">
            <v>MONTE SANTO DO TOCANTINS</v>
          </cell>
        </row>
        <row r="21">
          <cell r="A21">
            <v>86</v>
          </cell>
          <cell r="B21" t="str">
            <v>MARIANOPOLIS</v>
          </cell>
          <cell r="C21" t="str">
            <v>0086</v>
          </cell>
          <cell r="D21" t="str">
            <v>MARIANOPOLIS</v>
          </cell>
          <cell r="E21" t="str">
            <v>0084</v>
          </cell>
          <cell r="F21" t="str">
            <v>DIVINOPOLIS</v>
          </cell>
          <cell r="G21">
            <v>122</v>
          </cell>
          <cell r="H21" t="str">
            <v>CENTRO</v>
          </cell>
          <cell r="I21" t="str">
            <v>MARIANOPOLIS</v>
          </cell>
        </row>
        <row r="22">
          <cell r="A22">
            <v>88</v>
          </cell>
          <cell r="B22" t="str">
            <v>SITIO NOVO DO TOCANTINS</v>
          </cell>
          <cell r="C22" t="str">
            <v>0088</v>
          </cell>
          <cell r="D22" t="str">
            <v>SITIO NOVO TOCANTINS</v>
          </cell>
          <cell r="E22" t="str">
            <v>0045</v>
          </cell>
          <cell r="F22" t="str">
            <v>AUGUSTINOPOLIS</v>
          </cell>
          <cell r="G22">
            <v>4</v>
          </cell>
          <cell r="H22" t="str">
            <v>NORTE</v>
          </cell>
          <cell r="I22" t="str">
            <v>SITIO NOVO DO TOCANTINS</v>
          </cell>
        </row>
        <row r="23">
          <cell r="A23">
            <v>91</v>
          </cell>
          <cell r="B23" t="str">
            <v>ALMAS</v>
          </cell>
          <cell r="C23" t="str">
            <v>0091</v>
          </cell>
          <cell r="D23" t="str">
            <v>ALMAS</v>
          </cell>
          <cell r="E23" t="str">
            <v>0074</v>
          </cell>
          <cell r="F23" t="str">
            <v>DIANOPOLIS</v>
          </cell>
          <cell r="G23">
            <v>3</v>
          </cell>
          <cell r="H23" t="str">
            <v>SUL</v>
          </cell>
          <cell r="I23" t="str">
            <v>ALMAS</v>
          </cell>
        </row>
        <row r="24">
          <cell r="A24">
            <v>92</v>
          </cell>
          <cell r="B24" t="str">
            <v>NOVO ACORDO</v>
          </cell>
          <cell r="C24" t="str">
            <v>0083</v>
          </cell>
          <cell r="D24" t="str">
            <v>NOVO ACORDO</v>
          </cell>
          <cell r="E24" t="str">
            <v>0059</v>
          </cell>
          <cell r="F24" t="str">
            <v>TAQUARALTO</v>
          </cell>
          <cell r="G24">
            <v>122</v>
          </cell>
          <cell r="H24" t="str">
            <v>CENTRO</v>
          </cell>
          <cell r="I24" t="str">
            <v>NOVO ACORDO</v>
          </cell>
        </row>
        <row r="25">
          <cell r="A25">
            <v>93</v>
          </cell>
          <cell r="B25" t="str">
            <v>SANTA ROSA PARAISO</v>
          </cell>
          <cell r="C25" t="str">
            <v>0013</v>
          </cell>
          <cell r="D25" t="str">
            <v>PARAISO DO TOCANTINS</v>
          </cell>
          <cell r="E25" t="str">
            <v>0013</v>
          </cell>
          <cell r="F25" t="str">
            <v>PARAISO DO TOCANTINS</v>
          </cell>
          <cell r="G25">
            <v>122</v>
          </cell>
          <cell r="H25" t="str">
            <v>CENTRO</v>
          </cell>
          <cell r="I25" t="str">
            <v>PARAISO DO TOCANTINS</v>
          </cell>
        </row>
        <row r="26">
          <cell r="A26">
            <v>95</v>
          </cell>
          <cell r="B26" t="str">
            <v>QUIXABEIRA</v>
          </cell>
          <cell r="C26" t="str">
            <v>0003</v>
          </cell>
          <cell r="D26" t="str">
            <v>GURUPI</v>
          </cell>
          <cell r="E26" t="str">
            <v>0003</v>
          </cell>
          <cell r="F26" t="str">
            <v>GURUPI</v>
          </cell>
          <cell r="G26">
            <v>3</v>
          </cell>
          <cell r="H26" t="str">
            <v>SUL</v>
          </cell>
          <cell r="I26" t="str">
            <v>PEIXE</v>
          </cell>
        </row>
        <row r="27">
          <cell r="A27">
            <v>96</v>
          </cell>
          <cell r="B27" t="str">
            <v>PINDORAMA DO TOCANTINS</v>
          </cell>
          <cell r="C27" t="str">
            <v>0096</v>
          </cell>
          <cell r="D27" t="str">
            <v>PINDORAMA DO TOCANTINS</v>
          </cell>
          <cell r="E27" t="str">
            <v>0026</v>
          </cell>
          <cell r="F27" t="str">
            <v>PONTE ALTA TOCANTINS</v>
          </cell>
          <cell r="G27">
            <v>122</v>
          </cell>
          <cell r="H27" t="str">
            <v>CENTRO</v>
          </cell>
          <cell r="I27" t="str">
            <v>PINDORAMA DO TOCANTINS</v>
          </cell>
        </row>
        <row r="28">
          <cell r="A28">
            <v>109</v>
          </cell>
          <cell r="B28" t="str">
            <v>ANGICO</v>
          </cell>
          <cell r="C28" t="str">
            <v>0098</v>
          </cell>
          <cell r="D28" t="str">
            <v>ANANAS</v>
          </cell>
          <cell r="E28" t="str">
            <v>0002</v>
          </cell>
          <cell r="F28" t="str">
            <v>TOCANTINOPOLIS</v>
          </cell>
          <cell r="G28">
            <v>4</v>
          </cell>
          <cell r="H28" t="str">
            <v>NORTE</v>
          </cell>
          <cell r="I28" t="str">
            <v>ANGICO</v>
          </cell>
        </row>
        <row r="29">
          <cell r="A29">
            <v>99</v>
          </cell>
          <cell r="B29" t="str">
            <v>CENTRO DOS FERREIRAS</v>
          </cell>
          <cell r="C29" t="str">
            <v>0068</v>
          </cell>
          <cell r="D29" t="str">
            <v>BURITI DO TOCANTINS</v>
          </cell>
          <cell r="E29" t="str">
            <v>0045</v>
          </cell>
          <cell r="F29" t="str">
            <v>AUGUSTINOPOLIS</v>
          </cell>
          <cell r="G29">
            <v>4</v>
          </cell>
          <cell r="H29" t="str">
            <v>NORTE</v>
          </cell>
          <cell r="I29" t="str">
            <v>BURITI DO TOCANTINS</v>
          </cell>
        </row>
        <row r="30">
          <cell r="A30">
            <v>101</v>
          </cell>
          <cell r="B30" t="str">
            <v>PORTO ALEGRE DO TOCANTINS</v>
          </cell>
          <cell r="C30" t="str">
            <v>0091</v>
          </cell>
          <cell r="D30" t="str">
            <v>ALMAS</v>
          </cell>
          <cell r="E30" t="str">
            <v>0074</v>
          </cell>
          <cell r="F30" t="str">
            <v>DIANOPOLIS</v>
          </cell>
          <cell r="G30">
            <v>3</v>
          </cell>
          <cell r="H30" t="str">
            <v>SUL</v>
          </cell>
          <cell r="I30" t="str">
            <v>PORTO ALEGRE DO TOCANTINS</v>
          </cell>
        </row>
        <row r="31">
          <cell r="A31">
            <v>103</v>
          </cell>
          <cell r="B31" t="str">
            <v>SAO MIGUEL DO TOCANTINS</v>
          </cell>
          <cell r="C31" t="str">
            <v>0088</v>
          </cell>
          <cell r="D31" t="str">
            <v>SITIO NOVO TOCANTINS</v>
          </cell>
          <cell r="E31" t="str">
            <v>0045</v>
          </cell>
          <cell r="F31" t="str">
            <v>AUGUSTINOPOLIS</v>
          </cell>
          <cell r="G31">
            <v>4</v>
          </cell>
          <cell r="H31" t="str">
            <v>NORTE</v>
          </cell>
          <cell r="I31" t="str">
            <v>SAO MIGUEL DO TOCANTINS</v>
          </cell>
        </row>
        <row r="32">
          <cell r="A32">
            <v>104</v>
          </cell>
          <cell r="B32" t="str">
            <v>SANTA MARIA DO TOCANTINS</v>
          </cell>
          <cell r="C32" t="str">
            <v>0104</v>
          </cell>
          <cell r="D32" t="str">
            <v>SANTA MARIA DO TOCANTINS</v>
          </cell>
          <cell r="E32" t="str">
            <v>0009</v>
          </cell>
          <cell r="F32" t="str">
            <v>GUARAI</v>
          </cell>
          <cell r="G32">
            <v>4</v>
          </cell>
          <cell r="H32" t="str">
            <v>NORTE</v>
          </cell>
          <cell r="I32" t="str">
            <v>SANTA MARIA DO TOCANTINS</v>
          </cell>
        </row>
        <row r="33">
          <cell r="A33">
            <v>106</v>
          </cell>
          <cell r="B33" t="str">
            <v>MINEIROPOLIS</v>
          </cell>
          <cell r="C33" t="str">
            <v>0032</v>
          </cell>
          <cell r="D33" t="str">
            <v>ARAGUACU</v>
          </cell>
          <cell r="E33" t="str">
            <v>0036</v>
          </cell>
          <cell r="F33" t="str">
            <v>FORMOSO DO ARAGUAIA</v>
          </cell>
          <cell r="G33">
            <v>3</v>
          </cell>
          <cell r="H33" t="str">
            <v>SUL</v>
          </cell>
          <cell r="I33" t="str">
            <v>ARAGUACU</v>
          </cell>
        </row>
        <row r="34">
          <cell r="A34">
            <v>107</v>
          </cell>
          <cell r="B34" t="str">
            <v>SANDOLANDIA</v>
          </cell>
          <cell r="C34" t="str">
            <v>0107</v>
          </cell>
          <cell r="D34" t="str">
            <v>SANDOLANDIA</v>
          </cell>
          <cell r="E34" t="str">
            <v>0036</v>
          </cell>
          <cell r="F34" t="str">
            <v>FORMOSO DO ARAGUAIA</v>
          </cell>
          <cell r="G34">
            <v>3</v>
          </cell>
          <cell r="H34" t="str">
            <v>SUL</v>
          </cell>
          <cell r="I34" t="str">
            <v>SANDOLANDIA</v>
          </cell>
        </row>
        <row r="35">
          <cell r="A35">
            <v>1</v>
          </cell>
          <cell r="B35" t="str">
            <v>PORTO NACIONAL</v>
          </cell>
          <cell r="C35" t="str">
            <v>0001</v>
          </cell>
          <cell r="D35" t="str">
            <v>PORTO NACIONAL</v>
          </cell>
          <cell r="E35" t="str">
            <v>0001</v>
          </cell>
          <cell r="F35" t="str">
            <v>PORTO NACIONAL</v>
          </cell>
          <cell r="G35">
            <v>122</v>
          </cell>
          <cell r="H35" t="str">
            <v>CENTRO</v>
          </cell>
          <cell r="I35" t="str">
            <v>PORTO NACIONAL</v>
          </cell>
        </row>
        <row r="36">
          <cell r="A36">
            <v>197</v>
          </cell>
          <cell r="B36" t="str">
            <v>ARACULANDIA</v>
          </cell>
          <cell r="C36" t="str">
            <v>0004</v>
          </cell>
          <cell r="D36" t="str">
            <v>WANDERLANDIA</v>
          </cell>
          <cell r="E36" t="str">
            <v>0002</v>
          </cell>
          <cell r="F36" t="str">
            <v>TOCANTINOPOLIS</v>
          </cell>
          <cell r="G36">
            <v>4</v>
          </cell>
          <cell r="H36" t="str">
            <v>NORTE</v>
          </cell>
          <cell r="I36" t="str">
            <v>WANDERLANDIA</v>
          </cell>
        </row>
        <row r="37">
          <cell r="A37">
            <v>4</v>
          </cell>
          <cell r="B37" t="str">
            <v>ARAGUAINA</v>
          </cell>
          <cell r="C37" t="str">
            <v>0004</v>
          </cell>
          <cell r="D37" t="str">
            <v>ARAGUAINA</v>
          </cell>
          <cell r="E37" t="str">
            <v>0004</v>
          </cell>
          <cell r="F37" t="str">
            <v>ARAGUAINA</v>
          </cell>
          <cell r="G37">
            <v>4</v>
          </cell>
          <cell r="H37" t="str">
            <v>NORTE</v>
          </cell>
          <cell r="I37" t="str">
            <v>ARAGUAINA</v>
          </cell>
        </row>
        <row r="38">
          <cell r="A38">
            <v>5</v>
          </cell>
          <cell r="B38" t="str">
            <v>ARRAIAS</v>
          </cell>
          <cell r="C38" t="str">
            <v>0005</v>
          </cell>
          <cell r="D38" t="str">
            <v>ARRAIAS</v>
          </cell>
          <cell r="E38" t="str">
            <v>0074</v>
          </cell>
          <cell r="F38" t="str">
            <v>DIANOPOLIS</v>
          </cell>
          <cell r="G38">
            <v>3</v>
          </cell>
          <cell r="H38" t="str">
            <v>SUL</v>
          </cell>
          <cell r="I38" t="str">
            <v>ARRAIAS</v>
          </cell>
        </row>
        <row r="39">
          <cell r="A39">
            <v>7</v>
          </cell>
          <cell r="B39" t="str">
            <v>MIRACEMA DO TOCANTINS</v>
          </cell>
          <cell r="C39" t="str">
            <v>0007</v>
          </cell>
          <cell r="D39" t="str">
            <v>MIRACEMA DO TOCANTINS</v>
          </cell>
          <cell r="E39" t="str">
            <v>0007</v>
          </cell>
          <cell r="F39" t="str">
            <v>MIRACEMA DO TOCANTINS</v>
          </cell>
          <cell r="G39">
            <v>122</v>
          </cell>
          <cell r="H39" t="str">
            <v>CENTRO</v>
          </cell>
          <cell r="I39" t="str">
            <v>MIRACEMA DO TOCANTINS</v>
          </cell>
        </row>
        <row r="40">
          <cell r="A40">
            <v>9</v>
          </cell>
          <cell r="B40" t="str">
            <v>GUARAI</v>
          </cell>
          <cell r="C40" t="str">
            <v>0009</v>
          </cell>
          <cell r="D40" t="str">
            <v>GUARAI</v>
          </cell>
          <cell r="E40" t="str">
            <v>0009</v>
          </cell>
          <cell r="F40" t="str">
            <v>GUARAI</v>
          </cell>
          <cell r="G40">
            <v>4</v>
          </cell>
          <cell r="H40" t="str">
            <v>NORTE</v>
          </cell>
          <cell r="I40" t="str">
            <v>GUARAI</v>
          </cell>
        </row>
        <row r="41">
          <cell r="A41">
            <v>11</v>
          </cell>
          <cell r="B41" t="str">
            <v>TUPIRAMA</v>
          </cell>
          <cell r="C41" t="str">
            <v>0015</v>
          </cell>
          <cell r="D41" t="str">
            <v>PEDRO AFONSO</v>
          </cell>
          <cell r="E41" t="str">
            <v>0009</v>
          </cell>
          <cell r="F41" t="str">
            <v>GUARAI</v>
          </cell>
          <cell r="G41">
            <v>4</v>
          </cell>
          <cell r="H41" t="str">
            <v>NORTE</v>
          </cell>
          <cell r="I41" t="str">
            <v>TUPIRAMA</v>
          </cell>
        </row>
        <row r="42">
          <cell r="A42">
            <v>12</v>
          </cell>
          <cell r="B42" t="str">
            <v>CRISTALANDIA</v>
          </cell>
          <cell r="C42" t="str">
            <v>0012</v>
          </cell>
          <cell r="D42" t="str">
            <v>CRISTALANDIA</v>
          </cell>
          <cell r="E42" t="str">
            <v>0013</v>
          </cell>
          <cell r="F42" t="str">
            <v>PARAISO DO TOCANTINS</v>
          </cell>
          <cell r="G42">
            <v>122</v>
          </cell>
          <cell r="H42" t="str">
            <v>CENTRO</v>
          </cell>
          <cell r="I42" t="str">
            <v>CRISTALANDIA</v>
          </cell>
        </row>
        <row r="43">
          <cell r="A43">
            <v>13</v>
          </cell>
          <cell r="B43" t="str">
            <v>PARAISO DO TOCANTINS</v>
          </cell>
          <cell r="C43" t="str">
            <v>0013</v>
          </cell>
          <cell r="D43" t="str">
            <v>PARAISO DO TOCANTINS</v>
          </cell>
          <cell r="E43" t="str">
            <v>0013</v>
          </cell>
          <cell r="F43" t="str">
            <v>PARAISO DO TOCANTINS</v>
          </cell>
          <cell r="G43">
            <v>122</v>
          </cell>
          <cell r="H43" t="str">
            <v>CENTRO</v>
          </cell>
          <cell r="I43" t="str">
            <v>PARAISO DO TOCANTINS</v>
          </cell>
        </row>
        <row r="44">
          <cell r="A44">
            <v>15</v>
          </cell>
          <cell r="B44" t="str">
            <v>PEDRO AFONSO</v>
          </cell>
          <cell r="C44" t="str">
            <v>0015</v>
          </cell>
          <cell r="D44" t="str">
            <v>PEDRO AFONSO</v>
          </cell>
          <cell r="E44" t="str">
            <v>0009</v>
          </cell>
          <cell r="F44" t="str">
            <v>GUARAI</v>
          </cell>
          <cell r="G44">
            <v>4</v>
          </cell>
          <cell r="H44" t="str">
            <v>NORTE</v>
          </cell>
          <cell r="I44" t="str">
            <v>PEDRO AFONSO</v>
          </cell>
        </row>
        <row r="45">
          <cell r="A45">
            <v>157</v>
          </cell>
          <cell r="B45" t="str">
            <v>ARAGUANA</v>
          </cell>
          <cell r="C45" t="str">
            <v>0030</v>
          </cell>
          <cell r="D45" t="str">
            <v>XAMBIOA</v>
          </cell>
          <cell r="E45" t="str">
            <v>0002</v>
          </cell>
          <cell r="F45" t="str">
            <v>TOCANTINOPOLIS</v>
          </cell>
          <cell r="G45">
            <v>4</v>
          </cell>
          <cell r="H45" t="str">
            <v>NORTE</v>
          </cell>
          <cell r="I45" t="str">
            <v>ARAGUANA</v>
          </cell>
        </row>
        <row r="46">
          <cell r="A46">
            <v>19</v>
          </cell>
          <cell r="B46" t="str">
            <v>FILADELFIA</v>
          </cell>
          <cell r="C46" t="str">
            <v>0019</v>
          </cell>
          <cell r="D46" t="str">
            <v>FILADELFIA</v>
          </cell>
          <cell r="E46" t="str">
            <v>0004</v>
          </cell>
          <cell r="F46" t="str">
            <v>ARAGUAINA</v>
          </cell>
          <cell r="G46">
            <v>4</v>
          </cell>
          <cell r="H46" t="str">
            <v>NORTE</v>
          </cell>
          <cell r="I46" t="str">
            <v>FILADELFIA</v>
          </cell>
        </row>
        <row r="47">
          <cell r="A47">
            <v>20</v>
          </cell>
          <cell r="B47" t="str">
            <v>NOVO ALEGRE</v>
          </cell>
          <cell r="C47" t="str">
            <v>0050</v>
          </cell>
          <cell r="D47" t="str">
            <v>COMBINADO</v>
          </cell>
          <cell r="E47" t="str">
            <v>0074</v>
          </cell>
          <cell r="F47" t="str">
            <v>DIANOPOLIS</v>
          </cell>
          <cell r="G47">
            <v>3</v>
          </cell>
          <cell r="H47" t="str">
            <v>SUL</v>
          </cell>
          <cell r="I47" t="str">
            <v>NOVO ALEGRE</v>
          </cell>
        </row>
        <row r="48">
          <cell r="A48">
            <v>22</v>
          </cell>
          <cell r="B48" t="str">
            <v>BABACULANDIA</v>
          </cell>
          <cell r="C48" t="str">
            <v>0022</v>
          </cell>
          <cell r="D48" t="str">
            <v>BABACULANDIA</v>
          </cell>
          <cell r="E48" t="str">
            <v>0004</v>
          </cell>
          <cell r="F48" t="str">
            <v>ARAGUAINA</v>
          </cell>
          <cell r="G48">
            <v>4</v>
          </cell>
          <cell r="H48" t="str">
            <v>NORTE</v>
          </cell>
          <cell r="I48" t="str">
            <v>BABACULANDIA</v>
          </cell>
        </row>
        <row r="49">
          <cell r="A49">
            <v>23</v>
          </cell>
          <cell r="B49" t="str">
            <v>COLINAS DO TOCANTINS</v>
          </cell>
          <cell r="C49" t="str">
            <v>0023</v>
          </cell>
          <cell r="D49" t="str">
            <v>COLINAS DO TOCANTINS</v>
          </cell>
          <cell r="E49" t="str">
            <v>0023</v>
          </cell>
          <cell r="F49" t="str">
            <v>COLINAS DO TOCANTINS</v>
          </cell>
          <cell r="G49">
            <v>4</v>
          </cell>
          <cell r="H49" t="str">
            <v>NORTE</v>
          </cell>
          <cell r="I49" t="str">
            <v>COLINAS DO TOCANTINS</v>
          </cell>
        </row>
        <row r="50">
          <cell r="A50">
            <v>24</v>
          </cell>
          <cell r="B50" t="str">
            <v>ITAPORA DO TOCANTINS</v>
          </cell>
          <cell r="C50" t="str">
            <v>0034</v>
          </cell>
          <cell r="D50" t="str">
            <v>PRESIDENTE KENNEDY</v>
          </cell>
          <cell r="E50" t="str">
            <v>0009</v>
          </cell>
          <cell r="F50" t="str">
            <v>GUARAI</v>
          </cell>
          <cell r="G50">
            <v>4</v>
          </cell>
          <cell r="H50" t="str">
            <v>NORTE</v>
          </cell>
          <cell r="I50" t="str">
            <v>ITAPORA DO TOCANTINS</v>
          </cell>
        </row>
        <row r="51">
          <cell r="A51">
            <v>26</v>
          </cell>
          <cell r="B51" t="str">
            <v>PONTE ALTA TOCANTINS</v>
          </cell>
          <cell r="C51" t="str">
            <v>0026</v>
          </cell>
          <cell r="D51" t="str">
            <v>PONTE ALTA TOCANTINS</v>
          </cell>
          <cell r="E51" t="str">
            <v>0026</v>
          </cell>
          <cell r="F51" t="str">
            <v>PONTE ALTA TOCANTINS</v>
          </cell>
          <cell r="G51">
            <v>122</v>
          </cell>
          <cell r="H51" t="str">
            <v>CENTRO</v>
          </cell>
          <cell r="I51" t="str">
            <v>PONTE ALTA TOCANTINS</v>
          </cell>
        </row>
        <row r="52">
          <cell r="A52">
            <v>186</v>
          </cell>
          <cell r="B52" t="str">
            <v>JAU DO TOCANTINS</v>
          </cell>
          <cell r="C52" t="str">
            <v>0029</v>
          </cell>
          <cell r="D52" t="str">
            <v>JAU DO TOCANTINS</v>
          </cell>
          <cell r="E52" t="str">
            <v>0094</v>
          </cell>
          <cell r="F52" t="str">
            <v>PEIXE</v>
          </cell>
          <cell r="G52">
            <v>3</v>
          </cell>
          <cell r="H52" t="str">
            <v>SUL</v>
          </cell>
          <cell r="I52" t="str">
            <v>JAU DO TOCANTINS</v>
          </cell>
        </row>
        <row r="53">
          <cell r="A53">
            <v>167</v>
          </cell>
          <cell r="B53" t="str">
            <v>BREJINHO</v>
          </cell>
          <cell r="C53" t="str">
            <v>0002</v>
          </cell>
          <cell r="D53" t="str">
            <v>LUZINOPOLIS</v>
          </cell>
          <cell r="E53" t="str">
            <v>0002</v>
          </cell>
          <cell r="F53" t="str">
            <v>TOCANTINOPOLIS</v>
          </cell>
          <cell r="G53">
            <v>4</v>
          </cell>
          <cell r="H53" t="str">
            <v>NORTE</v>
          </cell>
          <cell r="I53" t="str">
            <v>NAZARE</v>
          </cell>
        </row>
        <row r="54">
          <cell r="A54">
            <v>31</v>
          </cell>
          <cell r="B54" t="str">
            <v>RIO DOS BOIS</v>
          </cell>
          <cell r="C54" t="str">
            <v>0008</v>
          </cell>
          <cell r="D54" t="str">
            <v>RIO DOS BOIS</v>
          </cell>
          <cell r="E54" t="str">
            <v>0007</v>
          </cell>
          <cell r="F54" t="str">
            <v>MIRACEMA DO TOCANTINS</v>
          </cell>
          <cell r="G54">
            <v>122</v>
          </cell>
          <cell r="H54" t="str">
            <v>CENTRO</v>
          </cell>
          <cell r="I54" t="str">
            <v>RIO DOS BOIS</v>
          </cell>
        </row>
        <row r="55">
          <cell r="A55">
            <v>32</v>
          </cell>
          <cell r="B55" t="str">
            <v>ARAGUACU</v>
          </cell>
          <cell r="C55" t="str">
            <v>0032</v>
          </cell>
          <cell r="D55" t="str">
            <v>ARAGUACU</v>
          </cell>
          <cell r="E55" t="str">
            <v>0036</v>
          </cell>
          <cell r="F55" t="str">
            <v>FORMOSO DO ARAGUAIA</v>
          </cell>
          <cell r="G55">
            <v>3</v>
          </cell>
          <cell r="H55" t="str">
            <v>SUL</v>
          </cell>
          <cell r="I55" t="str">
            <v>ARAGUACU</v>
          </cell>
        </row>
        <row r="56">
          <cell r="A56">
            <v>34</v>
          </cell>
          <cell r="B56" t="str">
            <v>PRESIDENTE KENNEDY</v>
          </cell>
          <cell r="C56" t="str">
            <v>0034</v>
          </cell>
          <cell r="D56" t="str">
            <v>PRESIDENTE KENNEDY</v>
          </cell>
          <cell r="E56" t="str">
            <v>0009</v>
          </cell>
          <cell r="F56" t="str">
            <v>GUARAI</v>
          </cell>
          <cell r="G56">
            <v>4</v>
          </cell>
          <cell r="H56" t="str">
            <v>NORTE</v>
          </cell>
          <cell r="I56" t="str">
            <v>PRESIDENTE KENNEDY</v>
          </cell>
        </row>
        <row r="57">
          <cell r="A57">
            <v>35</v>
          </cell>
          <cell r="B57" t="str">
            <v>MONTE DO CARMO</v>
          </cell>
          <cell r="C57" t="str">
            <v>0035</v>
          </cell>
          <cell r="D57" t="str">
            <v>MONTE DO CARMO</v>
          </cell>
          <cell r="E57" t="str">
            <v>0026</v>
          </cell>
          <cell r="F57" t="str">
            <v>PONTE ALTA TOCANTINS</v>
          </cell>
          <cell r="G57">
            <v>122</v>
          </cell>
          <cell r="H57" t="str">
            <v>CENTRO</v>
          </cell>
          <cell r="I57" t="str">
            <v>MONTE DO CARMO</v>
          </cell>
        </row>
        <row r="58">
          <cell r="A58">
            <v>37</v>
          </cell>
          <cell r="B58" t="str">
            <v>ALIANCA DO TOCANTINS</v>
          </cell>
          <cell r="C58" t="str">
            <v>0037</v>
          </cell>
          <cell r="D58" t="str">
            <v>ALIANCA DO TOCANTINS</v>
          </cell>
          <cell r="E58" t="str">
            <v>0003</v>
          </cell>
          <cell r="F58" t="str">
            <v>GURUPI</v>
          </cell>
          <cell r="G58">
            <v>3</v>
          </cell>
          <cell r="H58" t="str">
            <v>SUL</v>
          </cell>
          <cell r="I58" t="str">
            <v>ALIANCA DO TOCANTINS</v>
          </cell>
        </row>
        <row r="59">
          <cell r="A59">
            <v>39</v>
          </cell>
          <cell r="B59" t="str">
            <v>ARAGUATINS</v>
          </cell>
          <cell r="C59" t="str">
            <v>0039</v>
          </cell>
          <cell r="D59" t="str">
            <v>ARAGUATINS</v>
          </cell>
          <cell r="E59" t="str">
            <v>0045</v>
          </cell>
          <cell r="F59" t="str">
            <v>AUGUSTINOPOLIS</v>
          </cell>
          <cell r="G59">
            <v>4</v>
          </cell>
          <cell r="H59" t="str">
            <v>NORTE</v>
          </cell>
          <cell r="I59" t="str">
            <v>ARAGUATINS</v>
          </cell>
        </row>
        <row r="60">
          <cell r="A60">
            <v>40</v>
          </cell>
          <cell r="B60" t="str">
            <v>ARAGOMINAS</v>
          </cell>
          <cell r="C60" t="str">
            <v>0058</v>
          </cell>
          <cell r="D60" t="str">
            <v>SANTA FE DO ARAGUAIA</v>
          </cell>
          <cell r="E60" t="str">
            <v>0004</v>
          </cell>
          <cell r="F60" t="str">
            <v>ARAGUAINA</v>
          </cell>
          <cell r="G60">
            <v>4</v>
          </cell>
          <cell r="H60" t="str">
            <v>NORTE</v>
          </cell>
          <cell r="I60" t="str">
            <v>ARAGOMINAS</v>
          </cell>
        </row>
        <row r="61">
          <cell r="A61">
            <v>42</v>
          </cell>
          <cell r="B61" t="str">
            <v>CARIRI DO TOCANTINS</v>
          </cell>
          <cell r="C61" t="str">
            <v>0003</v>
          </cell>
          <cell r="D61" t="str">
            <v>CARIRI DO TOCANTINS</v>
          </cell>
          <cell r="E61" t="str">
            <v>0003</v>
          </cell>
          <cell r="F61" t="str">
            <v>GURUPI</v>
          </cell>
          <cell r="G61">
            <v>3</v>
          </cell>
          <cell r="H61" t="str">
            <v>SUL</v>
          </cell>
          <cell r="I61" t="str">
            <v>CARIRI DO TOCANTINS</v>
          </cell>
        </row>
        <row r="62">
          <cell r="A62">
            <v>43</v>
          </cell>
          <cell r="B62" t="str">
            <v>SILVANOPOLIS</v>
          </cell>
          <cell r="C62" t="str">
            <v>0043</v>
          </cell>
          <cell r="D62" t="str">
            <v>SILVANOPOLIS</v>
          </cell>
          <cell r="E62" t="str">
            <v>0001</v>
          </cell>
          <cell r="F62" t="str">
            <v>PORTO NACIONAL</v>
          </cell>
          <cell r="G62">
            <v>122</v>
          </cell>
          <cell r="H62" t="str">
            <v>CENTRO</v>
          </cell>
          <cell r="I62" t="str">
            <v>SILVANOPOLIS</v>
          </cell>
        </row>
        <row r="63">
          <cell r="A63">
            <v>45</v>
          </cell>
          <cell r="B63" t="str">
            <v>AUGUSTINOPOLIS</v>
          </cell>
          <cell r="C63" t="str">
            <v>0045</v>
          </cell>
          <cell r="D63" t="str">
            <v>AUGUSTINOPOLIS</v>
          </cell>
          <cell r="E63" t="str">
            <v>0045</v>
          </cell>
          <cell r="F63" t="str">
            <v>AUGUSTINOPOLIS</v>
          </cell>
          <cell r="G63">
            <v>4</v>
          </cell>
          <cell r="H63" t="str">
            <v>NORTE</v>
          </cell>
          <cell r="I63" t="str">
            <v>AUGUSTINOPOLIS</v>
          </cell>
        </row>
        <row r="64">
          <cell r="A64">
            <v>46</v>
          </cell>
          <cell r="B64" t="str">
            <v>NOVA ROSALANDIA</v>
          </cell>
          <cell r="C64" t="str">
            <v>0046</v>
          </cell>
          <cell r="D64" t="str">
            <v>NOVA ROSALANDIA</v>
          </cell>
          <cell r="E64" t="str">
            <v>0013</v>
          </cell>
          <cell r="F64" t="str">
            <v>PARAISO DO TOCANTINS</v>
          </cell>
          <cell r="G64">
            <v>122</v>
          </cell>
          <cell r="H64" t="str">
            <v>CENTRO</v>
          </cell>
          <cell r="I64" t="str">
            <v>NOVA ROSALANDIA</v>
          </cell>
        </row>
        <row r="65">
          <cell r="A65">
            <v>48</v>
          </cell>
          <cell r="B65" t="str">
            <v>FORTALEZA DO TABOCAO</v>
          </cell>
          <cell r="C65" t="str">
            <v>0009</v>
          </cell>
          <cell r="D65" t="str">
            <v>FORTALEZA DO TABOCAO</v>
          </cell>
          <cell r="E65" t="str">
            <v>0009</v>
          </cell>
          <cell r="F65" t="str">
            <v>GUARAI</v>
          </cell>
          <cell r="G65">
            <v>4</v>
          </cell>
          <cell r="H65" t="str">
            <v>NORTE</v>
          </cell>
          <cell r="I65" t="str">
            <v>FORTALEZA DO TABOCAO</v>
          </cell>
        </row>
        <row r="66">
          <cell r="A66">
            <v>49</v>
          </cell>
          <cell r="B66" t="str">
            <v>AURORA DO TOCANTINS</v>
          </cell>
          <cell r="C66" t="str">
            <v>0050</v>
          </cell>
          <cell r="D66" t="str">
            <v>COMBINADO</v>
          </cell>
          <cell r="E66" t="str">
            <v>0074</v>
          </cell>
          <cell r="F66" t="str">
            <v>DIANOPOLIS</v>
          </cell>
          <cell r="G66">
            <v>3</v>
          </cell>
          <cell r="H66" t="str">
            <v>SUL</v>
          </cell>
          <cell r="I66" t="str">
            <v>AURORA DO TOCANTINS</v>
          </cell>
        </row>
        <row r="67">
          <cell r="A67">
            <v>51</v>
          </cell>
          <cell r="B67" t="str">
            <v>LAVANDEIRA</v>
          </cell>
          <cell r="C67" t="str">
            <v>0050</v>
          </cell>
          <cell r="D67" t="str">
            <v>COMBINADO</v>
          </cell>
          <cell r="E67" t="str">
            <v>0074</v>
          </cell>
          <cell r="F67" t="str">
            <v>DIANOPOLIS</v>
          </cell>
          <cell r="G67">
            <v>3</v>
          </cell>
          <cell r="H67" t="str">
            <v>SUL</v>
          </cell>
          <cell r="I67" t="str">
            <v>LAVANDEIRA</v>
          </cell>
        </row>
        <row r="68">
          <cell r="A68">
            <v>52</v>
          </cell>
          <cell r="B68" t="str">
            <v>FORMOSO DO ARAGUAIA</v>
          </cell>
          <cell r="C68" t="str">
            <v>0052</v>
          </cell>
          <cell r="D68" t="str">
            <v>FORMOSO DO ARAGUAIA</v>
          </cell>
          <cell r="E68" t="str">
            <v>0036</v>
          </cell>
          <cell r="F68" t="str">
            <v>FORMOSO DO ARAGUAIA</v>
          </cell>
          <cell r="G68">
            <v>3</v>
          </cell>
          <cell r="H68" t="str">
            <v>SUL</v>
          </cell>
          <cell r="I68" t="str">
            <v>FORMOSO DO ARAGUAIA</v>
          </cell>
        </row>
        <row r="69">
          <cell r="A69">
            <v>54</v>
          </cell>
          <cell r="B69" t="str">
            <v>PUGMIL</v>
          </cell>
          <cell r="C69" t="str">
            <v>0046</v>
          </cell>
          <cell r="D69" t="str">
            <v>PARAISO DO TOCANTINS</v>
          </cell>
          <cell r="E69" t="str">
            <v>0013</v>
          </cell>
          <cell r="F69" t="str">
            <v>PARAISO DO TOCANTINS</v>
          </cell>
          <cell r="G69">
            <v>122</v>
          </cell>
          <cell r="H69" t="str">
            <v>CENTRO</v>
          </cell>
          <cell r="I69" t="str">
            <v>PUGMIL</v>
          </cell>
        </row>
        <row r="70">
          <cell r="A70">
            <v>56</v>
          </cell>
          <cell r="B70" t="str">
            <v>CARMOLANDIA</v>
          </cell>
          <cell r="C70" t="str">
            <v>0004</v>
          </cell>
          <cell r="D70" t="str">
            <v>ARAGUAINA</v>
          </cell>
          <cell r="E70" t="str">
            <v>0004</v>
          </cell>
          <cell r="F70" t="str">
            <v>ARAGUAINA</v>
          </cell>
          <cell r="G70">
            <v>4</v>
          </cell>
          <cell r="H70" t="str">
            <v>NORTE</v>
          </cell>
          <cell r="I70" t="str">
            <v>CARMOLANDIA</v>
          </cell>
        </row>
        <row r="71">
          <cell r="A71">
            <v>57</v>
          </cell>
          <cell r="B71" t="str">
            <v>NOVO HORIZONTE</v>
          </cell>
          <cell r="C71" t="str">
            <v>0004</v>
          </cell>
          <cell r="D71" t="str">
            <v>ARAGUAINA</v>
          </cell>
          <cell r="E71" t="str">
            <v>0004</v>
          </cell>
          <cell r="F71" t="str">
            <v>ARAGUAINA</v>
          </cell>
          <cell r="G71">
            <v>4</v>
          </cell>
          <cell r="H71" t="str">
            <v>NORTE</v>
          </cell>
          <cell r="I71" t="str">
            <v>ARAGUAINA</v>
          </cell>
        </row>
        <row r="72">
          <cell r="A72">
            <v>58</v>
          </cell>
          <cell r="B72" t="str">
            <v>SANTA FE DO ARAGUAIA</v>
          </cell>
          <cell r="C72" t="str">
            <v>0058</v>
          </cell>
          <cell r="D72" t="str">
            <v>SANTA FE DO ARAGUAIA</v>
          </cell>
          <cell r="E72" t="str">
            <v>0004</v>
          </cell>
          <cell r="F72" t="str">
            <v>ARAGUAINA</v>
          </cell>
          <cell r="G72">
            <v>4</v>
          </cell>
          <cell r="H72" t="str">
            <v>NORTE</v>
          </cell>
          <cell r="I72" t="str">
            <v>SANTA FE DO ARAGUAIA</v>
          </cell>
        </row>
        <row r="73">
          <cell r="A73">
            <v>60</v>
          </cell>
          <cell r="B73" t="str">
            <v>NOVA OLINDA</v>
          </cell>
          <cell r="C73" t="str">
            <v>0060</v>
          </cell>
          <cell r="D73" t="str">
            <v>NOVA OLINDA</v>
          </cell>
          <cell r="E73" t="str">
            <v>0023</v>
          </cell>
          <cell r="F73" t="str">
            <v>COLINAS DO TOCANTINS</v>
          </cell>
          <cell r="G73">
            <v>4</v>
          </cell>
          <cell r="H73" t="str">
            <v>NORTE</v>
          </cell>
          <cell r="I73" t="str">
            <v>NOVA OLINDA</v>
          </cell>
        </row>
        <row r="74">
          <cell r="A74">
            <v>62</v>
          </cell>
          <cell r="B74" t="str">
            <v>BRASILENE</v>
          </cell>
          <cell r="C74" t="str">
            <v>0060</v>
          </cell>
          <cell r="D74" t="str">
            <v>NOVA OLINDA</v>
          </cell>
          <cell r="E74" t="str">
            <v>0023</v>
          </cell>
          <cell r="F74" t="str">
            <v>COLINAS DO TOCANTINS</v>
          </cell>
          <cell r="G74">
            <v>4</v>
          </cell>
          <cell r="H74" t="str">
            <v>NORTE</v>
          </cell>
          <cell r="I74" t="str">
            <v>BANDEIRANTES DO TOCANTINS</v>
          </cell>
        </row>
        <row r="75">
          <cell r="A75">
            <v>64</v>
          </cell>
          <cell r="B75" t="str">
            <v>BRASILANDIA DO TOCANTINS</v>
          </cell>
          <cell r="C75" t="str">
            <v>0034</v>
          </cell>
          <cell r="D75" t="str">
            <v>PRESIDENTE KENNEDY</v>
          </cell>
          <cell r="E75" t="str">
            <v>0009</v>
          </cell>
          <cell r="F75" t="str">
            <v>GUARAI</v>
          </cell>
          <cell r="G75">
            <v>4</v>
          </cell>
          <cell r="H75" t="str">
            <v>NORTE</v>
          </cell>
          <cell r="I75" t="str">
            <v>BRASILANDIA DO TOCANTINS</v>
          </cell>
        </row>
        <row r="76">
          <cell r="A76">
            <v>65</v>
          </cell>
          <cell r="B76" t="str">
            <v>AXIXA DO TOCANTINS</v>
          </cell>
          <cell r="C76" t="str">
            <v>0065</v>
          </cell>
          <cell r="D76" t="str">
            <v>AXIXA DO TOCANTINS</v>
          </cell>
          <cell r="E76" t="str">
            <v>0045</v>
          </cell>
          <cell r="F76" t="str">
            <v>AUGUSTINOPOLIS</v>
          </cell>
          <cell r="G76">
            <v>4</v>
          </cell>
          <cell r="H76" t="str">
            <v>NORTE</v>
          </cell>
          <cell r="I76" t="str">
            <v>AXIXA DO TOCANTINS</v>
          </cell>
        </row>
        <row r="77">
          <cell r="A77">
            <v>240</v>
          </cell>
          <cell r="B77" t="str">
            <v>BURITIRANA</v>
          </cell>
          <cell r="C77" t="str">
            <v>0151</v>
          </cell>
          <cell r="D77" t="str">
            <v>LUZINOPOLIS</v>
          </cell>
          <cell r="E77" t="str">
            <v>0002</v>
          </cell>
          <cell r="F77" t="str">
            <v>TAQUARALTO</v>
          </cell>
          <cell r="G77">
            <v>122</v>
          </cell>
          <cell r="H77" t="str">
            <v>CENTRO</v>
          </cell>
          <cell r="I77" t="str">
            <v>PALMAS</v>
          </cell>
        </row>
        <row r="78">
          <cell r="A78">
            <v>222</v>
          </cell>
          <cell r="B78" t="str">
            <v>LAGOA SAO SALVADOR</v>
          </cell>
          <cell r="C78" t="str">
            <v>0065</v>
          </cell>
          <cell r="D78" t="str">
            <v>AXIXA DO TOCANTINS</v>
          </cell>
          <cell r="E78" t="str">
            <v>0045</v>
          </cell>
          <cell r="F78" t="str">
            <v>AUGUSTINOPOLIS</v>
          </cell>
          <cell r="G78">
            <v>4</v>
          </cell>
          <cell r="H78" t="str">
            <v>NORTE</v>
          </cell>
          <cell r="I78" t="str">
            <v>AXIXA DO TOCANTINS</v>
          </cell>
        </row>
        <row r="79">
          <cell r="A79">
            <v>231</v>
          </cell>
          <cell r="B79" t="str">
            <v>FRANCOESA</v>
          </cell>
          <cell r="C79" t="str">
            <v>0088</v>
          </cell>
          <cell r="D79" t="str">
            <v>SITIO NOVO TOCANTINS</v>
          </cell>
          <cell r="E79" t="str">
            <v>0045</v>
          </cell>
          <cell r="F79" t="str">
            <v>AUGUSTINOPOLIS</v>
          </cell>
          <cell r="G79">
            <v>4</v>
          </cell>
          <cell r="H79" t="str">
            <v>NORTE</v>
          </cell>
          <cell r="I79" t="str">
            <v>SITIO NOVO DO TOCANTINS</v>
          </cell>
        </row>
        <row r="80">
          <cell r="A80">
            <v>252</v>
          </cell>
          <cell r="B80" t="str">
            <v>NOVO HORIZONTE DO TOCANTINS I</v>
          </cell>
          <cell r="C80" t="str">
            <v>0083</v>
          </cell>
          <cell r="D80" t="str">
            <v>APARECIDA DO RIO NEGRO</v>
          </cell>
          <cell r="E80" t="str">
            <v>0059</v>
          </cell>
          <cell r="F80" t="str">
            <v>TAQUARALTO</v>
          </cell>
          <cell r="G80">
            <v>122</v>
          </cell>
          <cell r="H80" t="str">
            <v>CENTRO</v>
          </cell>
          <cell r="I80" t="str">
            <v>RIO SONO</v>
          </cell>
        </row>
        <row r="81">
          <cell r="A81">
            <v>29</v>
          </cell>
          <cell r="B81" t="str">
            <v>PALMEIROPOLIS</v>
          </cell>
          <cell r="C81" t="str">
            <v>0029</v>
          </cell>
          <cell r="D81" t="str">
            <v>PALMEIROPOLIS</v>
          </cell>
          <cell r="E81" t="str">
            <v>0094</v>
          </cell>
          <cell r="F81" t="str">
            <v>PEIXE</v>
          </cell>
          <cell r="G81">
            <v>3</v>
          </cell>
          <cell r="H81" t="str">
            <v>SUL</v>
          </cell>
          <cell r="I81" t="str">
            <v>PALMEIROPOLIS</v>
          </cell>
        </row>
        <row r="82">
          <cell r="A82">
            <v>267</v>
          </cell>
          <cell r="B82" t="str">
            <v>VILA UNIAO-TALISMA</v>
          </cell>
          <cell r="C82" t="str">
            <v>0036</v>
          </cell>
          <cell r="D82" t="str">
            <v>ALVORADA</v>
          </cell>
          <cell r="E82" t="str">
            <v>0036</v>
          </cell>
          <cell r="F82" t="str">
            <v>FORMOSO DO ARAGUAIA</v>
          </cell>
          <cell r="G82">
            <v>3</v>
          </cell>
          <cell r="H82" t="str">
            <v>SUL</v>
          </cell>
          <cell r="I82" t="str">
            <v>TALISMA</v>
          </cell>
        </row>
        <row r="83">
          <cell r="A83">
            <v>258</v>
          </cell>
          <cell r="B83" t="str">
            <v>RETIRO</v>
          </cell>
          <cell r="C83" t="str">
            <v>0029</v>
          </cell>
          <cell r="D83" t="str">
            <v>PALMEIROPOLIS</v>
          </cell>
          <cell r="E83" t="str">
            <v>0094</v>
          </cell>
          <cell r="F83" t="str">
            <v>PEIXE</v>
          </cell>
          <cell r="G83">
            <v>3</v>
          </cell>
          <cell r="H83" t="str">
            <v>SUL</v>
          </cell>
          <cell r="I83" t="str">
            <v>SAO SALVADOR DO TOCANTINS</v>
          </cell>
        </row>
        <row r="84">
          <cell r="A84">
            <v>102</v>
          </cell>
          <cell r="B84" t="str">
            <v>SOBRADINHO</v>
          </cell>
          <cell r="C84" t="str">
            <v>0091</v>
          </cell>
          <cell r="D84" t="str">
            <v>ALMAS</v>
          </cell>
          <cell r="E84" t="str">
            <v>0074</v>
          </cell>
          <cell r="F84" t="str">
            <v>DIANOPOLIS</v>
          </cell>
          <cell r="G84">
            <v>3</v>
          </cell>
          <cell r="H84" t="str">
            <v>SUL</v>
          </cell>
          <cell r="I84" t="str">
            <v>ALMAS</v>
          </cell>
        </row>
        <row r="85">
          <cell r="A85">
            <v>55</v>
          </cell>
          <cell r="B85" t="str">
            <v>ARAGUACEMA</v>
          </cell>
          <cell r="C85" t="str">
            <v>0055</v>
          </cell>
          <cell r="D85" t="str">
            <v>ARAGUACEMA</v>
          </cell>
          <cell r="E85" t="str">
            <v>0084</v>
          </cell>
          <cell r="F85" t="str">
            <v>DIVINOPOLIS</v>
          </cell>
          <cell r="G85">
            <v>122</v>
          </cell>
          <cell r="H85" t="str">
            <v>CENTRO</v>
          </cell>
          <cell r="I85" t="str">
            <v>ARAGUACEMA</v>
          </cell>
        </row>
        <row r="86">
          <cell r="A86">
            <v>59</v>
          </cell>
          <cell r="B86" t="str">
            <v>TAQUARALTO</v>
          </cell>
          <cell r="C86" t="str">
            <v>0059</v>
          </cell>
          <cell r="D86" t="str">
            <v>TAQUARALTO</v>
          </cell>
          <cell r="E86" t="str">
            <v>0059</v>
          </cell>
          <cell r="F86" t="str">
            <v>TAQUARALTO</v>
          </cell>
          <cell r="G86">
            <v>122</v>
          </cell>
          <cell r="H86" t="str">
            <v>CENTRO</v>
          </cell>
          <cell r="I86" t="str">
            <v>PALMAS</v>
          </cell>
        </row>
        <row r="87">
          <cell r="A87">
            <v>61</v>
          </cell>
          <cell r="B87" t="str">
            <v>TRANSARAGUAIA</v>
          </cell>
          <cell r="C87" t="str">
            <v>0039</v>
          </cell>
          <cell r="D87" t="str">
            <v>ARAGUATINS</v>
          </cell>
          <cell r="E87" t="str">
            <v>0045</v>
          </cell>
          <cell r="F87" t="str">
            <v>AUGUSTINOPOLIS</v>
          </cell>
          <cell r="G87">
            <v>4</v>
          </cell>
          <cell r="H87" t="str">
            <v>NORTE</v>
          </cell>
          <cell r="I87" t="str">
            <v>ARAGUATINS</v>
          </cell>
        </row>
        <row r="88">
          <cell r="A88">
            <v>117</v>
          </cell>
          <cell r="B88" t="str">
            <v>MORADA NOVA</v>
          </cell>
          <cell r="C88" t="str">
            <v>0065</v>
          </cell>
          <cell r="D88" t="str">
            <v>AXIXA DO TOCANTINS</v>
          </cell>
          <cell r="E88" t="str">
            <v>0045</v>
          </cell>
          <cell r="F88" t="str">
            <v>AUGUSTINOPOLIS</v>
          </cell>
          <cell r="G88">
            <v>4</v>
          </cell>
          <cell r="H88" t="str">
            <v>NORTE</v>
          </cell>
          <cell r="I88" t="str">
            <v>AXIXA DO TOCANTINS</v>
          </cell>
        </row>
        <row r="89">
          <cell r="A89">
            <v>156</v>
          </cell>
          <cell r="B89" t="str">
            <v>CACHOEIRINHA</v>
          </cell>
          <cell r="C89" t="str">
            <v>0171</v>
          </cell>
          <cell r="D89" t="str">
            <v>LUZINOPOLIS</v>
          </cell>
          <cell r="E89" t="str">
            <v>0002</v>
          </cell>
          <cell r="F89" t="str">
            <v>TOCANTINOPOLIS</v>
          </cell>
          <cell r="G89">
            <v>4</v>
          </cell>
          <cell r="H89" t="str">
            <v>NORTE</v>
          </cell>
          <cell r="I89" t="str">
            <v>CACHOEIRINHA</v>
          </cell>
        </row>
        <row r="90">
          <cell r="A90">
            <v>66</v>
          </cell>
          <cell r="B90" t="str">
            <v>TUPIRATINS</v>
          </cell>
          <cell r="C90" t="str">
            <v>0079</v>
          </cell>
          <cell r="D90" t="str">
            <v>PRESIDENTE KENNEDY</v>
          </cell>
          <cell r="E90" t="str">
            <v>0009</v>
          </cell>
          <cell r="F90" t="str">
            <v>GUARAI</v>
          </cell>
          <cell r="G90">
            <v>4</v>
          </cell>
          <cell r="H90" t="str">
            <v>NORTE</v>
          </cell>
          <cell r="I90" t="str">
            <v>TUPIRATINS</v>
          </cell>
        </row>
        <row r="91">
          <cell r="A91">
            <v>80</v>
          </cell>
          <cell r="B91" t="str">
            <v>DARCINOPOLIS</v>
          </cell>
          <cell r="C91" t="str">
            <v>0080</v>
          </cell>
          <cell r="D91" t="str">
            <v>DARCINOPOLIS</v>
          </cell>
          <cell r="E91" t="str">
            <v>0002</v>
          </cell>
          <cell r="F91" t="str">
            <v>TOCANTINOPOLIS</v>
          </cell>
          <cell r="G91">
            <v>4</v>
          </cell>
          <cell r="H91" t="str">
            <v>NORTE</v>
          </cell>
          <cell r="I91" t="str">
            <v>DARCINOPOLIS</v>
          </cell>
        </row>
        <row r="92">
          <cell r="A92">
            <v>67</v>
          </cell>
          <cell r="B92" t="str">
            <v>TUPIRATA</v>
          </cell>
          <cell r="C92" t="str">
            <v>0023</v>
          </cell>
          <cell r="D92" t="str">
            <v>COLINAS DO TOCANTINS</v>
          </cell>
          <cell r="E92" t="str">
            <v>0023</v>
          </cell>
          <cell r="F92" t="str">
            <v>COLINAS DO TOCANTINS</v>
          </cell>
          <cell r="G92">
            <v>4</v>
          </cell>
          <cell r="H92" t="str">
            <v>NORTE</v>
          </cell>
          <cell r="I92" t="str">
            <v>BRASILANDIA DO TOCANTINS</v>
          </cell>
        </row>
        <row r="93">
          <cell r="A93">
            <v>70</v>
          </cell>
          <cell r="B93" t="str">
            <v>RIO SONO</v>
          </cell>
          <cell r="C93" t="str">
            <v>0070</v>
          </cell>
          <cell r="D93" t="str">
            <v>RIO SONO</v>
          </cell>
          <cell r="E93" t="str">
            <v>0059</v>
          </cell>
          <cell r="F93" t="str">
            <v>TAQUARALTO</v>
          </cell>
          <cell r="G93">
            <v>122</v>
          </cell>
          <cell r="H93" t="str">
            <v>CENTRO</v>
          </cell>
          <cell r="I93" t="str">
            <v>RIO SONO</v>
          </cell>
        </row>
        <row r="94">
          <cell r="A94">
            <v>74</v>
          </cell>
          <cell r="B94" t="str">
            <v>DIANOPOLIS</v>
          </cell>
          <cell r="C94" t="str">
            <v>0074</v>
          </cell>
          <cell r="D94" t="str">
            <v>DIANOPOLIS</v>
          </cell>
          <cell r="E94" t="str">
            <v>0074</v>
          </cell>
          <cell r="F94" t="str">
            <v>DIANOPOLIS</v>
          </cell>
          <cell r="G94">
            <v>3</v>
          </cell>
          <cell r="H94" t="str">
            <v>SUL</v>
          </cell>
          <cell r="I94" t="str">
            <v>DIANOPOLIS</v>
          </cell>
        </row>
        <row r="95">
          <cell r="A95">
            <v>178</v>
          </cell>
          <cell r="B95" t="str">
            <v>CENTRO JOSE ESTEVES</v>
          </cell>
          <cell r="C95" t="str">
            <v>0068</v>
          </cell>
          <cell r="D95" t="str">
            <v>BURITI DO TOCANTINS</v>
          </cell>
          <cell r="E95" t="str">
            <v>0045</v>
          </cell>
          <cell r="F95" t="str">
            <v>AUGUSTINOPOLIS</v>
          </cell>
          <cell r="G95">
            <v>4</v>
          </cell>
          <cell r="H95" t="str">
            <v>NORTE</v>
          </cell>
          <cell r="I95" t="str">
            <v>SAO SEBASTIAO DO TOCANTINS</v>
          </cell>
        </row>
        <row r="96">
          <cell r="A96">
            <v>76</v>
          </cell>
          <cell r="B96" t="str">
            <v>DUERE</v>
          </cell>
          <cell r="C96" t="str">
            <v>0076</v>
          </cell>
          <cell r="D96" t="str">
            <v>DUERE</v>
          </cell>
          <cell r="E96" t="str">
            <v>0003</v>
          </cell>
          <cell r="F96" t="str">
            <v>GURUPI</v>
          </cell>
          <cell r="G96">
            <v>3</v>
          </cell>
          <cell r="H96" t="str">
            <v>SUL</v>
          </cell>
          <cell r="I96" t="str">
            <v>DUERE</v>
          </cell>
        </row>
        <row r="97">
          <cell r="A97">
            <v>184</v>
          </cell>
          <cell r="B97" t="str">
            <v>FLORESTA</v>
          </cell>
          <cell r="C97" t="str">
            <v>0004</v>
          </cell>
          <cell r="D97" t="str">
            <v>WANDERLANDIA</v>
          </cell>
          <cell r="E97" t="str">
            <v>0002</v>
          </cell>
          <cell r="F97" t="str">
            <v>TOCANTINOPOLIS</v>
          </cell>
          <cell r="G97">
            <v>4</v>
          </cell>
          <cell r="H97" t="str">
            <v>NORTE</v>
          </cell>
          <cell r="I97" t="str">
            <v>WANDERLANDIA</v>
          </cell>
        </row>
        <row r="98">
          <cell r="A98">
            <v>238</v>
          </cell>
          <cell r="B98" t="str">
            <v>POVOADO SAO FRANCISCO</v>
          </cell>
          <cell r="C98" t="str">
            <v>0088</v>
          </cell>
          <cell r="D98" t="str">
            <v>SITIO NOVO TOCANTINS</v>
          </cell>
          <cell r="E98" t="str">
            <v>0045</v>
          </cell>
          <cell r="F98" t="str">
            <v>AUGUSTINOPOLIS</v>
          </cell>
          <cell r="G98">
            <v>4</v>
          </cell>
          <cell r="H98" t="str">
            <v>NORTE</v>
          </cell>
          <cell r="I98" t="str">
            <v>SAO MIGUEL DO TOCANTINS</v>
          </cell>
        </row>
        <row r="99">
          <cell r="A99">
            <v>185</v>
          </cell>
          <cell r="B99" t="str">
            <v>MARTINOPOLIS</v>
          </cell>
          <cell r="C99" t="str">
            <v>0023</v>
          </cell>
          <cell r="D99" t="str">
            <v>COLINAS DO TOCANTINS</v>
          </cell>
          <cell r="E99" t="str">
            <v>0023</v>
          </cell>
          <cell r="F99" t="str">
            <v>COLINAS DO TOCANTINS</v>
          </cell>
          <cell r="G99">
            <v>4</v>
          </cell>
          <cell r="H99" t="str">
            <v>NORTE</v>
          </cell>
          <cell r="I99" t="str">
            <v>COLINAS DO TOCANTINS</v>
          </cell>
        </row>
        <row r="100">
          <cell r="A100">
            <v>242</v>
          </cell>
          <cell r="B100" t="str">
            <v>LAGOA DA PEDRA</v>
          </cell>
          <cell r="C100" t="str">
            <v>0005</v>
          </cell>
          <cell r="D100" t="str">
            <v>ARRAIAS</v>
          </cell>
          <cell r="E100" t="str">
            <v>0074</v>
          </cell>
          <cell r="F100" t="str">
            <v>DIANOPOLIS</v>
          </cell>
          <cell r="G100">
            <v>3</v>
          </cell>
          <cell r="H100" t="str">
            <v>SUL</v>
          </cell>
          <cell r="I100" t="str">
            <v>ARRAIAS</v>
          </cell>
        </row>
        <row r="101">
          <cell r="A101">
            <v>191</v>
          </cell>
          <cell r="B101" t="str">
            <v>NOVO PLANO</v>
          </cell>
          <cell r="C101" t="str">
            <v>0113</v>
          </cell>
          <cell r="D101" t="str">
            <v>COUTO MAGALHAES</v>
          </cell>
          <cell r="E101" t="str">
            <v>0009</v>
          </cell>
          <cell r="F101" t="str">
            <v>GUARAI</v>
          </cell>
          <cell r="G101">
            <v>4</v>
          </cell>
          <cell r="H101" t="str">
            <v>NORTE</v>
          </cell>
          <cell r="I101" t="str">
            <v>COUTO MAGALHAES</v>
          </cell>
        </row>
        <row r="102">
          <cell r="A102">
            <v>169</v>
          </cell>
          <cell r="B102" t="str">
            <v>FOLHA GROSSA</v>
          </cell>
          <cell r="C102" t="str">
            <v>0002</v>
          </cell>
          <cell r="D102" t="str">
            <v>TOCANTINOPOLIS</v>
          </cell>
          <cell r="E102" t="str">
            <v>0002</v>
          </cell>
          <cell r="F102" t="str">
            <v>TOCANTINOPOLIS</v>
          </cell>
          <cell r="G102">
            <v>4</v>
          </cell>
          <cell r="H102" t="str">
            <v>NORTE</v>
          </cell>
          <cell r="I102" t="str">
            <v>TOCANTINOPOLIS</v>
          </cell>
        </row>
        <row r="103">
          <cell r="A103">
            <v>179</v>
          </cell>
          <cell r="B103" t="str">
            <v>GROTAO</v>
          </cell>
          <cell r="C103" t="str">
            <v>0002</v>
          </cell>
          <cell r="D103" t="str">
            <v>TOCANTINOPOLIS</v>
          </cell>
          <cell r="E103" t="str">
            <v>0002</v>
          </cell>
          <cell r="F103" t="str">
            <v>TOCANTINOPOLIS</v>
          </cell>
          <cell r="G103">
            <v>4</v>
          </cell>
          <cell r="H103" t="str">
            <v>NORTE</v>
          </cell>
          <cell r="I103" t="str">
            <v>NAZARE</v>
          </cell>
        </row>
        <row r="104">
          <cell r="A104">
            <v>3</v>
          </cell>
          <cell r="B104" t="str">
            <v>GURUPI</v>
          </cell>
          <cell r="C104" t="str">
            <v>0003</v>
          </cell>
          <cell r="D104" t="str">
            <v>GURUPI</v>
          </cell>
          <cell r="E104" t="str">
            <v>0003</v>
          </cell>
          <cell r="F104" t="str">
            <v>GURUPI</v>
          </cell>
          <cell r="G104">
            <v>3</v>
          </cell>
          <cell r="H104" t="str">
            <v>SUL</v>
          </cell>
          <cell r="I104" t="str">
            <v>GURUPI</v>
          </cell>
        </row>
        <row r="105">
          <cell r="A105">
            <v>122</v>
          </cell>
          <cell r="B105" t="str">
            <v>PALMAS</v>
          </cell>
          <cell r="C105" t="str">
            <v>0122</v>
          </cell>
          <cell r="D105" t="str">
            <v>PALMAS</v>
          </cell>
          <cell r="E105" t="str">
            <v>0122</v>
          </cell>
          <cell r="F105" t="str">
            <v>PALMAS</v>
          </cell>
          <cell r="G105">
            <v>122</v>
          </cell>
          <cell r="H105" t="str">
            <v>CENTRO</v>
          </cell>
          <cell r="I105" t="str">
            <v>PALMAS</v>
          </cell>
        </row>
        <row r="106">
          <cell r="A106">
            <v>265</v>
          </cell>
          <cell r="B106" t="str">
            <v>BARRA DO OURO</v>
          </cell>
          <cell r="C106" t="str">
            <v>0077</v>
          </cell>
          <cell r="D106" t="str">
            <v>BARRA DO OURO</v>
          </cell>
          <cell r="E106" t="str">
            <v>0004</v>
          </cell>
          <cell r="F106" t="str">
            <v>ARAGUAINA</v>
          </cell>
          <cell r="G106">
            <v>4</v>
          </cell>
          <cell r="H106" t="str">
            <v>NORTE</v>
          </cell>
          <cell r="I106" t="str">
            <v>BARRA DO OURO</v>
          </cell>
        </row>
        <row r="107">
          <cell r="A107">
            <v>268</v>
          </cell>
          <cell r="B107" t="str">
            <v>MIMOSA DOS MOREIRA</v>
          </cell>
          <cell r="C107" t="str">
            <v>0038</v>
          </cell>
          <cell r="D107" t="str">
            <v>TAGUATINGA</v>
          </cell>
          <cell r="E107" t="str">
            <v>0074</v>
          </cell>
          <cell r="F107" t="str">
            <v>DIANOPOLIS</v>
          </cell>
          <cell r="G107">
            <v>3</v>
          </cell>
          <cell r="H107" t="str">
            <v>SUL</v>
          </cell>
          <cell r="I107" t="str">
            <v>TAGUATINGA</v>
          </cell>
        </row>
        <row r="108">
          <cell r="A108">
            <v>269</v>
          </cell>
          <cell r="B108" t="str">
            <v>MORRO SAO JOAO</v>
          </cell>
          <cell r="C108" t="str">
            <v>0152</v>
          </cell>
          <cell r="D108" t="str">
            <v>SANTA ROSA DO TOCANTINS</v>
          </cell>
          <cell r="E108" t="str">
            <v>0001</v>
          </cell>
          <cell r="F108" t="str">
            <v>PORTO NACIONAL</v>
          </cell>
          <cell r="G108">
            <v>122</v>
          </cell>
          <cell r="H108" t="str">
            <v>CENTRO</v>
          </cell>
          <cell r="I108" t="str">
            <v>SANTA ROSA DO TOCANTINS</v>
          </cell>
        </row>
        <row r="109">
          <cell r="A109">
            <v>271</v>
          </cell>
          <cell r="B109" t="str">
            <v>VILA LUZIMANGUES</v>
          </cell>
          <cell r="C109" t="str">
            <v>0271</v>
          </cell>
          <cell r="D109" t="str">
            <v>VILA LUZIMANGUES</v>
          </cell>
          <cell r="E109" t="str">
            <v>0122</v>
          </cell>
          <cell r="F109" t="str">
            <v>PALMAS</v>
          </cell>
          <cell r="G109">
            <v>122</v>
          </cell>
          <cell r="H109" t="str">
            <v>CENTRO</v>
          </cell>
          <cell r="I109" t="str">
            <v>PORTO NACIONAL</v>
          </cell>
        </row>
        <row r="110">
          <cell r="A110">
            <v>272</v>
          </cell>
          <cell r="B110" t="str">
            <v>VINTE MIL - AUGUSTINOPOLIS</v>
          </cell>
          <cell r="C110" t="str">
            <v>0045</v>
          </cell>
          <cell r="D110" t="str">
            <v>AUGUSTINOPOLIS</v>
          </cell>
          <cell r="E110" t="str">
            <v>0045</v>
          </cell>
          <cell r="F110" t="str">
            <v>AUGUSTINOPOLIS</v>
          </cell>
          <cell r="G110">
            <v>4</v>
          </cell>
          <cell r="H110" t="str">
            <v>NORTE</v>
          </cell>
          <cell r="I110" t="str">
            <v>AUGUSTINOPOLIS</v>
          </cell>
        </row>
        <row r="111">
          <cell r="A111">
            <v>273</v>
          </cell>
          <cell r="B111" t="str">
            <v>POVOADO SAO JOAO</v>
          </cell>
          <cell r="C111" t="str">
            <v>0001</v>
          </cell>
          <cell r="D111" t="str">
            <v>PORTO NACIONAL</v>
          </cell>
          <cell r="E111" t="str">
            <v>0001</v>
          </cell>
          <cell r="F111" t="str">
            <v>PORTO NACIONAL</v>
          </cell>
          <cell r="G111">
            <v>122</v>
          </cell>
          <cell r="H111" t="str">
            <v>CENTRO</v>
          </cell>
          <cell r="I111" t="str">
            <v>PORTO NACIONAL</v>
          </cell>
        </row>
        <row r="112">
          <cell r="A112">
            <v>275</v>
          </cell>
          <cell r="B112" t="str">
            <v>ILHA DO BANANAL</v>
          </cell>
          <cell r="C112" t="str">
            <v>0275</v>
          </cell>
          <cell r="D112" t="str">
            <v>ILHA DO BANANAL</v>
          </cell>
          <cell r="E112" t="str">
            <v>0036</v>
          </cell>
          <cell r="F112" t="str">
            <v>FORMOSO DO ARAGUAIA</v>
          </cell>
          <cell r="G112">
            <v>3</v>
          </cell>
          <cell r="H112" t="str">
            <v>SUL</v>
          </cell>
          <cell r="I112" t="str">
            <v>FORMOSO DO ARAGUAIA</v>
          </cell>
        </row>
        <row r="113">
          <cell r="A113">
            <v>236</v>
          </cell>
          <cell r="B113" t="str">
            <v>NOVO HORIZONTE DO TOCANTINS</v>
          </cell>
          <cell r="C113" t="str">
            <v>0029</v>
          </cell>
          <cell r="D113" t="str">
            <v>PALMEIROPOLIS</v>
          </cell>
          <cell r="E113" t="str">
            <v>0094</v>
          </cell>
          <cell r="F113" t="str">
            <v>PEIXE</v>
          </cell>
          <cell r="G113">
            <v>3</v>
          </cell>
          <cell r="H113" t="str">
            <v>SUL</v>
          </cell>
          <cell r="I113" t="str">
            <v>JAU DO TOCANTINS</v>
          </cell>
        </row>
        <row r="114">
          <cell r="A114">
            <v>47</v>
          </cell>
          <cell r="B114" t="str">
            <v>FIGUEIROPOLIS</v>
          </cell>
          <cell r="C114" t="str">
            <v>0047</v>
          </cell>
          <cell r="D114" t="str">
            <v>FIGUEIROPOLIS</v>
          </cell>
          <cell r="E114" t="str">
            <v>0036</v>
          </cell>
          <cell r="F114" t="str">
            <v>FORMOSO DO ARAGUAIA</v>
          </cell>
          <cell r="G114">
            <v>3</v>
          </cell>
          <cell r="H114" t="str">
            <v>SUL</v>
          </cell>
          <cell r="I114" t="str">
            <v>FIGUEIROPOLIS</v>
          </cell>
        </row>
        <row r="115">
          <cell r="A115">
            <v>97</v>
          </cell>
          <cell r="B115" t="str">
            <v>TALISMA</v>
          </cell>
          <cell r="C115" t="str">
            <v>0036</v>
          </cell>
          <cell r="D115" t="str">
            <v>TALISMA</v>
          </cell>
          <cell r="E115" t="str">
            <v>0036</v>
          </cell>
          <cell r="F115" t="str">
            <v>FORMOSO DO ARAGUAIA</v>
          </cell>
          <cell r="G115">
            <v>3</v>
          </cell>
          <cell r="H115" t="str">
            <v>SUL</v>
          </cell>
          <cell r="I115" t="str">
            <v>TALISMA</v>
          </cell>
        </row>
        <row r="116">
          <cell r="A116">
            <v>100</v>
          </cell>
          <cell r="B116" t="str">
            <v>TAQUARUSSU DO PORTO</v>
          </cell>
          <cell r="C116" t="str">
            <v>0059</v>
          </cell>
          <cell r="D116" t="str">
            <v>TAQUARUSSU DO PORTO</v>
          </cell>
          <cell r="E116" t="str">
            <v>0059</v>
          </cell>
          <cell r="F116" t="str">
            <v>TAQUARALTO</v>
          </cell>
          <cell r="G116">
            <v>122</v>
          </cell>
          <cell r="H116" t="str">
            <v>CENTRO</v>
          </cell>
          <cell r="I116" t="str">
            <v>PALMAS</v>
          </cell>
        </row>
        <row r="117">
          <cell r="A117">
            <v>50</v>
          </cell>
          <cell r="B117" t="str">
            <v>COMBINADO</v>
          </cell>
          <cell r="C117" t="str">
            <v>0050</v>
          </cell>
          <cell r="D117" t="str">
            <v>COMBINADO</v>
          </cell>
          <cell r="E117" t="str">
            <v>0074</v>
          </cell>
          <cell r="F117" t="str">
            <v>DIANOPOLIS</v>
          </cell>
          <cell r="G117">
            <v>3</v>
          </cell>
          <cell r="H117" t="str">
            <v>SUL</v>
          </cell>
          <cell r="I117" t="str">
            <v>COMBINADO</v>
          </cell>
        </row>
        <row r="118">
          <cell r="A118">
            <v>33</v>
          </cell>
          <cell r="B118" t="str">
            <v>COLMEIA</v>
          </cell>
          <cell r="C118" t="str">
            <v>0033</v>
          </cell>
          <cell r="D118" t="str">
            <v>COLMEIA</v>
          </cell>
          <cell r="E118" t="str">
            <v>0009</v>
          </cell>
          <cell r="F118" t="str">
            <v>GUARAI</v>
          </cell>
          <cell r="G118">
            <v>4</v>
          </cell>
          <cell r="H118" t="str">
            <v>NORTE</v>
          </cell>
          <cell r="I118" t="str">
            <v>COLMEIA</v>
          </cell>
        </row>
        <row r="119">
          <cell r="A119">
            <v>38</v>
          </cell>
          <cell r="B119" t="str">
            <v>TAGUATINGA</v>
          </cell>
          <cell r="C119" t="str">
            <v>0038</v>
          </cell>
          <cell r="D119" t="str">
            <v>TAGUATINGA</v>
          </cell>
          <cell r="E119" t="str">
            <v>0074</v>
          </cell>
          <cell r="F119" t="str">
            <v>DIANOPOLIS</v>
          </cell>
          <cell r="G119">
            <v>3</v>
          </cell>
          <cell r="H119" t="str">
            <v>SUL</v>
          </cell>
          <cell r="I119" t="str">
            <v>TAGUATINGA</v>
          </cell>
        </row>
        <row r="120">
          <cell r="A120">
            <v>44</v>
          </cell>
          <cell r="B120" t="str">
            <v>FATIMA</v>
          </cell>
          <cell r="C120" t="str">
            <v>0044</v>
          </cell>
          <cell r="D120" t="str">
            <v>FATIMA</v>
          </cell>
          <cell r="E120" t="str">
            <v>0001</v>
          </cell>
          <cell r="F120" t="str">
            <v>PORTO NACIONAL</v>
          </cell>
          <cell r="G120">
            <v>122</v>
          </cell>
          <cell r="H120" t="str">
            <v>CENTRO</v>
          </cell>
          <cell r="I120" t="str">
            <v>FATIMA</v>
          </cell>
        </row>
        <row r="121">
          <cell r="A121">
            <v>87</v>
          </cell>
          <cell r="B121" t="str">
            <v>GOIANORTE</v>
          </cell>
          <cell r="C121" t="str">
            <v>0087</v>
          </cell>
          <cell r="D121" t="str">
            <v>GOIANORTE</v>
          </cell>
          <cell r="E121" t="str">
            <v>0009</v>
          </cell>
          <cell r="F121" t="str">
            <v>GUARAI</v>
          </cell>
          <cell r="G121">
            <v>4</v>
          </cell>
          <cell r="H121" t="str">
            <v>NORTE</v>
          </cell>
          <cell r="I121" t="str">
            <v>GOIANORTE</v>
          </cell>
        </row>
        <row r="122">
          <cell r="A122">
            <v>89</v>
          </cell>
          <cell r="B122" t="str">
            <v>SUCUPIRA</v>
          </cell>
          <cell r="C122" t="str">
            <v>0003</v>
          </cell>
          <cell r="D122" t="str">
            <v>SUCUPIRA</v>
          </cell>
          <cell r="E122" t="str">
            <v>0003</v>
          </cell>
          <cell r="F122" t="str">
            <v>GURUPI</v>
          </cell>
          <cell r="G122">
            <v>3</v>
          </cell>
          <cell r="H122" t="str">
            <v>SUL</v>
          </cell>
          <cell r="I122" t="str">
            <v>SUCUPIRA</v>
          </cell>
        </row>
        <row r="123">
          <cell r="A123">
            <v>105</v>
          </cell>
          <cell r="B123" t="str">
            <v>OLIVEIRA DE FATIMA</v>
          </cell>
          <cell r="C123" t="str">
            <v>0044</v>
          </cell>
          <cell r="D123" t="str">
            <v>FATIMA</v>
          </cell>
          <cell r="E123" t="str">
            <v>0001</v>
          </cell>
          <cell r="F123" t="str">
            <v>PORTO NACIONAL</v>
          </cell>
          <cell r="G123">
            <v>122</v>
          </cell>
          <cell r="H123" t="str">
            <v>CENTRO</v>
          </cell>
          <cell r="I123" t="str">
            <v>OLIVEIRA DE FATIMA</v>
          </cell>
        </row>
        <row r="124">
          <cell r="A124">
            <v>112</v>
          </cell>
          <cell r="B124" t="str">
            <v>GOIANY DOS CAMPOS</v>
          </cell>
          <cell r="C124" t="str">
            <v>0033</v>
          </cell>
          <cell r="D124" t="str">
            <v>COLMEIA</v>
          </cell>
          <cell r="E124" t="str">
            <v>0009</v>
          </cell>
          <cell r="F124" t="str">
            <v>GUARAI</v>
          </cell>
          <cell r="G124">
            <v>4</v>
          </cell>
          <cell r="H124" t="str">
            <v>NORTE</v>
          </cell>
          <cell r="I124" t="str">
            <v>COLMEIA</v>
          </cell>
        </row>
        <row r="125">
          <cell r="A125">
            <v>171</v>
          </cell>
          <cell r="B125" t="str">
            <v>LUZINOPOLIS</v>
          </cell>
          <cell r="C125" t="str">
            <v>0171</v>
          </cell>
          <cell r="D125" t="str">
            <v>LUZINOPOLIS</v>
          </cell>
          <cell r="E125" t="str">
            <v>0002</v>
          </cell>
          <cell r="F125" t="str">
            <v>TOCANTINOPOLIS</v>
          </cell>
          <cell r="G125">
            <v>4</v>
          </cell>
          <cell r="H125" t="str">
            <v>NORTE</v>
          </cell>
          <cell r="I125" t="str">
            <v>LUZINOPOLIS</v>
          </cell>
        </row>
        <row r="126">
          <cell r="A126">
            <v>120</v>
          </cell>
          <cell r="B126" t="str">
            <v>MATO REDONDO</v>
          </cell>
          <cell r="C126" t="str">
            <v>0098</v>
          </cell>
          <cell r="D126" t="str">
            <v>ANANAS</v>
          </cell>
          <cell r="E126" t="str">
            <v>0002</v>
          </cell>
          <cell r="F126" t="str">
            <v>TOCANTINOPOLIS</v>
          </cell>
          <cell r="G126">
            <v>4</v>
          </cell>
          <cell r="H126" t="str">
            <v>NORTE</v>
          </cell>
          <cell r="I126" t="str">
            <v>ANGICO</v>
          </cell>
        </row>
        <row r="127">
          <cell r="A127">
            <v>131</v>
          </cell>
          <cell r="B127" t="str">
            <v>PRAIA NORTE</v>
          </cell>
          <cell r="C127" t="str">
            <v>0045</v>
          </cell>
          <cell r="D127" t="str">
            <v>AUGUSTINOPOLIS</v>
          </cell>
          <cell r="E127" t="str">
            <v>0045</v>
          </cell>
          <cell r="F127" t="str">
            <v>AUGUSTINOPOLIS</v>
          </cell>
          <cell r="G127">
            <v>4</v>
          </cell>
          <cell r="H127" t="str">
            <v>NORTE</v>
          </cell>
          <cell r="I127" t="str">
            <v>PRAIA NORTE</v>
          </cell>
        </row>
        <row r="128">
          <cell r="A128">
            <v>138</v>
          </cell>
          <cell r="B128" t="str">
            <v>AMARALINA</v>
          </cell>
          <cell r="C128" t="str">
            <v>0074</v>
          </cell>
          <cell r="D128" t="str">
            <v>DIANOPOLIS</v>
          </cell>
          <cell r="E128" t="str">
            <v>0074</v>
          </cell>
          <cell r="F128" t="str">
            <v>DIANOPOLIS</v>
          </cell>
          <cell r="G128">
            <v>3</v>
          </cell>
          <cell r="H128" t="str">
            <v>SUL</v>
          </cell>
          <cell r="I128" t="str">
            <v>NOVO JARDIM</v>
          </cell>
        </row>
        <row r="129">
          <cell r="A129">
            <v>147</v>
          </cell>
          <cell r="B129" t="str">
            <v>TAIPAS DO TOCANTINS</v>
          </cell>
          <cell r="C129" t="str">
            <v>0072</v>
          </cell>
          <cell r="D129" t="str">
            <v>CONCEICAO DO TOCANTINS</v>
          </cell>
          <cell r="E129" t="str">
            <v>0074</v>
          </cell>
          <cell r="F129" t="str">
            <v>DIANOPOLIS</v>
          </cell>
          <cell r="G129">
            <v>3</v>
          </cell>
          <cell r="H129" t="str">
            <v>SUL</v>
          </cell>
          <cell r="I129" t="str">
            <v>TAIPAS DO TOCANTINS</v>
          </cell>
        </row>
        <row r="130">
          <cell r="A130">
            <v>152</v>
          </cell>
          <cell r="B130" t="str">
            <v>SANTA ROSA DO TOCANTINS</v>
          </cell>
          <cell r="C130" t="str">
            <v>0152</v>
          </cell>
          <cell r="D130" t="str">
            <v>SANTA ROSA DO TOCANTINS</v>
          </cell>
          <cell r="E130" t="str">
            <v>0001</v>
          </cell>
          <cell r="F130" t="str">
            <v>PORTO NACIONAL</v>
          </cell>
          <cell r="G130">
            <v>122</v>
          </cell>
          <cell r="H130" t="str">
            <v>CENTRO</v>
          </cell>
          <cell r="I130" t="str">
            <v>SANTA ROSA DO TOCANTINS</v>
          </cell>
        </row>
        <row r="131">
          <cell r="A131">
            <v>158</v>
          </cell>
          <cell r="B131" t="str">
            <v>BIELANDIA</v>
          </cell>
          <cell r="C131" t="str">
            <v>0019</v>
          </cell>
          <cell r="D131" t="str">
            <v>BIELANDIA</v>
          </cell>
          <cell r="E131" t="str">
            <v>0004</v>
          </cell>
          <cell r="F131" t="str">
            <v>ARAGUAINA</v>
          </cell>
          <cell r="G131">
            <v>4</v>
          </cell>
          <cell r="H131" t="str">
            <v>NORTE</v>
          </cell>
          <cell r="I131" t="str">
            <v>FILADELFIA</v>
          </cell>
        </row>
        <row r="132">
          <cell r="A132">
            <v>165</v>
          </cell>
          <cell r="B132" t="str">
            <v>SANTA INEZ</v>
          </cell>
          <cell r="C132" t="str">
            <v>0088</v>
          </cell>
          <cell r="D132" t="str">
            <v>SITIO NOVO TOCANTINS</v>
          </cell>
          <cell r="E132" t="str">
            <v>0045</v>
          </cell>
          <cell r="F132" t="str">
            <v>AUGUSTINOPOLIS</v>
          </cell>
          <cell r="G132">
            <v>4</v>
          </cell>
          <cell r="H132" t="str">
            <v>NORTE</v>
          </cell>
          <cell r="I132" t="str">
            <v>SITIO NOVO DO TOCANTINS</v>
          </cell>
        </row>
        <row r="133">
          <cell r="A133">
            <v>170</v>
          </cell>
          <cell r="B133" t="str">
            <v>BARRA DA GROTA</v>
          </cell>
          <cell r="C133" t="str">
            <v>0004</v>
          </cell>
          <cell r="D133" t="str">
            <v>ARAGUAINA</v>
          </cell>
          <cell r="E133" t="str">
            <v>0004</v>
          </cell>
          <cell r="F133" t="str">
            <v>ARAGUAINA</v>
          </cell>
          <cell r="G133">
            <v>4</v>
          </cell>
          <cell r="H133" t="str">
            <v>NORTE</v>
          </cell>
          <cell r="I133" t="str">
            <v>ARAGUAINA</v>
          </cell>
        </row>
        <row r="134">
          <cell r="A134">
            <v>177</v>
          </cell>
          <cell r="B134" t="str">
            <v>POVOADO DOS BARROS</v>
          </cell>
          <cell r="C134" t="str">
            <v>0004</v>
          </cell>
          <cell r="D134" t="str">
            <v>ARAGUAINA</v>
          </cell>
          <cell r="E134" t="str">
            <v>0004</v>
          </cell>
          <cell r="F134" t="str">
            <v>ARAGUAINA</v>
          </cell>
          <cell r="G134">
            <v>4</v>
          </cell>
          <cell r="H134" t="str">
            <v>NORTE</v>
          </cell>
          <cell r="I134" t="str">
            <v>ARAGUAINA</v>
          </cell>
        </row>
        <row r="135">
          <cell r="A135">
            <v>90</v>
          </cell>
          <cell r="B135" t="str">
            <v>NAZARE</v>
          </cell>
          <cell r="C135" t="str">
            <v>0002</v>
          </cell>
          <cell r="D135" t="str">
            <v>NAZARE</v>
          </cell>
          <cell r="E135" t="str">
            <v>0002</v>
          </cell>
          <cell r="F135" t="str">
            <v>TOCANTINOPOLIS</v>
          </cell>
          <cell r="G135">
            <v>4</v>
          </cell>
          <cell r="H135" t="str">
            <v>NORTE</v>
          </cell>
          <cell r="I135" t="str">
            <v>NAZARE</v>
          </cell>
        </row>
        <row r="136">
          <cell r="A136">
            <v>190</v>
          </cell>
          <cell r="B136" t="str">
            <v>NOVO JARDIM</v>
          </cell>
          <cell r="C136" t="str">
            <v>0074</v>
          </cell>
          <cell r="D136" t="str">
            <v>DIANOPOLIS</v>
          </cell>
          <cell r="E136" t="str">
            <v>0074</v>
          </cell>
          <cell r="F136" t="str">
            <v>DIANOPOLIS</v>
          </cell>
          <cell r="G136">
            <v>3</v>
          </cell>
          <cell r="H136" t="str">
            <v>SUL</v>
          </cell>
          <cell r="I136" t="str">
            <v>NOVO JARDIM</v>
          </cell>
        </row>
        <row r="137">
          <cell r="A137">
            <v>195</v>
          </cell>
          <cell r="B137" t="str">
            <v>CENTENARIO</v>
          </cell>
          <cell r="C137" t="str">
            <v>0227</v>
          </cell>
          <cell r="D137" t="str">
            <v>CENTENARIO</v>
          </cell>
          <cell r="E137" t="str">
            <v>0009</v>
          </cell>
          <cell r="F137" t="str">
            <v>GUARAI</v>
          </cell>
          <cell r="G137">
            <v>4</v>
          </cell>
          <cell r="H137" t="str">
            <v>NORTE</v>
          </cell>
          <cell r="I137" t="str">
            <v>CENTENARIO</v>
          </cell>
        </row>
        <row r="138">
          <cell r="A138">
            <v>199</v>
          </cell>
          <cell r="B138" t="str">
            <v>CANELAS</v>
          </cell>
          <cell r="C138" t="str">
            <v>0122</v>
          </cell>
          <cell r="D138" t="str">
            <v>PALMAS</v>
          </cell>
          <cell r="E138" t="str">
            <v>0122</v>
          </cell>
          <cell r="F138" t="str">
            <v>PALMAS</v>
          </cell>
          <cell r="G138">
            <v>122</v>
          </cell>
          <cell r="H138" t="str">
            <v>CENTRO</v>
          </cell>
          <cell r="I138" t="str">
            <v>PALMAS</v>
          </cell>
        </row>
        <row r="139">
          <cell r="A139">
            <v>127</v>
          </cell>
          <cell r="B139" t="str">
            <v>PALMEIRAS DO TOCANTINS</v>
          </cell>
          <cell r="C139" t="str">
            <v>0002</v>
          </cell>
          <cell r="D139" t="str">
            <v>TOCANTINOPOLIS</v>
          </cell>
          <cell r="E139" t="str">
            <v>0002</v>
          </cell>
          <cell r="F139" t="str">
            <v>TOCANTINOPOLIS</v>
          </cell>
          <cell r="G139">
            <v>4</v>
          </cell>
          <cell r="H139" t="str">
            <v>NORTE</v>
          </cell>
          <cell r="I139" t="str">
            <v>PALMEIRAS DO TOCANTINS</v>
          </cell>
        </row>
        <row r="140">
          <cell r="A140">
            <v>126</v>
          </cell>
          <cell r="B140" t="str">
            <v>PIACAVA</v>
          </cell>
          <cell r="C140" t="str">
            <v>0002</v>
          </cell>
          <cell r="D140" t="str">
            <v>LUZINOPOLIS</v>
          </cell>
          <cell r="E140" t="str">
            <v>0002</v>
          </cell>
          <cell r="F140" t="str">
            <v>TOCANTINOPOLIS</v>
          </cell>
          <cell r="G140">
            <v>4</v>
          </cell>
          <cell r="H140" t="str">
            <v>NORTE</v>
          </cell>
          <cell r="I140" t="str">
            <v>NAZARE</v>
          </cell>
        </row>
        <row r="141">
          <cell r="A141">
            <v>223</v>
          </cell>
          <cell r="B141" t="str">
            <v>POVOADO MATINHA</v>
          </cell>
          <cell r="C141" t="str">
            <v>0009</v>
          </cell>
          <cell r="D141" t="str">
            <v>GUARAI</v>
          </cell>
          <cell r="E141" t="str">
            <v>0009</v>
          </cell>
          <cell r="F141" t="str">
            <v>GUARAI</v>
          </cell>
          <cell r="G141">
            <v>4</v>
          </cell>
          <cell r="H141" t="str">
            <v>NORTE</v>
          </cell>
          <cell r="I141" t="str">
            <v>GUARAI</v>
          </cell>
        </row>
        <row r="142">
          <cell r="A142">
            <v>227</v>
          </cell>
          <cell r="B142" t="str">
            <v>RECURSOLANDIA</v>
          </cell>
          <cell r="C142" t="str">
            <v>0227</v>
          </cell>
          <cell r="D142" t="str">
            <v>RECURSOLANDIA</v>
          </cell>
          <cell r="E142" t="str">
            <v>0009</v>
          </cell>
          <cell r="F142" t="str">
            <v>GUARAI</v>
          </cell>
          <cell r="G142">
            <v>4</v>
          </cell>
          <cell r="H142" t="str">
            <v>NORTE</v>
          </cell>
          <cell r="I142" t="str">
            <v>RECURSOLANDIA</v>
          </cell>
        </row>
        <row r="143">
          <cell r="A143">
            <v>232</v>
          </cell>
          <cell r="B143" t="str">
            <v>SALVACAO</v>
          </cell>
          <cell r="C143" t="str">
            <v>0036</v>
          </cell>
          <cell r="D143" t="str">
            <v>ALVORADA</v>
          </cell>
          <cell r="E143" t="str">
            <v>0036</v>
          </cell>
          <cell r="F143" t="str">
            <v>FORMOSO DO ARAGUAIA</v>
          </cell>
          <cell r="G143">
            <v>3</v>
          </cell>
          <cell r="H143" t="str">
            <v>SUL</v>
          </cell>
          <cell r="I143" t="str">
            <v>PEIXE</v>
          </cell>
        </row>
        <row r="144">
          <cell r="A144">
            <v>241</v>
          </cell>
          <cell r="B144" t="str">
            <v>SANTA CECILIA</v>
          </cell>
          <cell r="C144" t="str">
            <v>0038</v>
          </cell>
          <cell r="D144" t="str">
            <v>TAGUATINGA</v>
          </cell>
          <cell r="E144" t="str">
            <v>0074</v>
          </cell>
          <cell r="F144" t="str">
            <v>DIANOPOLIS</v>
          </cell>
          <cell r="G144">
            <v>3</v>
          </cell>
          <cell r="H144" t="str">
            <v>SUL</v>
          </cell>
          <cell r="I144" t="str">
            <v>TAGUATINGA</v>
          </cell>
        </row>
        <row r="145">
          <cell r="A145">
            <v>53</v>
          </cell>
          <cell r="B145" t="str">
            <v>PIRAQUE</v>
          </cell>
          <cell r="C145" t="str">
            <v>0053</v>
          </cell>
          <cell r="D145" t="str">
            <v>PIRAQUE</v>
          </cell>
          <cell r="E145" t="str">
            <v>0002</v>
          </cell>
          <cell r="F145" t="str">
            <v>TOCANTINOPOLIS</v>
          </cell>
          <cell r="G145">
            <v>4</v>
          </cell>
          <cell r="H145" t="str">
            <v>NORTE</v>
          </cell>
          <cell r="I145" t="str">
            <v>PIRAQUE</v>
          </cell>
        </row>
        <row r="146">
          <cell r="A146">
            <v>253</v>
          </cell>
          <cell r="B146" t="str">
            <v>CHAPADA DE AREIA</v>
          </cell>
          <cell r="C146" t="str">
            <v>0013</v>
          </cell>
          <cell r="D146" t="str">
            <v>PARAISO DO TOCANTINS</v>
          </cell>
          <cell r="E146" t="str">
            <v>0013</v>
          </cell>
          <cell r="F146" t="str">
            <v>PARAISO DO TOCANTINS</v>
          </cell>
          <cell r="G146">
            <v>122</v>
          </cell>
          <cell r="H146" t="str">
            <v>CENTRO</v>
          </cell>
          <cell r="I146" t="str">
            <v>CHAPADA DE AREIA</v>
          </cell>
        </row>
        <row r="147">
          <cell r="A147">
            <v>21</v>
          </cell>
          <cell r="B147" t="str">
            <v>PARANA</v>
          </cell>
          <cell r="C147" t="str">
            <v>0021</v>
          </cell>
          <cell r="D147" t="str">
            <v>PARANA</v>
          </cell>
          <cell r="E147" t="str">
            <v>0094</v>
          </cell>
          <cell r="F147" t="str">
            <v>PEIXE</v>
          </cell>
          <cell r="G147">
            <v>3</v>
          </cell>
          <cell r="H147" t="str">
            <v>SUL</v>
          </cell>
          <cell r="I147" t="str">
            <v>PARANA</v>
          </cell>
        </row>
        <row r="148">
          <cell r="A148">
            <v>110</v>
          </cell>
          <cell r="B148" t="str">
            <v>SANTA RITA DO TOCANTINS</v>
          </cell>
          <cell r="C148" t="str">
            <v>0044</v>
          </cell>
          <cell r="D148" t="str">
            <v>FATIMA</v>
          </cell>
          <cell r="E148" t="str">
            <v>0001</v>
          </cell>
          <cell r="F148" t="str">
            <v>PORTO NACIONAL</v>
          </cell>
          <cell r="G148">
            <v>122</v>
          </cell>
          <cell r="H148" t="str">
            <v>CENTRO</v>
          </cell>
          <cell r="I148" t="str">
            <v>SANTA RITA DO TOCANTINS</v>
          </cell>
        </row>
        <row r="149">
          <cell r="A149">
            <v>111</v>
          </cell>
          <cell r="B149" t="str">
            <v>PEQUIZEIRO</v>
          </cell>
          <cell r="C149" t="str">
            <v>0033</v>
          </cell>
          <cell r="D149" t="str">
            <v>PEQUIZEIRO</v>
          </cell>
          <cell r="E149" t="str">
            <v>0009</v>
          </cell>
          <cell r="F149" t="str">
            <v>GUARAI</v>
          </cell>
          <cell r="G149">
            <v>4</v>
          </cell>
          <cell r="H149" t="str">
            <v>NORTE</v>
          </cell>
          <cell r="I149" t="str">
            <v>PEQUIZEIRO</v>
          </cell>
        </row>
        <row r="150">
          <cell r="A150">
            <v>113</v>
          </cell>
          <cell r="B150" t="str">
            <v>COUTO MAGALHAES</v>
          </cell>
          <cell r="C150" t="str">
            <v>0113</v>
          </cell>
          <cell r="D150" t="str">
            <v>COUTO MAGALHAES</v>
          </cell>
          <cell r="E150" t="str">
            <v>0009</v>
          </cell>
          <cell r="F150" t="str">
            <v>GUARAI</v>
          </cell>
          <cell r="G150">
            <v>4</v>
          </cell>
          <cell r="H150" t="str">
            <v>NORTE</v>
          </cell>
          <cell r="I150" t="str">
            <v>COUTO MAGALHAES</v>
          </cell>
        </row>
        <row r="151">
          <cell r="A151">
            <v>114</v>
          </cell>
          <cell r="B151" t="str">
            <v>AZUIS</v>
          </cell>
          <cell r="C151" t="str">
            <v>0038</v>
          </cell>
          <cell r="D151" t="str">
            <v>TAGUATINGA</v>
          </cell>
          <cell r="E151" t="str">
            <v>0074</v>
          </cell>
          <cell r="F151" t="str">
            <v>DIANOPOLIS</v>
          </cell>
          <cell r="G151">
            <v>3</v>
          </cell>
          <cell r="H151" t="str">
            <v>SUL</v>
          </cell>
          <cell r="I151" t="str">
            <v>TAGUATINGA</v>
          </cell>
        </row>
        <row r="152">
          <cell r="A152">
            <v>115</v>
          </cell>
          <cell r="B152" t="str">
            <v>CAMPO MAIOR</v>
          </cell>
          <cell r="C152" t="str">
            <v>0013</v>
          </cell>
          <cell r="D152" t="str">
            <v>PARAISO DO TOCANTINS</v>
          </cell>
          <cell r="E152" t="str">
            <v>0013</v>
          </cell>
          <cell r="F152" t="str">
            <v>PARAISO DO TOCANTINS</v>
          </cell>
          <cell r="G152">
            <v>122</v>
          </cell>
          <cell r="H152" t="str">
            <v>CENTRO</v>
          </cell>
          <cell r="I152" t="str">
            <v>NOVA ROSALANDIA</v>
          </cell>
        </row>
        <row r="153">
          <cell r="A153">
            <v>116</v>
          </cell>
          <cell r="B153" t="str">
            <v>CHAPADA DA NATIVIDADE</v>
          </cell>
          <cell r="C153" t="str">
            <v>0028</v>
          </cell>
          <cell r="D153" t="str">
            <v>NATIVIDADE</v>
          </cell>
          <cell r="E153" t="str">
            <v>0074</v>
          </cell>
          <cell r="F153" t="str">
            <v>DIANOPOLIS</v>
          </cell>
          <cell r="G153">
            <v>3</v>
          </cell>
          <cell r="H153" t="str">
            <v>SUL</v>
          </cell>
          <cell r="I153" t="str">
            <v>CHAPADA DA NATIVIDADE</v>
          </cell>
        </row>
        <row r="154">
          <cell r="A154">
            <v>118</v>
          </cell>
          <cell r="B154" t="str">
            <v>MARILANDIA</v>
          </cell>
          <cell r="C154" t="str">
            <v>0032</v>
          </cell>
          <cell r="D154" t="str">
            <v>ARAGUACU</v>
          </cell>
          <cell r="E154" t="str">
            <v>0036</v>
          </cell>
          <cell r="F154" t="str">
            <v>FORMOSO DO ARAGUAIA</v>
          </cell>
          <cell r="G154">
            <v>3</v>
          </cell>
          <cell r="H154" t="str">
            <v>SUL</v>
          </cell>
          <cell r="I154" t="str">
            <v>ARAGUACU</v>
          </cell>
        </row>
        <row r="155">
          <cell r="A155">
            <v>183</v>
          </cell>
          <cell r="B155" t="str">
            <v>PONTA DO ASFALTO</v>
          </cell>
          <cell r="C155" t="str">
            <v>0016</v>
          </cell>
          <cell r="D155" t="str">
            <v>WANDERLANDIA</v>
          </cell>
          <cell r="E155" t="str">
            <v>0002</v>
          </cell>
          <cell r="F155" t="str">
            <v>TOCANTINOPOLIS</v>
          </cell>
          <cell r="G155">
            <v>4</v>
          </cell>
          <cell r="H155" t="str">
            <v>NORTE</v>
          </cell>
          <cell r="I155" t="str">
            <v>WANDERLANDIA</v>
          </cell>
        </row>
        <row r="156">
          <cell r="A156">
            <v>121</v>
          </cell>
          <cell r="B156" t="str">
            <v>PEIXELANDIA</v>
          </cell>
          <cell r="C156" t="str">
            <v>0113</v>
          </cell>
          <cell r="D156" t="str">
            <v>COUTO MAGALHAES</v>
          </cell>
          <cell r="E156" t="str">
            <v>0009</v>
          </cell>
          <cell r="F156" t="str">
            <v>GUARAI</v>
          </cell>
          <cell r="G156">
            <v>4</v>
          </cell>
          <cell r="H156" t="str">
            <v>NORTE</v>
          </cell>
          <cell r="I156" t="str">
            <v>COUTO MAGALHAES</v>
          </cell>
        </row>
        <row r="157">
          <cell r="A157">
            <v>198</v>
          </cell>
          <cell r="B157" t="str">
            <v>POVOADO BANDEIRA</v>
          </cell>
          <cell r="C157" t="str">
            <v>0016</v>
          </cell>
          <cell r="D157" t="str">
            <v>WANDERLANDIA</v>
          </cell>
          <cell r="E157" t="str">
            <v>0002</v>
          </cell>
          <cell r="F157" t="str">
            <v>TOCANTINOPOLIS</v>
          </cell>
          <cell r="G157">
            <v>4</v>
          </cell>
          <cell r="H157" t="str">
            <v>NORTE</v>
          </cell>
          <cell r="I157" t="str">
            <v>WANDERLANDIA</v>
          </cell>
        </row>
        <row r="158">
          <cell r="A158">
            <v>247</v>
          </cell>
          <cell r="B158" t="str">
            <v>POVOADO CENTRO DOS BORGES</v>
          </cell>
          <cell r="C158" t="str">
            <v>0098</v>
          </cell>
          <cell r="D158" t="str">
            <v>ANANAS</v>
          </cell>
          <cell r="E158" t="str">
            <v>0002</v>
          </cell>
          <cell r="F158" t="str">
            <v>TOCANTINOPOLIS</v>
          </cell>
          <cell r="G158">
            <v>4</v>
          </cell>
          <cell r="H158" t="str">
            <v>NORTE</v>
          </cell>
          <cell r="I158" t="str">
            <v>RIACHINHO</v>
          </cell>
        </row>
        <row r="159">
          <cell r="A159">
            <v>128</v>
          </cell>
          <cell r="B159" t="str">
            <v>ALTAMIRA</v>
          </cell>
          <cell r="C159" t="str">
            <v>0027</v>
          </cell>
          <cell r="D159" t="str">
            <v>PONTE ALTA BOM JESUS</v>
          </cell>
          <cell r="E159" t="str">
            <v>0074</v>
          </cell>
          <cell r="F159" t="str">
            <v>DIANOPOLIS</v>
          </cell>
          <cell r="G159">
            <v>3</v>
          </cell>
          <cell r="H159" t="str">
            <v>SUL</v>
          </cell>
          <cell r="I159" t="str">
            <v>TAGUATINGA</v>
          </cell>
        </row>
        <row r="160">
          <cell r="A160">
            <v>205</v>
          </cell>
          <cell r="B160" t="str">
            <v>POVOADO CHAPADINHA</v>
          </cell>
          <cell r="C160" t="str">
            <v>0002</v>
          </cell>
          <cell r="D160" t="str">
            <v>TOCANTINOPOLIS</v>
          </cell>
          <cell r="E160" t="str">
            <v>0002</v>
          </cell>
          <cell r="F160" t="str">
            <v>TOCANTINOPOLIS</v>
          </cell>
          <cell r="G160">
            <v>4</v>
          </cell>
          <cell r="H160" t="str">
            <v>NORTE</v>
          </cell>
          <cell r="I160" t="str">
            <v>TOCANTINOPOLIS</v>
          </cell>
        </row>
        <row r="161">
          <cell r="A161">
            <v>130</v>
          </cell>
          <cell r="B161" t="str">
            <v>BELA VISTA</v>
          </cell>
          <cell r="C161" t="str">
            <v>0088</v>
          </cell>
          <cell r="D161" t="str">
            <v>SITIO NOVO TOCANTINS</v>
          </cell>
          <cell r="E161" t="str">
            <v>0045</v>
          </cell>
          <cell r="F161" t="str">
            <v>AUGUSTINOPOLIS</v>
          </cell>
          <cell r="G161">
            <v>4</v>
          </cell>
          <cell r="H161" t="str">
            <v>NORTE</v>
          </cell>
          <cell r="I161" t="str">
            <v>SAO MIGUEL DO TOCANTINS</v>
          </cell>
        </row>
        <row r="162">
          <cell r="A162">
            <v>133</v>
          </cell>
          <cell r="B162" t="str">
            <v>CARRASCO BONITO</v>
          </cell>
          <cell r="C162" t="str">
            <v>0045</v>
          </cell>
          <cell r="D162" t="str">
            <v>AUGUSTINOPOLIS</v>
          </cell>
          <cell r="E162" t="str">
            <v>0045</v>
          </cell>
          <cell r="F162" t="str">
            <v>AUGUSTINOPOLIS</v>
          </cell>
          <cell r="G162">
            <v>4</v>
          </cell>
          <cell r="H162" t="str">
            <v>NORTE</v>
          </cell>
          <cell r="I162" t="str">
            <v>CARRASCO BONITO</v>
          </cell>
        </row>
        <row r="163">
          <cell r="A163">
            <v>134</v>
          </cell>
          <cell r="B163" t="str">
            <v>ESPERANTINA</v>
          </cell>
          <cell r="C163" t="str">
            <v>0134</v>
          </cell>
          <cell r="D163" t="str">
            <v>ESPERANTINA</v>
          </cell>
          <cell r="E163" t="str">
            <v>0045</v>
          </cell>
          <cell r="F163" t="str">
            <v>AUGUSTINOPOLIS</v>
          </cell>
          <cell r="G163">
            <v>4</v>
          </cell>
          <cell r="H163" t="str">
            <v>NORTE</v>
          </cell>
          <cell r="I163" t="str">
            <v>ESPERANTINA</v>
          </cell>
        </row>
        <row r="164">
          <cell r="A164">
            <v>135</v>
          </cell>
          <cell r="B164" t="str">
            <v>PEDRA DE AMOLAR</v>
          </cell>
          <cell r="C164" t="str">
            <v>0134</v>
          </cell>
          <cell r="D164" t="str">
            <v>ESPERANTINA</v>
          </cell>
          <cell r="E164" t="str">
            <v>0045</v>
          </cell>
          <cell r="F164" t="str">
            <v>AUGUSTINOPOLIS</v>
          </cell>
          <cell r="G164">
            <v>4</v>
          </cell>
          <cell r="H164" t="str">
            <v>NORTE</v>
          </cell>
          <cell r="I164" t="str">
            <v>ESPERANTINA</v>
          </cell>
        </row>
        <row r="165">
          <cell r="A165">
            <v>136</v>
          </cell>
          <cell r="B165" t="str">
            <v>PAU D'ARCO</v>
          </cell>
          <cell r="C165" t="str">
            <v>0025</v>
          </cell>
          <cell r="D165" t="str">
            <v>ARAPOEMA</v>
          </cell>
          <cell r="E165" t="str">
            <v>0023</v>
          </cell>
          <cell r="F165" t="str">
            <v>COLINAS DO TOCANTINS</v>
          </cell>
          <cell r="G165">
            <v>4</v>
          </cell>
          <cell r="H165" t="str">
            <v>NORTE</v>
          </cell>
          <cell r="I165" t="str">
            <v>PAU D'ARCO</v>
          </cell>
        </row>
        <row r="166">
          <cell r="A166">
            <v>137</v>
          </cell>
          <cell r="B166" t="str">
            <v>PORTO LEMOS</v>
          </cell>
          <cell r="C166" t="str">
            <v>0058</v>
          </cell>
          <cell r="D166" t="str">
            <v>SANTA FE DO ARAGUAIA</v>
          </cell>
          <cell r="E166" t="str">
            <v>0004</v>
          </cell>
          <cell r="F166" t="str">
            <v>ARAGUAINA</v>
          </cell>
          <cell r="G166">
            <v>4</v>
          </cell>
          <cell r="H166" t="str">
            <v>NORTE</v>
          </cell>
          <cell r="I166" t="str">
            <v>SANTA FE DO ARAGUAIA</v>
          </cell>
        </row>
        <row r="167">
          <cell r="A167">
            <v>140</v>
          </cell>
          <cell r="B167" t="str">
            <v>GROTA DO MEIO</v>
          </cell>
          <cell r="C167" t="str">
            <v>0088</v>
          </cell>
          <cell r="D167" t="str">
            <v>SITIO NOVO TOCANTINS</v>
          </cell>
          <cell r="E167" t="str">
            <v>0045</v>
          </cell>
          <cell r="F167" t="str">
            <v>AUGUSTINOPOLIS</v>
          </cell>
          <cell r="G167">
            <v>4</v>
          </cell>
          <cell r="H167" t="str">
            <v>NORTE</v>
          </cell>
          <cell r="I167" t="str">
            <v>SAO MIGUEL DO TOCANTINS</v>
          </cell>
        </row>
        <row r="168">
          <cell r="A168">
            <v>141</v>
          </cell>
          <cell r="B168" t="str">
            <v>OLHO D'AGUA</v>
          </cell>
          <cell r="C168" t="str">
            <v>0088</v>
          </cell>
          <cell r="D168" t="str">
            <v>SITIO NOVO TOCANTINS</v>
          </cell>
          <cell r="E168" t="str">
            <v>0045</v>
          </cell>
          <cell r="F168" t="str">
            <v>AUGUSTINOPOLIS</v>
          </cell>
          <cell r="G168">
            <v>4</v>
          </cell>
          <cell r="H168" t="str">
            <v>NORTE</v>
          </cell>
          <cell r="I168" t="str">
            <v>SITIO NOVO DO TOCANTINS</v>
          </cell>
        </row>
        <row r="169">
          <cell r="A169">
            <v>142</v>
          </cell>
          <cell r="B169" t="str">
            <v>VINTE MIL</v>
          </cell>
          <cell r="C169" t="str">
            <v>0045</v>
          </cell>
          <cell r="D169" t="str">
            <v>AUGUSTINOPOLIS</v>
          </cell>
          <cell r="E169" t="str">
            <v>0045</v>
          </cell>
          <cell r="F169" t="str">
            <v>AUGUSTINOPOLIS</v>
          </cell>
          <cell r="G169">
            <v>4</v>
          </cell>
          <cell r="H169" t="str">
            <v>NORTE</v>
          </cell>
          <cell r="I169" t="str">
            <v>CARRASCO BONITO</v>
          </cell>
        </row>
        <row r="170">
          <cell r="A170">
            <v>143</v>
          </cell>
          <cell r="B170" t="str">
            <v>CENTRO DO ZE MULATO</v>
          </cell>
          <cell r="C170" t="str">
            <v>0134</v>
          </cell>
          <cell r="D170" t="str">
            <v>ESPERANTINA</v>
          </cell>
          <cell r="E170" t="str">
            <v>0045</v>
          </cell>
          <cell r="F170" t="str">
            <v>AUGUSTINOPOLIS</v>
          </cell>
          <cell r="G170">
            <v>4</v>
          </cell>
          <cell r="H170" t="str">
            <v>NORTE</v>
          </cell>
          <cell r="I170" t="str">
            <v>ESPERANTINA</v>
          </cell>
        </row>
        <row r="171">
          <cell r="A171">
            <v>145</v>
          </cell>
          <cell r="B171" t="str">
            <v>MAURILANDIA DO TOCANTINS</v>
          </cell>
          <cell r="C171" t="str">
            <v>0081</v>
          </cell>
          <cell r="D171" t="str">
            <v>ITAGUATINS</v>
          </cell>
          <cell r="E171" t="str">
            <v>0045</v>
          </cell>
          <cell r="F171" t="str">
            <v>AUGUSTINOPOLIS</v>
          </cell>
          <cell r="G171">
            <v>4</v>
          </cell>
          <cell r="H171" t="str">
            <v>NORTE</v>
          </cell>
          <cell r="I171" t="str">
            <v>MAURILANDIA DO TOCANTINS</v>
          </cell>
        </row>
        <row r="172">
          <cell r="A172">
            <v>146</v>
          </cell>
          <cell r="B172" t="str">
            <v>ALTO LINDO</v>
          </cell>
          <cell r="C172" t="str">
            <v>0078</v>
          </cell>
          <cell r="D172" t="str">
            <v>ITACAJA</v>
          </cell>
          <cell r="E172" t="str">
            <v>0009</v>
          </cell>
          <cell r="F172" t="str">
            <v>GUARAI</v>
          </cell>
          <cell r="G172">
            <v>4</v>
          </cell>
          <cell r="H172" t="str">
            <v>NORTE</v>
          </cell>
          <cell r="I172" t="str">
            <v>GOIATINS</v>
          </cell>
        </row>
        <row r="173">
          <cell r="A173">
            <v>270</v>
          </cell>
          <cell r="B173" t="str">
            <v>VILA SAO MIGUEL</v>
          </cell>
          <cell r="C173" t="str">
            <v>0094</v>
          </cell>
          <cell r="D173" t="str">
            <v>PEIXE</v>
          </cell>
          <cell r="E173" t="str">
            <v>0094</v>
          </cell>
          <cell r="F173" t="str">
            <v>PEIXE</v>
          </cell>
          <cell r="G173">
            <v>3</v>
          </cell>
          <cell r="H173" t="str">
            <v>SUL</v>
          </cell>
          <cell r="I173" t="str">
            <v>PEIXE</v>
          </cell>
        </row>
        <row r="174">
          <cell r="A174">
            <v>149</v>
          </cell>
          <cell r="B174" t="str">
            <v>CASEARA</v>
          </cell>
          <cell r="C174" t="str">
            <v>0149</v>
          </cell>
          <cell r="D174" t="str">
            <v>CASEARA</v>
          </cell>
          <cell r="E174" t="str">
            <v>0084</v>
          </cell>
          <cell r="F174" t="str">
            <v>DIVINOPOLIS</v>
          </cell>
          <cell r="G174">
            <v>122</v>
          </cell>
          <cell r="H174" t="str">
            <v>CENTRO</v>
          </cell>
          <cell r="I174" t="str">
            <v>CASEARA</v>
          </cell>
        </row>
        <row r="175">
          <cell r="A175">
            <v>151</v>
          </cell>
          <cell r="B175" t="str">
            <v>SANTA TEREZA DO TOCANTINS</v>
          </cell>
          <cell r="C175" t="str">
            <v>0151</v>
          </cell>
          <cell r="D175" t="str">
            <v>SANTA TEREZA DO TOCANTINS</v>
          </cell>
          <cell r="E175" t="str">
            <v>0059</v>
          </cell>
          <cell r="F175" t="str">
            <v>TAQUARALTO</v>
          </cell>
          <cell r="G175">
            <v>122</v>
          </cell>
          <cell r="H175" t="str">
            <v>CENTRO</v>
          </cell>
          <cell r="I175" t="str">
            <v>SANTA TEREZA DO TOCANTINS</v>
          </cell>
        </row>
        <row r="176">
          <cell r="A176">
            <v>154</v>
          </cell>
          <cell r="B176" t="str">
            <v>JUARINA</v>
          </cell>
          <cell r="C176" t="str">
            <v>0154</v>
          </cell>
          <cell r="D176" t="str">
            <v>JUARINA</v>
          </cell>
          <cell r="E176" t="str">
            <v>0023</v>
          </cell>
          <cell r="F176" t="str">
            <v>COLINAS DO TOCANTINS</v>
          </cell>
          <cell r="G176">
            <v>4</v>
          </cell>
          <cell r="H176" t="str">
            <v>NORTE</v>
          </cell>
          <cell r="I176" t="str">
            <v>JUARINA</v>
          </cell>
        </row>
        <row r="177">
          <cell r="A177">
            <v>155</v>
          </cell>
          <cell r="B177" t="str">
            <v>PALMEIRANTE</v>
          </cell>
          <cell r="C177" t="str">
            <v>0155</v>
          </cell>
          <cell r="D177" t="str">
            <v>PALMEIRANTE</v>
          </cell>
          <cell r="E177" t="str">
            <v>0023</v>
          </cell>
          <cell r="F177" t="str">
            <v>COLINAS DO TOCANTINS</v>
          </cell>
          <cell r="G177">
            <v>4</v>
          </cell>
          <cell r="H177" t="str">
            <v>NORTE</v>
          </cell>
          <cell r="I177" t="str">
            <v>PALMEIRANTE</v>
          </cell>
        </row>
        <row r="178">
          <cell r="A178">
            <v>172</v>
          </cell>
          <cell r="B178" t="str">
            <v>POVOADO DO BROCO</v>
          </cell>
          <cell r="C178" t="str">
            <v>0098</v>
          </cell>
          <cell r="D178" t="str">
            <v>LUZINOPOLIS</v>
          </cell>
          <cell r="E178" t="str">
            <v>0002</v>
          </cell>
          <cell r="F178" t="str">
            <v>TOCANTINOPOLIS</v>
          </cell>
          <cell r="G178">
            <v>4</v>
          </cell>
          <cell r="H178" t="str">
            <v>NORTE</v>
          </cell>
          <cell r="I178" t="str">
            <v>TOCANTINOPOLIS</v>
          </cell>
        </row>
        <row r="179">
          <cell r="A179">
            <v>208</v>
          </cell>
          <cell r="B179" t="str">
            <v>POVOADO GENIPAPO</v>
          </cell>
          <cell r="C179" t="str">
            <v>0002</v>
          </cell>
          <cell r="D179" t="str">
            <v>TOCANTINOPOLIS</v>
          </cell>
          <cell r="E179" t="str">
            <v>0002</v>
          </cell>
          <cell r="F179" t="str">
            <v>TOCANTINOPOLIS</v>
          </cell>
          <cell r="G179">
            <v>4</v>
          </cell>
          <cell r="H179" t="str">
            <v>NORTE</v>
          </cell>
          <cell r="I179" t="str">
            <v>TOCANTINOPOLIS</v>
          </cell>
        </row>
        <row r="180">
          <cell r="A180">
            <v>160</v>
          </cell>
          <cell r="B180" t="str">
            <v>JACILANDIA</v>
          </cell>
          <cell r="C180" t="str">
            <v>0004</v>
          </cell>
          <cell r="D180" t="str">
            <v>ARAGUAINA</v>
          </cell>
          <cell r="E180" t="str">
            <v>0004</v>
          </cell>
          <cell r="F180" t="str">
            <v>ARAGUAINA</v>
          </cell>
          <cell r="G180">
            <v>4</v>
          </cell>
          <cell r="H180" t="str">
            <v>NORTE</v>
          </cell>
          <cell r="I180" t="str">
            <v>ARAGUANA</v>
          </cell>
        </row>
        <row r="181">
          <cell r="A181">
            <v>161</v>
          </cell>
          <cell r="B181" t="str">
            <v>SAO JOAO</v>
          </cell>
          <cell r="C181" t="str">
            <v>0039</v>
          </cell>
          <cell r="D181" t="str">
            <v>ARAGUATINS</v>
          </cell>
          <cell r="E181" t="str">
            <v>0045</v>
          </cell>
          <cell r="F181" t="str">
            <v>AUGUSTINOPOLIS</v>
          </cell>
          <cell r="G181">
            <v>4</v>
          </cell>
          <cell r="H181" t="str">
            <v>NORTE</v>
          </cell>
          <cell r="I181" t="str">
            <v>ARAGUATINS</v>
          </cell>
        </row>
        <row r="182">
          <cell r="A182">
            <v>162</v>
          </cell>
          <cell r="B182" t="str">
            <v>GROTA D'AGUA</v>
          </cell>
          <cell r="C182" t="str">
            <v>0065</v>
          </cell>
          <cell r="D182" t="str">
            <v>AXIXA DO TOCANTINS</v>
          </cell>
          <cell r="E182" t="str">
            <v>0045</v>
          </cell>
          <cell r="F182" t="str">
            <v>AUGUSTINOPOLIS</v>
          </cell>
          <cell r="G182">
            <v>4</v>
          </cell>
          <cell r="H182" t="str">
            <v>NORTE</v>
          </cell>
          <cell r="I182" t="str">
            <v>AXIXA DO TOCANTINS</v>
          </cell>
        </row>
        <row r="183">
          <cell r="A183">
            <v>163</v>
          </cell>
          <cell r="B183" t="str">
            <v>MANGUEIRA</v>
          </cell>
          <cell r="C183" t="str">
            <v>0088</v>
          </cell>
          <cell r="D183" t="str">
            <v>SITIO NOVO TOCANTINS</v>
          </cell>
          <cell r="E183" t="str">
            <v>0045</v>
          </cell>
          <cell r="F183" t="str">
            <v>AUGUSTINOPOLIS</v>
          </cell>
          <cell r="G183">
            <v>4</v>
          </cell>
          <cell r="H183" t="str">
            <v>NORTE</v>
          </cell>
          <cell r="I183" t="str">
            <v>SITIO NOVO DO TOCANTINS</v>
          </cell>
        </row>
        <row r="184">
          <cell r="A184">
            <v>164</v>
          </cell>
          <cell r="B184" t="str">
            <v>MACAUBA</v>
          </cell>
          <cell r="C184" t="str">
            <v>0088</v>
          </cell>
          <cell r="D184" t="str">
            <v>SITIO NOVO TOCANTINS</v>
          </cell>
          <cell r="E184" t="str">
            <v>0045</v>
          </cell>
          <cell r="F184" t="str">
            <v>AUGUSTINOPOLIS</v>
          </cell>
          <cell r="G184">
            <v>4</v>
          </cell>
          <cell r="H184" t="str">
            <v>NORTE</v>
          </cell>
          <cell r="I184" t="str">
            <v>SITIO NOVO DO TOCANTINS</v>
          </cell>
        </row>
        <row r="185">
          <cell r="A185">
            <v>166</v>
          </cell>
          <cell r="B185" t="str">
            <v>BOA ESPERANCA</v>
          </cell>
          <cell r="C185" t="str">
            <v>0088</v>
          </cell>
          <cell r="D185" t="str">
            <v>SITIO NOVO TOCANTINS</v>
          </cell>
          <cell r="E185" t="str">
            <v>0045</v>
          </cell>
          <cell r="F185" t="str">
            <v>AUGUSTINOPOLIS</v>
          </cell>
          <cell r="G185">
            <v>4</v>
          </cell>
          <cell r="H185" t="str">
            <v>NORTE</v>
          </cell>
          <cell r="I185" t="str">
            <v>SITIO NOVO DO TOCANTINS</v>
          </cell>
        </row>
        <row r="186">
          <cell r="A186">
            <v>213</v>
          </cell>
          <cell r="B186" t="str">
            <v>POVOADO IMBURANA</v>
          </cell>
          <cell r="C186" t="str">
            <v>0002</v>
          </cell>
          <cell r="D186" t="str">
            <v>TOCANTINOPOLIS</v>
          </cell>
          <cell r="E186" t="str">
            <v>0002</v>
          </cell>
          <cell r="F186" t="str">
            <v>TOCANTINOPOLIS</v>
          </cell>
          <cell r="G186">
            <v>4</v>
          </cell>
          <cell r="H186" t="str">
            <v>NORTE</v>
          </cell>
          <cell r="I186" t="str">
            <v>NAZARE</v>
          </cell>
        </row>
        <row r="187">
          <cell r="A187">
            <v>212</v>
          </cell>
          <cell r="B187" t="str">
            <v>POVOADO MATA GRANDE</v>
          </cell>
          <cell r="C187" t="str">
            <v>0002</v>
          </cell>
          <cell r="D187" t="str">
            <v>TOCANTINOPOLIS</v>
          </cell>
          <cell r="E187" t="str">
            <v>0002</v>
          </cell>
          <cell r="F187" t="str">
            <v>TOCANTINOPOLIS</v>
          </cell>
          <cell r="G187">
            <v>4</v>
          </cell>
          <cell r="H187" t="str">
            <v>NORTE</v>
          </cell>
          <cell r="I187" t="str">
            <v>NAZARE</v>
          </cell>
        </row>
        <row r="188">
          <cell r="A188">
            <v>206</v>
          </cell>
          <cell r="B188" t="str">
            <v>POVOADO MUMBUCA</v>
          </cell>
          <cell r="C188" t="str">
            <v>0002</v>
          </cell>
          <cell r="D188" t="str">
            <v>TOCANTINOPOLIS</v>
          </cell>
          <cell r="E188" t="str">
            <v>0002</v>
          </cell>
          <cell r="F188" t="str">
            <v>TOCANTINOPOLIS</v>
          </cell>
          <cell r="G188">
            <v>4</v>
          </cell>
          <cell r="H188" t="str">
            <v>NORTE</v>
          </cell>
          <cell r="I188" t="str">
            <v>TOCANTINOPOLIS</v>
          </cell>
        </row>
        <row r="189">
          <cell r="A189">
            <v>209</v>
          </cell>
          <cell r="B189" t="str">
            <v>POVOADO OLHO D'AGUA</v>
          </cell>
          <cell r="C189" t="str">
            <v>0002</v>
          </cell>
          <cell r="D189" t="str">
            <v>TOCANTINOPOLIS</v>
          </cell>
          <cell r="E189" t="str">
            <v>0002</v>
          </cell>
          <cell r="F189" t="str">
            <v>TOCANTINOPOLIS</v>
          </cell>
          <cell r="G189">
            <v>4</v>
          </cell>
          <cell r="H189" t="str">
            <v>NORTE</v>
          </cell>
          <cell r="I189" t="str">
            <v>TOCANTINOPOLIS</v>
          </cell>
        </row>
        <row r="190">
          <cell r="A190">
            <v>173</v>
          </cell>
          <cell r="B190" t="str">
            <v>POVOADO DO RODEADORO</v>
          </cell>
          <cell r="C190" t="str">
            <v>0004</v>
          </cell>
          <cell r="D190" t="str">
            <v>BIELANDIA</v>
          </cell>
          <cell r="E190" t="str">
            <v>0004</v>
          </cell>
          <cell r="F190" t="str">
            <v>ARAGUAINA</v>
          </cell>
          <cell r="G190">
            <v>4</v>
          </cell>
          <cell r="H190" t="str">
            <v>NORTE</v>
          </cell>
          <cell r="I190" t="str">
            <v>FILADELFIA</v>
          </cell>
        </row>
        <row r="191">
          <cell r="A191">
            <v>174</v>
          </cell>
          <cell r="B191" t="str">
            <v>MARAJA</v>
          </cell>
          <cell r="C191" t="str">
            <v>0078</v>
          </cell>
          <cell r="D191" t="str">
            <v>ITACAJA</v>
          </cell>
          <cell r="E191" t="str">
            <v>0009</v>
          </cell>
          <cell r="F191" t="str">
            <v>GUARAI</v>
          </cell>
          <cell r="G191">
            <v>4</v>
          </cell>
          <cell r="H191" t="str">
            <v>NORTE</v>
          </cell>
          <cell r="I191" t="str">
            <v>ITACAJA</v>
          </cell>
        </row>
        <row r="192">
          <cell r="A192">
            <v>175</v>
          </cell>
          <cell r="B192" t="str">
            <v>POVOADO PONTES</v>
          </cell>
          <cell r="C192" t="str">
            <v>0004</v>
          </cell>
          <cell r="D192" t="str">
            <v>ARAGUAINA</v>
          </cell>
          <cell r="E192" t="str">
            <v>0004</v>
          </cell>
          <cell r="F192" t="str">
            <v>ARAGUAINA</v>
          </cell>
          <cell r="G192">
            <v>4</v>
          </cell>
          <cell r="H192" t="str">
            <v>NORTE</v>
          </cell>
          <cell r="I192" t="str">
            <v>ARAGUAINA</v>
          </cell>
        </row>
        <row r="193">
          <cell r="A193">
            <v>176</v>
          </cell>
          <cell r="B193" t="str">
            <v>CENTRO DOS FIRMINOS</v>
          </cell>
          <cell r="C193" t="str">
            <v>0045</v>
          </cell>
          <cell r="D193" t="str">
            <v>AUGUSTINOPOLIS</v>
          </cell>
          <cell r="E193" t="str">
            <v>0045</v>
          </cell>
          <cell r="F193" t="str">
            <v>AUGUSTINOPOLIS</v>
          </cell>
          <cell r="G193">
            <v>4</v>
          </cell>
          <cell r="H193" t="str">
            <v>NORTE</v>
          </cell>
          <cell r="I193" t="str">
            <v>CARRASCO BONITO</v>
          </cell>
        </row>
        <row r="194">
          <cell r="A194">
            <v>210</v>
          </cell>
          <cell r="B194" t="str">
            <v>POVOADO OLHO D'AGUA MEIO</v>
          </cell>
          <cell r="C194" t="str">
            <v>0002</v>
          </cell>
          <cell r="D194" t="str">
            <v>TOCANTINOPOLIS</v>
          </cell>
          <cell r="E194" t="str">
            <v>0002</v>
          </cell>
          <cell r="F194" t="str">
            <v>TOCANTINOPOLIS</v>
          </cell>
          <cell r="G194">
            <v>4</v>
          </cell>
          <cell r="H194" t="str">
            <v>NORTE</v>
          </cell>
          <cell r="I194" t="str">
            <v>TOCANTINOPOLIS</v>
          </cell>
        </row>
        <row r="195">
          <cell r="A195">
            <v>180</v>
          </cell>
          <cell r="B195" t="str">
            <v>SANTANA</v>
          </cell>
          <cell r="C195" t="str">
            <v>0013</v>
          </cell>
          <cell r="D195" t="str">
            <v>PARAISO DO TOCANTINS</v>
          </cell>
          <cell r="E195" t="str">
            <v>0013</v>
          </cell>
          <cell r="F195" t="str">
            <v>PARAISO DO TOCANTINS</v>
          </cell>
          <cell r="G195">
            <v>122</v>
          </cell>
          <cell r="H195" t="str">
            <v>CENTRO</v>
          </cell>
          <cell r="I195" t="str">
            <v>PARAISO DO TOCANTINS</v>
          </cell>
        </row>
        <row r="196">
          <cell r="A196">
            <v>181</v>
          </cell>
          <cell r="B196" t="str">
            <v>SAO LUIZ DAS PALMEIRAS</v>
          </cell>
          <cell r="C196" t="str">
            <v>0081</v>
          </cell>
          <cell r="D196" t="str">
            <v>ITAGUATINS</v>
          </cell>
          <cell r="E196" t="str">
            <v>0045</v>
          </cell>
          <cell r="F196" t="str">
            <v>AUGUSTINOPOLIS</v>
          </cell>
          <cell r="G196">
            <v>4</v>
          </cell>
          <cell r="H196" t="str">
            <v>NORTE</v>
          </cell>
          <cell r="I196" t="str">
            <v>ITAGUATINS</v>
          </cell>
        </row>
        <row r="197">
          <cell r="A197">
            <v>204</v>
          </cell>
          <cell r="B197" t="str">
            <v>POVOADO PAPACONHA</v>
          </cell>
          <cell r="C197" t="str">
            <v>0002</v>
          </cell>
          <cell r="D197" t="str">
            <v>TOCANTINOPOLIS</v>
          </cell>
          <cell r="E197" t="str">
            <v>0002</v>
          </cell>
          <cell r="F197" t="str">
            <v>TOCANTINOPOLIS</v>
          </cell>
          <cell r="G197">
            <v>4</v>
          </cell>
          <cell r="H197" t="str">
            <v>NORTE</v>
          </cell>
          <cell r="I197" t="str">
            <v>TOCANTINOPOLIS</v>
          </cell>
        </row>
        <row r="198">
          <cell r="A198">
            <v>94</v>
          </cell>
          <cell r="B198" t="str">
            <v>PEIXE</v>
          </cell>
          <cell r="C198" t="str">
            <v>0094</v>
          </cell>
          <cell r="D198" t="str">
            <v>PEIXE</v>
          </cell>
          <cell r="E198" t="str">
            <v>0094</v>
          </cell>
          <cell r="F198" t="str">
            <v>PEIXE</v>
          </cell>
          <cell r="G198">
            <v>3</v>
          </cell>
          <cell r="H198" t="str">
            <v>SUL</v>
          </cell>
          <cell r="I198" t="str">
            <v>PEIXE</v>
          </cell>
        </row>
        <row r="199">
          <cell r="A199">
            <v>187</v>
          </cell>
          <cell r="B199" t="str">
            <v>MANSINHA</v>
          </cell>
          <cell r="C199" t="str">
            <v>0070</v>
          </cell>
          <cell r="D199" t="str">
            <v>RIO SONO</v>
          </cell>
          <cell r="E199" t="str">
            <v>0059</v>
          </cell>
          <cell r="F199" t="str">
            <v>TAQUARALTO</v>
          </cell>
          <cell r="G199">
            <v>122</v>
          </cell>
          <cell r="H199" t="str">
            <v>CENTRO</v>
          </cell>
          <cell r="I199" t="str">
            <v>RIO SONO</v>
          </cell>
        </row>
        <row r="200">
          <cell r="A200">
            <v>188</v>
          </cell>
          <cell r="B200" t="str">
            <v>ESCOLA BRASIL</v>
          </cell>
          <cell r="C200" t="str">
            <v>0001</v>
          </cell>
          <cell r="D200" t="str">
            <v>PORTO NACIONAL</v>
          </cell>
          <cell r="E200" t="str">
            <v>0001</v>
          </cell>
          <cell r="F200" t="str">
            <v>PORTO NACIONAL</v>
          </cell>
          <cell r="G200">
            <v>122</v>
          </cell>
          <cell r="H200" t="str">
            <v>CENTRO</v>
          </cell>
          <cell r="I200" t="str">
            <v>PORTO NACIONAL</v>
          </cell>
        </row>
        <row r="201">
          <cell r="A201">
            <v>189</v>
          </cell>
          <cell r="B201" t="str">
            <v>NOVA PINHEROPOLIS</v>
          </cell>
          <cell r="C201" t="str">
            <v>0001</v>
          </cell>
          <cell r="D201" t="str">
            <v>PORTO NACIONAL</v>
          </cell>
          <cell r="E201" t="str">
            <v>0001</v>
          </cell>
          <cell r="F201" t="str">
            <v>PORTO NACIONAL</v>
          </cell>
          <cell r="G201">
            <v>122</v>
          </cell>
          <cell r="H201" t="str">
            <v>CENTRO</v>
          </cell>
          <cell r="I201" t="str">
            <v>PORTO NACIONAL</v>
          </cell>
        </row>
        <row r="202">
          <cell r="A202">
            <v>192</v>
          </cell>
          <cell r="B202" t="str">
            <v>SAO SEBASTIAO</v>
          </cell>
          <cell r="C202" t="str">
            <v>0033</v>
          </cell>
          <cell r="D202" t="str">
            <v>COLMEIA</v>
          </cell>
          <cell r="E202" t="str">
            <v>0009</v>
          </cell>
          <cell r="F202" t="str">
            <v>GUARAI</v>
          </cell>
          <cell r="G202">
            <v>4</v>
          </cell>
          <cell r="H202" t="str">
            <v>NORTE</v>
          </cell>
          <cell r="I202" t="str">
            <v>COUTO MAGALHAES</v>
          </cell>
        </row>
        <row r="203">
          <cell r="A203">
            <v>193</v>
          </cell>
          <cell r="B203" t="str">
            <v>CAMPOS LINDOS</v>
          </cell>
          <cell r="C203" t="str">
            <v>0193</v>
          </cell>
          <cell r="D203" t="str">
            <v>CAMPOS LINDOS</v>
          </cell>
          <cell r="E203" t="str">
            <v>0004</v>
          </cell>
          <cell r="F203" t="str">
            <v>ARAGUAINA</v>
          </cell>
          <cell r="G203">
            <v>4</v>
          </cell>
          <cell r="H203" t="str">
            <v>NORTE</v>
          </cell>
          <cell r="I203" t="str">
            <v>CAMPOS LINDOS</v>
          </cell>
        </row>
        <row r="204">
          <cell r="A204">
            <v>194</v>
          </cell>
          <cell r="B204" t="str">
            <v>POVOADO DEZENOVE</v>
          </cell>
          <cell r="C204" t="str">
            <v>0025</v>
          </cell>
          <cell r="D204" t="str">
            <v>ARAPOEMA</v>
          </cell>
          <cell r="E204" t="str">
            <v>0023</v>
          </cell>
          <cell r="F204" t="str">
            <v>COLINAS DO TOCANTINS</v>
          </cell>
          <cell r="G204">
            <v>4</v>
          </cell>
          <cell r="H204" t="str">
            <v>NORTE</v>
          </cell>
          <cell r="I204" t="str">
            <v>ARAPOEMA</v>
          </cell>
        </row>
        <row r="205">
          <cell r="A205">
            <v>196</v>
          </cell>
          <cell r="B205" t="str">
            <v>LAGOA DO TOCANTINS</v>
          </cell>
          <cell r="C205" t="str">
            <v>0151</v>
          </cell>
          <cell r="D205" t="str">
            <v>SANTA TEREZA DO TOCANTINS</v>
          </cell>
          <cell r="E205" t="str">
            <v>0059</v>
          </cell>
          <cell r="F205" t="str">
            <v>TAQUARALTO</v>
          </cell>
          <cell r="G205">
            <v>122</v>
          </cell>
          <cell r="H205" t="str">
            <v>CENTRO</v>
          </cell>
          <cell r="I205" t="str">
            <v>LAGOA DO TOCANTINS</v>
          </cell>
        </row>
        <row r="206">
          <cell r="A206">
            <v>207</v>
          </cell>
          <cell r="B206" t="str">
            <v>POVOADO PASSARINHO</v>
          </cell>
          <cell r="C206" t="str">
            <v>0002</v>
          </cell>
          <cell r="D206" t="str">
            <v>TOCANTINOPOLIS</v>
          </cell>
          <cell r="E206" t="str">
            <v>0002</v>
          </cell>
          <cell r="F206" t="str">
            <v>TOCANTINOPOLIS</v>
          </cell>
          <cell r="G206">
            <v>4</v>
          </cell>
          <cell r="H206" t="str">
            <v>NORTE</v>
          </cell>
          <cell r="I206" t="str">
            <v>TOCANTINOPOLIS</v>
          </cell>
        </row>
        <row r="207">
          <cell r="A207">
            <v>266</v>
          </cell>
          <cell r="B207" t="str">
            <v>LAGOA DO ROMAO</v>
          </cell>
          <cell r="C207" t="str">
            <v>0094</v>
          </cell>
          <cell r="D207" t="str">
            <v>PEIXE</v>
          </cell>
          <cell r="E207" t="str">
            <v>0094</v>
          </cell>
          <cell r="F207" t="str">
            <v>PEIXE</v>
          </cell>
          <cell r="G207">
            <v>3</v>
          </cell>
          <cell r="H207" t="str">
            <v>SUL</v>
          </cell>
          <cell r="I207" t="str">
            <v>PEIXE</v>
          </cell>
        </row>
        <row r="208">
          <cell r="A208">
            <v>201</v>
          </cell>
          <cell r="B208" t="str">
            <v>POVOADO CEORTA</v>
          </cell>
          <cell r="C208" t="str">
            <v>0004</v>
          </cell>
          <cell r="D208" t="str">
            <v>ARAGUAINA</v>
          </cell>
          <cell r="E208" t="str">
            <v>0004</v>
          </cell>
          <cell r="F208" t="str">
            <v>ARAGUAINA</v>
          </cell>
          <cell r="G208">
            <v>4</v>
          </cell>
          <cell r="H208" t="str">
            <v>NORTE</v>
          </cell>
          <cell r="I208" t="str">
            <v>TOCANTINOPOLIS</v>
          </cell>
        </row>
        <row r="209">
          <cell r="A209">
            <v>202</v>
          </cell>
          <cell r="B209" t="str">
            <v>POVOADO RIBEIRAO GRANDE II</v>
          </cell>
          <cell r="C209" t="str">
            <v>0002</v>
          </cell>
          <cell r="D209" t="str">
            <v>TOCANTINOPOLIS</v>
          </cell>
          <cell r="E209" t="str">
            <v>0002</v>
          </cell>
          <cell r="F209" t="str">
            <v>TOCANTINOPOLIS</v>
          </cell>
          <cell r="G209">
            <v>4</v>
          </cell>
          <cell r="H209" t="str">
            <v>NORTE</v>
          </cell>
          <cell r="I209" t="str">
            <v>TOCANTINOPOLIS</v>
          </cell>
        </row>
        <row r="210">
          <cell r="A210">
            <v>203</v>
          </cell>
          <cell r="B210" t="str">
            <v>POVOADO RIBEIRAO GRANDE III</v>
          </cell>
          <cell r="C210" t="str">
            <v>0002</v>
          </cell>
          <cell r="D210" t="str">
            <v>TOCANTINOPOLIS</v>
          </cell>
          <cell r="E210" t="str">
            <v>0002</v>
          </cell>
          <cell r="F210" t="str">
            <v>TOCANTINOPOLIS</v>
          </cell>
          <cell r="G210">
            <v>4</v>
          </cell>
          <cell r="H210" t="str">
            <v>NORTE</v>
          </cell>
          <cell r="I210" t="str">
            <v>TOCANTINOPOLIS</v>
          </cell>
        </row>
        <row r="211">
          <cell r="A211">
            <v>211</v>
          </cell>
          <cell r="B211" t="str">
            <v>POVOADO RIBEIRAOZINHO</v>
          </cell>
          <cell r="C211" t="str">
            <v>0002</v>
          </cell>
          <cell r="D211" t="str">
            <v>TOCANTINOPOLIS</v>
          </cell>
          <cell r="E211" t="str">
            <v>0002</v>
          </cell>
          <cell r="F211" t="str">
            <v>TOCANTINOPOLIS</v>
          </cell>
          <cell r="G211">
            <v>4</v>
          </cell>
          <cell r="H211" t="str">
            <v>NORTE</v>
          </cell>
          <cell r="I211" t="str">
            <v>TOCANTINOPOLIS</v>
          </cell>
        </row>
        <row r="212">
          <cell r="A212">
            <v>246</v>
          </cell>
          <cell r="B212" t="str">
            <v>POVOADO SOROROCA</v>
          </cell>
          <cell r="C212" t="str">
            <v>0098</v>
          </cell>
          <cell r="D212" t="str">
            <v>ANANAS</v>
          </cell>
          <cell r="E212" t="str">
            <v>0002</v>
          </cell>
          <cell r="F212" t="str">
            <v>TOCANTINOPOLIS</v>
          </cell>
          <cell r="G212">
            <v>4</v>
          </cell>
          <cell r="H212" t="str">
            <v>NORTE</v>
          </cell>
          <cell r="I212" t="str">
            <v>RIACHINHO</v>
          </cell>
        </row>
        <row r="213">
          <cell r="A213">
            <v>124</v>
          </cell>
          <cell r="B213" t="str">
            <v>RIACHINHO</v>
          </cell>
          <cell r="C213" t="str">
            <v>0098</v>
          </cell>
          <cell r="D213" t="str">
            <v>ANANAS</v>
          </cell>
          <cell r="E213" t="str">
            <v>0002</v>
          </cell>
          <cell r="F213" t="str">
            <v>TOCANTINOPOLIS</v>
          </cell>
          <cell r="G213">
            <v>4</v>
          </cell>
          <cell r="H213" t="str">
            <v>NORTE</v>
          </cell>
          <cell r="I213" t="str">
            <v>RIACHINHO</v>
          </cell>
        </row>
        <row r="214">
          <cell r="A214">
            <v>168</v>
          </cell>
          <cell r="B214" t="str">
            <v>RIBEIRAO GRANDE</v>
          </cell>
          <cell r="C214" t="str">
            <v>0002</v>
          </cell>
          <cell r="D214" t="str">
            <v>TOCANTINOPOLIS</v>
          </cell>
          <cell r="E214" t="str">
            <v>0002</v>
          </cell>
          <cell r="F214" t="str">
            <v>TOCANTINOPOLIS</v>
          </cell>
          <cell r="G214">
            <v>4</v>
          </cell>
          <cell r="H214" t="str">
            <v>NORTE</v>
          </cell>
          <cell r="I214" t="str">
            <v>TOCANTINOPOLIS</v>
          </cell>
        </row>
        <row r="215">
          <cell r="A215">
            <v>129</v>
          </cell>
          <cell r="B215" t="str">
            <v>SANTA TEREZINHA DO TOCANTINS</v>
          </cell>
          <cell r="C215" t="str">
            <v>0002</v>
          </cell>
          <cell r="D215" t="str">
            <v>TOCANTINOPOLIS</v>
          </cell>
          <cell r="E215" t="str">
            <v>0002</v>
          </cell>
          <cell r="F215" t="str">
            <v>TOCANTINOPOLIS</v>
          </cell>
          <cell r="G215">
            <v>4</v>
          </cell>
          <cell r="H215" t="str">
            <v>NORTE</v>
          </cell>
          <cell r="I215" t="str">
            <v>SANTA TEREZINHA DO TOCANTINS</v>
          </cell>
        </row>
        <row r="216">
          <cell r="A216">
            <v>119</v>
          </cell>
          <cell r="B216" t="str">
            <v>SAO BENTO DO TOCANTINS</v>
          </cell>
          <cell r="C216" t="str">
            <v>0171</v>
          </cell>
          <cell r="D216" t="str">
            <v>SAO BENTO DO TOCANTINS</v>
          </cell>
          <cell r="E216" t="str">
            <v>0002</v>
          </cell>
          <cell r="F216" t="str">
            <v>TOCANTINOPOLIS</v>
          </cell>
          <cell r="G216">
            <v>4</v>
          </cell>
          <cell r="H216" t="str">
            <v>NORTE</v>
          </cell>
          <cell r="I216" t="str">
            <v>SAO BENTO DO TOCANTINS</v>
          </cell>
        </row>
        <row r="217">
          <cell r="A217">
            <v>214</v>
          </cell>
          <cell r="B217" t="str">
            <v>FOLHA SECA</v>
          </cell>
          <cell r="C217" t="str">
            <v>0088</v>
          </cell>
          <cell r="D217" t="str">
            <v>SITIO NOVO TOCANTINS</v>
          </cell>
          <cell r="E217" t="str">
            <v>0045</v>
          </cell>
          <cell r="F217" t="str">
            <v>AUGUSTINOPOLIS</v>
          </cell>
          <cell r="G217">
            <v>4</v>
          </cell>
          <cell r="H217" t="str">
            <v>NORTE</v>
          </cell>
          <cell r="I217" t="str">
            <v>SITIO NOVO DO TOCANTINS</v>
          </cell>
        </row>
        <row r="218">
          <cell r="A218">
            <v>215</v>
          </cell>
          <cell r="B218" t="str">
            <v>SUMAUMA</v>
          </cell>
          <cell r="C218" t="str">
            <v>0088</v>
          </cell>
          <cell r="D218" t="str">
            <v>SITIO NOVO TOCANTINS</v>
          </cell>
          <cell r="E218" t="str">
            <v>0045</v>
          </cell>
          <cell r="F218" t="str">
            <v>AUGUSTINOPOLIS</v>
          </cell>
          <cell r="G218">
            <v>4</v>
          </cell>
          <cell r="H218" t="str">
            <v>NORTE</v>
          </cell>
          <cell r="I218" t="str">
            <v>SITIO NOVO DO TOCANTINS</v>
          </cell>
        </row>
        <row r="219">
          <cell r="A219">
            <v>255</v>
          </cell>
          <cell r="B219" t="str">
            <v>SAO JOAO DO ARAGUAIA</v>
          </cell>
          <cell r="C219" t="str">
            <v>0098</v>
          </cell>
          <cell r="D219" t="str">
            <v>ANANAS</v>
          </cell>
          <cell r="E219" t="str">
            <v>0002</v>
          </cell>
          <cell r="F219" t="str">
            <v>TOCANTINOPOLIS</v>
          </cell>
          <cell r="G219">
            <v>4</v>
          </cell>
          <cell r="H219" t="str">
            <v>NORTE</v>
          </cell>
          <cell r="I219" t="str">
            <v>ANANAS</v>
          </cell>
        </row>
        <row r="220">
          <cell r="A220">
            <v>217</v>
          </cell>
          <cell r="B220" t="str">
            <v>ALTO DO ZUMBI</v>
          </cell>
          <cell r="C220" t="str">
            <v>0065</v>
          </cell>
          <cell r="D220" t="str">
            <v>AXIXA DO TOCANTINS</v>
          </cell>
          <cell r="E220" t="str">
            <v>0045</v>
          </cell>
          <cell r="F220" t="str">
            <v>AUGUSTINOPOLIS</v>
          </cell>
          <cell r="G220">
            <v>4</v>
          </cell>
          <cell r="H220" t="str">
            <v>NORTE</v>
          </cell>
          <cell r="I220" t="str">
            <v>AXIXA DO TOCANTINS</v>
          </cell>
        </row>
        <row r="221">
          <cell r="A221">
            <v>218</v>
          </cell>
          <cell r="B221" t="str">
            <v>CENTRO DOS MAMEDES</v>
          </cell>
          <cell r="C221" t="str">
            <v>0065</v>
          </cell>
          <cell r="D221" t="str">
            <v>AXIXA DO TOCANTINS</v>
          </cell>
          <cell r="E221" t="str">
            <v>0045</v>
          </cell>
          <cell r="F221" t="str">
            <v>AUGUSTINOPOLIS</v>
          </cell>
          <cell r="G221">
            <v>4</v>
          </cell>
          <cell r="H221" t="str">
            <v>NORTE</v>
          </cell>
          <cell r="I221" t="str">
            <v>AXIXA DO TOCANTINS</v>
          </cell>
        </row>
        <row r="222">
          <cell r="A222">
            <v>219</v>
          </cell>
          <cell r="B222" t="str">
            <v>GROTAO DE AXIXA</v>
          </cell>
          <cell r="C222" t="str">
            <v>0065</v>
          </cell>
          <cell r="D222" t="str">
            <v>AXIXA DO TOCANTINS</v>
          </cell>
          <cell r="E222" t="str">
            <v>0045</v>
          </cell>
          <cell r="F222" t="str">
            <v>AUGUSTINOPOLIS</v>
          </cell>
          <cell r="G222">
            <v>4</v>
          </cell>
          <cell r="H222" t="str">
            <v>NORTE</v>
          </cell>
          <cell r="I222" t="str">
            <v>AXIXA DO TOCANTINS</v>
          </cell>
        </row>
        <row r="223">
          <cell r="A223">
            <v>220</v>
          </cell>
          <cell r="B223" t="str">
            <v>LAGO VERDE</v>
          </cell>
          <cell r="C223" t="str">
            <v>0065</v>
          </cell>
          <cell r="D223" t="str">
            <v>AXIXA DO TOCANTINS</v>
          </cell>
          <cell r="E223" t="str">
            <v>0045</v>
          </cell>
          <cell r="F223" t="str">
            <v>AUGUSTINOPOLIS</v>
          </cell>
          <cell r="G223">
            <v>4</v>
          </cell>
          <cell r="H223" t="str">
            <v>NORTE</v>
          </cell>
          <cell r="I223" t="str">
            <v>AXIXA DO TOCANTINS</v>
          </cell>
        </row>
        <row r="224">
          <cell r="A224">
            <v>221</v>
          </cell>
          <cell r="B224" t="str">
            <v>PEQUIZEIRO DO AXIXA</v>
          </cell>
          <cell r="C224" t="str">
            <v>0065</v>
          </cell>
          <cell r="D224" t="str">
            <v>AXIXA DO TOCANTINS</v>
          </cell>
          <cell r="E224" t="str">
            <v>0045</v>
          </cell>
          <cell r="F224" t="str">
            <v>AUGUSTINOPOLIS</v>
          </cell>
          <cell r="G224">
            <v>4</v>
          </cell>
          <cell r="H224" t="str">
            <v>NORTE</v>
          </cell>
          <cell r="I224" t="str">
            <v>AXIXA DO TOCANTINS</v>
          </cell>
        </row>
        <row r="225">
          <cell r="A225">
            <v>224</v>
          </cell>
          <cell r="B225" t="str">
            <v>MIRANDOPOLIS</v>
          </cell>
          <cell r="C225" t="str">
            <v>0009</v>
          </cell>
          <cell r="D225" t="str">
            <v>GUARAI</v>
          </cell>
          <cell r="E225" t="str">
            <v>0009</v>
          </cell>
          <cell r="F225" t="str">
            <v>GUARAI</v>
          </cell>
          <cell r="G225">
            <v>4</v>
          </cell>
          <cell r="H225" t="str">
            <v>NORTE</v>
          </cell>
          <cell r="I225" t="str">
            <v>GUARAI</v>
          </cell>
        </row>
        <row r="226">
          <cell r="A226">
            <v>225</v>
          </cell>
          <cell r="B226" t="str">
            <v>COUTO VELHO</v>
          </cell>
          <cell r="C226" t="str">
            <v>0113</v>
          </cell>
          <cell r="D226" t="str">
            <v>COUTO MAGALHAES</v>
          </cell>
          <cell r="E226" t="str">
            <v>0009</v>
          </cell>
          <cell r="F226" t="str">
            <v>GUARAI</v>
          </cell>
          <cell r="G226">
            <v>4</v>
          </cell>
          <cell r="H226" t="str">
            <v>NORTE</v>
          </cell>
          <cell r="I226" t="str">
            <v>COUTO MAGALHAES</v>
          </cell>
        </row>
        <row r="227">
          <cell r="A227">
            <v>226</v>
          </cell>
          <cell r="B227" t="str">
            <v>ROSALANDIA</v>
          </cell>
          <cell r="C227" t="str">
            <v>0046</v>
          </cell>
          <cell r="D227" t="str">
            <v>NOVA ROSALANDIA</v>
          </cell>
          <cell r="E227" t="str">
            <v>0013</v>
          </cell>
          <cell r="F227" t="str">
            <v>PARAISO DO TOCANTINS</v>
          </cell>
          <cell r="G227">
            <v>122</v>
          </cell>
          <cell r="H227" t="str">
            <v>CENTRO</v>
          </cell>
          <cell r="I227" t="str">
            <v>NOVA ROSALANDIA</v>
          </cell>
        </row>
        <row r="228">
          <cell r="A228">
            <v>228</v>
          </cell>
          <cell r="B228" t="str">
            <v>JUVERLANDIA</v>
          </cell>
          <cell r="C228" t="str">
            <v>0088</v>
          </cell>
          <cell r="D228" t="str">
            <v>SITIO NOVO TOCANTINS</v>
          </cell>
          <cell r="E228" t="str">
            <v>0045</v>
          </cell>
          <cell r="F228" t="str">
            <v>AUGUSTINOPOLIS</v>
          </cell>
          <cell r="G228">
            <v>4</v>
          </cell>
          <cell r="H228" t="str">
            <v>NORTE</v>
          </cell>
          <cell r="I228" t="str">
            <v>SITIO NOVO DO TOCANTINS</v>
          </cell>
        </row>
        <row r="229">
          <cell r="A229">
            <v>229</v>
          </cell>
          <cell r="B229" t="str">
            <v>POVOADO SAO PEDRO</v>
          </cell>
          <cell r="C229" t="str">
            <v>0088</v>
          </cell>
          <cell r="D229" t="str">
            <v>SITIO NOVO TOCANTINS</v>
          </cell>
          <cell r="E229" t="str">
            <v>0045</v>
          </cell>
          <cell r="F229" t="str">
            <v>AUGUSTINOPOLIS</v>
          </cell>
          <cell r="G229">
            <v>4</v>
          </cell>
          <cell r="H229" t="str">
            <v>NORTE</v>
          </cell>
          <cell r="I229" t="str">
            <v>SITIO NOVO DO TOCANTINS</v>
          </cell>
        </row>
        <row r="230">
          <cell r="A230">
            <v>230</v>
          </cell>
          <cell r="B230" t="str">
            <v>POVOADO CENTRO NOVO</v>
          </cell>
          <cell r="C230" t="str">
            <v>0088</v>
          </cell>
          <cell r="D230" t="str">
            <v>SITIO NOVO TOCANTINS</v>
          </cell>
          <cell r="E230" t="str">
            <v>0045</v>
          </cell>
          <cell r="F230" t="str">
            <v>AUGUSTINOPOLIS</v>
          </cell>
          <cell r="G230">
            <v>4</v>
          </cell>
          <cell r="H230" t="str">
            <v>NORTE</v>
          </cell>
          <cell r="I230" t="str">
            <v>SITIO NOVO DO TOCANTINS</v>
          </cell>
        </row>
        <row r="231">
          <cell r="A231">
            <v>233</v>
          </cell>
          <cell r="B231" t="str">
            <v>ABREULANDIA</v>
          </cell>
          <cell r="C231" t="str">
            <v>0084</v>
          </cell>
          <cell r="D231" t="str">
            <v>DIVINOPOLIS</v>
          </cell>
          <cell r="E231" t="str">
            <v>0084</v>
          </cell>
          <cell r="F231" t="str">
            <v>DIVINOPOLIS</v>
          </cell>
          <cell r="G231">
            <v>122</v>
          </cell>
          <cell r="H231" t="str">
            <v>CENTRO</v>
          </cell>
          <cell r="I231" t="str">
            <v>ABREULANDIA</v>
          </cell>
        </row>
        <row r="232">
          <cell r="A232">
            <v>234</v>
          </cell>
          <cell r="B232" t="str">
            <v>POVOADO CANA BRAVA</v>
          </cell>
          <cell r="C232" t="str">
            <v>0005</v>
          </cell>
          <cell r="D232" t="str">
            <v>ARRAIAS</v>
          </cell>
          <cell r="E232" t="str">
            <v>0074</v>
          </cell>
          <cell r="F232" t="str">
            <v>DIANOPOLIS</v>
          </cell>
          <cell r="G232">
            <v>3</v>
          </cell>
          <cell r="H232" t="str">
            <v>SUL</v>
          </cell>
          <cell r="I232" t="str">
            <v>ARRAIAS</v>
          </cell>
        </row>
        <row r="233">
          <cell r="A233">
            <v>235</v>
          </cell>
          <cell r="B233" t="str">
            <v>POVOADO JACARE</v>
          </cell>
          <cell r="C233" t="str">
            <v>0005</v>
          </cell>
          <cell r="D233" t="str">
            <v>ARRAIAS</v>
          </cell>
          <cell r="E233" t="str">
            <v>0074</v>
          </cell>
          <cell r="F233" t="str">
            <v>DIANOPOLIS</v>
          </cell>
          <cell r="G233">
            <v>3</v>
          </cell>
          <cell r="H233" t="str">
            <v>SUL</v>
          </cell>
          <cell r="I233" t="str">
            <v>ARRAIAS</v>
          </cell>
        </row>
        <row r="234">
          <cell r="A234">
            <v>200</v>
          </cell>
          <cell r="B234" t="str">
            <v>SAO SALVADOR DO TOCANTINS</v>
          </cell>
          <cell r="C234" t="str">
            <v>0029</v>
          </cell>
          <cell r="D234" t="str">
            <v>SAO SALVADOR DO TOCANTINS</v>
          </cell>
          <cell r="E234" t="str">
            <v>0094</v>
          </cell>
          <cell r="F234" t="str">
            <v>PEIXE</v>
          </cell>
          <cell r="G234">
            <v>3</v>
          </cell>
          <cell r="H234" t="str">
            <v>SUL</v>
          </cell>
          <cell r="I234" t="str">
            <v>SAO SALVADOR DO TOCANTINS</v>
          </cell>
        </row>
        <row r="235">
          <cell r="A235">
            <v>237</v>
          </cell>
          <cell r="B235" t="str">
            <v>CENTRO DE URUE</v>
          </cell>
          <cell r="C235" t="str">
            <v>0088</v>
          </cell>
          <cell r="D235" t="str">
            <v>SITIO NOVO TOCANTINS</v>
          </cell>
          <cell r="E235" t="str">
            <v>0045</v>
          </cell>
          <cell r="F235" t="str">
            <v>AUGUSTINOPOLIS</v>
          </cell>
          <cell r="G235">
            <v>4</v>
          </cell>
          <cell r="H235" t="str">
            <v>NORTE</v>
          </cell>
          <cell r="I235" t="str">
            <v>SITIO NOVO DO TOCANTINS</v>
          </cell>
        </row>
        <row r="236">
          <cell r="A236">
            <v>239</v>
          </cell>
          <cell r="B236" t="str">
            <v>POVOADO BURITI SAO MIGUEL</v>
          </cell>
          <cell r="C236" t="str">
            <v>0088</v>
          </cell>
          <cell r="D236" t="str">
            <v>SITIO NOVO TOCANTINS</v>
          </cell>
          <cell r="E236" t="str">
            <v>0045</v>
          </cell>
          <cell r="F236" t="str">
            <v>AUGUSTINOPOLIS</v>
          </cell>
          <cell r="G236">
            <v>4</v>
          </cell>
          <cell r="H236" t="str">
            <v>NORTE</v>
          </cell>
          <cell r="I236" t="str">
            <v>SAO MIGUEL DO TOCANTINS</v>
          </cell>
        </row>
        <row r="237">
          <cell r="A237">
            <v>125</v>
          </cell>
          <cell r="B237" t="str">
            <v>SAO RAIMUNDO</v>
          </cell>
          <cell r="C237" t="str">
            <v>0098</v>
          </cell>
          <cell r="D237" t="str">
            <v>ANANAS</v>
          </cell>
          <cell r="E237" t="str">
            <v>0002</v>
          </cell>
          <cell r="F237" t="str">
            <v>TOCANTINOPOLIS</v>
          </cell>
          <cell r="G237">
            <v>4</v>
          </cell>
          <cell r="H237" t="str">
            <v>NORTE</v>
          </cell>
          <cell r="I237" t="str">
            <v>ANANAS</v>
          </cell>
        </row>
        <row r="238">
          <cell r="A238">
            <v>243</v>
          </cell>
          <cell r="B238" t="str">
            <v>TREVO DA PRAIA</v>
          </cell>
          <cell r="C238" t="str">
            <v>0003</v>
          </cell>
          <cell r="D238" t="str">
            <v>GURUPI</v>
          </cell>
          <cell r="E238" t="str">
            <v>0003</v>
          </cell>
          <cell r="F238" t="str">
            <v>GURUPI</v>
          </cell>
          <cell r="G238">
            <v>3</v>
          </cell>
          <cell r="H238" t="str">
            <v>SUL</v>
          </cell>
          <cell r="I238" t="str">
            <v>GURUPI</v>
          </cell>
        </row>
        <row r="239">
          <cell r="A239">
            <v>244</v>
          </cell>
          <cell r="B239" t="str">
            <v>BAIANOPOLIS</v>
          </cell>
          <cell r="C239" t="str">
            <v>0032</v>
          </cell>
          <cell r="D239" t="str">
            <v>ARAGUACU</v>
          </cell>
          <cell r="E239" t="str">
            <v>0036</v>
          </cell>
          <cell r="F239" t="str">
            <v>FORMOSO DO ARAGUAIA</v>
          </cell>
          <cell r="G239">
            <v>3</v>
          </cell>
          <cell r="H239" t="str">
            <v>SUL</v>
          </cell>
          <cell r="I239" t="str">
            <v>ARAGUACU</v>
          </cell>
        </row>
        <row r="240">
          <cell r="A240">
            <v>245</v>
          </cell>
          <cell r="B240" t="str">
            <v>PRINCIPE</v>
          </cell>
          <cell r="C240" t="str">
            <v>0028</v>
          </cell>
          <cell r="D240" t="str">
            <v>NATIVIDADE</v>
          </cell>
          <cell r="E240" t="str">
            <v>0074</v>
          </cell>
          <cell r="F240" t="str">
            <v>DIANOPOLIS</v>
          </cell>
          <cell r="G240">
            <v>3</v>
          </cell>
          <cell r="H240" t="str">
            <v>SUL</v>
          </cell>
          <cell r="I240" t="str">
            <v>NATIVIDADE</v>
          </cell>
        </row>
        <row r="241">
          <cell r="A241">
            <v>2</v>
          </cell>
          <cell r="B241" t="str">
            <v>TOCANTINOPOLIS</v>
          </cell>
          <cell r="C241" t="str">
            <v>0002</v>
          </cell>
          <cell r="D241" t="str">
            <v>TOCANTINOPOLIS</v>
          </cell>
          <cell r="E241" t="str">
            <v>0002</v>
          </cell>
          <cell r="F241" t="str">
            <v>TOCANTINOPOLIS</v>
          </cell>
          <cell r="G241">
            <v>4</v>
          </cell>
          <cell r="H241" t="str">
            <v>NORTE</v>
          </cell>
          <cell r="I241" t="str">
            <v>TOCANTINOPOLIS</v>
          </cell>
        </row>
        <row r="242">
          <cell r="A242">
            <v>248</v>
          </cell>
          <cell r="B242" t="str">
            <v>POVOADO CACHOEIRINHA</v>
          </cell>
          <cell r="C242" t="str">
            <v>0033</v>
          </cell>
          <cell r="D242" t="str">
            <v>COLMEIA</v>
          </cell>
          <cell r="E242" t="str">
            <v>0009</v>
          </cell>
          <cell r="F242" t="str">
            <v>GUARAI</v>
          </cell>
          <cell r="G242">
            <v>4</v>
          </cell>
          <cell r="H242" t="str">
            <v>NORTE</v>
          </cell>
          <cell r="I242" t="str">
            <v>COLMEIA</v>
          </cell>
        </row>
        <row r="243">
          <cell r="A243">
            <v>250</v>
          </cell>
          <cell r="B243" t="str">
            <v>IPUEIRAS</v>
          </cell>
          <cell r="C243" t="str">
            <v>0001</v>
          </cell>
          <cell r="D243" t="str">
            <v>PORTO NACIONAL</v>
          </cell>
          <cell r="E243" t="str">
            <v>0001</v>
          </cell>
          <cell r="F243" t="str">
            <v>PORTO NACIONAL</v>
          </cell>
          <cell r="G243">
            <v>122</v>
          </cell>
          <cell r="H243" t="str">
            <v>CENTRO</v>
          </cell>
          <cell r="I243" t="str">
            <v>IPUEIRAS</v>
          </cell>
        </row>
        <row r="244">
          <cell r="A244">
            <v>251</v>
          </cell>
          <cell r="B244" t="str">
            <v>SAO FRANCISCO</v>
          </cell>
          <cell r="C244" t="str">
            <v>0001</v>
          </cell>
          <cell r="D244" t="str">
            <v>PORTO NACIONAL</v>
          </cell>
          <cell r="E244" t="str">
            <v>0001</v>
          </cell>
          <cell r="F244" t="str">
            <v>PORTO NACIONAL</v>
          </cell>
          <cell r="G244">
            <v>122</v>
          </cell>
          <cell r="H244" t="str">
            <v>CENTRO</v>
          </cell>
          <cell r="I244" t="str">
            <v>PORTO NACIONAL</v>
          </cell>
        </row>
        <row r="245">
          <cell r="A245">
            <v>254</v>
          </cell>
          <cell r="B245" t="str">
            <v>BARRA DA AROEIRA</v>
          </cell>
          <cell r="C245" t="str">
            <v>0151</v>
          </cell>
          <cell r="D245" t="str">
            <v>SANTA TEREZA DO TOCANTINS</v>
          </cell>
          <cell r="E245" t="str">
            <v>0059</v>
          </cell>
          <cell r="F245" t="str">
            <v>TAQUARALTO</v>
          </cell>
          <cell r="G245">
            <v>122</v>
          </cell>
          <cell r="H245" t="str">
            <v>CENTRO</v>
          </cell>
          <cell r="I245" t="str">
            <v>SANTA TEREZA DO TOCANTINS</v>
          </cell>
        </row>
        <row r="246">
          <cell r="A246">
            <v>216</v>
          </cell>
          <cell r="B246" t="str">
            <v>TUCUNS</v>
          </cell>
          <cell r="C246" t="str">
            <v>0002</v>
          </cell>
          <cell r="D246" t="str">
            <v>TOCANTINOPOLIS</v>
          </cell>
          <cell r="E246" t="str">
            <v>0002</v>
          </cell>
          <cell r="F246" t="str">
            <v>TOCANTINOPOLIS</v>
          </cell>
          <cell r="G246">
            <v>4</v>
          </cell>
          <cell r="H246" t="str">
            <v>NORTE</v>
          </cell>
          <cell r="I246" t="str">
            <v>NAZARE</v>
          </cell>
        </row>
        <row r="247">
          <cell r="A247">
            <v>256</v>
          </cell>
          <cell r="B247" t="str">
            <v>MATEIROS</v>
          </cell>
          <cell r="C247" t="str">
            <v>0256</v>
          </cell>
          <cell r="D247" t="str">
            <v>MATEIROS</v>
          </cell>
          <cell r="E247" t="str">
            <v>0026</v>
          </cell>
          <cell r="F247" t="str">
            <v>PONTE ALTA TOCANTINS</v>
          </cell>
          <cell r="G247">
            <v>122</v>
          </cell>
          <cell r="H247" t="str">
            <v>CENTRO</v>
          </cell>
          <cell r="I247" t="str">
            <v>MATEIROS</v>
          </cell>
        </row>
        <row r="248">
          <cell r="A248">
            <v>257</v>
          </cell>
          <cell r="B248" t="str">
            <v>SAO FELIX DO TOCANTINS</v>
          </cell>
          <cell r="C248" t="str">
            <v>0257</v>
          </cell>
          <cell r="D248" t="str">
            <v>SAO FELIX DO TOCANTINS</v>
          </cell>
          <cell r="E248" t="str">
            <v>0026</v>
          </cell>
          <cell r="F248" t="str">
            <v>PONTE ALTA TOCANTINS</v>
          </cell>
          <cell r="G248">
            <v>122</v>
          </cell>
          <cell r="H248" t="str">
            <v>CENTRO</v>
          </cell>
          <cell r="I248" t="str">
            <v>SAO FELIX DO TOCANTINS</v>
          </cell>
        </row>
        <row r="249">
          <cell r="A249">
            <v>260</v>
          </cell>
          <cell r="B249" t="str">
            <v>APINAJE</v>
          </cell>
          <cell r="C249" t="str">
            <v>0148</v>
          </cell>
          <cell r="D249" t="str">
            <v>SAO VALERIO DA NATIVIDADE</v>
          </cell>
          <cell r="E249" t="str">
            <v>0094</v>
          </cell>
          <cell r="F249" t="str">
            <v>PEIXE</v>
          </cell>
          <cell r="G249">
            <v>3</v>
          </cell>
          <cell r="H249" t="str">
            <v>SUL</v>
          </cell>
          <cell r="I249" t="str">
            <v>SAO VALERIO DA NATIVIDADE</v>
          </cell>
        </row>
        <row r="250">
          <cell r="A250">
            <v>261</v>
          </cell>
          <cell r="B250" t="str">
            <v>VILA DEPASA</v>
          </cell>
          <cell r="C250" t="str">
            <v>0005</v>
          </cell>
          <cell r="D250" t="str">
            <v>ARRAIAS</v>
          </cell>
          <cell r="E250" t="str">
            <v>0074</v>
          </cell>
          <cell r="F250" t="str">
            <v>DIANOPOLIS</v>
          </cell>
          <cell r="G250">
            <v>3</v>
          </cell>
          <cell r="H250" t="str">
            <v>SUL</v>
          </cell>
          <cell r="I250" t="str">
            <v>ARRAIAS</v>
          </cell>
        </row>
        <row r="251">
          <cell r="A251">
            <v>262</v>
          </cell>
          <cell r="B251" t="str">
            <v>SAO JOAO DO JAVAE</v>
          </cell>
          <cell r="C251" t="str">
            <v>0052</v>
          </cell>
          <cell r="D251" t="str">
            <v>FORMOSO DO ARAGUAIA</v>
          </cell>
          <cell r="E251" t="str">
            <v>0036</v>
          </cell>
          <cell r="F251" t="str">
            <v>FORMOSO DO ARAGUAIA</v>
          </cell>
          <cell r="G251">
            <v>3</v>
          </cell>
          <cell r="H251" t="str">
            <v>SUL</v>
          </cell>
          <cell r="I251" t="str">
            <v>FORMOSO DO ARAGUAIA</v>
          </cell>
        </row>
        <row r="252">
          <cell r="A252">
            <v>263</v>
          </cell>
          <cell r="B252" t="str">
            <v>RIO DA CONCEICAO</v>
          </cell>
          <cell r="C252" t="str">
            <v>0074</v>
          </cell>
          <cell r="D252" t="str">
            <v>DIANOPOLIS</v>
          </cell>
          <cell r="E252" t="str">
            <v>0074</v>
          </cell>
          <cell r="F252" t="str">
            <v>DIANOPOLIS</v>
          </cell>
          <cell r="G252">
            <v>3</v>
          </cell>
          <cell r="H252" t="str">
            <v>SUL</v>
          </cell>
          <cell r="I252" t="str">
            <v>RIO DA CONCEICAO</v>
          </cell>
        </row>
        <row r="253">
          <cell r="A253">
            <v>264</v>
          </cell>
          <cell r="B253" t="str">
            <v>CATINGUEIRO</v>
          </cell>
          <cell r="C253" t="str">
            <v>0074</v>
          </cell>
          <cell r="D253" t="str">
            <v>DIANOPOLIS</v>
          </cell>
          <cell r="E253" t="str">
            <v>0074</v>
          </cell>
          <cell r="F253" t="str">
            <v>DIANOPOLIS</v>
          </cell>
          <cell r="G253">
            <v>3</v>
          </cell>
          <cell r="H253" t="str">
            <v>SUL</v>
          </cell>
          <cell r="I253" t="str">
            <v>RIO DA CONCEICAO</v>
          </cell>
        </row>
        <row r="254">
          <cell r="A254">
            <v>148</v>
          </cell>
          <cell r="B254" t="str">
            <v>SAO VALERIO DA NATIVIDADE</v>
          </cell>
          <cell r="C254" t="str">
            <v>0148</v>
          </cell>
          <cell r="D254" t="str">
            <v>SAO VALERIO DA NATIVIDADE</v>
          </cell>
          <cell r="E254" t="str">
            <v>0094</v>
          </cell>
          <cell r="F254" t="str">
            <v>PEIXE</v>
          </cell>
          <cell r="G254">
            <v>3</v>
          </cell>
          <cell r="H254" t="str">
            <v>SUL</v>
          </cell>
          <cell r="I254" t="str">
            <v>SAO VALERIO DA NATIVIDADE</v>
          </cell>
        </row>
        <row r="255">
          <cell r="A255">
            <v>8</v>
          </cell>
          <cell r="B255" t="str">
            <v>MIRANORTE</v>
          </cell>
          <cell r="C255" t="str">
            <v>0008</v>
          </cell>
          <cell r="D255" t="str">
            <v>MIRANORTE</v>
          </cell>
          <cell r="E255" t="str">
            <v>0007</v>
          </cell>
          <cell r="F255" t="str">
            <v>MIRACEMA DO TOCANTINS</v>
          </cell>
          <cell r="G255">
            <v>122</v>
          </cell>
          <cell r="H255" t="str">
            <v>CENTRO</v>
          </cell>
          <cell r="I255" t="str">
            <v>MIRANORTE</v>
          </cell>
        </row>
        <row r="256">
          <cell r="A256">
            <v>18</v>
          </cell>
          <cell r="B256" t="str">
            <v>BOM JESUS DO TOCANTINS</v>
          </cell>
          <cell r="C256" t="str">
            <v>0015</v>
          </cell>
          <cell r="D256" t="str">
            <v>PEDRO AFONSO</v>
          </cell>
          <cell r="E256" t="str">
            <v>0009</v>
          </cell>
          <cell r="F256" t="str">
            <v>GUARAI</v>
          </cell>
          <cell r="G256">
            <v>4</v>
          </cell>
          <cell r="H256" t="str">
            <v>NORTE</v>
          </cell>
          <cell r="I256" t="str">
            <v>BOM JESUS DO TOCANTINS</v>
          </cell>
        </row>
        <row r="257">
          <cell r="A257">
            <v>27</v>
          </cell>
          <cell r="B257" t="str">
            <v>PONTE ALTA BOM JESUS</v>
          </cell>
          <cell r="C257" t="str">
            <v>0027</v>
          </cell>
          <cell r="D257" t="str">
            <v>PONTE ALTA BOM JESUS</v>
          </cell>
          <cell r="E257" t="str">
            <v>0074</v>
          </cell>
          <cell r="F257" t="str">
            <v>DIANOPOLIS</v>
          </cell>
          <cell r="G257">
            <v>3</v>
          </cell>
          <cell r="H257" t="str">
            <v>SUL</v>
          </cell>
          <cell r="I257" t="str">
            <v>PONTE ALTA BOM JESUS</v>
          </cell>
        </row>
        <row r="258">
          <cell r="A258">
            <v>16</v>
          </cell>
          <cell r="B258" t="str">
            <v>WANDERLANDIA</v>
          </cell>
          <cell r="C258" t="str">
            <v>0016</v>
          </cell>
          <cell r="D258" t="str">
            <v>WANDERLANDIA</v>
          </cell>
          <cell r="E258" t="str">
            <v>0002</v>
          </cell>
          <cell r="F258" t="str">
            <v>TOCANTINOPOLIS</v>
          </cell>
          <cell r="G258">
            <v>4</v>
          </cell>
          <cell r="H258" t="str">
            <v>NORTE</v>
          </cell>
          <cell r="I258" t="str">
            <v>WANDERLANDIA</v>
          </cell>
        </row>
        <row r="259">
          <cell r="A259">
            <v>63</v>
          </cell>
          <cell r="B259" t="str">
            <v>BANDEIRANTES DO TOCANTINS</v>
          </cell>
          <cell r="C259" t="str">
            <v>0060</v>
          </cell>
          <cell r="D259" t="str">
            <v>NOVA OLINDA</v>
          </cell>
          <cell r="E259" t="str">
            <v>0023</v>
          </cell>
          <cell r="F259" t="str">
            <v>COLINAS DO TOCANTINS</v>
          </cell>
          <cell r="G259">
            <v>4</v>
          </cell>
          <cell r="H259" t="str">
            <v>NORTE</v>
          </cell>
          <cell r="I259" t="str">
            <v>BANDEIRANTES DO TOCANTINS</v>
          </cell>
        </row>
        <row r="260">
          <cell r="A260">
            <v>72</v>
          </cell>
          <cell r="B260" t="str">
            <v>CONCEICAO DO TOCANTINS</v>
          </cell>
          <cell r="C260" t="str">
            <v>0072</v>
          </cell>
          <cell r="D260" t="str">
            <v>CONCEICAO DO TOCANTINS</v>
          </cell>
          <cell r="E260" t="str">
            <v>0074</v>
          </cell>
          <cell r="F260" t="str">
            <v>DIANOPOLIS</v>
          </cell>
          <cell r="G260">
            <v>3</v>
          </cell>
          <cell r="H260" t="str">
            <v>SUL</v>
          </cell>
          <cell r="I260" t="str">
            <v>CONCEICAO DO TOCANTINS</v>
          </cell>
        </row>
        <row r="261">
          <cell r="A261">
            <v>79</v>
          </cell>
          <cell r="B261" t="str">
            <v>ITAPIRATINS</v>
          </cell>
          <cell r="C261" t="str">
            <v>0079</v>
          </cell>
          <cell r="D261" t="str">
            <v>ITAPIRATINS</v>
          </cell>
          <cell r="E261" t="str">
            <v>0009</v>
          </cell>
          <cell r="F261" t="str">
            <v>GUARAI</v>
          </cell>
          <cell r="G261">
            <v>4</v>
          </cell>
          <cell r="H261" t="str">
            <v>NORTE</v>
          </cell>
          <cell r="I261" t="str">
            <v>ITAPIRATINS</v>
          </cell>
        </row>
        <row r="262">
          <cell r="A262">
            <v>6</v>
          </cell>
          <cell r="B262" t="str">
            <v>TOCANTINIA</v>
          </cell>
          <cell r="C262" t="str">
            <v>0006</v>
          </cell>
          <cell r="D262" t="str">
            <v>TOCANTINIA</v>
          </cell>
          <cell r="E262" t="str">
            <v>0007</v>
          </cell>
          <cell r="F262" t="str">
            <v>MIRACEMA DO TOCANTINS</v>
          </cell>
          <cell r="G262">
            <v>122</v>
          </cell>
          <cell r="H262" t="str">
            <v>CENTRO</v>
          </cell>
          <cell r="I262" t="str">
            <v>TOCANTINIA</v>
          </cell>
        </row>
        <row r="263">
          <cell r="A263">
            <v>10</v>
          </cell>
          <cell r="B263" t="str">
            <v>LAJEADO</v>
          </cell>
          <cell r="C263" t="str">
            <v>0010</v>
          </cell>
          <cell r="D263" t="str">
            <v>LAJEADO</v>
          </cell>
          <cell r="E263" t="str">
            <v>0007</v>
          </cell>
          <cell r="F263" t="str">
            <v>MIRACEMA DO TOCANTINS</v>
          </cell>
          <cell r="G263">
            <v>122</v>
          </cell>
          <cell r="H263" t="str">
            <v>CENTRO</v>
          </cell>
          <cell r="I263" t="str">
            <v>LAJEADO</v>
          </cell>
        </row>
        <row r="264">
          <cell r="A264">
            <v>14</v>
          </cell>
          <cell r="B264" t="str">
            <v>PIUM</v>
          </cell>
          <cell r="C264" t="str">
            <v>0014</v>
          </cell>
          <cell r="D264" t="str">
            <v>PIUM</v>
          </cell>
          <cell r="E264" t="str">
            <v>0013</v>
          </cell>
          <cell r="F264" t="str">
            <v>PARAISO DO TOCANTINS</v>
          </cell>
          <cell r="G264">
            <v>122</v>
          </cell>
          <cell r="H264" t="str">
            <v>CENTRO</v>
          </cell>
          <cell r="I264" t="str">
            <v>PIUM</v>
          </cell>
        </row>
        <row r="265">
          <cell r="A265">
            <v>17</v>
          </cell>
          <cell r="B265" t="str">
            <v>BARROLANDIA</v>
          </cell>
          <cell r="C265" t="str">
            <v>0017</v>
          </cell>
          <cell r="D265" t="str">
            <v>BARROLANDIA</v>
          </cell>
          <cell r="E265" t="str">
            <v>0007</v>
          </cell>
          <cell r="F265" t="str">
            <v>MIRACEMA DO TOCANTINS</v>
          </cell>
          <cell r="G265">
            <v>122</v>
          </cell>
          <cell r="H265" t="str">
            <v>CENTRO</v>
          </cell>
          <cell r="I265" t="str">
            <v>BARROLANDIA</v>
          </cell>
        </row>
        <row r="266">
          <cell r="A266">
            <v>259</v>
          </cell>
          <cell r="B266" t="str">
            <v>SERRANOPOLIS</v>
          </cell>
          <cell r="C266" t="str">
            <v>0148</v>
          </cell>
          <cell r="D266" t="str">
            <v>SAO VALERIO DA NATIVIDADE</v>
          </cell>
          <cell r="E266" t="str">
            <v>0094</v>
          </cell>
          <cell r="F266" t="str">
            <v>PEIXE</v>
          </cell>
          <cell r="G266">
            <v>3</v>
          </cell>
          <cell r="H266" t="str">
            <v>SUL</v>
          </cell>
          <cell r="I266" t="str">
            <v>SAO VALERIO DA NATIVIDADE</v>
          </cell>
        </row>
        <row r="267">
          <cell r="A267">
            <v>25</v>
          </cell>
          <cell r="B267" t="str">
            <v>ARAPOEMA</v>
          </cell>
          <cell r="C267" t="str">
            <v>0025</v>
          </cell>
          <cell r="D267" t="str">
            <v>ARAPOEMA</v>
          </cell>
          <cell r="E267" t="str">
            <v>0023</v>
          </cell>
          <cell r="F267" t="str">
            <v>COLINAS DO TOCANTINS</v>
          </cell>
          <cell r="G267">
            <v>4</v>
          </cell>
          <cell r="H267" t="str">
            <v>NORTE</v>
          </cell>
          <cell r="I267" t="str">
            <v>ARAPOEMA</v>
          </cell>
        </row>
        <row r="268">
          <cell r="A268">
            <v>139</v>
          </cell>
          <cell r="B268" t="str">
            <v>DORILANDIA</v>
          </cell>
          <cell r="C268" t="str">
            <v>0032</v>
          </cell>
          <cell r="D268" t="str">
            <v>ARAGUACU</v>
          </cell>
          <cell r="E268" t="str">
            <v>0036</v>
          </cell>
          <cell r="F268" t="str">
            <v>FORMOSO DO ARAGUAIA</v>
          </cell>
          <cell r="G268">
            <v>3</v>
          </cell>
          <cell r="H268" t="str">
            <v>SUL</v>
          </cell>
          <cell r="I268" t="str">
            <v>SANDOLANDIA</v>
          </cell>
        </row>
        <row r="269">
          <cell r="A269">
            <v>144</v>
          </cell>
          <cell r="B269" t="str">
            <v>ITAUBA</v>
          </cell>
          <cell r="C269" t="str">
            <v>0045</v>
          </cell>
          <cell r="D269" t="str">
            <v>AUGUSTINOPOLIS</v>
          </cell>
          <cell r="E269" t="str">
            <v>0045</v>
          </cell>
          <cell r="F269" t="str">
            <v>AUGUSTINOPOLIS</v>
          </cell>
          <cell r="G269">
            <v>4</v>
          </cell>
          <cell r="H269" t="str">
            <v>NORTE</v>
          </cell>
          <cell r="I269" t="str">
            <v>AUGUSTINOPOLIS</v>
          </cell>
        </row>
        <row r="270">
          <cell r="A270">
            <v>153</v>
          </cell>
          <cell r="B270" t="str">
            <v>BERNARDO SAYAO</v>
          </cell>
          <cell r="C270" t="str">
            <v>0153</v>
          </cell>
          <cell r="D270" t="str">
            <v>BERNARDO SAYAO</v>
          </cell>
          <cell r="E270" t="str">
            <v>0023</v>
          </cell>
          <cell r="F270" t="str">
            <v>COLINAS DO TOCANTINS</v>
          </cell>
          <cell r="G270">
            <v>4</v>
          </cell>
          <cell r="H270" t="str">
            <v>NORTE</v>
          </cell>
          <cell r="I270" t="str">
            <v>BERNARDO SAYAO</v>
          </cell>
        </row>
        <row r="271">
          <cell r="A271">
            <v>28</v>
          </cell>
          <cell r="B271" t="str">
            <v>NATIVIDADE</v>
          </cell>
          <cell r="C271" t="str">
            <v>0028</v>
          </cell>
          <cell r="D271" t="str">
            <v>NATIVIDADE</v>
          </cell>
          <cell r="E271" t="str">
            <v>0074</v>
          </cell>
          <cell r="F271" t="str">
            <v>DIANOPOLIS</v>
          </cell>
          <cell r="G271">
            <v>3</v>
          </cell>
          <cell r="H271" t="str">
            <v>SUL</v>
          </cell>
          <cell r="I271" t="str">
            <v>NATIVIDADE</v>
          </cell>
        </row>
        <row r="272">
          <cell r="A272">
            <v>159</v>
          </cell>
          <cell r="B272" t="str">
            <v>MURICILANDIA</v>
          </cell>
          <cell r="C272" t="str">
            <v>0058</v>
          </cell>
          <cell r="D272" t="str">
            <v>SANTA FE DO ARAGUAIA</v>
          </cell>
          <cell r="E272" t="str">
            <v>0004</v>
          </cell>
          <cell r="F272" t="str">
            <v>ARAGUAINA</v>
          </cell>
          <cell r="G272">
            <v>4</v>
          </cell>
          <cell r="H272" t="str">
            <v>NORTE</v>
          </cell>
          <cell r="I272" t="str">
            <v>MURICILANDIA</v>
          </cell>
        </row>
        <row r="273">
          <cell r="A273">
            <v>82</v>
          </cell>
          <cell r="B273" t="str">
            <v>LIZARDA</v>
          </cell>
          <cell r="C273" t="str">
            <v>0082</v>
          </cell>
          <cell r="D273" t="str">
            <v>LIZARDA</v>
          </cell>
          <cell r="E273" t="str">
            <v>0059</v>
          </cell>
          <cell r="F273" t="str">
            <v>TAQUARALTO</v>
          </cell>
          <cell r="G273">
            <v>122</v>
          </cell>
          <cell r="H273" t="str">
            <v>CENTRO</v>
          </cell>
          <cell r="I273" t="str">
            <v>LIZARDA</v>
          </cell>
        </row>
        <row r="274">
          <cell r="A274">
            <v>36</v>
          </cell>
          <cell r="B274" t="str">
            <v>ALVORADA</v>
          </cell>
          <cell r="C274" t="str">
            <v>0036</v>
          </cell>
          <cell r="D274" t="str">
            <v>ALVORADA</v>
          </cell>
          <cell r="E274" t="str">
            <v>0036</v>
          </cell>
          <cell r="F274" t="str">
            <v>FORMOSO DO ARAGUAIA</v>
          </cell>
          <cell r="G274">
            <v>3</v>
          </cell>
          <cell r="H274" t="str">
            <v>SUL</v>
          </cell>
          <cell r="I274" t="str">
            <v>ALVORADA</v>
          </cell>
        </row>
        <row r="275">
          <cell r="A275">
            <v>41</v>
          </cell>
          <cell r="B275" t="str">
            <v>CRIXAS DO TOCANTINS</v>
          </cell>
          <cell r="C275" t="str">
            <v>0037</v>
          </cell>
          <cell r="D275" t="str">
            <v>ALIANCA DO TOCANTINS</v>
          </cell>
          <cell r="E275" t="str">
            <v>0003</v>
          </cell>
          <cell r="F275" t="str">
            <v>GURUPI</v>
          </cell>
          <cell r="G275">
            <v>3</v>
          </cell>
          <cell r="H275" t="str">
            <v>SUL</v>
          </cell>
          <cell r="I275" t="str">
            <v>CRIXAS DO TOCANTINS</v>
          </cell>
        </row>
        <row r="276">
          <cell r="A276">
            <v>30</v>
          </cell>
          <cell r="B276" t="str">
            <v>XAMBIOA</v>
          </cell>
          <cell r="C276" t="str">
            <v>0030</v>
          </cell>
          <cell r="D276" t="str">
            <v>XAMBIOA</v>
          </cell>
          <cell r="E276" t="str">
            <v>0002</v>
          </cell>
          <cell r="F276" t="str">
            <v>TOCANTINOPOLIS</v>
          </cell>
          <cell r="G276">
            <v>4</v>
          </cell>
          <cell r="H276" t="str">
            <v>NORTE</v>
          </cell>
          <cell r="I276" t="str">
            <v>XAMBIOA</v>
          </cell>
        </row>
      </sheetData>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erencial"/>
      <sheetName val="Pendentes"/>
      <sheetName val="Premissas por Equipamento"/>
      <sheetName val="Planilha1"/>
      <sheetName val="Concluídas"/>
      <sheetName val="Criticidade por Equipamento Joa"/>
      <sheetName val="Joao"/>
      <sheetName val="Detalhes1"/>
      <sheetName val="DCMD - Orçamento"/>
      <sheetName val="Planilha3"/>
      <sheetName val="Criticidade por Equipamento"/>
      <sheetName val="Premissas"/>
      <sheetName val="SGM"/>
      <sheetName val="Planilha2"/>
      <sheetName val="Localidades"/>
      <sheetName val="Matriz de Criticidade"/>
      <sheetName val="Din_Ricard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
          <cell r="A1" t="str">
            <v>Ativo</v>
          </cell>
          <cell r="W1" t="str">
            <v>Descrição SS</v>
          </cell>
        </row>
        <row r="2">
          <cell r="A2">
            <v>5800291077</v>
          </cell>
          <cell r="W2" t="str">
            <v/>
          </cell>
        </row>
        <row r="3">
          <cell r="A3">
            <v>5854566043</v>
          </cell>
          <cell r="W3" t="str">
            <v>24/07/2026 - PARECE COCM: EQUIPAMENTO SUBSTITUIDO NA OBRA 0312600352 OS: ETO-RD-PO 1873/202622/07/2026 PARECER COEP: EQUIPAMENTO ENTREGUE AOS COCM´SPRAZO DE 7 DIAS CONTANDO O SLA.PARECER COEP: EQUIPAMENTO ENTREGUE AOS COCM´S FAVOR SUSBSTTUIR , E AGUARDO O PRAZO DE PREVISÃO DE SUBSTIUIÇÃOboa noite,segue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v>
          </cell>
        </row>
        <row r="4">
          <cell r="A4">
            <v>5800859011</v>
          </cell>
          <cell r="W4" t="str">
            <v/>
          </cell>
        </row>
        <row r="5">
          <cell r="A5">
            <v>5836764032</v>
          </cell>
          <cell r="W5" t="str">
            <v/>
          </cell>
        </row>
        <row r="6">
          <cell r="A6">
            <v>7926089013</v>
          </cell>
          <cell r="W6" t="str">
            <v>PARECER COEP: EQUIPAMENTO SELECIONADO PARA COMPRAPARECER DMSL: Feedback Equip. EspeciaisRLG 7926089013,RELÉ NOJA RC10SID 1805/2026DATA 15/04/2026Serviço Executado: Favor realizar a troca da parte ativa do equipamento --reprogramar para atualizar a base juntamente com escada Equipamento ficou em operação: Não Pendência: sim atualizar a base e  subistituir o tanque Bateria(s) substituída(s)? Não Data de Fabricação/Instalação da(s) bateria(s): Equipe: Carliel e João Vitor Fernando e Elson---------------------------------------------------------------------------------ATUALIZAR AJUSTES DO RL 7926089013 LD PARAISO I  A  PIUM. IMPLEMENTAÇÃO DA FUNÇÃO 27, SUBTENSÃO.AJUSTES DISPONIVEIS NO APP DA PROTEÇÃO.</v>
          </cell>
        </row>
        <row r="7">
          <cell r="A7">
            <v>7944559149</v>
          </cell>
          <cell r="W7" t="str">
            <v>14/07/2026 PARECER COEP: EQUIPAMENTO SELECIONADO PARA COMPRA Equipamento ficou em operação?: NãoPendência: Sim será necessário substituir a placaServiço Executado:  curto na placa foi tentando recuperar a mesma porém não teve sucesso!Bateria(s)substituída(s)? NÃOEquipe: Kaique e benvido</v>
          </cell>
        </row>
        <row r="8">
          <cell r="A8">
            <v>7931610122</v>
          </cell>
          <cell r="W8" t="str">
            <v/>
          </cell>
        </row>
        <row r="9">
          <cell r="A9">
            <v>7900648055</v>
          </cell>
          <cell r="W9" t="str">
            <v/>
          </cell>
        </row>
        <row r="10">
          <cell r="A10">
            <v>7955986084</v>
          </cell>
          <cell r="W10" t="str">
            <v>14/07/2026 PARECER COEP : SUBSTIUIR CONTROLE COMPLETOPARECER DMSL: Equipamento com a placa de alimentação ca em curto, será necessário substituir a placa do equipamento. (Antiga nota era pra ter sido repassada porém foi baixada indevidamente pela equipe)</v>
          </cell>
        </row>
        <row r="11">
          <cell r="A11">
            <v>5836786094</v>
          </cell>
          <cell r="W11" t="str">
            <v>24/07 PARECER COEP:EQUIPAMENTO EM LOGISTICA DE ENTREGA Favor levar outro regulador de tensão, pois o mesmo foi furtado em campo.</v>
          </cell>
        </row>
        <row r="12">
          <cell r="A12">
            <v>7955946007</v>
          </cell>
          <cell r="W12" t="str">
            <v>13/07/2026 PARECER COEP: SUBSTITUIR CONTOLE OU MANDAR MANUTENCIONAR EM CASO DE PRIORIDADE ALTAPARECER DMSL: Necessário substituir a placa de alimentação ca, a mesma está em curto não conseguimos recuperar. (Antiga nota era pra ter sido repassada porém foi baixada indevidamente pela equipe)</v>
          </cell>
        </row>
        <row r="13">
          <cell r="A13">
            <v>7919270014</v>
          </cell>
          <cell r="W13" t="str">
            <v>27/07/2026 PARECER COEP: EM PROCESSO DE AQUISIÇÃO , COMPLETOPARECER COEP: AGUARDANDO RETORNO DO DMSL, EQUIPAMENTO FOI INSTALADO NOVO NA OBRA 0212501060, ENTENDER O PORQUE NÃO FOI REALIZADO COMISSIONAMENTOPARECER DMSL: Substituir Equipamento completo problema na placa de alimentação e na parte ativa, falta colocar placa de identificação correta na topologia, baixar o controle.Equipamento ficou em operação?: naoPendência: simBateria(s) substituída(s)? NÃOEquipe: Kaique/ Benvindo13/07/2026 PARECER COEP: SUBSTITUIÇÃO REALZIADA , FAVOR COMISSIONARPARECER DMSL (22/07/26): Solicito que o laudo de substituição seja anexado, e a SS seja repassada para proteção atribuir a ordem de ajuste, antes de repassar para ETO-TELE.----------------------------------------------PARECER DA PROTEÇÃO: Prosseguir com o comissionamento. Ajustes de religador permanecem os mesmos, disponíveis no APP da Proteção.********************************RELIGADOR N°7919270014 REMANEJADO NA OBRA 0212501060 GENTILEZA, REALIZAR O COMISSIONAMENTO. LAUDO EM ANEXO. COORD EO: 617422, 8830787</v>
          </cell>
        </row>
        <row r="14">
          <cell r="A14">
            <v>7900117013</v>
          </cell>
          <cell r="W14" t="str">
            <v>15/07 PARECER COCM: EQUIPAMENTO FOI SUBSTITUÍDO OBRA 021260042210/07 PARECER COEP: EQUIPAMENTO ENTREGUE AOS COCM´S FAVOR INFORMAR PRAZO DE SUBSTUIÇÃO PARA O DMSL E REPASSAR DEPOIS PARA PROTEÇÃO REALIZAR OS AJUSTES E DESCREVER NA SS O SERVIÇO REALIZADOPARECER COEP: PREVISÃO DE ENTREGA AOS COCM'S 01/07Segue nota para correção de anomalia e provável substituição de religador , religador 7900117013 -RDU - Paraiso .OBS: equipe DMSL Elisfran estava atualizando firmware no equipamento  , porém relé parou de funcionar devido essa atualização , sendo necessário sua substituição .em campo o modelo e   cooper Form6 , segundo tecnico deve ser substituído por um Noja .Repassado para o COEP para aquisição do equipamento e posterior repasse para o COCM.</v>
          </cell>
        </row>
        <row r="15">
          <cell r="A15">
            <v>7900573047</v>
          </cell>
          <cell r="W15" t="str">
            <v>10/07 PARECER COEP: EQUIPAMENTO ENTREGUE AOS COCM´S FAVOR INFORMAR PRAZO DE SUBSTUIÇÃO PARA O DMSL E REPASSAR DEPOIS PARA PROTEÇÃO REALIZAR OS AJUSTES E DESCREVER NA SS O SERVIÇO REALIZADOPARECER COEP: AGUARDANDO COCM'S GERAREM AS OBRAS PARA PODER ENTREGAR MATERIALFavor providenciar manutenção no RL 7900573047, o mesmo estar em curto conforme fotos anexadas. Equipamento ficou bay passado em campo.PARECER DMSL: Equipe: FABIO AP./JOÃO MARCOSData Executada: 15/10/2025Serviço Executado:Foi constatado que o equipamento esta queimado na parte ativa placa, tanque e relé. Por favor fazer a substituição pelo Noja RC10.</v>
          </cell>
        </row>
        <row r="16">
          <cell r="A16">
            <v>7953211079</v>
          </cell>
          <cell r="W16" t="str">
            <v>20/07 PARECER COEP: EQUIPAMENTO SELECIONADO PARA COMPRASegue nota para substituir relé religador avariado marca noja , equipamento N: 7953211079 - Itapiratins .Obs: informação repassado pelo técnico DMSL Bruno .</v>
          </cell>
        </row>
        <row r="17">
          <cell r="A17">
            <v>7933726256</v>
          </cell>
          <cell r="W17" t="str">
            <v>17/08/2026 PARECER DA PROTEÇÃO:NOTA REPASSADA PARA DMSL COMISSIONARENG° IRLLEY CASTELO BRANCO07/07 Equipamento foi substituido na OS: ETO-RD-PO 1859/2026 OBRA 031260035101/07 PARECER COEP: REDIRECIONADO PARA O POSTO DO COCM´S EQUIPAMENTO CHEGOU NO LOCAL, FAVOR ENTRAR EM CONTATO COM O DMSL, DEVIDO A URGÊNCIA DO EQUIPAMENTO EM OPERAÇÃO.30/06 PARECER COEP: DEVIDO A ALINHAMENTO COM COI UTILIZAREMOS PARTE ATIVA QUE ORIGINALMENTE FOI ENCOMENDADA PARA 7933726256PARECER DMSL: N° do Equipamento: _RLG 7933726256 MateirosTipo de Equipamento: _RLG NOJA RC 10 REL IIData: _06/05/2026SID: _2288/2026-Serviço Executado: _Equipamento com defeito na parte ativa, será necessário fazer a substituição da parte ativa e fazer melhoria na malha de terra!Equipamento ficou em operação?: _NaoPendência: _SimBateria(s) substituída(s)? NÃOData Fabricação/Instalação da(s) bateria(s):_06/2025Equipe: _Benvindo e Almir-------------------------------------------------------------------------------Religador 7933726256, sem comunicação apos primeiroa ataque não retornou as comunicação.</v>
          </cell>
        </row>
        <row r="18">
          <cell r="A18">
            <v>7933766059</v>
          </cell>
          <cell r="W18" t="str">
            <v/>
          </cell>
        </row>
        <row r="19">
          <cell r="A19">
            <v>7929376022</v>
          </cell>
          <cell r="W19" t="str">
            <v>13/08/2026 PARECER COEP: EQUIPAMENTO FOI TROCADO A PEÇA , CONFIRMAMOS COM O LEONARDO DE ARAGUAÍNA , LAUDO EM ANEXO , FAVOR REALIZAR COMISSIONAMENTOPARECER COEP: PROBLEMA NO ENVIO COCM'S CONTROLE ENVIADO FOI O NOJA , DEVIDO A FALTA DO MODELO NA SS (GRAVE)PARECER DMSL: *FEEDBACK EQUIP. ESPECIAIS**Nº DO EQUIPAMENTO:* 7929376022 *DATA DA MANUTENÇÃO:* 02/04/2026*SID:* 1677/2026*DESCRIÇÃO:* Trocar controle completo*PENDÊNCIA:* Sim.*DADOS DIVERGENTES DA PROGRAMAÇÃO:* Não*BATERIA SUBSTITUÍDA?:* Não*EQUIPE:* Adeilton e Edicleber __________________________________________________________POR GENTILEZA ATENDER SOLICITAÇÃO PRIMEIRO ATAQUE IDENTIFICOU QUE RELE ESTA EM CURTO NOTA ABERTA 224/2026 FOI BAIXADA POREM NÃO FOI CORRIGIDO PROBLEMA EM CAMPO.</v>
          </cell>
        </row>
        <row r="20">
          <cell r="A20">
            <v>7921040031</v>
          </cell>
          <cell r="W20" t="str">
            <v/>
          </cell>
        </row>
        <row r="21">
          <cell r="A21">
            <v>7957620015</v>
          </cell>
          <cell r="W21" t="str">
            <v/>
          </cell>
        </row>
        <row r="22">
          <cell r="A22">
            <v>5856156091</v>
          </cell>
          <cell r="W22" t="str">
            <v>27/07/2026 PARECER COEP: EQUIPAMENTO SELECIONADO PARA COMPRA, PORÉM PODEMOS DESATIVAR DE ACORDO COM A ASPODCMD 26.03.2026. SS REPASSADA PARA COEP PROVIDENCIAR MATERIAL. NÃO TEMOS O MATERIAL EM ESTOQUE PARA SUBSTITUIÇÃO. COEP: Equipamento fornecido ao COCM-S para regularização.PARECER COEP: EQUIPAMENTOS JÁ FORNECIDOS PARA OS COCM'S PARA REGULARIZAÇÃOPARECER DA PROTEÇÃO:EQUIPAMENTOS FURTADOS. PARA AQUISIÇÃO DAS CELULAS DE REPOSIÇÃO, FAVOR CONSULTAR OS DADOS DE PLACA EM ANEXO.PARECER DA PROTEÇÃO:COMISISONAR RT 5856156091 LD DIANOPOLIS A NATIVIDADE. NECESSARIO REALIZAR MEDIÇÕES DA RESISTENCIA DA MALHA DE ATERRAMENTO.AJUSTES DISPONIVEIS NO APP DA PROTEÇÃO.RELIGADOR N° 5856156091 INSTALADO NA OBRA 0502400526 GENTILEZA, REALIZAR O COMISSIONAMENTO. LAUDO EM ANEXO. COORD EO: 899501, 8714782</v>
          </cell>
        </row>
        <row r="23">
          <cell r="A23">
            <v>7908686014</v>
          </cell>
          <cell r="W23" t="str">
            <v>24/07 PARECER COCM: EQUIPAMENTO FOI SUBSTITUIDO OBRA 021260042510/07 PARECER COEP: EQUIPAMENTO ENTREGUE AOS COCM´S FAVOR INFORMAR PRAZO DE SUBSTUIÇÃO PARA O DMSL E REPASSAR DEPOIS PARA PROTEÇÃO REALIZAR OS AJUSTES E DESCREVER NA SS O SERVIÇO REALIZADO06/07 PARECER COEP: PREVISÃO DE ENTREGA DE ACORDO COM CALENDÁRIO LOGISITCO NOVO 06/07NOTA DMSL: Favor substituir o tanque, ele não está efetuando os comandos enviados. Não substituir o controle pois o mesmo funciona como repetidor de outros equipamentos.Segue nota para verificar falha de fechamento religador 7908686014- Pium .OBS: equipamento não fechou local e remoto , fica sinalizando no painel para verificar alarmes !</v>
          </cell>
        </row>
        <row r="24">
          <cell r="A24">
            <v>7923673004</v>
          </cell>
          <cell r="W24" t="str">
            <v>PARECER COEP: Verificar Disponibilidade de equipamento no Scada e enviar modelo e tensão para a compra.RELIGADOR COM RELÉ DANIFICADO, REALIZAR SUBSTITUIÇÃO</v>
          </cell>
        </row>
        <row r="25">
          <cell r="A25">
            <v>7943790134</v>
          </cell>
          <cell r="W25" t="str">
            <v>PARECER DCMD:Serviço realizado , substituição da parte ativa  do RELIGADOR 7943790134 - Favor realizar comissionamento</v>
          </cell>
        </row>
        <row r="26">
          <cell r="A26">
            <v>7903569004</v>
          </cell>
          <cell r="W26" t="str">
            <v>PARECER COEP 28/07/2026 : EQUIPAMENTO SELECIONADO PARA COMPRAEquipamento baypassado PARECER DMSL em 12/03: Realizar substituição do equipamento todo e parte ativa.</v>
          </cell>
        </row>
        <row r="27">
          <cell r="A27">
            <v>7908196047</v>
          </cell>
          <cell r="W27" t="str">
            <v>03/08/2026 PARECER DMSL: FOI CONFIRMADO PELO VONES DO DCMD QUE O EQUIPAMENTO AINDA NÃO FOI SUBSTITUÍDO. FAVOR, APÓS SUBSTITUIÇÃO, REPASSAR A NOTA PARA A PROTEÇÃO PARA REVISAR OS AJUSTES, POIS TRATA-SE DE ALTERAÇÃO DO MODELO DO EQUIPAMENTO.13/07/2026 PARECER COEP: EQUIPAMENTO REMANEJADO FAVOR FAZER O COMISSIONAMENTORELIGADOR N° 7908196047 REMANEJADO NA OBRA 0402401150 GENTILEZA, REALIZAR O COMISSIONAMENTO. LAUDO EM ANEXO. COORD EO: 698485, 8657287PARECER DA PROTEÇÃO:AJUSTE DISPONIBILIZADO NO APP DA PROTEÇÃO, NOTA REPASSADA PARA DMSL COMISSIONAR, POLO GURUPI, RL APENAS REMANEJADO DA REDE VELHA PARA REDE NOVA, EQUIPAMENTO COOPER, SE MANTEVE O MESMO NÚMERO DE ATIVO.ENG° IRLLEY CASTELO BRANCO.PARECER DMSL: Constatado curto-circuito no tanque do religador, impedindo as operações de abertura e fechamento do equipamento. Solicita-se a substituição completa do religador, incluindo tanque e unidade de controle.</v>
          </cell>
        </row>
        <row r="28">
          <cell r="A28">
            <v>7938137007</v>
          </cell>
          <cell r="W28" t="str">
            <v>PARECER DMSL 09/07/2026: GENTILEZA VERIFICAR HAVIA UMA NOTA ABERTA, EQUIPE RETORNOU EM CAMPO E NÃO FOI REALIZADAserviço realizado na SS ENC-RD-PS 1397/2025, REPASSANDO PARA COMISSIONARRL 7938137007 NO RL INSTALAR BATERIA NOVA E RADIO A PEDIDO DE KAROLINY DMSLACESSO LIVREPARECER DMSL: * equipamento esta com a bucha da fase A com problemas(solta), necessário substituir* Trafo do serviço auxiliar esta vazando óleo, necessário substituir- Material ainda não foi entregue para substituição 15/07/2026</v>
          </cell>
        </row>
        <row r="29">
          <cell r="A29">
            <v>7900230155</v>
          </cell>
          <cell r="W29" t="str">
            <v>PARECER DA PROTEÇÃO - 17/08/2026:SEGUE NOTA PARA COMISSIONAMENTO JUNTO COM TIME SCADA, EQUIPAMENTO JA NO DESENHO ADMS.ENG° IRLLEY CASTELO BRANCO07/07/2026 PARECER COEP: MATERIAL ENVIADO , CONFORME ALINHANDO COM O WANDER REALIZAR SUBSTIUIÇÂO DO EQUIPAMENTO, FAVOR ESCREVER PARECER COCM ANTES DE PASSAR PARA PROTEÇÂO, DO QUE FOI REALIZADO01/07/2026 PARECER COEP: PROBLEMA NO ENVIO DO MATERIAL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pendencias.Senhores Favor verificar RL 7900230155  o mesmo sinalizou aberto  no SCADA porem a cidade de Palmeirante estava normal , feito um reset no rl e o mesmo subiu fechado.08/07/2026 PARECER DCMD: EQUIPE ETO-LVGR01  DE GUARAI ESTEVE NO RL 7900230155 DIA 25-06-2026 E FEZ TODAS A PENDENCIAS DO RL, OBS: EQUIPE SO NAO CONECTOU O CABO DO TRAFO NO RL. RL ESTA PRONTO PARA O COMISSIONAMENTO</v>
          </cell>
        </row>
        <row r="30">
          <cell r="A30">
            <v>7900543083</v>
          </cell>
          <cell r="W30" t="str">
            <v/>
          </cell>
        </row>
        <row r="31">
          <cell r="A31">
            <v>7900930040</v>
          </cell>
          <cell r="W31" t="str">
            <v/>
          </cell>
        </row>
        <row r="32">
          <cell r="A32">
            <v>7931383086</v>
          </cell>
          <cell r="W32" t="str">
            <v/>
          </cell>
        </row>
        <row r="33">
          <cell r="A33">
            <v>7908302256</v>
          </cell>
          <cell r="W33" t="str">
            <v/>
          </cell>
        </row>
        <row r="34">
          <cell r="A34">
            <v>5800371025</v>
          </cell>
          <cell r="W34" t="str">
            <v>16/07/2026 PARECER COEP: ALINHADO COM O KELLITON REALIZAR SUBSTITUIÇÃO DO CONTROLE DE TUPIRAMA, ALINHADO COM O JEAN QUE OS CABOS COMPATIBILIZADORES VÃO CHEGAR 16/08 , ATÉ ESSA DATA MANTER ESSA SS E CONTROLE RUA, DEPOIS REPASSAR PARA O DMSLPARECER COEP: AVALIAR COM O LEANDRO, PROVAVELMENTE SÓ COMPRAPARECER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etc.Segue nota para veriifcar falha em regulador de tensão N: 5800371025 dentro S/E Arapoema , equipamento esta com 2 reles com falha  marca toshiba .Parecer DCMD: foi substituido célula 30/07/2026. o mesmo está liberado para ser colocado em operação</v>
          </cell>
        </row>
        <row r="35">
          <cell r="A35">
            <v>7947203070</v>
          </cell>
          <cell r="W35" t="str">
            <v>13/07 PARECER COEP: SELECIONADO PARA COMPRA CONTROLE favor verificar RL 7947203070, sem comunicaçao, feito 1° ataque pela equipe 070OP01 e nao retornou a comunicaçao , linformaçao no Scada de bateria.PARECER DMSL: Foi feito análise técnica, a placa do equipamento está queimada nessesario subistituir o equipamento completo -Carliel e Benvindo-05/02</v>
          </cell>
        </row>
        <row r="36">
          <cell r="A36">
            <v>7900594026</v>
          </cell>
          <cell r="W36" t="str">
            <v>PARECER DA PROTEÇÃO:16/07/2026 AJUSTES DISPONIBILIZADOS NO APP DA PROTEÇÃO15/07/2026 EQUIPAMENTO SUBSTITUIDO NA OS ETO-RD-PO 1860 OBRA 031260035414/07/2026 PARECER COCM/ COEP: DE ACORDO COM O EDSON CURCINO FOI FEITA S SUBSTITUIÇÃO DO EQUIPAMENTO , SEGUE PARA PROTEÇÃO ELABORAR AJUSTE10/07 PARECER COEP: EQUIPAMENTO DESLOCADO QUE ESTAVA EM GUARAÍ FOI ALINHADO COM O VALMOR QUE SERIA SUBSTITUIDO DIA 07/07/2026 , FAVOR PASSAR PARA PROTEÇÃO 7900594026PARECER COEP: AGUARDANDO COCM'S PARA ABRIR REQUISIÇÃOPARECER DMSL 10/06/2026: Tem uma nota aberta para esse equipamento solicitando a substituição desde 20/10/2025, como a nota não foi atendida estamos repassando para área responsável. Nota em aberto repassada ETO-COEP 210/2025.Segue nota para verificar intermitência de comunicação nos religadores 7908301026 , 7911120026, 7947959026 , 7908692026, 7900594026 rural- Ponte Alta .</v>
          </cell>
        </row>
        <row r="37">
          <cell r="A37">
            <v>5801866013</v>
          </cell>
          <cell r="W37" t="str">
            <v>15/07 PARECER COCM, FOI ATENDIDA PELA OS ETO-RD-PS 1616/2026 OBRA-021260053910/07 PARECER COEP: EQUIPAMENTO ENTREGUE AOS COCM´S FAVOR INFORMAR PRAZO DE SUBSTUIÇÃO PARA O DMSL E REPASSAR DEPOIS PARA PROTEÇÃO REALIZAR OS AJUSTES E DESCREVER NA SS O SERVIÇO REALIZADOPARECER COEP: EM PROCESSO DE ENTREGAPARECER DMSL: RT 5801866013Serviço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BR.Obs.: Será necessário baixar todo o banco pelo menos um metro, as buchas estão muito próximas a parte energizada não oferecem segurança para equipe no momento do ensaio elétrico.Equipamento ficou em operação?: Não Possui nobreak: SimPossui antena: SimPossui rádio:SimPendência: SimData da bateria:  Equipe: Benvindo e Kaique._______________________________________________RT 5801866013BY PASSADO DEVIDO DEFEITO EM CELULA BEMVINDO ESTEVE NO LOCAL JUNTO AO COD .NECESSARIO TRATATIVA PARA MESMA .FASE DANIFICADO C</v>
          </cell>
        </row>
        <row r="38">
          <cell r="A38">
            <v>5865120195</v>
          </cell>
          <cell r="W38" t="str">
            <v>PARECER DMSL:PENDÊNCIA: Realizar melhoria no aterramento por ser tratar de um terreno muito arenoso, e há pendências por parte do time da proteção, os ajustes do RT não estão disponíveis para inserção no referido equipamento.DATA DA MANUTENÇÃO: 12/03/202EQUIPE: Brunno e Edeglan.***********************PARECER DA PROTEÇÃO - 17/08/2026:FAVOR COMISSIONAR REGULADOR 5865120195 – LD Santa Maria Ramal Centenário e Recursolândia – 34,5kV. AJUSTE REALIZADO, DISPONÍVEL NO APP DA PROTEÇÃO.*********************** INSTALADO NA OBRA 0702400720 GENTILEZA, REALIZAR O COMISSIONAMENTO.LAUDO EM ANEXO.COORD EO: 889017, 901685708-07-2026 PARECER: FOI FEITO A MELHORIA NO REGULADOR CONFORME FOTOS EM ANEXO.</v>
          </cell>
        </row>
        <row r="39">
          <cell r="A39">
            <v>7927413001</v>
          </cell>
          <cell r="W39" t="str">
            <v>22/07/2026 EQUIPAMENTO SLEECIONADO PARA COMPRAPARECER DMSL: *Segue feedback**Equipamento:* RLG 7927413001  *RELÉ TAVRIDA*Data:* 16/04/2026*SID:* 1817/2026*Serviço executado:* Placa de alimentação do equipamento com defeito, VERIFICAR SE É POSSIVEL  substituir o equipamento completo.*Equipamento ficou em operação?*_Não*Pendência:*_Sim*Bateria(s) substituída(s)?*_Nao *Equipe:* Benvindo e Kaique-------------------------------------------------------------------------------------------------Religador 7927413001 sem comunicação foi realizado primeiro ataque porem a comunicação não retornou. Favor enviar equipe para devidas trattivas</v>
          </cell>
        </row>
        <row r="40">
          <cell r="A40">
            <v>5800366016</v>
          </cell>
          <cell r="W40" t="str">
            <v/>
          </cell>
        </row>
        <row r="41">
          <cell r="A41">
            <v>7955523028</v>
          </cell>
          <cell r="W41" t="str">
            <v/>
          </cell>
        </row>
        <row r="42">
          <cell r="A42">
            <v>7927169001</v>
          </cell>
          <cell r="W42" t="str">
            <v>PARECER COEP: EQUIPAMENTO ENTREGUE, SEGUE SS PARA O COCM´S , PARA REALIZAR O ATENDIMENTO,FAVOR ADICIONAR O PARECER PARA MANDAR PARA PROTEÇÃOSS ANTIGA: 1500/2025 PARECER DMSL: Serviço Executado: Foi verificado que o tanque do equipamento está danificado, sendo necessário substituir o tanque do equipamento.Equipamento ficou em operação?: NãoPendência: Sim, instalar fonte, disjuntor e DPS, e substituir o tanque.***** Parecer COCM******Subsituido Tranque do RL pela Ordem de Serviço DLP-MPPA01 247/2026 RELATORIO EM ANEXO DA O.S EXECUTORA</v>
          </cell>
        </row>
        <row r="43">
          <cell r="A43">
            <v>7925087021</v>
          </cell>
          <cell r="W43" t="str">
            <v>10/07 PARECER COEP: EQUIPAMENTO ENTREGUE AOS COCM´S FAVOR INFORMAR PRAZO DE SUBSTUIÇÃO PARA O DMSL E REPASSAR DEPOIS PARA PROTEÇÃO REALIZAR OS AJUSTES E DESCREVER NA SS O SERVIÇO REALIZADOPARECER COEP: EM ROTA DE ENTREGA, VERIFICAR PREVISÃO DE CHEGADARealizar a substituição do tanque do equipamento.</v>
          </cell>
        </row>
        <row r="44">
          <cell r="A44">
            <v>5800438116</v>
          </cell>
          <cell r="W44" t="str">
            <v/>
          </cell>
        </row>
        <row r="45">
          <cell r="A45">
            <v>5800090147</v>
          </cell>
          <cell r="W45" t="str">
            <v/>
          </cell>
        </row>
        <row r="46">
          <cell r="A46">
            <v>7900453110</v>
          </cell>
          <cell r="W46" t="str">
            <v>10/07/2026 EQUIPAMENTO SELECIONADO PARA COMPRA PARTE ATIVA30/06.PARECER COEP: ALINHADO COM O ALLAN REMANEJAMOS PARTE ATIVA PARA ATENDER 7933726256PARECER COEP: Aproveitar controle cooper se possível em outro local, previsão de chegada do material dia 01/07 para substituiçãoFavor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completo.Equipamento ficou em operação?: _SIM_a pedido do COS ficou em operação, a operação está ciente da necessidade de substituir.Pendência: Sim, será necessário substituir o equipamento.</v>
          </cell>
        </row>
        <row r="47">
          <cell r="A47">
            <v>5846328094</v>
          </cell>
          <cell r="W47" t="str">
            <v>COCM SUL - 07/07/2026 - FOI REALIZADO MELHORIA DE ATERRAMENTO E FEITO A MANUTENÇÕES E TODAS AS CHAVES E SUBSTITUIDO OS CONECTORES.PARECER COEP: MELHORIA DE ATERRAMENTO É COCM'S, FAVOR ENCAMINHAR DIRETAMENTE PARA ELES, COCM'S REALIZAR MELHORIA DE ATERRAMENTO POR FAVORPor genteliiza verificar RT 5846328094 situação de equipamento, se encontra by passado em campoPARECER DMSL:Favor, realizar melhoria de aterramento que se encontra alta e substituir todos os conectores das buchas por conectores estrangulador.</v>
          </cell>
        </row>
        <row r="48">
          <cell r="A48">
            <v>5851753086</v>
          </cell>
          <cell r="W48" t="str">
            <v/>
          </cell>
        </row>
        <row r="49">
          <cell r="A49">
            <v>7903112004</v>
          </cell>
          <cell r="W49" t="str">
            <v>20/07 PARECER COEP: EQUIPAMENTO SELECIONADO PARA COMPRAApós testes no RLG 7903112004 foi constatado defeito no mesmo e como se trata de um modelo COOPER FORM6 que está obsoleto e não possuímos peças sobressalentes, faz-se necessária substituição completa por modelo NOJA RC10.</v>
          </cell>
        </row>
        <row r="50">
          <cell r="A50">
            <v>7920024127</v>
          </cell>
          <cell r="W50" t="str">
            <v>30/06 PARECER COEP: AGUARDANDO O RETORNO DO DMSL , PARA ENTENDER SE O PROBLEMA É NA COMUNICAÇÃO OU PARTE ATIVA, JÁ QUE O EQUIPAMENTO EM QUESTÃO SEGUE COMUNICANDOPARECER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quebrado.RL 7920024127 está desarmando em campo e no SCADA continua fechado, só sinaliza aberto no SCADA quando a equipe faz o resert no equipamento em campo.</v>
          </cell>
        </row>
        <row r="51">
          <cell r="A51">
            <v>7900535058</v>
          </cell>
          <cell r="W51" t="str">
            <v>PARECER COEP: EQUIPAMENTO SELECIONADO PARA COMPRAPARECER DMSL:  Equipamento 7900535058 encontra-se com o relé danificado, firmware corrompido, o mesmo não inicia. Devido ao fato de não possuirmos mais peças de reposição para religador cooper, se faz necessário a  substituição de todo conjunto por um Noja RC10.envar equipe para verificar rlo 7900535058 foi feito primeiro ataque com equipe 040op36 o mesmo esta com RELE TRAVADO E FICOU FORA DE OPERAÇÃO, ATENDE RDR DE SANTA FÉ SAIDA DA CIDADEEQUIPE INFORMOU ABELHAS NA CAIXA DO PAINEL DE COMANDO</v>
          </cell>
        </row>
        <row r="52">
          <cell r="A52">
            <v>7953610256</v>
          </cell>
          <cell r="W52" t="str">
            <v>24/07/2026 - PARECE COCM: EQUIPAMENTO SUBSTIUIDO NA OS:ETO-RD-PO 2020/202614/07/2026 - PARECER COEP: REALOCAR TANQUE 34,5 SOBRESSALENTE DE PARAÍSO PARA ATENDER  PARECER DMSL: Data: 10/03/2026,Serviço Executado: Foi substituído o relé do equipamento, o mesmo estava danificado. Trocado o DPS, o mesmo estava queimado devido ao tanque estar furado. O equipamento ficou em bypass.Equipamento ficou em operação? NãoPendência? Sim, substituir a parte ativa com cordão umbilical.Equipe: Carliel e João VitorSEGUE SS PARA REGULARIZAR AUTOMAÇÃO DO RL 7953610256 NA INTERLIGAÇÃO COM A COELBA (CHAPADA DA MANGABEIRA) - EQUIPE INFOMOU CURTO INTERNO NO GABINETE DJ AC NÃO FECHA</v>
          </cell>
        </row>
        <row r="53">
          <cell r="A53">
            <v>7900018004</v>
          </cell>
          <cell r="W53" t="str">
            <v/>
          </cell>
        </row>
        <row r="54">
          <cell r="A54">
            <v>7934698002</v>
          </cell>
          <cell r="W54" t="str">
            <v/>
          </cell>
        </row>
        <row r="55">
          <cell r="A55">
            <v>7908249152</v>
          </cell>
          <cell r="W55" t="str">
            <v>14/07/2026 PARECER COEP: EQUIPAMENTO SELECIONADO PARA COMPRADMSL:Serviço Executado: Houve um curto no equipamento danificando a parte ativa, será necessário fazer a substituição do equipamento completo ( parte ativa e controle) colocar o um cabo pp novo do trafo até o Dj pois o mesmo está sem condições de uso. Obs:. Foi retirado rádio e rele Equipamento ficou em operação?: Não Pendência: Sim, substituir o equipamento completo.</v>
          </cell>
        </row>
        <row r="56">
          <cell r="A56">
            <v>7936038076</v>
          </cell>
          <cell r="W56" t="str">
            <v/>
          </cell>
        </row>
        <row r="57">
          <cell r="A57">
            <v>7955520116</v>
          </cell>
          <cell r="W57" t="str">
            <v/>
          </cell>
        </row>
        <row r="58">
          <cell r="A58">
            <v>5800291035</v>
          </cell>
          <cell r="W58" t="str">
            <v>PARECER DMSL: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rua.Obs.: Fizeram melhoria na malha de terra, mas não está dentro do aceitável! As outras pendências continuam, favor corrigir. Equipamento ficou em operação?: Não  - Equipe: Benvindo e Kaique- SS ANTIGA ETO-TELE 358/2026</v>
          </cell>
        </row>
        <row r="59">
          <cell r="A59">
            <v>5827102054</v>
          </cell>
          <cell r="W59" t="str">
            <v>PARECER COCM: FOI SUBSTITUÍDO OS EQUIPAMENTO FEITO A MELHORIA DO ATERRAMENTO ATENDIDO PELA OBRA N-0212600609PARECER COEP:NÃO É POSSÍVEL RETORNAR COM O CONTROLE COMPLETO , MAS DARIA PARA FAZER A MELHORIA NA MALHA DE ATERRAMENTO , ENCAMINHANDO PARA OS COCM'S PARA REALIZAREM A MELHORIAparecer DMSL: :Nobreack com defeito, rele queimado, cabo de comunicação entre o rádio e o rele danificado, malha de aterramento está com a resistência alta!Feito reparo no cabo, substituído nobreack, e rele. Se possível retornar com controle completo pq o q está em campo teve infiltração de água, abrir chamado no scada para atualizar base do equipamento pois o mesmo está com a base antiga, fazer correção da malha de aterramento.Equipamento ficou em operação?: Não Pendência: sim, levar controle novo, fazer correção da malha de terra, levar suporte para fixar antena. OBS</v>
          </cell>
        </row>
        <row r="60">
          <cell r="A60">
            <v>5850308009</v>
          </cell>
          <cell r="W60" t="str">
            <v/>
          </cell>
        </row>
        <row r="61">
          <cell r="A61">
            <v>7900525015</v>
          </cell>
          <cell r="W61" t="str">
            <v>PARECER COEP: É PARA REALIZAR A SUBSTITUIÇÃO DO RELIGADOR OU DAS BUCHAS, CASO SEJA BUCHAS , REPASSAR PARA OS COCM'S , CASO NÃO SEJA ESPECIFIQUE O MODELO , E A TENSÃO, FICO NO AGUARDO DO RETORNONota para manutenção substituir religador 7900525015 que está com as buchas de entrada danificadas fase A estourada e bc danificadas Local LD Pedro Afonso A Chaparral</v>
          </cell>
        </row>
        <row r="62">
          <cell r="A62">
            <v>7928564039</v>
          </cell>
          <cell r="W62" t="str">
            <v>PARECER COEP: EQUIPAMENTO SELECIONADO PARA COMPRATroca do sistema de comunicação do equipamentoDMSL 28/07/2025: Equipamento com tanque, modulo e rele com defeito, solicitar troca do equipamento ao DCMD.Fotos vão ser enviadas por e-mail</v>
          </cell>
        </row>
        <row r="63">
          <cell r="A63">
            <v>7927446001</v>
          </cell>
          <cell r="W63" t="str">
            <v>30/06 PARECER COEP: EQUIPAMENTO COMPLETOSegue para verificação RL sem comunicação feito primeiro ataque sem sucesso.PARECER DMSL:Data:* _08/07/2025Serviço Executado: Placa de alimentação danificada, devido a curto, não temos material sobressalente para manutenção! Favor substituir o equipamento completo.Obs.: O rádio ficou dentro do controle, favor orientar a equipe que for substituir colocar dentro do controle novo.Equipamento ficou em operação?: Não Pendência: Sim, substituir equipamento completo.</v>
          </cell>
        </row>
        <row r="64">
          <cell r="A64">
            <v>7910027196</v>
          </cell>
          <cell r="W64" t="str">
            <v>13/07/2026 PARECER COEP: NÃO FAZ SENTIDO FAZER A TROCA DE EQUIPAMENTO COMPLETO APENAS POR CAUSA DA FASE B , QUE PARECE SER UM ERRO DE CALIBRAÇÃO.PARECER DMSL: EQUIPAMENTO FICOU EM OPERACAO, RESTABELCIDO PELA KAROL ação remota com a velp porém ele também deve ser realizado substituição por conta da fase B 7910027196 ta com a leitura incorreta na tensão da fase B. Subsituição do Equipamento Completo exceto o Radio. (Antiga nota era pra ter sido repassada porém foi baixada indevidamente pela equipe)PARECER DMSL(22/07/26): O religador está fora de operação desde 11/2025. Necessitando substituição completa em função do defeito de leitura de corrente da fase B. Preservar apenas o radio e antena.</v>
          </cell>
        </row>
        <row r="65">
          <cell r="A65">
            <v>7930359149</v>
          </cell>
          <cell r="W65" t="str">
            <v>PARECER DMSL 07/07/2026: equipamento tem que ser subistuido pois não faz comando, parte ativa com defeito FEITO O PRIMEIRO ATAQUE NO RELIGADOR 7930359149 E MESMO NÃO ACEITA COMANDO NEM LOCAL E NEM REMOTO SEGUNDO EQUIPE 149OP02 E PLACA DO RL ESTA CARBONIZADA COM SINAL DE CURTO.</v>
          </cell>
        </row>
        <row r="66">
          <cell r="A66">
            <v>7931608059</v>
          </cell>
          <cell r="W66" t="str">
            <v>PARECER COEP: EQUIPAMENTO SELECIONADO PARA COMPRADMSL:Serviço Executado: Foi feita uma análise técnica no equipamento, devido à falta de comunicação. Também foi identificado que o tanque do equipamento está danificado, sendo assim,  necessário substituir o tanque e o rádio do equipamento, que está queimado, sendo necessário substituir também.</v>
          </cell>
        </row>
        <row r="67">
          <cell r="A67">
            <v>7922995039</v>
          </cell>
          <cell r="W67" t="str">
            <v/>
          </cell>
        </row>
        <row r="68">
          <cell r="A68">
            <v>7913662076</v>
          </cell>
          <cell r="W68" t="str">
            <v>27/07 PARECER COEP: TANQUE DANIFICADO DA 13,5Aberto nota para substituir tanque danificado e chave de entrada fase B danificadaPARECER DMSL: Foi confirmado pela equipe DMSL o defeito do tanque, favor seguir com a substituição e correção da chave de entrada fase B danificada.</v>
          </cell>
        </row>
        <row r="69">
          <cell r="A69">
            <v>7925744087</v>
          </cell>
          <cell r="W69" t="str">
            <v>PARECER COEP: EQUIPAMENTO SELECIONADO PARA COMPRAPARECER DMSL: FEEDBACK EQUIP. ESPECIAISNº DO EQUIPAMENTO:  7925744087TIPO EQUIPAMENTO: Noja RC 10TIPO DE COMUNICAÇÃO: Radio GE IPDATA DA MANUTENÇÃO: 19/02/2026SID: 735/2026 DESCRIÇÃO: foi identificado água dentro da parte interna do tanque e cabo umbilical encharcado de água foi passado essas informações para COS.FICOU EM OPERAÇÃO?: Não PENDÊNCIA: Sim substituir tanque e cabo umbilicalDADOS DIVERGENTES DA PROGRAMAÇÃO: NãoBATERIA SUBSTITUÍDA?: Não DATA DA BATERIA: 07/05/2025TIPO DE BATERIA: Lítio EQUIPE: Edeglan e Janio-------------------------------------------------------------------------------------------------RELIGADOR SEM COMUNICAÇÃO, APOS PRIMEIRO ATAQUE RETORNA E FICAR INDEFINIDO.</v>
          </cell>
        </row>
        <row r="70">
          <cell r="A70">
            <v>7925871077</v>
          </cell>
          <cell r="W70" t="str">
            <v>27/07 PARECER COEP: EM PROCESSO DE AQUISIÇÃOPARECER DMSL: A PEDIDO DA PCM DO NORTE LARA SOARES REALIZEI A CRIAÇÃO DESSA SS, EM RAZAO DA ANTIGAETO-TELE 337/2026 QUE FOI BAIXADA POR ENGANO DE TAL FORMA SEGUE A MESMA PARA REALIZAR AS TRATATIVAS. PENDENCIA: Religador continua by passado, equipamento está com defeito na parte ativa</v>
          </cell>
        </row>
        <row r="71">
          <cell r="A71">
            <v>7942572059</v>
          </cell>
          <cell r="W71" t="str">
            <v>PARECER COEP: EQUIPAMENTO COM MELHORIA DE ATERRAMENTO É COM A ETO-RD-PA , NÃO PASSA PELO FLUXO DE AQUISIÇÃO DO COEP, FAVOR REALIZAR MELHORIA DE ATERRAMENTO ETO-RD-PAPARECER DMSL 19/05/2026: É necessário fazer melhorias na malha de aterramento.segue nota para RL 794252059 o mesmo esta sem comunicaçao, foi feito primeiro ataque, porem a comunicaçao nao voltou, obs ramal do marasca.**** Parcecer do COCM CENTRO-****FEITO A MALHAR DE ATERRAMENTO ATENDIDA PELA ORDEM DE SERVIÇO DLP-MLPA02 91/2026 COM RELATORIO EM ANEXO A O.S</v>
          </cell>
        </row>
        <row r="72">
          <cell r="A72">
            <v>7944319149</v>
          </cell>
          <cell r="W72" t="str">
            <v/>
          </cell>
        </row>
        <row r="73">
          <cell r="A73">
            <v>7927646026</v>
          </cell>
          <cell r="W73" t="str">
            <v>PARECER COEP: EQUIPAMENTO SELECIONADO PARA COMPRARELIGADOR BY PASSADO POR DEFEITO, NECESSÁRIO AVALIAÇÃO DO PROBLEMA.parecer dmsl:O religador apresenta defeito no tanque, sendo necessário substituir o tanque o mesmo está tirando a linha, e troca os  isoladores. Quando retornar, trazer uma fonte para o equipamento, a mesma foi removida.FICOU EM OPERAÇÃO? NãoPENDÊNCIA: Sim, aguardando peças para substituição.</v>
          </cell>
        </row>
        <row r="74">
          <cell r="A74">
            <v>7967181127</v>
          </cell>
          <cell r="W74" t="str">
            <v/>
          </cell>
        </row>
        <row r="75">
          <cell r="A75">
            <v>7930428001</v>
          </cell>
          <cell r="W75" t="str">
            <v>PARECER DMSL DATA 16/07/2026: será necessário fazer a substituição da parte ativa do equipamento.PARECER COEP: Equipamento Funcionando no SCADA , favor reavaliar a necessidade de substituição e se necessário mandar o modelo do equipamento.Segue nota para substituir Taque do RL-7930428001 na LD Porto Nacional / São João, Identificado pela Int-20253617520441 equipamento dando passagem na fase A ficou bay-passado até substituição, Tensão 34,5kva, Acesso livre.</v>
          </cell>
        </row>
        <row r="76">
          <cell r="A76">
            <v>7927713200</v>
          </cell>
          <cell r="W76" t="str">
            <v>segue SS para REALIZAR SUBSTITUIÇÃO DO TANQUE do RL 7927713200 danificado , com equipe de manutencao tensao 34,5kv mesmo atende Povoado retiro na rural de sao salvador  .</v>
          </cell>
        </row>
        <row r="77">
          <cell r="A77">
            <v>7957126085</v>
          </cell>
          <cell r="W77" t="str">
            <v/>
          </cell>
        </row>
        <row r="78">
          <cell r="A78">
            <v>5841308190</v>
          </cell>
          <cell r="W78" t="str">
            <v/>
          </cell>
        </row>
        <row r="79">
          <cell r="A79">
            <v>5844630060</v>
          </cell>
          <cell r="W79" t="str">
            <v>Segue nota para verificar falha em comandos via supervisório e constantes travamento no regulador de tensão 5844630060 - rural- Nova Olinda .Foi executado comandos no relé via supervisório, porém sem sucesso , em campo o equipamento está com a fase B travada no -16 .Obs: equipamento ficou fora de operação bay passado , favor agilizar atendimento !</v>
          </cell>
        </row>
        <row r="80">
          <cell r="A80">
            <v>7937102148</v>
          </cell>
          <cell r="W80" t="str">
            <v>PARECER COEP: REAVALIAR DISPONIBILIDADE DO EQUIPAMENTO NO SCADA ASSIM COMO , FORNECER MODELO DO EQUIPAMENTO E FAIXA DE TENSÃO PARA COMPRA / AQUISIÇÃOTanque com defeito, realizar substituição do tanque.</v>
          </cell>
        </row>
        <row r="81">
          <cell r="A81">
            <v>7900505026</v>
          </cell>
          <cell r="W81" t="str">
            <v/>
          </cell>
        </row>
        <row r="82">
          <cell r="A82">
            <v>7925733015</v>
          </cell>
          <cell r="W82" t="str">
            <v>PARECER COEP: EQUIPAMENTO SELECIONADO PARA COMPRAPARECER DMSL: FEEDBACK EQUIP. ESPECIAISNº DO EQUIPAMENTO: 7925733015TIPO EQUIPAMENTO: Noja RC10TIPO DE COMUNICAÇÃO: Rádio GEDATA DA MANUTENÇÃO: 24/03/2026SID: 1475/2026DESCRIÇÃO: Tanque do equipamento em CurtoFICOU EM OPERAÇÃO?: Não PENDÊNCIA: Sim, repassar a nota para DCMD substituir tanque.DADOS DIVERGENTES DA PROGRAMAÇÃO: NãoBATERIA SUBSTITUÍDA?: Não TIPO DE BATERIA: Lítio EQUIPE: Edicleber e Jhonata(DEOP)------------------------------------------------------------------------------------------------------religador 7925733015 com defeito, equipe fez abertura da chave de saida do mesmo e ele não aceita fehcamento devido provavel curto-circuito interno, enviar equipe para verificar o mesmo ficou by-pass fechado</v>
          </cell>
        </row>
        <row r="83">
          <cell r="A83">
            <v>7927396052</v>
          </cell>
          <cell r="W83" t="str">
            <v>PARECER COEP: EQUIPAMENTO SELECIONADO PARA COMPRAreligador foi bay passado devido mesmo esta saindo fumaca do painel e sem comunicação 7927396052.PARECER DMSL: Após testes, equipe DMSL constatou que apenas o tanque do RLG 7927396052 encontra-se queimado. Favor, substituir parte ativa do equipamento.NS Tanque: 0320123040198</v>
          </cell>
        </row>
        <row r="84">
          <cell r="A84">
            <v>7933585074</v>
          </cell>
          <cell r="W84" t="str">
            <v>30/06 PARECER COEP: EQUIPAMENTO SELECIONADO PARA COMPRAREALIZAR SUBSTITUIÇÃO DO TANQUE, O MESMO ESTÁ COM DEFEITO.</v>
          </cell>
        </row>
        <row r="85">
          <cell r="A85">
            <v>7921202014</v>
          </cell>
          <cell r="W85" t="str">
            <v>PARECER COEP: EQUIPAMENTO SELECIONADO PARA COMPRA , DEVERIA SER SUBSTITUIDO PARTE ATIVAPARECER DMSL: Serviço Executado: _ indentificado o problema na parte ativa será  necessário fazer a substituição da mesmo, feito a medição do aterramento. Preciso substituir para raio da fase c.Equipamento ficou em operação?: _NAOPendência: _SimBateria(s) substituída(s)? _NãoData Fabricação/Instalação da(s) bateria(s):_Equipe: _Benvindo e kaique----------------------------------------------------------------------------------RL com defeito no rele, fica só reiniciando ficou By passado OS atendimento primeiro ataque 106530226</v>
          </cell>
        </row>
        <row r="86">
          <cell r="A86">
            <v>7923927122</v>
          </cell>
          <cell r="W86" t="str">
            <v>PARECER DMSL 16/07: Nota solicitada ao DMSL com a informação de que o tanque precisa ser substituído. Estou encaminhando a nota para a área responsável.Segue nota para envia manutenção substituir tanque do RL-7923927122 em curto, Anomalia identificada desarme das LD, s Palmas / Aparecida e Palmas Taquaruçu, Acesso livre, Tensão 34,5kv, Local RL de Interligação entre 424R / 414R.</v>
          </cell>
        </row>
        <row r="87">
          <cell r="A87">
            <v>7928241200</v>
          </cell>
          <cell r="W87" t="str">
            <v>PARECER COEP: EQUIPAMENTO SELECIONADO  PARA COMPRAPARECER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v>
          </cell>
        </row>
        <row r="88">
          <cell r="A88">
            <v>7955430075</v>
          </cell>
          <cell r="W88" t="str">
            <v/>
          </cell>
        </row>
        <row r="89">
          <cell r="A89">
            <v>7955686076</v>
          </cell>
          <cell r="W89" t="str">
            <v/>
          </cell>
        </row>
        <row r="90">
          <cell r="A90">
            <v>7942485096</v>
          </cell>
          <cell r="W90" t="str">
            <v>30/06 PARECER COEP: EQUIPAMENTO SELECIONADO PARA COMPRARELIGADOR COM DEFEITO 7942485096, ESTA DANDO PASSAGEM ESTANDO ABERTO. NÃO ACEITA COMANDOS. FICOU BY PASSADO EM CAMPO PARA MANUTENÇÃO.PARECER DMSL: Ao testar o tanque, foi constatado que o mesmo está danificado e precisa ser substituído.Substituir somente o tanque. Deixar claro na nota para o dcmd substituir somente o tanque. Não tem necessidade de substituir o controle.</v>
          </cell>
        </row>
        <row r="91">
          <cell r="A91">
            <v>7901110084</v>
          </cell>
          <cell r="W91" t="str">
            <v>PARECER COEP: EQUIPAMENTO SELECIONADO PARA COMPRAPARECER DMSL: Serviço Executado: Foi feito análise técnica, testes funcionais e identificado que a parte ativa do equipamento está com defeito. Necessário substituir a parte ativa.FICOU EM OPERAÇÃO? Não- EQUIPE: Carliel e BenvindoSegue SS para verificaçao Rl esta danificado dando passagem de tensão mesmo aberto Sim, quando retornar trazer uma fonte pois a mesma foi removida.</v>
          </cell>
        </row>
        <row r="92">
          <cell r="A92">
            <v>7908206074</v>
          </cell>
          <cell r="W92" t="str">
            <v/>
          </cell>
        </row>
        <row r="93">
          <cell r="A93">
            <v>7908708116</v>
          </cell>
          <cell r="W93" t="str">
            <v>COCMS: 12/08/2026PART ATIVA DO RELIGADOR FOI SUBSTITUIDA.GENTILEZA COMISSIONAR EQUIPAMENTO. SUBSTITUIR PARTE ATIVA DO RELIGADOR 7908708116. LV. ABRIR JUNTE DE ENTRADA E SAIDA DO RELIGADOR PARA POSSIBILITAR SUBSTITUIÇÃO DO MESMO.</v>
          </cell>
        </row>
        <row r="94">
          <cell r="A94">
            <v>7926442035</v>
          </cell>
          <cell r="W94" t="str">
            <v>PARECER COEP: EQUIPAMENTO SELECIONADO PARA COMPRAPARECER DMSL: Data: 12/03/2026 Serviço Executado:- Análise técnica constatou:- Parte ativa do equipamento danificada: necessita substituição- Trafo danificado: foi feitos testes nas buchas secundárias o mesmo não chega tensão    - Vazamento de óleo    - Necessita substituiçãoEquipamento ficou em operação? NãoPendências:- Solicitar limpeza de faixa para acesso ao equipamento- Trocar parte ativa do equipamento- Substituir o trafoEquipe: Carliel e João VitorSegue nota para envia equipe verificar falha de comunicação e automação no RL-7926442035 feito primeiro ataque com equipe 035OP02, porém sem sucesso. </v>
          </cell>
        </row>
        <row r="95">
          <cell r="A95">
            <v>5800961074</v>
          </cell>
          <cell r="W95" t="str">
            <v>PARECER COEP: EQUIPAMENTO SELECIONADO PARA COMPRASubstituir as 3 células- Melhoria na malha de aterramento - Melhoria no circuito de aterramento qua aterra as células.- Substituir conectores paralelos</v>
          </cell>
        </row>
        <row r="96">
          <cell r="A96">
            <v>5800440256</v>
          </cell>
          <cell r="W96" t="str">
            <v>PARECER DMSL 06/08: Substituir célula da Fase B do banco de Regulador de tensão e realizar melhorias na malha de aterramento do ReguladorBoa noite,Segue SS para as devidas tratativas, verificar flutuação de tensão do regulador 5800440256 pois a tensão está oscilando de 16kv a 23kv    favor verificar esta anomalia pois cliente BRK está abrindo reclamação todas as noites.</v>
          </cell>
        </row>
        <row r="97">
          <cell r="A97">
            <v>5803327001</v>
          </cell>
          <cell r="W97" t="str">
            <v>01/07 PARECER COEP: FOI CONFIRMADO COM A OPERAÇÃO QUE O EQUIPAMENTO SEGUIU O FLUXO INTEIRO DE COMISSIONAMENTO, PROTEÇÃO, FAVOR EXPLICAR O QUE FOI REALIZADO E SE EQUIPAMENTO ESTÁ OPERANDO, SENÃO ESTIVER EXPLICAR O QUE FOI FEITO NELE30/06PARECER COEP: REPASSAR DIRETAMENTE PARA OS COCM'SRegulador 5803327001 fora de operação, by passado em campo com painel de comunicação com cabos desconectados tensão 13.8.parecer DMSL: Feedback Equip. EspeciaisRT 5803327001RELÉ RUASid: 4844Data: 19/09/2025Serviço realizado:*Equipamento foi remanejado, 7 km da sua localização sentido Palmas necessário comissionamento completo*Equipamento com um dos cabos umbilicais danificado.* aterramento bucha FC não esta interligada corretamente * para-raios estão no mesmo aterramento da bucha FC.* Tranques  muito alto e próximo da rede  não permitindo o comissionamento com segurança.* Controle alto  demais tem que baixar Equipamento ficou em operação?: nãoPendência: sim, precisa comissionar completoOBS</v>
          </cell>
        </row>
        <row r="98">
          <cell r="A98">
            <v>5840227063</v>
          </cell>
          <cell r="W98" t="str">
            <v>PARECER COEP 27/07/2026 : EM PROCESSO DE AQUISIÇÃOPARECER DMSL 13/07/2026: Realizados ensaios de isolação nas três células, e foi identificado curto na fase A, sendo necessário a sua substituição. Os cabos das buchas ficaram desconectados para melhor identificação no momento da sua substituiçãSEGUE PARA O DMSL AVALIAR ANTES DE SEGUIRMOS COM O SERVIÇOSEGUE PARA REALIZAR TROCA---------------------------------------------------------Boa noite,Segue SS para tratativas regulador de tensão 5840227063 fase C em curto</v>
          </cell>
        </row>
        <row r="99">
          <cell r="A99">
            <v>5855411017</v>
          </cell>
          <cell r="W99" t="str">
            <v>20/07 PARECER COCM: NÃO RECEBEMOS MATERIAL10/07 PARECER COEP: EQUIPAMENTO ENTREGUE AOS COCM´S FAVOR INFORMAR PRAZO DE SUBSTUIÇÃO PARA O DMSL E REPASSAR DEPOIS PARA PROTEÇÃO REALIZAR OS AJUSTES E DESCREVER NA SS O SERVIÇO REALIZADOPARECER COEP: EQUIPAMENTO EM ROTA DE ENTREGASEM COMUNICAÇÃO, FALHA DE ALIMENTAÇÃO - REALIZADO PRIMEIRO ATAQUE SEM SUCESSO.PARECER DMSL: 17/09/2025 Equipamento ficou em operação? Não Pendência: sim. Equipamento ficou Bay passado levar controle  COMPLETO para trocar. ellisfran</v>
          </cell>
        </row>
        <row r="100">
          <cell r="A100">
            <v>7954668084</v>
          </cell>
          <cell r="W100" t="str">
            <v/>
          </cell>
        </row>
        <row r="101">
          <cell r="A101">
            <v>5862236091</v>
          </cell>
          <cell r="W101" t="str">
            <v>27/07 PARECER COEP: PEÇAS REDIRECIONADAS 5856070091 PRIORIDADE MAIOR20/07 PARECER COEP: EQUIPAMENTO ENTREGUE , FAVOR EDITAR A SS COM A DATA PREVISTA DE SUBSTITUIÇÃO NO PARECER DOS COCM´S Realizar substituição da FASE B.Célula da fase B estava com a tampa do contador de tape aberta, pegou chuva e molhou os contatos danificando a peça toda.</v>
          </cell>
        </row>
        <row r="102">
          <cell r="A102">
            <v>5858783119</v>
          </cell>
          <cell r="W102" t="str">
            <v>PARECER DMSL 31/07/2026: RT 5858783119 SE ECONTRA NA MESMA SITUAÇÃO INFORMADA NO DIA 16/06/2026. FAVOR, REGULARIZAR A SITUAÇÃO DO EQUIPAMENTO, SUBSTITUINDO OS 3 TANQUES E  INSTALAR NOVOS PARA-RAIOS.27/07/2026 PARECER COEP: FIZEMOS UMA VISITA AO EQUIPAMENTO , EQUIPAMENTO SE ENCONTRA EM OPERAÇÃO E SEM SINAL DE AVARIA FAVOR AVALIAR PARECER DMSL A SS FOTOS COM O LUANDERSSON OU JOAO ANTONIO LAGARES 20/07 PARECER COEP: EQUIPAMENTO SELECIONADO PARA COMPRA , DEVIDO AO ERRO NA INSTALAÇÃO E O FURTOPARECER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v>
          </cell>
        </row>
        <row r="103">
          <cell r="A103">
            <v>5825703064</v>
          </cell>
          <cell r="W103" t="str">
            <v>PARECER DMSL: Foi identificado que a fase A esta em curto (892Kbps) no teste de Megometro, o curto afetou o rele RUA 01 e rompeu o jamper da chave faca para a linha de distribuição.PROVIDENCIAR MANUTENÇÃO PARA O REGULADOR 5825703064 POIS O MESMO ESTA EM CURTO E FASE A DE SAIDE ESTA ROMPIDO.</v>
          </cell>
        </row>
        <row r="104">
          <cell r="A104">
            <v>7900532053</v>
          </cell>
          <cell r="W104" t="str">
            <v/>
          </cell>
        </row>
        <row r="105">
          <cell r="A105">
            <v>5856070091</v>
          </cell>
          <cell r="W105" t="str">
            <v>PARECER DMSL: não foi regularizado a instalação do equipamento, nota repassada conforme alinhado com o supervisor.____________________________________________COCMS 26.03.26. SS REPASSADA PARA COEP PROVIDENCIAR MATERIAL. NÃO TEMOS AS PÇ EM ESTOQUE PARA FAZER A SUBSTITUIÇÃO. Solicitação de serviço para reposição de equipamentos furtados .COEP: Equipamento fornecido ao COCM-S para regularização.COCMS: Equipamento substituido conforme solicitado. Gentileza comissionar.PARECER DA PROTEÇÃO:SEGUE NOTA REPASSADA PARA DMSL COMISSIONAR.ENG° IRLLEY CASTELO BRANCOPARECER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v>
          </cell>
        </row>
        <row r="106">
          <cell r="A106">
            <v>7931219078</v>
          </cell>
          <cell r="W106" t="str">
            <v>08/07/2026 PARECER COEP: SUBSTITUIÇÃO DE TRAFO AUXILIAR ENCAMINHADO PARA REALIZAR A TROCA , FAVOR COLOCAR O PARECER AQUI E MANDAR DEPOIS PARA PROTEÇÃO , POR FAVORPARECER COEP: SUBSTITUIÇÃO DO TRAFO É DIRETO COM OS COCM'S, NÃO TEM COMPRA DE EQUIPAMENTO ESPECIAL.PARECER DMSL (25/07/2025): Realizada atualização da base do relé. Feito comissionamento com SCADA (Kauana) e testes com COS (Daniel). Equipamento reinserido no SEP sem anomalias. PENDÊNCIA: Sim. Substituir Trafo auxiliar, pois o mesmo está com vazamento significativo de óleo isolante, o que irá causar a avaria podendo afetar todo controle do religador.FAZER INSPEÇÃO E MANUTENÇÃO DO RL 7931219078. RELIGADOR CHAVE ESTA MUDANDO SOZINHA PARA LOCAL.</v>
          </cell>
        </row>
        <row r="107">
          <cell r="A107">
            <v>7949648145</v>
          </cell>
          <cell r="W107" t="str">
            <v>FEITO PRIMEIRO ATAQUE COM A EQUIPE LOCAL E NÃO VOLTOU A COMUNICAR. PROVIDENCIAR MANUTENÇÃO PARA O MESMO.</v>
          </cell>
        </row>
        <row r="108">
          <cell r="A108">
            <v>7908300096</v>
          </cell>
          <cell r="W108" t="str">
            <v>Segue nota para verificar falha intermitência na comunicação RL 7908300096 RDU- Pindorama .</v>
          </cell>
        </row>
        <row r="109">
          <cell r="A109">
            <v>7911120026</v>
          </cell>
          <cell r="W109" t="str">
            <v/>
          </cell>
        </row>
        <row r="110">
          <cell r="A110">
            <v>7900722193</v>
          </cell>
          <cell r="W110" t="str">
            <v/>
          </cell>
        </row>
        <row r="111">
          <cell r="A111">
            <v>5839141113</v>
          </cell>
          <cell r="W111" t="str">
            <v>Segue nota para averiguar ajuste regulador de tensão N: 5839141113 - RDU - Couto Magalhães , e verificar falha de comunicação   .Equipe operacional verificou que vários transformadores urbanos estão com nível de tensão baixa .Foi feito primeiro ataque regulador está comutando normalmente as 3 fases , porém não está no nível adequado !Em campo regulador estava no Tap R1 - 02 , R2 + 01 , R3 +03Medições feitas :Transformador 5700010113     - NA: 205 NB: 206 NC: 210Transformador 5700011113      - NA: 204 NB: 206 NC: 209Transformador 5700333113       -NA: 205 NB: 207 NC: 208OBS: solicitar equipe para realizar medição aterramento ,  e verificar ajuste junto ao time proteção .  verificar falha de comunicação no equipamento .</v>
          </cell>
        </row>
        <row r="112">
          <cell r="A112">
            <v>7923110021</v>
          </cell>
          <cell r="W112" t="str">
            <v>Segue SS para verificar falha de comunicação no religador 7923110021. Equipe foi no local realizar primeiro ataque e informou que o radio de comunicação encontra-se com defeito</v>
          </cell>
        </row>
        <row r="113">
          <cell r="A113">
            <v>5854766001</v>
          </cell>
          <cell r="W113" t="str">
            <v>encaminhar equipe dmsl no RT fase C não está comutando tap -16 não zera ficou bypassado</v>
          </cell>
        </row>
        <row r="114">
          <cell r="A114">
            <v>7908705049</v>
          </cell>
          <cell r="W114" t="str">
            <v>EQUIPAMENTO ENTREGUE, SOLICITO PREVISÃO PARA SUBSTITUIÇÃO:PARECER COEP: PREVISÃO DE ENTREGA AOS COCM'S 01/07Manutenção no RL 7908705049PARECER DMSL(28/08/2025): Equipe foi fazer manutenção no RL e constatou que o tanque e o relé do mesmo se encontra queimado, providenciar substituição.PARECER COCMS 30/04/2026CRIADO OBRA 0512600135 PARA REQUISIÇÃO MATERIAL</v>
          </cell>
        </row>
        <row r="115">
          <cell r="A115">
            <v>7944353028</v>
          </cell>
          <cell r="W115" t="str">
            <v>Religador de poste 7944353028 sem comunicação com coi equipe 091op02 feito primeiro ataque os 99 porem não retornou a comunição enviar equipe ao local verificar possivel falha.</v>
          </cell>
        </row>
        <row r="116">
          <cell r="A116">
            <v>7902702257</v>
          </cell>
          <cell r="W116" t="str">
            <v>RL 7902702257PROBLEMA NA COMUNICAÇÃO MESMO QUANDO PERDE C.A PEDER A COMUNICAÇÃO INSTANTANEA . FAVOR VERIFICAR E DAR DEVIDAS TRATATIVAS.....</v>
          </cell>
        </row>
        <row r="117">
          <cell r="A117">
            <v>7908693026</v>
          </cell>
          <cell r="W117" t="str">
            <v>RL 7908693026SEM COMUNICAÇÃO INDISPONIVEL PARA OPERAÇÃO EQUIPE 059OP12 TAQUARALTO ESTEVE NO LOCALFAVOR TRATAR O MESMO .</v>
          </cell>
        </row>
        <row r="118">
          <cell r="A118">
            <v>7950296049</v>
          </cell>
          <cell r="W118" t="str">
            <v>religador de poste 7950296049 com falha no dispaly do equipamento tensão 34.5 kv acesso livre indisponivel para operação e aberto em campo e sem comunicação .</v>
          </cell>
        </row>
        <row r="119">
          <cell r="A119">
            <v>7946713015</v>
          </cell>
          <cell r="W119" t="str">
            <v>RELIGADOR COM CONTROLE APAGADO - REALIZADO PRIMEIRO ATAQUE SEM SUCESSO - EQUIPAMENTO FICOU BY PASSADO.</v>
          </cell>
        </row>
        <row r="120">
          <cell r="A120">
            <v>7938048113</v>
          </cell>
          <cell r="W120" t="str">
            <v>Enviar equipe  da TELE, para sanar defeito de comunicação do RL 7938048113, não aceita comandos de fechamento e nem  de abertura remoto.Situação  no sistema  ABERTO NO ADMS, porém fechado  normalmente em campo</v>
          </cell>
        </row>
        <row r="121">
          <cell r="A121">
            <v>7949656024</v>
          </cell>
          <cell r="W121" t="str">
            <v>Favor deslocar equipe no religador 7949656024 foi realizado primeiro ataque no mesmo, porem sem sucesso.Religador se encontra fechado em campo e aberto no ADMS.</v>
          </cell>
        </row>
        <row r="122">
          <cell r="A122">
            <v>7926242029</v>
          </cell>
          <cell r="W122" t="str">
            <v>religador 7926242029 sem comunicação com sistema em operação com anomalia insdisponivel para operação acesso bom porem veiculo não chega ao local .feito primeiro ataque sem sucesso</v>
          </cell>
        </row>
        <row r="123">
          <cell r="A123">
            <v>7905320122</v>
          </cell>
          <cell r="W123" t="str">
            <v>Segue nota para verificar falha sinalização status religador 7905320122 - rdu- Palmas .Equipamento está fechado em campo porem está sinalizando aberto .</v>
          </cell>
        </row>
        <row r="124">
          <cell r="A124">
            <v>7909594004</v>
          </cell>
          <cell r="W124" t="str">
            <v/>
          </cell>
        </row>
        <row r="125">
          <cell r="A125">
            <v>7925727002</v>
          </cell>
          <cell r="W125" t="str">
            <v>Segue nota para verificar falha de comunicação no religador 7925727002 quando falta CA , Local RDU- Tocantinopolis  .Equipamento perde a comunicação quando falta CA !</v>
          </cell>
        </row>
        <row r="126">
          <cell r="A126">
            <v>7908709122</v>
          </cell>
          <cell r="W126" t="str">
            <v>Segue SS aberta para Religador 7908709122equipe sinergia fez o primeiro ataque porem ,o mesmo não voltou a comunicação.equipe sinergia.contato equipe 63 98414-0477 almir</v>
          </cell>
        </row>
        <row r="127">
          <cell r="A127">
            <v>7961515047</v>
          </cell>
          <cell r="W127" t="str">
            <v>segue nota equipamento RL 7961515047 desarmou em campo e nao sinalizou no AMDS mesmo nao estar comunicando , feito primeiro ataque equepe 047op01 e com orientaçoes da EDNA DMSL , mesmo nao voltou a comunicaçao , ficou em operacao e sem comunicar .</v>
          </cell>
        </row>
        <row r="128">
          <cell r="A128">
            <v>5853360007</v>
          </cell>
          <cell r="W128" t="str">
            <v>REALIZAR TESTES NO EQUIPAMENTO E CONFERIR MEDIÇÕES DA MALHA DE ATERRAMENTO. ESTANDO OK, COMISSIONAR EQUIPAMENTO E COLOCA-LO EM OPERAÇÃO.AJUSTES DISPONIVEIS NO APP DA PROTEÇÃdmsl : N° do Equipamento:*RT 5853360007 MIRACEMASID: 2493/2025Data: 13/05/2025Serviço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7a.Equipamento ficou em operação?: Não Equipe: Benvindo e Jardel</v>
          </cell>
        </row>
        <row r="129">
          <cell r="A129">
            <v>7928462040</v>
          </cell>
          <cell r="W129" t="str">
            <v/>
          </cell>
        </row>
        <row r="130">
          <cell r="A130">
            <v>7901151022</v>
          </cell>
          <cell r="W130" t="str">
            <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Ativo</v>
          </cell>
        </row>
        <row r="2">
          <cell r="A2">
            <v>7908686014</v>
          </cell>
        </row>
        <row r="3">
          <cell r="A3">
            <v>7900535058</v>
          </cell>
        </row>
        <row r="4">
          <cell r="A4">
            <v>7953610256</v>
          </cell>
        </row>
        <row r="5">
          <cell r="A5">
            <v>7942485096</v>
          </cell>
        </row>
        <row r="6">
          <cell r="A6">
            <v>5858783119</v>
          </cell>
        </row>
        <row r="7">
          <cell r="A7">
            <v>5853360007</v>
          </cell>
        </row>
        <row r="8">
          <cell r="A8">
            <v>7900453110</v>
          </cell>
        </row>
        <row r="9">
          <cell r="A9">
            <v>7923927122</v>
          </cell>
        </row>
        <row r="10">
          <cell r="A10">
            <v>7900117013</v>
          </cell>
        </row>
        <row r="11">
          <cell r="A11">
            <v>7900532053</v>
          </cell>
        </row>
        <row r="12">
          <cell r="A12">
            <v>7920024127</v>
          </cell>
        </row>
        <row r="13">
          <cell r="A13">
            <v>7928564039</v>
          </cell>
        </row>
        <row r="14">
          <cell r="A14">
            <v>7957126085</v>
          </cell>
        </row>
        <row r="15">
          <cell r="A15">
            <v>5856156091</v>
          </cell>
        </row>
        <row r="16">
          <cell r="A16">
            <v>5854566043</v>
          </cell>
        </row>
        <row r="17">
          <cell r="A17">
            <v>7927446001</v>
          </cell>
        </row>
        <row r="18">
          <cell r="A18">
            <v>7928241200</v>
          </cell>
        </row>
        <row r="19">
          <cell r="A19">
            <v>5800371025</v>
          </cell>
        </row>
        <row r="20">
          <cell r="A20">
            <v>5844630060</v>
          </cell>
        </row>
        <row r="21">
          <cell r="A21">
            <v>7908705049</v>
          </cell>
        </row>
        <row r="22">
          <cell r="A22">
            <v>5800438116</v>
          </cell>
        </row>
        <row r="23">
          <cell r="A23">
            <v>5856070091</v>
          </cell>
        </row>
        <row r="24">
          <cell r="A24">
            <v>5850308009</v>
          </cell>
        </row>
        <row r="25">
          <cell r="A25">
            <v>5827102054</v>
          </cell>
        </row>
        <row r="26">
          <cell r="A26">
            <v>7903112004</v>
          </cell>
        </row>
        <row r="27">
          <cell r="A27">
            <v>5803327001</v>
          </cell>
        </row>
        <row r="28">
          <cell r="A28">
            <v>5855411017</v>
          </cell>
        </row>
        <row r="29">
          <cell r="A29">
            <v>7933766059</v>
          </cell>
        </row>
        <row r="30">
          <cell r="A30">
            <v>7931610122</v>
          </cell>
        </row>
        <row r="31">
          <cell r="A31">
            <v>7900573047</v>
          </cell>
        </row>
        <row r="32">
          <cell r="A32">
            <v>7947203070</v>
          </cell>
        </row>
        <row r="33">
          <cell r="A33">
            <v>7925087021</v>
          </cell>
        </row>
        <row r="34">
          <cell r="A34">
            <v>5800961074</v>
          </cell>
        </row>
        <row r="35">
          <cell r="A35">
            <v>7937102148</v>
          </cell>
        </row>
        <row r="36">
          <cell r="A36">
            <v>5862236091</v>
          </cell>
        </row>
        <row r="37">
          <cell r="A37">
            <v>7901110084</v>
          </cell>
        </row>
        <row r="38">
          <cell r="A38">
            <v>7931608059</v>
          </cell>
        </row>
        <row r="39">
          <cell r="A39">
            <v>7927646026</v>
          </cell>
        </row>
        <row r="40">
          <cell r="A40">
            <v>7927169001</v>
          </cell>
        </row>
        <row r="41">
          <cell r="A41">
            <v>7908249152</v>
          </cell>
        </row>
        <row r="42">
          <cell r="A42">
            <v>7933585074</v>
          </cell>
        </row>
        <row r="43">
          <cell r="A43">
            <v>7925744087</v>
          </cell>
        </row>
        <row r="44">
          <cell r="A44">
            <v>7921202014</v>
          </cell>
        </row>
        <row r="45">
          <cell r="A45">
            <v>7926442035</v>
          </cell>
        </row>
        <row r="46">
          <cell r="A46">
            <v>7927396052</v>
          </cell>
        </row>
        <row r="47">
          <cell r="A47">
            <v>7923673004</v>
          </cell>
        </row>
        <row r="48">
          <cell r="A48">
            <v>7919270014</v>
          </cell>
        </row>
        <row r="49">
          <cell r="A49">
            <v>5801866013</v>
          </cell>
        </row>
        <row r="50">
          <cell r="A50">
            <v>7925871077</v>
          </cell>
        </row>
        <row r="51">
          <cell r="A51">
            <v>7944559149</v>
          </cell>
        </row>
        <row r="52">
          <cell r="A52">
            <v>7926089013</v>
          </cell>
        </row>
        <row r="53">
          <cell r="A53">
            <v>5836786094</v>
          </cell>
        </row>
        <row r="54">
          <cell r="A54">
            <v>7925733015</v>
          </cell>
        </row>
        <row r="55">
          <cell r="A55">
            <v>7900525015</v>
          </cell>
        </row>
        <row r="56">
          <cell r="A56">
            <v>5800291035</v>
          </cell>
        </row>
        <row r="57">
          <cell r="A57">
            <v>7929376022</v>
          </cell>
        </row>
        <row r="58">
          <cell r="A58">
            <v>5800090147</v>
          </cell>
        </row>
        <row r="59">
          <cell r="A59">
            <v>7927413001</v>
          </cell>
        </row>
        <row r="60">
          <cell r="A60">
            <v>7933726256</v>
          </cell>
        </row>
        <row r="61">
          <cell r="A61">
            <v>7900594026</v>
          </cell>
        </row>
        <row r="62">
          <cell r="A62">
            <v>7913662076</v>
          </cell>
        </row>
        <row r="63">
          <cell r="A63">
            <v>5800859011</v>
          </cell>
        </row>
        <row r="64">
          <cell r="A64">
            <v>7942572059</v>
          </cell>
        </row>
        <row r="65">
          <cell r="A65">
            <v>7911120026</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lanilha1"/>
      <sheetName val="Des_Loc"/>
      <sheetName val="SEGMENTAÇÃO_LOGICA"/>
      <sheetName val="CONFERIR"/>
      <sheetName val="EQUIPAMENTOS_ETO"/>
    </sheetNames>
    <sheetDataSet>
      <sheetData sheetId="0" refreshError="1"/>
      <sheetData sheetId="1">
        <row r="1">
          <cell r="A1" t="str">
            <v>COD_LOC</v>
          </cell>
          <cell r="B1" t="str">
            <v>DES_LOC</v>
          </cell>
        </row>
        <row r="2">
          <cell r="A2">
            <v>1</v>
          </cell>
          <cell r="B2" t="str">
            <v>PORTO NACIONAL</v>
          </cell>
        </row>
        <row r="3">
          <cell r="A3">
            <v>2</v>
          </cell>
          <cell r="B3" t="str">
            <v>TOCANTINOPOLIS</v>
          </cell>
        </row>
        <row r="4">
          <cell r="A4">
            <v>3</v>
          </cell>
          <cell r="B4" t="str">
            <v>GURUPI</v>
          </cell>
        </row>
        <row r="5">
          <cell r="A5">
            <v>4</v>
          </cell>
          <cell r="B5" t="str">
            <v>ARAGUAINA</v>
          </cell>
        </row>
        <row r="6">
          <cell r="A6">
            <v>5</v>
          </cell>
          <cell r="B6" t="str">
            <v>ARRAIAS</v>
          </cell>
        </row>
        <row r="7">
          <cell r="A7">
            <v>6</v>
          </cell>
          <cell r="B7" t="str">
            <v>TOCANTINIA</v>
          </cell>
        </row>
        <row r="8">
          <cell r="A8">
            <v>7</v>
          </cell>
          <cell r="B8" t="str">
            <v>MIRACEMA DO TOCANTINS</v>
          </cell>
        </row>
        <row r="9">
          <cell r="A9">
            <v>8</v>
          </cell>
          <cell r="B9" t="str">
            <v>MIRANORTE</v>
          </cell>
        </row>
        <row r="10">
          <cell r="A10">
            <v>9</v>
          </cell>
          <cell r="B10" t="str">
            <v>GUARAI</v>
          </cell>
        </row>
        <row r="11">
          <cell r="A11">
            <v>10</v>
          </cell>
          <cell r="B11" t="str">
            <v>LAJEADO</v>
          </cell>
        </row>
        <row r="12">
          <cell r="A12">
            <v>11</v>
          </cell>
          <cell r="B12" t="str">
            <v>TUPIRAMA</v>
          </cell>
        </row>
        <row r="13">
          <cell r="A13">
            <v>12</v>
          </cell>
          <cell r="B13" t="str">
            <v>CRISTALANDIA</v>
          </cell>
        </row>
        <row r="14">
          <cell r="A14">
            <v>13</v>
          </cell>
          <cell r="B14" t="str">
            <v>PARAISO DO TOCANTINS</v>
          </cell>
        </row>
        <row r="15">
          <cell r="A15">
            <v>14</v>
          </cell>
          <cell r="B15" t="str">
            <v>PIUM</v>
          </cell>
        </row>
        <row r="16">
          <cell r="A16">
            <v>15</v>
          </cell>
          <cell r="B16" t="str">
            <v>PEDRO AFONSO</v>
          </cell>
        </row>
        <row r="17">
          <cell r="A17">
            <v>16</v>
          </cell>
          <cell r="B17" t="str">
            <v>WANDERLANDIA</v>
          </cell>
        </row>
        <row r="18">
          <cell r="A18">
            <v>17</v>
          </cell>
          <cell r="B18" t="str">
            <v>BARROLANDIA</v>
          </cell>
        </row>
        <row r="19">
          <cell r="A19">
            <v>18</v>
          </cell>
          <cell r="B19" t="str">
            <v>BOM JESUS DO TOCANTINS</v>
          </cell>
        </row>
        <row r="20">
          <cell r="A20">
            <v>19</v>
          </cell>
          <cell r="B20" t="str">
            <v>FILADELFIA</v>
          </cell>
        </row>
        <row r="21">
          <cell r="A21">
            <v>20</v>
          </cell>
          <cell r="B21" t="str">
            <v>NOVO ALEGRE</v>
          </cell>
        </row>
        <row r="22">
          <cell r="A22">
            <v>21</v>
          </cell>
          <cell r="B22" t="str">
            <v>PARANA</v>
          </cell>
        </row>
        <row r="23">
          <cell r="A23">
            <v>22</v>
          </cell>
          <cell r="B23" t="str">
            <v>BABACULANDIA</v>
          </cell>
        </row>
        <row r="24">
          <cell r="A24">
            <v>23</v>
          </cell>
          <cell r="B24" t="str">
            <v>COLINAS DO TOCANTINS</v>
          </cell>
        </row>
        <row r="25">
          <cell r="A25">
            <v>24</v>
          </cell>
          <cell r="B25" t="str">
            <v>ITAPORA DO TOCANTINS</v>
          </cell>
        </row>
        <row r="26">
          <cell r="A26">
            <v>25</v>
          </cell>
          <cell r="B26" t="str">
            <v>ARAPOEMA</v>
          </cell>
        </row>
        <row r="27">
          <cell r="A27">
            <v>26</v>
          </cell>
          <cell r="B27" t="str">
            <v>PONTE ALTA TOCANTINS</v>
          </cell>
        </row>
        <row r="28">
          <cell r="A28">
            <v>27</v>
          </cell>
          <cell r="B28" t="str">
            <v>PONTE ALTA BOM JESUS</v>
          </cell>
        </row>
        <row r="29">
          <cell r="A29">
            <v>28</v>
          </cell>
          <cell r="B29" t="str">
            <v>NATIVIDADE</v>
          </cell>
        </row>
        <row r="30">
          <cell r="A30">
            <v>29</v>
          </cell>
          <cell r="B30" t="str">
            <v>PALMEIROPOLIS</v>
          </cell>
        </row>
        <row r="31">
          <cell r="A31">
            <v>30</v>
          </cell>
          <cell r="B31" t="str">
            <v>XAMBIOA</v>
          </cell>
        </row>
        <row r="32">
          <cell r="A32">
            <v>31</v>
          </cell>
          <cell r="B32" t="str">
            <v>RIO DOS BOIS</v>
          </cell>
        </row>
        <row r="33">
          <cell r="A33">
            <v>32</v>
          </cell>
          <cell r="B33" t="str">
            <v>ARAGUACU</v>
          </cell>
        </row>
        <row r="34">
          <cell r="A34">
            <v>33</v>
          </cell>
          <cell r="B34" t="str">
            <v>COLMEIA</v>
          </cell>
        </row>
        <row r="35">
          <cell r="A35">
            <v>34</v>
          </cell>
          <cell r="B35" t="str">
            <v>PRESIDENTE KENNEDY</v>
          </cell>
        </row>
        <row r="36">
          <cell r="A36">
            <v>35</v>
          </cell>
          <cell r="B36" t="str">
            <v>MONTE DO CARMO</v>
          </cell>
        </row>
        <row r="37">
          <cell r="A37">
            <v>36</v>
          </cell>
          <cell r="B37" t="str">
            <v>ALVORADA</v>
          </cell>
        </row>
        <row r="38">
          <cell r="A38">
            <v>37</v>
          </cell>
          <cell r="B38" t="str">
            <v>ALIANCA DO TOCANTINS</v>
          </cell>
        </row>
        <row r="39">
          <cell r="A39">
            <v>38</v>
          </cell>
          <cell r="B39" t="str">
            <v>TAGUATINGA</v>
          </cell>
        </row>
        <row r="40">
          <cell r="A40">
            <v>39</v>
          </cell>
          <cell r="B40" t="str">
            <v>ARAGUATINS</v>
          </cell>
        </row>
        <row r="41">
          <cell r="A41">
            <v>40</v>
          </cell>
          <cell r="B41" t="str">
            <v>ARAGOMINAS</v>
          </cell>
        </row>
        <row r="42">
          <cell r="A42">
            <v>41</v>
          </cell>
          <cell r="B42" t="str">
            <v>CRIXAS DO TOCANTINS</v>
          </cell>
        </row>
        <row r="43">
          <cell r="A43">
            <v>42</v>
          </cell>
          <cell r="B43" t="str">
            <v>CARIRI DO TOCANTINS</v>
          </cell>
        </row>
        <row r="44">
          <cell r="A44">
            <v>43</v>
          </cell>
          <cell r="B44" t="str">
            <v>SILVANOPOLIS</v>
          </cell>
        </row>
        <row r="45">
          <cell r="A45">
            <v>44</v>
          </cell>
          <cell r="B45" t="str">
            <v>FATIMA</v>
          </cell>
        </row>
        <row r="46">
          <cell r="A46">
            <v>45</v>
          </cell>
          <cell r="B46" t="str">
            <v>AUGUSTINOPOLIS</v>
          </cell>
        </row>
        <row r="47">
          <cell r="A47">
            <v>46</v>
          </cell>
          <cell r="B47" t="str">
            <v>NOVA ROSALANDIA</v>
          </cell>
        </row>
        <row r="48">
          <cell r="A48">
            <v>47</v>
          </cell>
          <cell r="B48" t="str">
            <v>FIGUEIROPOLIS</v>
          </cell>
        </row>
        <row r="49">
          <cell r="A49">
            <v>48</v>
          </cell>
          <cell r="B49" t="str">
            <v>FORTALEZA DO TABOCAO</v>
          </cell>
        </row>
        <row r="50">
          <cell r="A50">
            <v>49</v>
          </cell>
          <cell r="B50" t="str">
            <v>AURORA DO TOCANTINS</v>
          </cell>
        </row>
        <row r="51">
          <cell r="A51">
            <v>50</v>
          </cell>
          <cell r="B51" t="str">
            <v>COMBINADO</v>
          </cell>
        </row>
        <row r="52">
          <cell r="A52">
            <v>51</v>
          </cell>
          <cell r="B52" t="str">
            <v>LAVANDEIRA</v>
          </cell>
        </row>
        <row r="53">
          <cell r="A53">
            <v>52</v>
          </cell>
          <cell r="B53" t="str">
            <v>FORMOSO DO ARAGUAIA</v>
          </cell>
        </row>
        <row r="54">
          <cell r="A54">
            <v>53</v>
          </cell>
          <cell r="B54" t="str">
            <v>PIRAQUE</v>
          </cell>
        </row>
        <row r="55">
          <cell r="A55">
            <v>54</v>
          </cell>
          <cell r="B55" t="str">
            <v>PUGMIL</v>
          </cell>
        </row>
        <row r="56">
          <cell r="A56">
            <v>55</v>
          </cell>
          <cell r="B56" t="str">
            <v>ARAGUACEMA</v>
          </cell>
        </row>
        <row r="57">
          <cell r="A57">
            <v>56</v>
          </cell>
          <cell r="B57" t="str">
            <v>CARMOLANDIA</v>
          </cell>
        </row>
        <row r="58">
          <cell r="A58">
            <v>57</v>
          </cell>
          <cell r="B58" t="str">
            <v>NOVO HORIZONTE</v>
          </cell>
        </row>
        <row r="59">
          <cell r="A59">
            <v>58</v>
          </cell>
          <cell r="B59" t="str">
            <v>SANTA FE DO ARAGUAIA</v>
          </cell>
        </row>
        <row r="60">
          <cell r="A60">
            <v>59</v>
          </cell>
          <cell r="B60" t="str">
            <v>TAQUARALTO</v>
          </cell>
        </row>
        <row r="61">
          <cell r="A61">
            <v>60</v>
          </cell>
          <cell r="B61" t="str">
            <v>NOVA OLINDA</v>
          </cell>
        </row>
        <row r="62">
          <cell r="A62">
            <v>61</v>
          </cell>
          <cell r="B62" t="str">
            <v>TRANSARAGUAIA</v>
          </cell>
        </row>
        <row r="63">
          <cell r="A63">
            <v>62</v>
          </cell>
          <cell r="B63" t="str">
            <v>BRASILENE</v>
          </cell>
        </row>
        <row r="64">
          <cell r="A64">
            <v>63</v>
          </cell>
          <cell r="B64" t="str">
            <v>BANDEIRANTES DO TOCANTINS</v>
          </cell>
        </row>
        <row r="65">
          <cell r="A65">
            <v>64</v>
          </cell>
          <cell r="B65" t="str">
            <v>BRASILANDIA DO TOCANTINS</v>
          </cell>
        </row>
        <row r="66">
          <cell r="A66">
            <v>65</v>
          </cell>
          <cell r="B66" t="str">
            <v>AXIXA DO TOCANTINS</v>
          </cell>
        </row>
        <row r="67">
          <cell r="A67">
            <v>66</v>
          </cell>
          <cell r="B67" t="str">
            <v>TUPIRATINS</v>
          </cell>
        </row>
        <row r="68">
          <cell r="A68">
            <v>67</v>
          </cell>
          <cell r="B68" t="str">
            <v>TUPIRATA</v>
          </cell>
        </row>
        <row r="69">
          <cell r="A69">
            <v>68</v>
          </cell>
          <cell r="B69" t="str">
            <v>BURITI DO TOCANTINS</v>
          </cell>
        </row>
        <row r="70">
          <cell r="A70">
            <v>69</v>
          </cell>
          <cell r="B70" t="str">
            <v>SAO SEBASTIAO DO TOCANTINS</v>
          </cell>
        </row>
        <row r="71">
          <cell r="A71">
            <v>70</v>
          </cell>
          <cell r="B71" t="str">
            <v>RIO SONO</v>
          </cell>
        </row>
        <row r="72">
          <cell r="A72">
            <v>71</v>
          </cell>
          <cell r="B72" t="str">
            <v>BREJINHO DE NAZARE</v>
          </cell>
        </row>
        <row r="73">
          <cell r="A73">
            <v>72</v>
          </cell>
          <cell r="B73" t="str">
            <v>CONCEICAO DO TOCANTINS</v>
          </cell>
        </row>
        <row r="74">
          <cell r="A74">
            <v>73</v>
          </cell>
          <cell r="B74" t="str">
            <v>LAGOA DA CONFUSAO</v>
          </cell>
        </row>
        <row r="75">
          <cell r="A75">
            <v>74</v>
          </cell>
          <cell r="B75" t="str">
            <v>DIANOPOLIS</v>
          </cell>
        </row>
        <row r="76">
          <cell r="A76">
            <v>75</v>
          </cell>
          <cell r="B76" t="str">
            <v>DOIS IRMAOS DO TOCANTINS</v>
          </cell>
        </row>
        <row r="77">
          <cell r="A77">
            <v>76</v>
          </cell>
          <cell r="B77" t="str">
            <v>DUERE</v>
          </cell>
        </row>
        <row r="78">
          <cell r="A78">
            <v>77</v>
          </cell>
          <cell r="B78" t="str">
            <v>GOIATINS</v>
          </cell>
        </row>
        <row r="79">
          <cell r="A79">
            <v>78</v>
          </cell>
          <cell r="B79" t="str">
            <v>ITACAJA</v>
          </cell>
        </row>
        <row r="80">
          <cell r="A80">
            <v>79</v>
          </cell>
          <cell r="B80" t="str">
            <v>ITAPIRATINS</v>
          </cell>
        </row>
        <row r="81">
          <cell r="A81">
            <v>80</v>
          </cell>
          <cell r="B81" t="str">
            <v>DARCINOPOLIS</v>
          </cell>
        </row>
        <row r="82">
          <cell r="A82">
            <v>81</v>
          </cell>
          <cell r="B82" t="str">
            <v>ITAGUATINS</v>
          </cell>
        </row>
        <row r="83">
          <cell r="A83">
            <v>82</v>
          </cell>
          <cell r="B83" t="str">
            <v>LIZARDA</v>
          </cell>
        </row>
        <row r="84">
          <cell r="A84">
            <v>83</v>
          </cell>
          <cell r="B84" t="str">
            <v>APARECIDA DO RIO NEGRO</v>
          </cell>
        </row>
        <row r="85">
          <cell r="A85">
            <v>84</v>
          </cell>
          <cell r="B85" t="str">
            <v>DIVINOPOLIS</v>
          </cell>
        </row>
        <row r="86">
          <cell r="A86">
            <v>85</v>
          </cell>
          <cell r="B86" t="str">
            <v>MONTE SANTO DO TOCANTINS</v>
          </cell>
        </row>
        <row r="87">
          <cell r="A87">
            <v>86</v>
          </cell>
          <cell r="B87" t="str">
            <v>MARIANOPOLIS</v>
          </cell>
        </row>
        <row r="88">
          <cell r="A88">
            <v>87</v>
          </cell>
          <cell r="B88" t="str">
            <v>GOIANORTE</v>
          </cell>
        </row>
        <row r="89">
          <cell r="A89">
            <v>88</v>
          </cell>
          <cell r="B89" t="str">
            <v>SITIO NOVO DO TOCANTINS</v>
          </cell>
        </row>
        <row r="90">
          <cell r="A90">
            <v>89</v>
          </cell>
          <cell r="B90" t="str">
            <v>SUCUPIRA</v>
          </cell>
        </row>
        <row r="91">
          <cell r="A91">
            <v>90</v>
          </cell>
          <cell r="B91" t="str">
            <v>NAZARE</v>
          </cell>
        </row>
        <row r="92">
          <cell r="A92">
            <v>91</v>
          </cell>
          <cell r="B92" t="str">
            <v>ALMAS</v>
          </cell>
        </row>
        <row r="93">
          <cell r="A93">
            <v>92</v>
          </cell>
          <cell r="B93" t="str">
            <v>NOVO ACORDO</v>
          </cell>
        </row>
        <row r="94">
          <cell r="A94">
            <v>93</v>
          </cell>
          <cell r="B94" t="str">
            <v>SANTA ROSA PARAISO</v>
          </cell>
        </row>
        <row r="95">
          <cell r="A95">
            <v>94</v>
          </cell>
          <cell r="B95" t="str">
            <v>PEIXE</v>
          </cell>
        </row>
        <row r="96">
          <cell r="A96">
            <v>95</v>
          </cell>
          <cell r="B96" t="str">
            <v>QUIXABEIRA</v>
          </cell>
        </row>
        <row r="97">
          <cell r="A97">
            <v>96</v>
          </cell>
          <cell r="B97" t="str">
            <v>PINDORAMA DO TOCANTINS</v>
          </cell>
        </row>
        <row r="98">
          <cell r="A98">
            <v>97</v>
          </cell>
          <cell r="B98" t="str">
            <v>TALISMA</v>
          </cell>
        </row>
        <row r="99">
          <cell r="A99">
            <v>98</v>
          </cell>
          <cell r="B99" t="str">
            <v>ANANAS</v>
          </cell>
        </row>
        <row r="100">
          <cell r="A100">
            <v>99</v>
          </cell>
          <cell r="B100" t="str">
            <v>CENTRO DOS FERREIRAS</v>
          </cell>
        </row>
        <row r="101">
          <cell r="A101">
            <v>100</v>
          </cell>
          <cell r="B101" t="str">
            <v>TAQUARUSSU DO PORTO</v>
          </cell>
        </row>
        <row r="102">
          <cell r="A102">
            <v>101</v>
          </cell>
          <cell r="B102" t="str">
            <v>PORTO ALEGRE DO TOCANTINS</v>
          </cell>
        </row>
        <row r="103">
          <cell r="A103">
            <v>102</v>
          </cell>
          <cell r="B103" t="str">
            <v>SOBRADINHO</v>
          </cell>
        </row>
        <row r="104">
          <cell r="A104">
            <v>103</v>
          </cell>
          <cell r="B104" t="str">
            <v>SAO MIGUEL DO TOCANTINS</v>
          </cell>
        </row>
        <row r="105">
          <cell r="A105">
            <v>104</v>
          </cell>
          <cell r="B105" t="str">
            <v>SANTA MARIA DO TOCANTINS</v>
          </cell>
        </row>
        <row r="106">
          <cell r="A106">
            <v>105</v>
          </cell>
          <cell r="B106" t="str">
            <v>OLIVEIRA DE FATIMA</v>
          </cell>
        </row>
        <row r="107">
          <cell r="A107">
            <v>106</v>
          </cell>
          <cell r="B107" t="str">
            <v>MINEIROPOLIS</v>
          </cell>
        </row>
        <row r="108">
          <cell r="A108">
            <v>107</v>
          </cell>
          <cell r="B108" t="str">
            <v>SANDOLANDIA</v>
          </cell>
        </row>
        <row r="109">
          <cell r="A109">
            <v>108</v>
          </cell>
          <cell r="B109" t="str">
            <v>VILA UNIAO</v>
          </cell>
        </row>
        <row r="110">
          <cell r="A110">
            <v>109</v>
          </cell>
          <cell r="B110" t="str">
            <v>ANGICO</v>
          </cell>
        </row>
        <row r="111">
          <cell r="A111">
            <v>110</v>
          </cell>
          <cell r="B111" t="str">
            <v>SANTA RITA DO TOCANTINS</v>
          </cell>
        </row>
        <row r="112">
          <cell r="A112">
            <v>111</v>
          </cell>
          <cell r="B112" t="str">
            <v>PEQUIZEIRO</v>
          </cell>
        </row>
        <row r="113">
          <cell r="A113">
            <v>112</v>
          </cell>
          <cell r="B113" t="str">
            <v>GOIANY DOS CAMPOS</v>
          </cell>
        </row>
        <row r="114">
          <cell r="A114">
            <v>113</v>
          </cell>
          <cell r="B114" t="str">
            <v>COUTO MAGALHAES</v>
          </cell>
        </row>
        <row r="115">
          <cell r="A115">
            <v>114</v>
          </cell>
          <cell r="B115" t="str">
            <v>AZUIS</v>
          </cell>
        </row>
        <row r="116">
          <cell r="A116">
            <v>115</v>
          </cell>
          <cell r="B116" t="str">
            <v>CAMPO MAIOR</v>
          </cell>
        </row>
        <row r="117">
          <cell r="A117">
            <v>116</v>
          </cell>
          <cell r="B117" t="str">
            <v>CHAPADA DA NATIVIDADE</v>
          </cell>
        </row>
        <row r="118">
          <cell r="A118">
            <v>117</v>
          </cell>
          <cell r="B118" t="str">
            <v>MORADA NOVA</v>
          </cell>
        </row>
        <row r="119">
          <cell r="A119">
            <v>118</v>
          </cell>
          <cell r="B119" t="str">
            <v>MARILANDIA</v>
          </cell>
        </row>
        <row r="120">
          <cell r="A120">
            <v>119</v>
          </cell>
          <cell r="B120" t="str">
            <v>SAO BENTO DO TOCANTINS</v>
          </cell>
        </row>
        <row r="121">
          <cell r="A121">
            <v>120</v>
          </cell>
          <cell r="B121" t="str">
            <v>MATO REDONDO</v>
          </cell>
        </row>
        <row r="122">
          <cell r="A122">
            <v>121</v>
          </cell>
          <cell r="B122" t="str">
            <v>PEIXELANDIA</v>
          </cell>
        </row>
        <row r="123">
          <cell r="A123">
            <v>122</v>
          </cell>
          <cell r="B123" t="str">
            <v>PALMAS</v>
          </cell>
        </row>
        <row r="124">
          <cell r="A124">
            <v>123</v>
          </cell>
          <cell r="B124" t="str">
            <v>AGUIARNOPOLIS</v>
          </cell>
        </row>
        <row r="125">
          <cell r="A125">
            <v>124</v>
          </cell>
          <cell r="B125" t="str">
            <v>RIACHINHO</v>
          </cell>
        </row>
        <row r="126">
          <cell r="A126">
            <v>125</v>
          </cell>
          <cell r="B126" t="str">
            <v>SAO RAIMUNDO</v>
          </cell>
        </row>
        <row r="127">
          <cell r="A127">
            <v>126</v>
          </cell>
          <cell r="B127" t="str">
            <v>PIACAVA</v>
          </cell>
        </row>
        <row r="128">
          <cell r="A128">
            <v>127</v>
          </cell>
          <cell r="B128" t="str">
            <v>PALMEIRAS DO TOCANTINS</v>
          </cell>
        </row>
        <row r="129">
          <cell r="A129">
            <v>128</v>
          </cell>
          <cell r="B129" t="str">
            <v>ALTAMIRA</v>
          </cell>
        </row>
        <row r="130">
          <cell r="A130">
            <v>129</v>
          </cell>
          <cell r="B130" t="str">
            <v>SANTA TEREZINHA DO TOCANTINS</v>
          </cell>
        </row>
        <row r="131">
          <cell r="A131">
            <v>130</v>
          </cell>
          <cell r="B131" t="str">
            <v>BELA VISTA</v>
          </cell>
        </row>
        <row r="132">
          <cell r="A132">
            <v>131</v>
          </cell>
          <cell r="B132" t="str">
            <v>PRAIA NORTE</v>
          </cell>
        </row>
        <row r="133">
          <cell r="A133">
            <v>132</v>
          </cell>
          <cell r="B133" t="str">
            <v>SAMPAIO</v>
          </cell>
        </row>
        <row r="134">
          <cell r="A134">
            <v>133</v>
          </cell>
          <cell r="B134" t="str">
            <v>CARRASCO BONITO</v>
          </cell>
        </row>
        <row r="135">
          <cell r="A135">
            <v>134</v>
          </cell>
          <cell r="B135" t="str">
            <v>ESPERANTINA</v>
          </cell>
        </row>
        <row r="136">
          <cell r="A136">
            <v>135</v>
          </cell>
          <cell r="B136" t="str">
            <v>PEDRA DE AMOLAR</v>
          </cell>
        </row>
        <row r="137">
          <cell r="A137">
            <v>136</v>
          </cell>
          <cell r="B137" t="str">
            <v>PAU D'ARCO</v>
          </cell>
        </row>
        <row r="138">
          <cell r="A138">
            <v>137</v>
          </cell>
          <cell r="B138" t="str">
            <v>PORTO LEMOS</v>
          </cell>
        </row>
        <row r="139">
          <cell r="A139">
            <v>138</v>
          </cell>
          <cell r="B139" t="str">
            <v>AMARALINA</v>
          </cell>
        </row>
        <row r="140">
          <cell r="A140">
            <v>139</v>
          </cell>
          <cell r="B140" t="str">
            <v>DORILANDIA</v>
          </cell>
        </row>
        <row r="141">
          <cell r="A141">
            <v>140</v>
          </cell>
          <cell r="B141" t="str">
            <v>GROTA DO MEIO</v>
          </cell>
        </row>
        <row r="142">
          <cell r="A142">
            <v>141</v>
          </cell>
          <cell r="B142" t="str">
            <v>OLHO D'AGUA</v>
          </cell>
        </row>
        <row r="143">
          <cell r="A143">
            <v>142</v>
          </cell>
          <cell r="B143" t="str">
            <v>VINTE MIL</v>
          </cell>
        </row>
        <row r="144">
          <cell r="A144">
            <v>143</v>
          </cell>
          <cell r="B144" t="str">
            <v>CENTRO DO ZE MULATO</v>
          </cell>
        </row>
        <row r="145">
          <cell r="A145">
            <v>144</v>
          </cell>
          <cell r="B145" t="str">
            <v>ITAUBA</v>
          </cell>
        </row>
        <row r="146">
          <cell r="A146">
            <v>145</v>
          </cell>
          <cell r="B146" t="str">
            <v>MAURILANDIA DO TOCANTINS</v>
          </cell>
        </row>
        <row r="147">
          <cell r="A147">
            <v>146</v>
          </cell>
          <cell r="B147" t="str">
            <v>ALTO LINDO</v>
          </cell>
        </row>
        <row r="148">
          <cell r="A148">
            <v>147</v>
          </cell>
          <cell r="B148" t="str">
            <v>TAIPAS DO TOCANTINS</v>
          </cell>
        </row>
        <row r="149">
          <cell r="A149">
            <v>148</v>
          </cell>
          <cell r="B149" t="str">
            <v>SAO VALERIO DA NATIVIDADE</v>
          </cell>
        </row>
        <row r="150">
          <cell r="A150">
            <v>149</v>
          </cell>
          <cell r="B150" t="str">
            <v>CASEARA</v>
          </cell>
        </row>
        <row r="151">
          <cell r="A151">
            <v>150</v>
          </cell>
          <cell r="B151" t="str">
            <v>BONFIM</v>
          </cell>
        </row>
        <row r="152">
          <cell r="A152">
            <v>151</v>
          </cell>
          <cell r="B152" t="str">
            <v>SANTA TEREZA DO TOCANTINS</v>
          </cell>
        </row>
        <row r="153">
          <cell r="A153">
            <v>152</v>
          </cell>
          <cell r="B153" t="str">
            <v>SANTA ROSA DO TOCANTINS</v>
          </cell>
        </row>
        <row r="154">
          <cell r="A154">
            <v>153</v>
          </cell>
          <cell r="B154" t="str">
            <v>BERNARDO SAYAO</v>
          </cell>
        </row>
        <row r="155">
          <cell r="A155">
            <v>154</v>
          </cell>
          <cell r="B155" t="str">
            <v>JUARINA</v>
          </cell>
        </row>
        <row r="156">
          <cell r="A156">
            <v>155</v>
          </cell>
          <cell r="B156" t="str">
            <v>PALMEIRANTE</v>
          </cell>
        </row>
        <row r="157">
          <cell r="A157">
            <v>156</v>
          </cell>
          <cell r="B157" t="str">
            <v>CACHOEIRINHA</v>
          </cell>
        </row>
        <row r="158">
          <cell r="A158">
            <v>157</v>
          </cell>
          <cell r="B158" t="str">
            <v>ARAGUANA</v>
          </cell>
        </row>
        <row r="159">
          <cell r="A159">
            <v>158</v>
          </cell>
          <cell r="B159" t="str">
            <v>BIELANDIA</v>
          </cell>
        </row>
        <row r="160">
          <cell r="A160">
            <v>159</v>
          </cell>
          <cell r="B160" t="str">
            <v>MURICILANDIA</v>
          </cell>
        </row>
        <row r="161">
          <cell r="A161">
            <v>160</v>
          </cell>
          <cell r="B161" t="str">
            <v>JACILANDIA</v>
          </cell>
        </row>
        <row r="162">
          <cell r="A162">
            <v>161</v>
          </cell>
          <cell r="B162" t="str">
            <v>SAO JOAO</v>
          </cell>
        </row>
        <row r="163">
          <cell r="A163">
            <v>162</v>
          </cell>
          <cell r="B163" t="str">
            <v>GROTA D'AGUA</v>
          </cell>
        </row>
        <row r="164">
          <cell r="A164">
            <v>163</v>
          </cell>
          <cell r="B164" t="str">
            <v>MANGUEIRA</v>
          </cell>
        </row>
        <row r="165">
          <cell r="A165">
            <v>164</v>
          </cell>
          <cell r="B165" t="str">
            <v>MACAUBA</v>
          </cell>
        </row>
        <row r="166">
          <cell r="A166">
            <v>165</v>
          </cell>
          <cell r="B166" t="str">
            <v>SANTA INEZ</v>
          </cell>
        </row>
        <row r="167">
          <cell r="A167">
            <v>166</v>
          </cell>
          <cell r="B167" t="str">
            <v>BOA ESPERANCA</v>
          </cell>
        </row>
        <row r="168">
          <cell r="A168">
            <v>167</v>
          </cell>
          <cell r="B168" t="str">
            <v>BREJINHO</v>
          </cell>
        </row>
        <row r="169">
          <cell r="A169">
            <v>168</v>
          </cell>
          <cell r="B169" t="str">
            <v>RIBEIRAO GRANDE</v>
          </cell>
        </row>
        <row r="170">
          <cell r="A170">
            <v>169</v>
          </cell>
          <cell r="B170" t="str">
            <v>FOLHA GROSSA</v>
          </cell>
        </row>
        <row r="171">
          <cell r="A171">
            <v>170</v>
          </cell>
          <cell r="B171" t="str">
            <v>BARRA DA GROTA</v>
          </cell>
        </row>
        <row r="172">
          <cell r="A172">
            <v>171</v>
          </cell>
          <cell r="B172" t="str">
            <v>LUZINOPOLIS</v>
          </cell>
        </row>
        <row r="173">
          <cell r="A173">
            <v>172</v>
          </cell>
          <cell r="B173" t="str">
            <v>POVOADO DO BROCO</v>
          </cell>
        </row>
        <row r="174">
          <cell r="A174">
            <v>173</v>
          </cell>
          <cell r="B174" t="str">
            <v>POVOADO DO RODEADORO</v>
          </cell>
        </row>
        <row r="175">
          <cell r="A175">
            <v>174</v>
          </cell>
          <cell r="B175" t="str">
            <v>MARAJA</v>
          </cell>
        </row>
        <row r="176">
          <cell r="A176">
            <v>175</v>
          </cell>
          <cell r="B176" t="str">
            <v>POVOADO PONTES</v>
          </cell>
        </row>
        <row r="177">
          <cell r="A177">
            <v>176</v>
          </cell>
          <cell r="B177" t="str">
            <v>CENTRO DOS FIRMINOS</v>
          </cell>
        </row>
        <row r="178">
          <cell r="A178">
            <v>177</v>
          </cell>
          <cell r="B178" t="str">
            <v>POVOADO DOS BARROS</v>
          </cell>
        </row>
        <row r="179">
          <cell r="A179">
            <v>178</v>
          </cell>
          <cell r="B179" t="str">
            <v>CENTRO JOSE ESTEVES</v>
          </cell>
        </row>
        <row r="180">
          <cell r="A180">
            <v>179</v>
          </cell>
          <cell r="B180" t="str">
            <v>GROTAO</v>
          </cell>
        </row>
        <row r="181">
          <cell r="A181">
            <v>180</v>
          </cell>
          <cell r="B181" t="str">
            <v>SANTANA</v>
          </cell>
        </row>
        <row r="182">
          <cell r="A182">
            <v>181</v>
          </cell>
          <cell r="B182" t="str">
            <v>SAO LUIZ DAS PALMEIRAS</v>
          </cell>
        </row>
        <row r="183">
          <cell r="A183">
            <v>182</v>
          </cell>
          <cell r="B183" t="str">
            <v>CAMPINA VERDE</v>
          </cell>
        </row>
        <row r="184">
          <cell r="A184">
            <v>183</v>
          </cell>
          <cell r="B184" t="str">
            <v>PONTA DO ASFALTO</v>
          </cell>
        </row>
        <row r="185">
          <cell r="A185">
            <v>184</v>
          </cell>
          <cell r="B185" t="str">
            <v>FLORESTA</v>
          </cell>
        </row>
        <row r="186">
          <cell r="A186">
            <v>185</v>
          </cell>
          <cell r="B186" t="str">
            <v>MARTINOPOLIS</v>
          </cell>
        </row>
        <row r="187">
          <cell r="A187">
            <v>186</v>
          </cell>
          <cell r="B187" t="str">
            <v>JAU DO TOCANTINS</v>
          </cell>
        </row>
        <row r="188">
          <cell r="A188">
            <v>187</v>
          </cell>
          <cell r="B188" t="str">
            <v>MANSINHA</v>
          </cell>
        </row>
        <row r="189">
          <cell r="A189">
            <v>188</v>
          </cell>
          <cell r="B189" t="str">
            <v>ESCOLA BRASIL</v>
          </cell>
        </row>
        <row r="190">
          <cell r="A190">
            <v>189</v>
          </cell>
          <cell r="B190" t="str">
            <v>NOVA PINHEROPOLIS</v>
          </cell>
        </row>
        <row r="191">
          <cell r="A191">
            <v>190</v>
          </cell>
          <cell r="B191" t="str">
            <v>NOVO JARDIM</v>
          </cell>
        </row>
        <row r="192">
          <cell r="A192">
            <v>191</v>
          </cell>
          <cell r="B192" t="str">
            <v>NOVO PLANO</v>
          </cell>
        </row>
        <row r="193">
          <cell r="A193">
            <v>192</v>
          </cell>
          <cell r="B193" t="str">
            <v>SAO SEBASTIAO</v>
          </cell>
        </row>
        <row r="194">
          <cell r="A194">
            <v>193</v>
          </cell>
          <cell r="B194" t="str">
            <v>CAMPOS LINDOS</v>
          </cell>
        </row>
        <row r="195">
          <cell r="A195">
            <v>194</v>
          </cell>
          <cell r="B195" t="str">
            <v>POVOADO DEZENOVE</v>
          </cell>
        </row>
        <row r="196">
          <cell r="A196">
            <v>195</v>
          </cell>
          <cell r="B196" t="str">
            <v>CENTENARIO</v>
          </cell>
        </row>
        <row r="197">
          <cell r="A197">
            <v>196</v>
          </cell>
          <cell r="B197" t="str">
            <v>LAGOA DO TOCANTINS</v>
          </cell>
        </row>
        <row r="198">
          <cell r="A198">
            <v>197</v>
          </cell>
          <cell r="B198" t="str">
            <v>ARACULANDIA</v>
          </cell>
        </row>
        <row r="199">
          <cell r="A199">
            <v>198</v>
          </cell>
          <cell r="B199" t="str">
            <v>POVOADO BANDEIRA</v>
          </cell>
        </row>
        <row r="200">
          <cell r="A200">
            <v>199</v>
          </cell>
          <cell r="B200" t="str">
            <v>CANELAS</v>
          </cell>
        </row>
        <row r="201">
          <cell r="A201">
            <v>200</v>
          </cell>
          <cell r="B201" t="str">
            <v>SAO SALVADOR DO TOCANTINS</v>
          </cell>
        </row>
        <row r="202">
          <cell r="A202">
            <v>201</v>
          </cell>
          <cell r="B202" t="str">
            <v>POVOADO CEORTA</v>
          </cell>
        </row>
        <row r="203">
          <cell r="A203">
            <v>202</v>
          </cell>
          <cell r="B203" t="str">
            <v>POVOADO RIBEIRAO GRANDE II</v>
          </cell>
        </row>
        <row r="204">
          <cell r="A204">
            <v>203</v>
          </cell>
          <cell r="B204" t="str">
            <v>POVOADO RIBEIRAO GRANDE III</v>
          </cell>
        </row>
        <row r="205">
          <cell r="A205">
            <v>204</v>
          </cell>
          <cell r="B205" t="str">
            <v>POVOADO PAPACONHA</v>
          </cell>
        </row>
        <row r="206">
          <cell r="A206">
            <v>205</v>
          </cell>
          <cell r="B206" t="str">
            <v>POVOADO CHAPADINHA</v>
          </cell>
        </row>
        <row r="207">
          <cell r="A207">
            <v>206</v>
          </cell>
          <cell r="B207" t="str">
            <v>POVOADO MUMBUCA</v>
          </cell>
        </row>
        <row r="208">
          <cell r="A208">
            <v>207</v>
          </cell>
          <cell r="B208" t="str">
            <v>POVOADO PASSARINHO</v>
          </cell>
        </row>
        <row r="209">
          <cell r="A209">
            <v>208</v>
          </cell>
          <cell r="B209" t="str">
            <v>POVOADO GENIPAPO</v>
          </cell>
        </row>
        <row r="210">
          <cell r="A210">
            <v>209</v>
          </cell>
          <cell r="B210" t="str">
            <v>POVOADO OLHO D'AGUA</v>
          </cell>
        </row>
        <row r="211">
          <cell r="A211">
            <v>210</v>
          </cell>
          <cell r="B211" t="str">
            <v>POVOADO OLHO D'AGUA MEIO</v>
          </cell>
        </row>
        <row r="212">
          <cell r="A212">
            <v>211</v>
          </cell>
          <cell r="B212" t="str">
            <v>POVOADO RIBEIRAOZINHO</v>
          </cell>
        </row>
        <row r="213">
          <cell r="A213">
            <v>212</v>
          </cell>
          <cell r="B213" t="str">
            <v>POVOADO MATA GRANDE</v>
          </cell>
        </row>
        <row r="214">
          <cell r="A214">
            <v>213</v>
          </cell>
          <cell r="B214" t="str">
            <v>POVOADO IMBURANA</v>
          </cell>
        </row>
        <row r="215">
          <cell r="A215">
            <v>214</v>
          </cell>
          <cell r="B215" t="str">
            <v>FOLHA SECA</v>
          </cell>
        </row>
        <row r="216">
          <cell r="A216">
            <v>215</v>
          </cell>
          <cell r="B216" t="str">
            <v>SUMAUMA</v>
          </cell>
        </row>
        <row r="217">
          <cell r="A217">
            <v>216</v>
          </cell>
          <cell r="B217" t="str">
            <v>TUCUNS</v>
          </cell>
        </row>
        <row r="218">
          <cell r="A218">
            <v>217</v>
          </cell>
          <cell r="B218" t="str">
            <v>ALTO DO ZUMBI</v>
          </cell>
        </row>
        <row r="219">
          <cell r="A219">
            <v>218</v>
          </cell>
          <cell r="B219" t="str">
            <v>CENTRO DOS MAMEDES</v>
          </cell>
        </row>
        <row r="220">
          <cell r="A220">
            <v>219</v>
          </cell>
          <cell r="B220" t="str">
            <v>GROTAO DE AXIXA</v>
          </cell>
        </row>
        <row r="221">
          <cell r="A221">
            <v>220</v>
          </cell>
          <cell r="B221" t="str">
            <v>LAGO VERDE</v>
          </cell>
        </row>
        <row r="222">
          <cell r="A222">
            <v>221</v>
          </cell>
          <cell r="B222" t="str">
            <v>PEQUIZEIRO DO AXIXA</v>
          </cell>
        </row>
        <row r="223">
          <cell r="A223">
            <v>222</v>
          </cell>
          <cell r="B223" t="str">
            <v>LAGOA SAO SALVADOR</v>
          </cell>
        </row>
        <row r="224">
          <cell r="A224">
            <v>223</v>
          </cell>
          <cell r="B224" t="str">
            <v>POVOADO MATINHA</v>
          </cell>
        </row>
        <row r="225">
          <cell r="A225">
            <v>224</v>
          </cell>
          <cell r="B225" t="str">
            <v>MIRANDOPOLIS</v>
          </cell>
        </row>
        <row r="226">
          <cell r="A226">
            <v>225</v>
          </cell>
          <cell r="B226" t="str">
            <v>COUTO VELHO</v>
          </cell>
        </row>
        <row r="227">
          <cell r="A227">
            <v>226</v>
          </cell>
          <cell r="B227" t="str">
            <v>ROSALANDIA</v>
          </cell>
        </row>
        <row r="228">
          <cell r="A228">
            <v>227</v>
          </cell>
          <cell r="B228" t="str">
            <v>RECURSOLANDIA</v>
          </cell>
        </row>
        <row r="229">
          <cell r="A229">
            <v>228</v>
          </cell>
          <cell r="B229" t="str">
            <v>JUVERLANDIA</v>
          </cell>
        </row>
        <row r="230">
          <cell r="A230">
            <v>229</v>
          </cell>
          <cell r="B230" t="str">
            <v>POVOADO SAO PEDRO</v>
          </cell>
        </row>
        <row r="231">
          <cell r="A231">
            <v>230</v>
          </cell>
          <cell r="B231" t="str">
            <v>POVOADO CENTRO NOVO</v>
          </cell>
        </row>
        <row r="232">
          <cell r="A232">
            <v>231</v>
          </cell>
          <cell r="B232" t="str">
            <v>FRANCOESA</v>
          </cell>
        </row>
        <row r="233">
          <cell r="A233">
            <v>232</v>
          </cell>
          <cell r="B233" t="str">
            <v>SALVACAO</v>
          </cell>
        </row>
        <row r="234">
          <cell r="A234">
            <v>233</v>
          </cell>
          <cell r="B234" t="str">
            <v>ABREULANDIA</v>
          </cell>
        </row>
        <row r="235">
          <cell r="A235">
            <v>234</v>
          </cell>
          <cell r="B235" t="str">
            <v>POVOADO CANA BRAVA</v>
          </cell>
        </row>
        <row r="236">
          <cell r="A236">
            <v>235</v>
          </cell>
          <cell r="B236" t="str">
            <v>POVOADO JACARE</v>
          </cell>
        </row>
        <row r="237">
          <cell r="A237">
            <v>236</v>
          </cell>
          <cell r="B237" t="str">
            <v>NOVO HORIZONTE DO TOCANTINS</v>
          </cell>
        </row>
        <row r="238">
          <cell r="A238">
            <v>237</v>
          </cell>
          <cell r="B238" t="str">
            <v>CENTRO DE URUE</v>
          </cell>
        </row>
        <row r="239">
          <cell r="A239">
            <v>238</v>
          </cell>
          <cell r="B239" t="str">
            <v>POVOADO SAO FRANCISCO</v>
          </cell>
        </row>
        <row r="240">
          <cell r="A240">
            <v>239</v>
          </cell>
          <cell r="B240" t="str">
            <v>POVOADO BURITI SAO MIGUEL</v>
          </cell>
        </row>
        <row r="241">
          <cell r="A241">
            <v>240</v>
          </cell>
          <cell r="B241" t="str">
            <v>BURITIRANA</v>
          </cell>
        </row>
        <row r="242">
          <cell r="A242">
            <v>241</v>
          </cell>
          <cell r="B242" t="str">
            <v>SANTA CECILIA</v>
          </cell>
        </row>
        <row r="243">
          <cell r="A243">
            <v>242</v>
          </cell>
          <cell r="B243" t="str">
            <v>LAGOA DA PEDRA</v>
          </cell>
        </row>
        <row r="244">
          <cell r="A244">
            <v>243</v>
          </cell>
          <cell r="B244" t="str">
            <v>TREVO DA PRAIA</v>
          </cell>
        </row>
        <row r="245">
          <cell r="A245">
            <v>244</v>
          </cell>
          <cell r="B245" t="str">
            <v>BAIANOPOLIS</v>
          </cell>
        </row>
        <row r="246">
          <cell r="A246">
            <v>245</v>
          </cell>
          <cell r="B246" t="str">
            <v>PRINCIPE</v>
          </cell>
        </row>
        <row r="247">
          <cell r="A247">
            <v>246</v>
          </cell>
          <cell r="B247" t="str">
            <v>POVOADO SOROROCA</v>
          </cell>
        </row>
        <row r="248">
          <cell r="A248">
            <v>247</v>
          </cell>
          <cell r="B248" t="str">
            <v>POVOADO CENTRO DOS BORGES</v>
          </cell>
        </row>
        <row r="249">
          <cell r="A249">
            <v>248</v>
          </cell>
          <cell r="B249" t="str">
            <v>POVOADO CACHOEIRINHA</v>
          </cell>
        </row>
        <row r="250">
          <cell r="A250">
            <v>249</v>
          </cell>
          <cell r="B250" t="str">
            <v>CANTO DA VAZANTE</v>
          </cell>
        </row>
        <row r="251">
          <cell r="A251">
            <v>250</v>
          </cell>
          <cell r="B251" t="str">
            <v>IPUEIRAS</v>
          </cell>
        </row>
        <row r="252">
          <cell r="A252">
            <v>251</v>
          </cell>
          <cell r="B252" t="str">
            <v>SAO FRANCISCO</v>
          </cell>
        </row>
        <row r="253">
          <cell r="A253">
            <v>252</v>
          </cell>
          <cell r="B253" t="str">
            <v>NOVO HORIZONTE DO TOCANTINS I</v>
          </cell>
        </row>
        <row r="254">
          <cell r="A254">
            <v>253</v>
          </cell>
          <cell r="B254" t="str">
            <v>CHAPADA DE AREIA</v>
          </cell>
        </row>
        <row r="255">
          <cell r="A255">
            <v>254</v>
          </cell>
          <cell r="B255" t="str">
            <v>BARRA DA AROEIRA</v>
          </cell>
        </row>
        <row r="256">
          <cell r="A256">
            <v>255</v>
          </cell>
          <cell r="B256" t="str">
            <v>SAO JOAO DO ARAGUAIA</v>
          </cell>
        </row>
        <row r="257">
          <cell r="A257">
            <v>256</v>
          </cell>
          <cell r="B257" t="str">
            <v>MATEIROS</v>
          </cell>
        </row>
        <row r="258">
          <cell r="A258">
            <v>257</v>
          </cell>
          <cell r="B258" t="str">
            <v>SAO FELIX DO TOCANTINS</v>
          </cell>
        </row>
        <row r="259">
          <cell r="A259">
            <v>258</v>
          </cell>
          <cell r="B259" t="str">
            <v>RETIRO</v>
          </cell>
        </row>
        <row r="260">
          <cell r="A260">
            <v>259</v>
          </cell>
          <cell r="B260" t="str">
            <v>SERRANOPOLIS</v>
          </cell>
        </row>
        <row r="261">
          <cell r="A261">
            <v>260</v>
          </cell>
          <cell r="B261" t="str">
            <v>APINAJE</v>
          </cell>
        </row>
        <row r="262">
          <cell r="A262">
            <v>261</v>
          </cell>
          <cell r="B262" t="str">
            <v>VILA DEPASA</v>
          </cell>
        </row>
        <row r="263">
          <cell r="A263">
            <v>262</v>
          </cell>
          <cell r="B263" t="str">
            <v>SAO JOAO DO JAVAE</v>
          </cell>
        </row>
        <row r="264">
          <cell r="A264">
            <v>263</v>
          </cell>
          <cell r="B264" t="str">
            <v>RIO DA CONCEICAO</v>
          </cell>
        </row>
        <row r="265">
          <cell r="A265">
            <v>264</v>
          </cell>
          <cell r="B265" t="str">
            <v>CATINGUEIRO</v>
          </cell>
        </row>
        <row r="266">
          <cell r="A266">
            <v>265</v>
          </cell>
          <cell r="B266" t="str">
            <v>BARRA DO OURO</v>
          </cell>
        </row>
        <row r="267">
          <cell r="A267">
            <v>266</v>
          </cell>
          <cell r="B267" t="str">
            <v>LAGOA DO ROMAO</v>
          </cell>
        </row>
        <row r="268">
          <cell r="A268">
            <v>267</v>
          </cell>
          <cell r="B268" t="str">
            <v>VILA UNIAO-TALISMA</v>
          </cell>
        </row>
        <row r="269">
          <cell r="A269">
            <v>268</v>
          </cell>
          <cell r="B269" t="str">
            <v>MIMOSA DOS MOREIRA</v>
          </cell>
        </row>
        <row r="270">
          <cell r="A270">
            <v>269</v>
          </cell>
          <cell r="B270" t="str">
            <v>MORRO SAO JOAO</v>
          </cell>
        </row>
        <row r="271">
          <cell r="A271">
            <v>270</v>
          </cell>
          <cell r="B271" t="str">
            <v>VILA SAO MIGUEL</v>
          </cell>
        </row>
        <row r="272">
          <cell r="A272">
            <v>271</v>
          </cell>
          <cell r="B272" t="str">
            <v>VILA LUZIMANGUES</v>
          </cell>
        </row>
        <row r="273">
          <cell r="A273">
            <v>272</v>
          </cell>
          <cell r="B273" t="str">
            <v>VINTE MIL - AUGUSTINOPOLIS</v>
          </cell>
        </row>
        <row r="274">
          <cell r="A274">
            <v>273</v>
          </cell>
          <cell r="B274" t="str">
            <v>POVOADO SAO JOAO</v>
          </cell>
        </row>
        <row r="275">
          <cell r="A275">
            <v>274</v>
          </cell>
          <cell r="B275" t="str">
            <v>VINTE MIL - AUGUSTINOPOLIS</v>
          </cell>
        </row>
        <row r="276">
          <cell r="A276">
            <v>275</v>
          </cell>
          <cell r="B276" t="str">
            <v>ILHA DO BANANAL</v>
          </cell>
        </row>
      </sheetData>
      <sheetData sheetId="2" refreshError="1"/>
      <sheetData sheetId="3" refreshError="1"/>
      <sheetData sheetId="4" refreshError="1"/>
    </sheetDataSet>
  </externalBook>
</externalLink>
</file>

<file path=xl/persons/person.xml><?xml version="1.0" encoding="utf-8"?>
<personList xmlns="http://schemas.microsoft.com/office/spreadsheetml/2018/threadedcomments" xmlns:x="http://schemas.openxmlformats.org/spreadsheetml/2006/main">
  <person displayName="Allan Pereira de Souza" id="{D52F1C39-74EA-4A81-B7BF-DB671584A4B5}" userId="S::allan.souza@energisa.com.br::a7fa3ebd-5911-4698-9bd5-79f3a413ac43" providerId="AD"/>
  <person displayName="Joao Antonio Lagares Milhomem de Souza" id="{2BD68904-532A-426A-98FA-A568A50C349A}" userId="S::joao.lagares@energisa.com.br::398807df-e4d5-412e-a012-70e82e4b539b" providerId="AD"/>
  <person displayName="Irlley Jose Araujo Castelo Branco" id="{3E99BD6B-A250-4E69-800E-7F4473918BE0}" userId="S::irlley.branco@energisa.com.br::264cf3fb-2d49-4278-af9c-70ad514854a3" providerId="AD"/>
</personList>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o Antonio Lagares Milhomem de Souza" refreshedDate="46213.412370370374" backgroundQuery="1" createdVersion="8" refreshedVersion="8" minRefreshableVersion="3" recordCount="0" supportSubquery="1" supportAdvancedDrill="1" xr:uid="{DD6E1ACA-4AC1-4F07-BFE6-06C0FB2C0625}">
  <cacheSource type="external" connectionId="2"/>
  <cacheFields count="5">
    <cacheField name="[Intervalo].[Status (apresentação)].[Status (apresentação)]" caption="Status (apresentação)" numFmtId="0" hierarchy="7" level="1">
      <sharedItems count="4">
        <s v="Análise DMSL"/>
        <s v="Em compra"/>
        <s v="Em execução"/>
        <s v="Comissionamento"/>
      </sharedItems>
    </cacheField>
    <cacheField name="[Intervalo].[TIPO].[TIPO]" caption="TIPO" numFmtId="0" hierarchy="3" level="1">
      <sharedItems count="2">
        <s v="RL"/>
        <s v="RT"/>
      </sharedItems>
    </cacheField>
    <cacheField name="[Intervalo].[Criticidade].[Criticidade]" caption="Criticidade" numFmtId="0" hierarchy="2" level="1">
      <sharedItems count="3">
        <s v="-"/>
        <s v="Alta"/>
        <s v="Muito Alta"/>
      </sharedItems>
    </cacheField>
    <cacheField name="[Measures].[Contagem de Ativo]" caption="Contagem de Ativo" numFmtId="0" hierarchy="15" level="32767"/>
    <cacheField name="[Measures].[Soma de Valor previsto]" caption="Soma de Valor previsto" numFmtId="0" hierarchy="16" level="32767"/>
  </cacheFields>
  <cacheHierarchies count="17">
    <cacheHierarchy uniqueName="[Intervalo].[Regional]" caption="Regional" attribute="1" defaultMemberUniqueName="[Intervalo].[Regional].[All]" allUniqueName="[Intervalo].[Regional].[All]" dimensionUniqueName="[Intervalo]" displayFolder="" count="0" memberValueDatatype="130" unbalanced="0"/>
    <cacheHierarchy uniqueName="[Intervalo].[Ativo]" caption="Ativo" attribute="1" defaultMemberUniqueName="[Intervalo].[Ativo].[All]" allUniqueName="[Intervalo].[Ativo].[All]" dimensionUniqueName="[Intervalo]" displayFolder="" count="0" memberValueDatatype="5" unbalanced="0"/>
    <cacheHierarchy uniqueName="[Intervalo].[Criticidade]" caption="Criticidade" attribute="1" defaultMemberUniqueName="[Intervalo].[Criticidade].[All]" allUniqueName="[Intervalo].[Criticidade].[All]" dimensionUniqueName="[Intervalo]" displayFolder="" count="2" memberValueDatatype="130" unbalanced="0">
      <fieldsUsage count="2">
        <fieldUsage x="-1"/>
        <fieldUsage x="2"/>
      </fieldsUsage>
    </cacheHierarchy>
    <cacheHierarchy uniqueName="[Intervalo].[TIPO]" caption="TIPO" attribute="1" defaultMemberUniqueName="[Intervalo].[TIPO].[All]" allUniqueName="[Intervalo].[TIPO].[All]" dimensionUniqueName="[Intervalo]" displayFolder="" count="2" memberValueDatatype="130" unbalanced="0">
      <fieldsUsage count="2">
        <fieldUsage x="-1"/>
        <fieldUsage x="1"/>
      </fieldsUsage>
    </cacheHierarchy>
    <cacheHierarchy uniqueName="[Intervalo].[SS SGM]" caption="SS SGM" attribute="1" defaultMemberUniqueName="[Intervalo].[SS SGM].[All]" allUniqueName="[Intervalo].[SS SGM].[All]" dimensionUniqueName="[Intervalo]" displayFolder="" count="0" memberValueDatatype="130" unbalanced="0"/>
    <cacheHierarchy uniqueName="[Intervalo].[DSC SS]" caption="DSC SS" attribute="1" defaultMemberUniqueName="[Intervalo].[DSC SS].[All]" allUniqueName="[Intervalo].[DSC SS].[All]" dimensionUniqueName="[Intervalo]" displayFolder="" count="0" memberValueDatatype="130" unbalanced="0"/>
    <cacheHierarchy uniqueName="[Intervalo].[Responsável]" caption="Responsável" attribute="1" defaultMemberUniqueName="[Intervalo].[Responsável].[All]" allUniqueName="[Intervalo].[Responsável].[All]" dimensionUniqueName="[Intervalo]" displayFolder="" count="0" memberValueDatatype="130" unbalanced="0"/>
    <cacheHierarchy uniqueName="[Intervalo].[Status (apresentação)]" caption="Status (apresentação)" attribute="1" defaultMemberUniqueName="[Intervalo].[Status (apresentação)].[All]" allUniqueName="[Intervalo].[Status (apresentação)].[All]" dimensionUniqueName="[Intervalo]" displayFolder="" count="2" memberValueDatatype="130" unbalanced="0">
      <fieldsUsage count="2">
        <fieldUsage x="-1"/>
        <fieldUsage x="0"/>
      </fieldsUsage>
    </cacheHierarchy>
    <cacheHierarchy uniqueName="[Intervalo].[Status]" caption="Status" attribute="1" defaultMemberUniqueName="[Intervalo].[Status].[All]" allUniqueName="[Intervalo].[Status].[All]" dimensionUniqueName="[Intervalo]" displayFolder="" count="0" memberValueDatatype="130" unbalanced="0"/>
    <cacheHierarchy uniqueName="[Intervalo].[Observação]" caption="Observação" attribute="1" defaultMemberUniqueName="[Intervalo].[Observação].[All]" allUniqueName="[Intervalo].[Observação].[All]" dimensionUniqueName="[Intervalo]" displayFolder="" count="0" memberValueDatatype="130" unbalanced="0"/>
    <cacheHierarchy uniqueName="[Intervalo].[Descrição compra]" caption="Descrição compra" attribute="1" defaultMemberUniqueName="[Intervalo].[Descrição compra].[All]" allUniqueName="[Intervalo].[Descrição compra].[All]" dimensionUniqueName="[Intervalo]" displayFolder="" count="0" memberValueDatatype="130" unbalanced="0"/>
    <cacheHierarchy uniqueName="[Intervalo].[Valor previsto]" caption="Valor previsto" attribute="1" defaultMemberUniqueName="[Intervalo].[Valor previsto].[All]" allUniqueName="[Intervalo].[Valor previsto].[All]" dimensionUniqueName="[Intervalo]" displayFolder="" count="0" memberValueDatatype="5" unbalanced="0"/>
    <cacheHierarchy uniqueName="[Measures].[__XL_Count Intervalo]" caption="__XL_Count Intervalo" measure="1" displayFolder="" measureGroup="Intervalo" count="0" hidden="1"/>
    <cacheHierarchy uniqueName="[Measures].[__No measures defined]" caption="__No measures defined" measure="1" displayFolder="" count="0" hidden="1"/>
    <cacheHierarchy uniqueName="[Measures].[Soma de Ativo]" caption="Soma de Ativo" measure="1" displayFolder="" measureGroup="Intervalo" count="0" hidden="1">
      <extLst>
        <ext xmlns:x15="http://schemas.microsoft.com/office/spreadsheetml/2010/11/main" uri="{B97F6D7D-B522-45F9-BDA1-12C45D357490}">
          <x15:cacheHierarchy aggregatedColumn="1"/>
        </ext>
      </extLst>
    </cacheHierarchy>
    <cacheHierarchy uniqueName="[Measures].[Contagem de Ativo]" caption="Contagem de Ativo" measure="1" displayFolder="" measureGroup="Intervalo" count="0" oneField="1" hidden="1">
      <fieldsUsage count="1">
        <fieldUsage x="3"/>
      </fieldsUsage>
      <extLst>
        <ext xmlns:x15="http://schemas.microsoft.com/office/spreadsheetml/2010/11/main" uri="{B97F6D7D-B522-45F9-BDA1-12C45D357490}">
          <x15:cacheHierarchy aggregatedColumn="1"/>
        </ext>
      </extLst>
    </cacheHierarchy>
    <cacheHierarchy uniqueName="[Measures].[Soma de Valor previsto]" caption="Soma de Valor previsto" measure="1" displayFolder="" measureGroup="Intervalo" count="0" oneField="1" hidden="1">
      <fieldsUsage count="1">
        <fieldUsage x="4"/>
      </fieldsUsage>
      <extLst>
        <ext xmlns:x15="http://schemas.microsoft.com/office/spreadsheetml/2010/11/main" uri="{B97F6D7D-B522-45F9-BDA1-12C45D357490}">
          <x15:cacheHierarchy aggregatedColumn="11"/>
        </ext>
      </extLst>
    </cacheHierarchy>
  </cacheHierarchies>
  <kpis count="0"/>
  <dimensions count="2">
    <dimension name="Intervalo" uniqueName="[Intervalo]" caption="Intervalo"/>
    <dimension measure="1" name="Measures" uniqueName="[Measures]" caption="Measures"/>
  </dimensions>
  <measureGroups count="1">
    <measureGroup name="Intervalo" caption="Interval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ro Padilha Dias Junior" refreshedDate="46213.635935648148" createdVersion="8" refreshedVersion="8" minRefreshableVersion="3" recordCount="65" xr:uid="{BE11C611-655F-4EE9-B80B-13BA8C5D8221}">
  <cacheSource type="worksheet">
    <worksheetSource ref="A1:M66" sheet="Planilha1"/>
  </cacheSource>
  <cacheFields count="12">
    <cacheField name="Regional" numFmtId="0">
      <sharedItems/>
    </cacheField>
    <cacheField name="Ativo" numFmtId="0">
      <sharedItems containsSemiMixedTypes="0" containsString="0" containsNumber="1" containsInteger="1" minValue="5800090147" maxValue="7957126085"/>
    </cacheField>
    <cacheField name="Criticidade" numFmtId="0">
      <sharedItems containsBlank="1" containsMixedTypes="1" containsNumber="1" containsInteger="1" minValue="0" maxValue="0" count="6">
        <s v="Muito Alta"/>
        <s v="Média"/>
        <s v="Alta"/>
        <s v="Baixa"/>
        <m/>
        <n v="0" u="1"/>
      </sharedItems>
    </cacheField>
    <cacheField name="TIPO" numFmtId="0">
      <sharedItems count="2">
        <s v="RL"/>
        <s v="RT"/>
      </sharedItems>
    </cacheField>
    <cacheField name="SS SGM" numFmtId="0">
      <sharedItems/>
    </cacheField>
    <cacheField name="DSC SS" numFmtId="0">
      <sharedItems longText="1"/>
    </cacheField>
    <cacheField name="Responsável" numFmtId="0">
      <sharedItems/>
    </cacheField>
    <cacheField name="Status (apresentação)" numFmtId="0">
      <sharedItems/>
    </cacheField>
    <cacheField name="Status" numFmtId="0">
      <sharedItems count="5">
        <s v="Em logistica"/>
        <s v="Em compra"/>
        <s v="Em execução"/>
        <s v="Análise DMSL"/>
        <s v="Comissionamento"/>
      </sharedItems>
    </cacheField>
    <cacheField name="Observação" numFmtId="0">
      <sharedItems containsBlank="1" count="4">
        <m/>
        <s v="Furto"/>
        <s v="Problema de autorização de passagem"/>
        <s v="Verificar disponibilidade de material"/>
      </sharedItems>
    </cacheField>
    <cacheField name="Descrição compra" numFmtId="0">
      <sharedItems/>
    </cacheField>
    <cacheField name="Valor previsto" numFmtId="44">
      <sharedItems containsSemiMixedTypes="0" containsString="0" containsNumber="1" minValue="0" maxValue="46099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
  <r>
    <s v="CENTRO"/>
    <n v="7908686014"/>
    <x v="0"/>
    <x v="0"/>
    <s v="ETO-COEP 00086/2026"/>
    <s v="06/07 PARECER COEP: PREVISÃO DE ENTREGA DE ACORDO COM CALENDÁRIO LOGISITCO NOVO 06/07NOTA DMSL: Favor substituir o tanque, ele não está efetuando os comandos enviados. Não substituir o controle pois o mesmo funciona como repetidor de outros equipamentos.Segue nota para verificar falha de fechamento religador 7908686014- Pium .OBS: equipamento não fechou local e remoto , fica sinalizando no painel para verificar alarmes !"/>
    <s v="COEP"/>
    <s v="Em execução"/>
    <x v="0"/>
    <x v="0"/>
    <s v="Tanque (não substituir controle)"/>
    <n v="51360.82"/>
  </r>
  <r>
    <s v="NORTE"/>
    <n v="7900535058"/>
    <x v="1"/>
    <x v="0"/>
    <s v="ETO-COEP 00173/2025"/>
    <s v="PARECER COEP: EQUIPAMENTO SELECIONADO PARA COMPRAPARECER DMSL:  Equipamento 7900535058 encontra-se com o relé danificado, firmware corrompido, o mesmo não inicia. Devido ao fato de não possuirmos mais peças de reposição para religador cooper, se faz necessário a  substituição de todo conjunto por um Noja RC10.envar equipe para verificar rlo 7900535058 foi feito primeiro ataque com equipe 040op36 o mesmo esta com RELE TRAVADO E FICOU FORA DE OPERAÇÃO, ATENDE RDR DE SANTA FÉ SAIDA DA CIDADEEQUIPE INFORMOU ABELHAS NA CAIXA DO PAINEL DE COMANDO"/>
    <s v="COEP"/>
    <s v="Em compra"/>
    <x v="1"/>
    <x v="0"/>
    <s v="Religador completo (Cooper→NOJA RC10)"/>
    <n v="89455.54"/>
  </r>
  <r>
    <s v="CENTRO"/>
    <n v="7953610256"/>
    <x v="2"/>
    <x v="0"/>
    <s v="ETO-COEP 00050/2026"/>
    <s v="PARECER COEP: AGUARDANDO COCM'S GERAREM A OBRA PARA ENTREGA DO MATERIALPARECER DMSL: Data: 10/03/2026,Serviço Executado: Foi substituído o relé do equipamento, o mesmo estava danificado. Trocado o DPS, o mesmo estava queimado devido ao tanque estar furado. O equipamento ficou em bypass.Equipamento ficou em operação? NãoPendência? Sim, substituir a parte ativa com cordão umbilical.Equipe: Carliel e João VitorSEGUE SS PARA REGULARIZAR AUTOMAÇÃO DO RL 7953610256 NA INTERLIGAÇÃO COM A COELBA (CHAPADA DA MANGABEIRA) - EQUIPE INFOMOU CURTO INTERNO NO GABINETE DJ AC NÃO FECHA"/>
    <s v="COEP"/>
    <s v="Em compra"/>
    <x v="1"/>
    <x v="0"/>
    <s v="Tanque + cordão umbilical"/>
    <n v="51360.82"/>
  </r>
  <r>
    <s v="CENTRO"/>
    <n v="7942485096"/>
    <x v="3"/>
    <x v="0"/>
    <s v="ETO-COEP 00158/2025"/>
    <s v="30/06 PARECER COEP: EQUIPAMENTO SELECIONADO PARA COMPRARELIGADOR COM DEFEITO 7942485096, ESTA DANDO PASSAGEM ESTANDO ABERTO. NÃO ACEITA COMANDOS. FICOU BY PASSADO EM CAMPO PARA MANUTENÇÃO.PARECER DMSL: Ao testar o tanque, foi constatado que o mesmo está danificado e precisa ser substituído.Substituir somente o tanque. Deixar claro na nota para o dcmd substituir somente o tanque. Não tem necessidade de substituir o controle."/>
    <s v="COEP"/>
    <s v="Em compra"/>
    <x v="1"/>
    <x v="0"/>
    <s v="Tanque (parte ativa)"/>
    <n v="51360.82"/>
  </r>
  <r>
    <s v="NORTE"/>
    <n v="5858783119"/>
    <x v="3"/>
    <x v="1"/>
    <s v="ETO-COEP 00123/2025"/>
    <s v="PARECER COEP: ERRO NA INSTALAÇÃO EQUIPAMENTO SELECIONADO PARA COMPRA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
    <s v="COEP"/>
    <s v="Em compra"/>
    <x v="1"/>
    <x v="1"/>
    <s v="3 células (óleo furtado)"/>
    <n v="460999.9"/>
  </r>
  <r>
    <s v="CENTRO"/>
    <n v="5853360007"/>
    <x v="2"/>
    <x v="1"/>
    <s v="ETO-RD-PS 00323/2025"/>
    <s v="REALIZAR TESTES NO EQUIPAMENTO E CONFERIR MEDIÇÕES DA MALHA DE ATERRAMENTO. ESTANDO OK, COMISSIONAR EQUIPAMENTO E COLOCA-LO EM OPERAÇÃO.AJUSTES DISPONIVEIS NO APP DA PROTEÇÃdmsl : N° do Equipamento:*RT 5853360007 MIRACEMASID: 2493/2025Data: 13/05/2025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Equipamento ficou em operação?: Não Equipe: Benvindo e Jardel"/>
    <s v="COCM-C"/>
    <s v="Em execução"/>
    <x v="2"/>
    <x v="2"/>
    <e v="#N/A"/>
    <n v="15000"/>
  </r>
  <r>
    <s v="CENTRO"/>
    <n v="7900453110"/>
    <x v="0"/>
    <x v="0"/>
    <s v="ETO-COEP 00087/2026"/>
    <s v="30/06.PARECER COEP: ALINHADO COM O ALLAN REMANEJAMOS PARTE ATIVA PARA ATENDER 7933726256PARECER COEP: Aproveitar controle cooper se possível em outro local, previsão de chegada do material dia 01/07 para substituição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Equipamento ficou em operação?: _SIM_a pedido do COS ficou em operação, a operação está ciente da necessidade de substituir.Pendência: Sim, será necessário substituir o equipamento."/>
    <s v="COEP"/>
    <s v="Em execução"/>
    <x v="0"/>
    <x v="0"/>
    <s v="Religador completo"/>
    <n v="89455.54"/>
  </r>
  <r>
    <s v="CENTRO"/>
    <n v="7923927122"/>
    <x v="3"/>
    <x v="0"/>
    <s v="ETO-COEP 00079/2025"/>
    <s v="30/06 PARECER COEP: EQUIPAMENTO SEM PARECER TECNICO DO DMSLSegue nota para envia manutenção substituir tanque do RL-7923927122 em curto, Anomalia identificada desarme das LD, s Palmas / Aparecida e Palmas Taquaruçu, Acesso livre, Tensão 34,5kv, Local RL de Interligação entre 424R / 414R."/>
    <s v="COEP"/>
    <s v="Em compra"/>
    <x v="1"/>
    <x v="0"/>
    <s v="Tanque (parte ativa)"/>
    <n v="51360.82"/>
  </r>
  <r>
    <s v="CENTRO"/>
    <n v="7900117013"/>
    <x v="0"/>
    <x v="0"/>
    <s v="ETO-COEP 00084/2026"/>
    <s v="PARECER COEP: PREVISÃO DE ENTREGA AOS COCM'S 01/07Segue nota para correção de anomalia e provável substituição de religador , religador 7900117013 -RDU - Paraiso .OBS: equipe DMSL Elisfran estava atualizando firmware no equipamento  , porém relé parou de funcionar devido essa atualização , sendo necessário sua substituição .em campo o modelo e   cooper Form6 , segundo tecnico deve ser substituído por um Noja .Repassado para o COEP para aquisição do equipamento e posterior repasse para o COCM."/>
    <s v="COEP"/>
    <s v="Em execução"/>
    <x v="0"/>
    <x v="0"/>
    <s v="Religador completo (Cooper F6→NOJA)"/>
    <n v="66619.48"/>
  </r>
  <r>
    <s v="NORTE"/>
    <n v="7900532053"/>
    <x v="4"/>
    <x v="0"/>
    <s v="ETO-COEP 00102/2025"/>
    <s v="30/06-EQUIPAMENTO EM OPERAÇÃO NO SCADA, AGUARDANDO RESPOSTA DO DMSL PARA SEGUIR COM AS TRATATIVASFavor, realizar substituição completa do RLG 7900532053 que encontra-se com defeito devido entrada de água no cordão umbilical e danos causados por abelhas. O rádio também precisa ser fornecido pois o existente está danificado."/>
    <s v="COEP"/>
    <s v="Análise DMSL"/>
    <x v="3"/>
    <x v="0"/>
    <s v="Religador completo + rádio GE"/>
    <n v="104067.62"/>
  </r>
  <r>
    <s v="NORTE"/>
    <n v="7920024127"/>
    <x v="2"/>
    <x v="0"/>
    <s v="ETO-COEP 00120/2025"/>
    <s v="30/06 PARECER COEP: AGUARDANDO O RETORNO DO DMSL , PARA ENTENDER SE O PROBLEMA É NA COMUNICAÇÃO OU PARTE ATIVA, JÁ QUE O EQUIPAMENTO EM QUESTÃO SEGUE COMUNICANDO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RL 7920024127 está desarmando em campo e no SCADA continua fechado, só sinaliza aberto no SCADA quando a equipe faz o resert no equipamento em campo."/>
    <s v="COEP"/>
    <s v="Análise DMSL"/>
    <x v="3"/>
    <x v="0"/>
    <s v="Religador completo (→NOJA) + chave faca fase A"/>
    <n v="90191.97"/>
  </r>
  <r>
    <s v="NORTE"/>
    <n v="7928564039"/>
    <x v="1"/>
    <x v="0"/>
    <s v="ETO-COEP 00123/2026"/>
    <s v="PARECER COEP: QUAL O MODELO DO EQUIPAMENTO? QUAL A FAIXA DE TENSÃO ? O QUE SERIA SISTEMA DE COMUNICAÇÃO COMPLETO?Troca do sistema de comunicação do equipamentoDMSL 28/07/2025: Equipamento com tanque, modulo e rele com defeito, solicitar troca do equipamento ao DCMD.Fotos vão ser enviadas por e-mail"/>
    <s v="COEP"/>
    <s v="Em compra"/>
    <x v="1"/>
    <x v="0"/>
    <s v="Religador completo (tanque+módulo+relé)"/>
    <n v="89455.54"/>
  </r>
  <r>
    <s v="CENTRO"/>
    <n v="7957126085"/>
    <x v="1"/>
    <x v="0"/>
    <s v="ETO-COEP 00156/2025"/>
    <s v="20/06PARECER COEP: EMD 510216PREVISÃO DE CHEGADA COCM'S 01/07RELIGADOR COM RELÉ QUEIMADO - EQUIPAMENTO BY PASSADO. PARECER DMSL:N° do Equipamento: 7957126085Data: 17/06/2025Localidade: RDU Monte SantoServiço Executado:&quot;Os para raios da fase B e C estão fechando arco na cruzeta. Curto desceu para o controle danificando os componentes. Necessário substituir controle completo, substituir cabo de alimentação da BT e abaixar o tanque para afastar das cruzetas. Solicitar também ao DCMD para verificar se os para raios estão danificados.&quot;Ana Maria e Rayr já tinha ido no local anteriormente, na data 14/05/25 e fizeram o diagnostico acima. Equipamento ficou em operação?: NÃO"/>
    <s v="COEP"/>
    <s v="Em execução"/>
    <x v="0"/>
    <x v="0"/>
    <s v="Controle completo + cabo BT"/>
    <n v="51304.06"/>
  </r>
  <r>
    <s v="SUL"/>
    <n v="5856156091"/>
    <x v="3"/>
    <x v="1"/>
    <s v="ETO-RD-DP 00403/2026"/>
    <s v="DCMD 26.03.2026. SS REPASSADA PARA COEP PROVIDENCIAR MATERIAL. NÃO TEMOS O MATERIAL EM ESTOQUE PARA SUBSTITUIÇÃO. COEP: Equipamento fornecido ao COCM-S para regularização.PARECER COEP: EQUIPAMENTOS JÁ FORNECIDOS PARA OS COCM'S PARA REGULARIZAÇÃOPARECER DA PROTEÇÃO:EQUIPAMENTOS FURTADOS. PARA AQUISIÇÃO DAS CELULAS DE REPOSIÇÃO, FAVOR CONSULTAR OS DADOS DE PLACA EM ANEXO.PARECER DA PROTEÇÃO:COMISISONAR RT 5856156091 LD DIANOPOLIS A NATIVIDADE. NECESSARIO REALIZAR MEDIÇÕES DA RESISTENCIA DA MALHA DE ATERRAMENTO.AJUSTES DISPONIVEIS NO APP DA PROTEÇÃO.RELIGADOR N° 5856156091 INSTALADO NA OBRA 0502400526 GENTILEZA, REALIZAR O COMISSIONAMENTO. LAUDO EM ANEXO. COORD EO: 899501, 8714782"/>
    <s v="COCM-S"/>
    <s v="Em execução"/>
    <x v="2"/>
    <x v="0"/>
    <e v="#N/A"/>
    <n v="460999.9"/>
  </r>
  <r>
    <s v="CENTRO"/>
    <n v="5854566043"/>
    <x v="0"/>
    <x v="1"/>
    <s v="ETO-COEP 00160/2025"/>
    <s v="PARECER COEP: EQUIPAMENTO SELECIONADO PARA COMPRAboa noite,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
    <s v="COEP"/>
    <s v="Em execução"/>
    <x v="0"/>
    <x v="0"/>
    <s v="Célula fase B"/>
    <n v="207212.3"/>
  </r>
  <r>
    <s v="CENTRO"/>
    <n v="7927446001"/>
    <x v="3"/>
    <x v="0"/>
    <s v="ETO-COEP 00143/2025"/>
    <s v="30/06 PARECER COEP: AGUARDANDO RETORNO DO DMSL PARA SEGUIR COM AS TRATATIVAS, JÁ QUE NÃO TEMOS CERTEZA SE É SOMENTE A PLCA OU O EQUIPAMENTO COMPLETOSegue para verificação RL sem comunicação feito primeiro ataque sem sucesso.PARECER DMSL:Data:* _08/07/2025Serviço Executado: Placa de alimentação danificada, devido a curto, não temos material sobressalente para manutenção! Favor substituir o equipamento completo.Obs.: O rádio ficou dentro do controle, favor orientar a equipe que for substituir colocar dentro do controle novo.Equipamento ficou em operação?: Não Pendência: Sim, substituir equipamento completo."/>
    <s v="COEP"/>
    <s v="Em compra"/>
    <x v="1"/>
    <x v="0"/>
    <s v="Religador completo (Tavrida s/ sobressalente)"/>
    <n v="89455.54"/>
  </r>
  <r>
    <s v="SUL"/>
    <n v="7928241200"/>
    <x v="3"/>
    <x v="0"/>
    <s v="ETO-COEP 00128/2026"/>
    <s v="PARECER COEP: FAVOR REAVALIAR DISPONIBILIDADE DO EQUIPAMENTO DO SCADA E DIZER MARCA ,MODELO E TENSÃO DO EQUIPAMENTO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
    <s v="COEP"/>
    <s v="Análise DMSL"/>
    <x v="3"/>
    <x v="0"/>
    <s v="Tanque (parte ativa)"/>
    <n v="51360.82"/>
  </r>
  <r>
    <s v="NORTE"/>
    <n v="5800371025"/>
    <x v="2"/>
    <x v="1"/>
    <s v="ETO-COEP 00187/2025"/>
    <s v="PARECER COEP: AVALIAR COM O LEANDRO, PROVAVELMENTE SÓ COMPRA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Segue nota para veriifcar falha em regulador de tensão N: 5800371025 dentro S/E Arapoema , equipamento esta com 2 reles com falha  marca toshiba ."/>
    <s v="COEP"/>
    <s v="Em compra"/>
    <x v="1"/>
    <x v="0"/>
    <s v="Controle RUA + kit comunicação + 3 células"/>
    <n v="109925.12"/>
  </r>
  <r>
    <s v="NORTE"/>
    <n v="5844630060"/>
    <x v="3"/>
    <x v="1"/>
    <s v="ETO-COEP 00167/2025"/>
    <s v="PARECER COEP: EQUIPAMENTO EM ROTA DE ENTREGAPARECER DMSL: Célula da fase A encontra-se com vazamento de óleo no pé da torneira. Necessário substituição da célula.Aberto nota para verificar vazamento de óleo fase A no RT 5844630060 - RDU Nova Olinda"/>
    <s v="COEP"/>
    <s v="Em execução"/>
    <x v="0"/>
    <x v="0"/>
    <s v="Célula fase A"/>
    <n v="112500.43"/>
  </r>
  <r>
    <s v="SUL"/>
    <n v="7908705049"/>
    <x v="0"/>
    <x v="0"/>
    <s v="ETO-RD-DP 00409/2026"/>
    <s v="EQUIPAMENTO ENTREGUE, SOLICITO PREVISÃO PARA SUBSTITUIÇÃO:PARECER COEP: PREVISÃO DE ENTREGA AOS COCM'S 01/07Manutenção no RL 7908705049PARECER DMSL(28/08/2025): Equipe foi fazer manutenção no RL e constatou que o tanque e o relé do mesmo se encontra queimado, providenciar substituição.PARECER COCMS 30/04/2026CRIADO OBRA 0512600135 PARA REQUISIÇÃO MATERIAL"/>
    <s v="COCM-S"/>
    <s v="Em execução"/>
    <x v="2"/>
    <x v="0"/>
    <s v="Religador completo"/>
    <n v="66619.48"/>
  </r>
  <r>
    <s v="SUL"/>
    <n v="5800438116"/>
    <x v="1"/>
    <x v="1"/>
    <s v="ETO-RD-DP 00404/2026"/>
    <s v="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30/06PARECER COEP: AGUARDANDO COCM'S CRIAREM OBRA PARA ENTREGA DO MATERIALSegue nota para normalizar falha em regulador N:5800438116 - Chapada da natividade .equipamento está com fase B e C travada .OBS: a fase B esta sinalizando falha , equipamento não insere TAP negativo na fase B e C , o mesmo ficou no TAP zerado e bloqueado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Foi constatado que a placa F do controle está com defeito."/>
    <s v="COCM-S"/>
    <s v="Em execução"/>
    <x v="2"/>
    <x v="0"/>
    <s v="Células fases B e C — REAPROVEITAMENTO (eq. retirado de obra)"/>
    <n v="195758.5"/>
  </r>
  <r>
    <s v="SUL"/>
    <n v="5856070091"/>
    <x v="0"/>
    <x v="1"/>
    <s v="ETO-COEP 00130/2026"/>
    <s v="PARECER DMSL: não foi regularizado a instalação do equipamento, nota repassada conforme alinhado com o supervisor.____________________________________________COCMS 26.03.26. SS REPASSADA PARA COEP PROVIDENCIAR MATERIAL. NÃO TEMOS AS PÇ EM ESTOQUE PARA FAZER A SUBSTITUIÇÃO. Solicitação de serviço para reposição de equipamentos furtados .COEP: Equipamento fornecido ao COCM-S para regularização.COCMS: Equipamento substituido conforme solicitado. Gentileza comissionar.PARECER DA PROTEÇÃO:SEGUE NOTA REPASSADA PARA DMSL COMISSIONAR.ENG° IRLLEY CASTELO BRANCO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
    <s v="COEP"/>
    <s v="Em compra"/>
    <x v="1"/>
    <x v="1"/>
    <s v="3 células furtadas"/>
    <n v="460999.9"/>
  </r>
  <r>
    <s v="NORTE"/>
    <n v="5850308009"/>
    <x v="1"/>
    <x v="1"/>
    <s v="ETO-COEP 00127/2026"/>
    <s v="PARECER COEP: Equipamento em operaçãpo no SCADAPARECER DMSL: Após testes, foi constatado que o RT  5850308009 encontra-se com controle danificado, sendo necessária substituição do mesmo.Regulador de tensão 5850308009 quando esta em Automatico esta deixa um fase muito baixa. foi deixado uma fase Manual e transferida parte do alimentaor."/>
    <s v="COEP"/>
    <s v="Em execução"/>
    <x v="0"/>
    <x v="0"/>
    <s v="Controle c/ nobreak"/>
    <n v="29445.39"/>
  </r>
  <r>
    <s v="CENTRO"/>
    <n v="5827102054"/>
    <x v="1"/>
    <x v="1"/>
    <s v="ETO-RD-PS 00289/2026"/>
    <s v="PARECER COEP:NÃO É POSSÍVEL RETORNAR COM O CONTROLE COMPLETO , MAS DARIA PARA FAZER A MELHORIA NA MALHA DE ATERRAMENTO , ENCAMINHANDO PARA OS COCM'S PARA REALIZAREM A MELHORIAparecer DMSL: :Nobreack com defeito, rele queimado, cabo de comunicação entre o rádio e o rele danificado, malha de aterramento está com a resistência alta!Feito reparo no cabo, substituído nobreack, e rele. Se possível retornar com controle completo pq o q está em campo teve infiltração de água, abrir chamado no scada para atualizar base do equipamento pois o mesmo está com a base antiga, fazer correção da malha de aterramento.Equipamento ficou em operação?: Não Pendência: sim, levar controle novo, fazer correção da malha de terra, levar suporte para fixar antena. OBS; reprogramar equipamento.Bateria(s) substituída(s) simEquipe: Benvindo e Carliel         SOLICITAMOS CONTROLE COMPLETO"/>
    <s v="COCM-C"/>
    <s v="Em execução"/>
    <x v="2"/>
    <x v="0"/>
    <s v="Repasse COCM — tentar vedação do controle; cancelar obra"/>
    <n v="0"/>
  </r>
  <r>
    <s v="NORTE"/>
    <n v="7903112004"/>
    <x v="2"/>
    <x v="0"/>
    <s v="ETO-COEP 00184/2025"/>
    <s v="PARECER COEP: AGUARAR RETORNo RETORNO DMSLApós testes no RLG 7903112004 foi constatado defeito no mesmo e como se trata de um modelo COOPER FORM6 que está obsoleto e não possuímos peças sobressalentes, faz-se necessária substituição completa por modelo NOJA RC10."/>
    <s v="COEP"/>
    <s v="Análise DMSL"/>
    <x v="3"/>
    <x v="0"/>
    <s v="Controle NOJA (tanque cooper reaproveitado do 7900018004)"/>
    <n v="51304.06"/>
  </r>
  <r>
    <s v="CENTRO"/>
    <n v="5803327001"/>
    <x v="2"/>
    <x v="1"/>
    <s v="ETO-RD-PA 00434/2026"/>
    <s v="01/07 PARECER COEP: FOI CONFIRMADO COM A OPERAÇÃO QUE O EQUIPAMENTO SEGUIU O FLUXO INTEIRO DE COMISSIONAMENTO, PROTEÇÃO, FAVOR EXPLICAR O QUE FOI REALIZADO E SE EQUIPAMENTO ESTÁ OPERANDO, SENÃO ESTIVER EXPLICAR O QUE FOI FEITO NELE30/06PARECER COEP: REPASSAR DIRETAMENTE PARA OS COCM'SRegulador 5803327001 fora de operação, by passado em campo com painel de comunicação com cabos desconectados tensão 13.8.parecer DMSL: Feedback Equip. EspeciaisRT 5803327001RELÉ RUASid: 4844Data: 19/09/2025Serviço realizado:*Equipamento foi remanejado, 7 km da sua localização sentido Palmas necessário comissionamento completo*Equipamento com um dos cabos umbilicais danificado.* aterramento bucha FC não esta interligada corretamente * para-raios estão no mesmo aterramento da bucha FC.* Tranques  muito alto e próximo da rede  não permitindo o comissionamento com segurança.* Controle alto  demais tem que baixar Equipamento ficou em operação?: nãoPendência: sim, precisa comissionar completoOBS; reprogramar equipamento.Bateria(s) substituída(s) NÃOEquipe: Ellisfran, Ana Maria    PARECER DMSL: Data 03/12/2025-Equipe: Carliel e BenvindoServiço executado foi ensaiado as três células Equipamento ficou em operação: Não  Pendência: sim, Instalar  controle completo, e fazer melhoria na malhar de aterramento"/>
    <s v="COCM-C"/>
    <s v="Em execução"/>
    <x v="2"/>
    <x v="0"/>
    <e v="#N/A"/>
    <n v="15000"/>
  </r>
  <r>
    <s v="CENTRO"/>
    <n v="5855411017"/>
    <x v="3"/>
    <x v="1"/>
    <s v="ETO-COEP 00199/2025"/>
    <s v="PARECER COEP: EQUIPAMENTO EM ROTA DE ENTREGASEM COMUNICAÇÃO, FALHA DE ALIMENTAÇÃO - REALIZADO PRIMEIRO ATAQUE SEM SUCESSO.PARECER DMSL: 17/09/2025 Equipamento ficou em operação? Não Pendência: sim. Equipamento ficou Bay passado levar controle  COMPLETO para trocar. ellisfran"/>
    <s v="COEP"/>
    <s v="Em execução"/>
    <x v="0"/>
    <x v="0"/>
    <s v="Controle c/ nobreak"/>
    <n v="29445.39"/>
  </r>
  <r>
    <s v="CENTRO"/>
    <n v="7933766059"/>
    <x v="0"/>
    <x v="0"/>
    <s v="ETO-RD-PA 00431/2026"/>
    <s v="PARECER COEP: EQUIPAMENTO ENTREGUE, SEGUE SS PARA O COCM´S , PARA REALIZAR O ATENDIMENTO,FAVOR ADICIONAR O PARECER PARA MANDAR PARA PROTEÇÃOSegue SS para verficar religador de poste 7933766059.Religador esta com defeito na parte ativa no tanque Porte gentilezaenviar equipe verificar.Endereço: TaquariPARECER DMSL: RLG 7933766059 RELÉ NOJA RC 10Mestre 2 Rep. taquaruçu GESID: 5457/2025Data: 15/10/2025Serviço Executado: Houve um curto na parte ativa do equipamento danificando a mesma, será necessário fazer a substituição somente do tanque, parte ativa.*Equipamento ficou em operação?:*Nao Pendência: Sim, substituir parte ativa.Equipe: Benvindo, Juliano e Sérgio."/>
    <s v="COCM-C"/>
    <s v="Em execução"/>
    <x v="2"/>
    <x v="0"/>
    <s v="Tanque (parte ativa)"/>
    <n v="32802.660000000003"/>
  </r>
  <r>
    <s v="CENTRO"/>
    <n v="7931610122"/>
    <x v="0"/>
    <x v="0"/>
    <s v="ETO-RD-PA 00433/2026"/>
    <s v="30/06 PARECER COEP: EQUIPAMENTO ENTREGUE, SEGUE SS PARA O COCM´S , PARA REALIZAR O ATENDIMENTO,FAVOR ADICIONAR O PARECER PARA MANDAR PARA PROTEÇÃOBom dia,Segue SS para verificação RL sem comunicação com painel apagado equipe DEOP fez primeiro ataque sem sucesso RL 7931610122 RDU de Palmas.Feedback Equipamentos Especiais DMSL: *RLG 7931610122 RDU Palmas*Noja rc10 Data: 14/10/2025SID: 5412Dados de comunicação divergentes da programação: Não. Serviço Executado: Houve um curto no equipamento danificando a parte ativa, e antena! Será necessário fazer a substituição somente da parte ativa (tanque) e da antena.Equipamento ficou em operação?: Não Pendência: Sim, substituir a parte ativa.Bateria(s) substituída(s)?: NãoData Fabricação/Instalação da(s) bateria(s): 2024Equipe: Benvindo, Juliano e Sérgio."/>
    <s v="COCM-C"/>
    <s v="Em execução"/>
    <x v="2"/>
    <x v="0"/>
    <s v="Tanque + antena"/>
    <n v="32802.660000000003"/>
  </r>
  <r>
    <s v="SUL"/>
    <n v="7900573047"/>
    <x v="2"/>
    <x v="0"/>
    <s v="ETO-COEP 00080/2026"/>
    <s v="PARECER COEP: AGUARDANDO COCM'S GERAREM AS OBRAS PARA PODER ENTREGAR MATERIALFavor providenciar manutenção no RL 7900573047, o mesmo estar em curto conforme fotos anexadas. Equipamento ficou bay passado em campo.PARECER DMSL: Equipe: FABIO AP./JOÃO MARCOSData Executada: 15/10/2025Serviço Executado:Foi constatado que o equipamento esta queimado na parte ativa placa, tanque e relé. Por favor fazer a substituição pelo Noja RC10."/>
    <s v="COEP"/>
    <s v="Em execução"/>
    <x v="0"/>
    <x v="0"/>
    <s v="Religador completo (→NOJA RC10)"/>
    <n v="66619.48"/>
  </r>
  <r>
    <s v="CENTRO"/>
    <n v="7947203070"/>
    <x v="0"/>
    <x v="0"/>
    <s v="ETO-COEP 00131/2026"/>
    <s v="PARECER COEP: QUAL O MODELO DA PLACA OU CÓDIGO DO MATERIAL?EXISTE DIFERENÇA DE MODELO OU POTÊNCIA?favor verificar RL 7947203070, sem comunicaçao, feito 1° ataque pela equipe 070OP01 e nao retornou a comunicaçao , linformaçao no Scada de bateria.PARECER DMSL: Foi feito análise técnica, a placa do equipamento está queimada nessesario subistituir o equipamento completo -Carliel e Benvindo-05/02"/>
    <s v="COEP"/>
    <s v="Em compra"/>
    <x v="1"/>
    <x v="0"/>
    <s v="Religador completo (parte ativa + tanque) — decisão COEP 08/07"/>
    <n v="89455.54"/>
  </r>
  <r>
    <s v="SUL"/>
    <n v="7925087021"/>
    <x v="2"/>
    <x v="0"/>
    <s v="ETO-COEP 00222/2025"/>
    <s v="PARECER COEP: EM ROTA DE ENTREGA, VERIFICAR PREVISÃO DE CHEGADARealizar a substituição do tanque do equipamento."/>
    <s v="COEP"/>
    <s v="Em execução"/>
    <x v="0"/>
    <x v="0"/>
    <s v="Tanque (parte ativa)"/>
    <n v="51360.82"/>
  </r>
  <r>
    <s v="SUL"/>
    <n v="5800961074"/>
    <x v="1"/>
    <x v="1"/>
    <s v="ETO-COEP 00221/2025"/>
    <s v="PARECER COEP: EQUIPAMENTO SELECIONADO PARA COMPRASubstituir as 3 células- Melhoria na malha de aterramento - Melhoria no circuito de aterramento qua aterra as células.- Substituir conectores paralelos"/>
    <s v="COEP"/>
    <s v="Em compra"/>
    <x v="1"/>
    <x v="0"/>
    <s v="3 células"/>
    <n v="253479.73"/>
  </r>
  <r>
    <s v="SUL"/>
    <n v="7937102148"/>
    <x v="1"/>
    <x v="0"/>
    <s v="ETO-COEP 00129/2026"/>
    <s v="PARECER COEP: REAVALIAR DISPONIBILIDADE DO EQUIPAMENTO NO SCADA ASSIM COMO , FORNECER MODELO DO EQUIPAMENTO E FAIXA DE TENSÃO PARA COMPRA / AQUISIÇÃOTanque com defeito, realizar substituição do tanque."/>
    <s v="COEP"/>
    <s v="Em compra"/>
    <x v="1"/>
    <x v="0"/>
    <s v="Tanque (parte ativa)"/>
    <n v="51360.82"/>
  </r>
  <r>
    <s v="SUL"/>
    <n v="5862236091"/>
    <x v="3"/>
    <x v="1"/>
    <s v="ETO-COEP 00223/2025"/>
    <s v="PARECER COEP: AGUARDANDO COCM´s GERAREM A OBRA COM ABERTURA CONTABIL DENER SOARESRealizar substituição da FASE B.Célula da fase B estava com a tampa do contador de tape aberta, pegou chuva e molhou os contatos danificando a peça toda."/>
    <s v="COEP"/>
    <s v="Em execução"/>
    <x v="0"/>
    <x v="0"/>
    <s v="Célula fase B"/>
    <n v="207212.3"/>
  </r>
  <r>
    <s v="CENTRO"/>
    <n v="7901110084"/>
    <x v="3"/>
    <x v="0"/>
    <s v="ETO-COEP 00061/2026"/>
    <s v="PARECER COEP: EQUIPAMENTO SELECIONADO PARA COMPRAPARECER DMSL: Serviço Executado: Foi feito análise técnica, testes funcionais e identificado que a parte ativa do equipamento está com defeito. Necessário substituir a parte ativa.FICOU EM OPERAÇÃO? Não- EQUIPE: Carliel e BenvindoSegue SS para verificaçao Rl esta danificado dando passagem de tensão mesmo aberto Sim, quando retornar trazer uma fonte pois a mesma foi removida."/>
    <s v="COEP"/>
    <s v="Em compra"/>
    <x v="1"/>
    <x v="0"/>
    <s v="Tanque (parte ativa)"/>
    <n v="51360.82"/>
  </r>
  <r>
    <s v="CENTRO"/>
    <n v="7931608059"/>
    <x v="0"/>
    <x v="0"/>
    <s v="ETO-COEP 00040/2026"/>
    <s v="PARECER COEP: EQUIPAMENTO SELECIONADO PARA COMPRADMSL:Serviço Executado: Foi feita uma análise técnica no equipamento, devido à falta de comunicação. Também foi identificado que o tanque do equipamento está danificado, sendo assim,  necessário substituir o tanque e o rádio do equipamento, que está queimado, sendo necessário substituir também."/>
    <s v="COEP"/>
    <s v="Em compra"/>
    <x v="1"/>
    <x v="0"/>
    <s v="Tanque + rádio GE"/>
    <n v="47414.74"/>
  </r>
  <r>
    <s v="CENTRO"/>
    <n v="7927646026"/>
    <x v="2"/>
    <x v="0"/>
    <s v="ETO-COEP 00029/2026"/>
    <s v="PARECER COEP: EQUIPAMENTO SELECIONADO PARA COMPRARELIGADOR BY PASSADO POR DEFEITO, NECESSÁRIO AVALIAÇÃO DO PROBLEMA.parecer dmsl:O religador apresenta defeito no tanque, sendo necessário substituir o tanque o mesmo está tirando a linha, e troca os  isoladores. Quando retornar, trazer uma fonte para o equipamento, a mesma foi removida.FICOU EM OPERAÇÃO? NãoPENDÊNCIA: Sim, aguardando peças para substituição."/>
    <s v="COEP"/>
    <s v="Em compra"/>
    <x v="1"/>
    <x v="0"/>
    <s v="Tanque + isoladores"/>
    <n v="51360.82"/>
  </r>
  <r>
    <s v="CENTRO"/>
    <n v="7927169001"/>
    <x v="2"/>
    <x v="0"/>
    <s v="ETO-RD-PA 00432/2026"/>
    <s v="PARECER COEP: EQUIPAMENTO ENTREGUE, SEGUE SS PARA O COCM´S , PARA REALIZAR O ATENDIMENTO,FAVOR ADICIONAR O PARECER PARA MANDAR PARA PROTEÇÃOSS ANTIGA: 1500/2025 PARECER DMSL: Serviço Executado: Foi verificado que o tanque do equipamento está danificado, sendo necessário substituir o tanque do equipamento.Equipamento ficou em operação?: NãoPendência: Sim, instalar fonte, disjuntor e DPS, e substituir o tanque."/>
    <s v="COCM-C"/>
    <s v="Em execução"/>
    <x v="2"/>
    <x v="0"/>
    <s v="Religador completo — EM DÚVIDA (obras=completo x v1.5=tanque)"/>
    <n v="66619.48"/>
  </r>
  <r>
    <s v="CENTRO"/>
    <n v="7908249152"/>
    <x v="1"/>
    <x v="0"/>
    <s v="ETO-COEP 00038/2026"/>
    <s v="PARECER COEP: AGUARDANDO RETORNO DMSL, SERIA A COMPRA DA PARTE ATIVA+ CONTROLE+RADIO +RELE?DMSL:Serviço Executado: Houve um curto no equipamento danificando a parte ativa, será necessário fazer a substituição do equipamento completo ( parte ativa e controle) colocar o um cabo pp novo do trafo até o Dj pois o mesmo está sem condições de uso. Obs:. Foi retirado rádio e rele Equipamento ficou em operação?: Não Pendência: Sim, substituir o equipamento completo."/>
    <s v="COEP"/>
    <s v="Em compra"/>
    <x v="1"/>
    <x v="0"/>
    <s v="Religador completo (parte ativa+controle)"/>
    <n v="89455.54"/>
  </r>
  <r>
    <s v="SUL"/>
    <n v="7933585074"/>
    <x v="1"/>
    <x v="0"/>
    <s v="ETO-COEP 00024/2026"/>
    <s v="30/06 PARECER COEP: AGUARDANDO RETORNO DO DMSL.REALIZAR SUBSTITUIÇÃO DO TANQUE, O MESMO ESTÁ COM DEFEITO."/>
    <s v="COEP"/>
    <s v="Em compra"/>
    <x v="1"/>
    <x v="0"/>
    <s v="Tanque (parte ativa)"/>
    <n v="51360.82"/>
  </r>
  <r>
    <s v="NORTE"/>
    <n v="7925744087"/>
    <x v="0"/>
    <x v="0"/>
    <s v="ETO-COEP 00059/2026"/>
    <s v="PARECER COEP: EQUIPAMENTO SELECIONADO PARA COMPRAPARECER DMSL: FEEDBACK EQUIP. ESPECIAISNº DO EQUIPAMENTO:  7925744087TIPO EQUIPAMENTO: Noja RC 10TIPO DE COMUNICAÇÃO: Radio GE IPDATA DA MANUTENÇÃO: 19/02/2026SID: 735/2026 DESCRIÇÃO: foi identificado água dentro da parte interna do tanque e cabo umbilical encharcado de água foi passado essas informações para COS.FICOU EM OPERAÇÃO?: Não PENDÊNCIA: Sim substituir tanque e cabo umbilicalDADOS DIVERGENTES DA PROGRAMAÇÃO: NãoBATERIA SUBSTITUÍDA?: Não DATA DA BATERIA: 07/05/2025TIPO DE BATERIA: Lítio EQUIPE: Edeglan e Janio-------------------------------------------------------------------------------------------------RELIGADOR SEM COMUNICAÇÃO, APOS PRIMEIRO ATAQUE RETORNA E FICAR INDEFINIDO."/>
    <s v="COEP"/>
    <s v="Em compra"/>
    <x v="1"/>
    <x v="0"/>
    <s v="Tanque + cabo umbilical"/>
    <n v="51360.82"/>
  </r>
  <r>
    <s v="NORTE"/>
    <n v="5865120195"/>
    <x v="2"/>
    <x v="1"/>
    <s v="ETO-RD-GR 00538/2026"/>
    <s v="PARECER DMSL:PENDÊNCIA: Realizar melhoria no aterramento por ser tratar de um terreno muito arenoso, e há pendências por parte do time da proteção, os ajustes do RT não estão disponíveis para inserção no referido equipamento.DATA DA MANUTENÇÃO: 12/03/202EQUIPE: Brunno e Edeglan.***********************PARECER DA PROTEÇÃO:FAVOR COMISSIONAR REGULADOR 5865120195 – LD Santa Maria Ramal Centenário e Recursolândia – 34,5kV. AJUSTE REALIZADO, DISPONÍVEL NO APP DA PROTEÇÃO.*********************** INSTALADO NA OBRA 0702400720 GENTILEZA, REALIZAR O COMISSIONAMENTO.LAUDO EM ANEXO.COORD EO: 889017, 9016857"/>
    <s v="COCM-N"/>
    <s v="Comissionamento"/>
    <x v="4"/>
    <x v="0"/>
    <e v="#N/A"/>
    <n v="15000"/>
  </r>
  <r>
    <s v="CENTRO"/>
    <n v="7921202014"/>
    <x v="3"/>
    <x v="0"/>
    <s v="ETO-COEP 00132/2026"/>
    <s v="PARECER COEP: PROBLEMA IDENTIFICADO É NA PARTE ATIVA? OU NO RELIGADOR? FAVOR VERIFICAR SE EQUIPAMENTO ESTÁ EM OPERAÇÃO NO SCADA, OU SE É NECESSARIO APENAS A MELHORIA DE ATERRAMENTO PARECER DMSL: Serviço Executado: _ indentificado o problema na parte ativa será  necessário fazer a substituição da mesmo, feito a medição do aterramento. Preciso substituir para raio da fase c.Equipamento ficou em operação?: _NAOPendência: _SimBateria(s) substituída(s)? _NãoData Fabricação/Instalação da(s) bateria(s):_Equipe: _Benvindo e kaique----------------------------------------------------------------------------------RL com defeito no rele, fica só reiniciando ficou By passado OS atendimento primeiro ataque 106530226"/>
    <s v="COEP"/>
    <s v="Em compra"/>
    <x v="1"/>
    <x v="0"/>
    <e v="#N/A"/>
    <n v="35000"/>
  </r>
  <r>
    <s v="CENTRO"/>
    <n v="7926442035"/>
    <x v="3"/>
    <x v="0"/>
    <s v="ETO-COEP 00051/2026"/>
    <s v="PARECER COEP: EQUIPAMENTO SELECIONADO PARA COMPRAPARECER DMSL: Data: 12/03/2026 Serviço Executado:- Análise técnica constatou:- Parte ativa do equipamento danificada: necessita substituição- Trafo danificado: foi feitos testes nas buchas secundárias o mesmo não chega tensão    - Vazamento de óleo    - Necessita substituiçãoEquipamento ficou em operação? NãoPendências:- Solicitar limpeza de faixa para acesso ao equipamento- Trocar parte ativa do equipamento- Substituir o trafoEquipe: Carliel e João VitorSegue nota para envia equipe verificar falha de comunicação e automação no RL-7926442035 feito primeiro ataque com equipe 035OP02, porém sem sucesso. "/>
    <s v="COEP"/>
    <s v="Em compra"/>
    <x v="1"/>
    <x v="0"/>
    <s v="Tanque + trafo (trafo s/ premissa)"/>
    <n v="51360.82"/>
  </r>
  <r>
    <s v="SUL"/>
    <n v="7927396052"/>
    <x v="1"/>
    <x v="0"/>
    <s v="ETO-COEP 00045/2026"/>
    <s v="PARECER COEP: EQUIPAMENTO SELECIONADO PARA COMPRAreligador foi bay passado devido mesmo esta saindo fumaca do painel e sem comunicação 7927396052.PARECER DMSL: Após testes, equipe DMSL constatou que apenas o tanque do RLG 7927396052 encontra-se queimado. Favor, substituir parte ativa do equipamento.NS Tanque: 0320123040198"/>
    <s v="COEP"/>
    <s v="Em compra"/>
    <x v="1"/>
    <x v="0"/>
    <s v="Tanque (parte ativa)"/>
    <n v="51360.82"/>
  </r>
  <r>
    <s v="NORTE"/>
    <n v="7923673004"/>
    <x v="0"/>
    <x v="0"/>
    <s v="ETO-COEP 00124/2026"/>
    <s v="PARECER COEP: Verificar Disponibilidade de equipamento no Scada e enviar modelo e tensão para a compra.RELIGADOR COM RELÉ DANIFICADO, REALIZAR SUBSTITUIÇÃO"/>
    <s v="COEP"/>
    <s v="Em compra"/>
    <x v="1"/>
    <x v="0"/>
    <s v="Relé prot. 50/51 — MANDAR O RELÉ (decisão gestor 08/07)"/>
    <n v="35000"/>
  </r>
  <r>
    <s v="CENTRO"/>
    <n v="7919270014"/>
    <x v="3"/>
    <x v="0"/>
    <s v="ETO-COEP 00074/2026"/>
    <s v="PARECER COEP: AGUARDANDO RETORNO DO DMSL, EQUIPAMENTO FOI INSTALADO NOVO NA OBRA 0212501060, ENTENDER O PORQUE NÃO FOI REALIZADO COMISSIONAMENTOPARECER DMSL: Substituir Equipamento completo problema na placa de alimentação e na parte ativa, falta colocar placa de identificação correta na topologia, baixar o controle.Equipamento ficou em operação?: naoPendência: simBateria(s) substituída(s)? NÃOEquipe: Kaique/ Benvindo----------------------------------------------PARECER DA PROTEÇÃO: Prosseguir com o comissionamento. Ajustes de religador permanecem os mesmos, disponíveis no APP da Proteção.********************************RELIGADOR N°7919270014 REMANEJADO NA OBRA 0212501060 GENTILEZA, REALIZAR O COMISSIONAMENTO. LAUDO EM ANEXO. COORD EO: 617422, 8830787"/>
    <s v="COEP"/>
    <s v="Análise DMSL"/>
    <x v="3"/>
    <x v="0"/>
    <s v="Religador completo (placa+parte ativa)"/>
    <n v="89455.54"/>
  </r>
  <r>
    <s v="CENTRO"/>
    <n v="5801866013"/>
    <x v="2"/>
    <x v="1"/>
    <s v="ETO-COEP 00077/2026"/>
    <s v="PARECER COEP: EM PROCESSO DE ENTREGAPARECER DMSL: RT 5801866013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Obs.: Será necessário baixar todo o banco pelo menos um metro, as buchas estão muito próximas a parte energizada não oferecem segurança para equipe no momento do ensaio elétrico.Equipamento ficou em operação?: Não Possui nobreak: SimPossui antena: SimPossui rádio:SimPendência: SimData da bateria:  Equipe: Benvindo e Kaique._______________________________________________RT 5801866013BY PASSADO DEVIDO DEFEITO EM CELULA BEMVINDO ESTEVE NO LOCAL JUNTO AO COD .NECESSARIO TRATATIVA PARA MESMA .FASE DANIFICADO C"/>
    <s v="COEP"/>
    <s v="Em execução"/>
    <x v="0"/>
    <x v="0"/>
    <s v="Célula fase C"/>
    <n v="79018.759999999995"/>
  </r>
  <r>
    <s v="NORTE"/>
    <n v="7925871077"/>
    <x v="0"/>
    <x v="0"/>
    <s v="ETO-COEP 00048/2026"/>
    <s v="30/06 PARECER COEP: AGUARDANDO RETORNO DO DMSLPARECER DMSL: A PEDIDO DA PCM DO NORTE LARA SOARES REALIZEI A CRIAÇÃO DESSA SS, EM RAZAO DA ANTIGAETO-TELE 337/2026 QUE FOI BAIXADA POR ENGANO DE TAL FORMA SEGUE A MESMA PARA REALIZAR AS TRATATIVAS. PENDENCIA: Religador continua by passado, equipamento está com defeito na parte ativa"/>
    <s v="COEP"/>
    <s v="Análise DMSL"/>
    <x v="3"/>
    <x v="0"/>
    <s v="Tanque (parte ativa)"/>
    <n v="51360.82"/>
  </r>
  <r>
    <s v="CENTRO"/>
    <n v="7944559149"/>
    <x v="1"/>
    <x v="0"/>
    <s v="ETO-COEP 00063/2026"/>
    <s v="30/06 PARECER COEP: AGUARDANDO RETORNO DO DMSL , PARA VIABILIZAR TROCA APENAS DA PLACA , POIS EXISTEM 5 NO SALDO DE ESTOQUEEquipamento ficou em operação?: NãoPendência: Sim será necessário substituir a placaServiço Executado:  curto na placa foi tentando recuperar a mesma porém não teve sucesso!Bateria(s)substituída(s)? NÃOEquipe: Kaique e benvido"/>
    <s v="COEP"/>
    <s v="Em compra"/>
    <x v="1"/>
    <x v="0"/>
    <s v="Placa =&gt; tratada como Controle completo"/>
    <n v="51304.06"/>
  </r>
  <r>
    <s v="CENTRO"/>
    <n v="7926089013"/>
    <x v="2"/>
    <x v="0"/>
    <s v="ETO-COEP 00078/2026"/>
    <s v="PARECER COEP: EQUIPAMENTO SELECIONADO PARA COMPRAPARECER DMSL: Feedback Equip. EspeciaisRLG 7926089013,RELÉ NOJA RC10SID 1805/2026DATA 15/04/2026Serviço Executado: Favor realizar a troca da parte ativa do equipamento --reprogramar para atualizar a base juntamente com escada Equipamento ficou em operação: Não Pendência: sim atualizar a base e  subistituir o tanque Bateria(s) substituída(s)? Não Data de Fabricação/Instalação da(s) bateria(s): Equipe: Carliel e João Vitor Fernando e Elson---------------------------------------------------------------------------------ATUALIZAR AJUSTES DO RL 7926089013 LD PARAISO I  A  PIUM. IMPLEMENTAÇÃO DA FUNÇÃO 27, SUBTENSÃO.AJUSTES DISPONIVEIS NO APP DA PROTEÇÃO."/>
    <s v="COEP"/>
    <s v="Em compra"/>
    <x v="1"/>
    <x v="0"/>
    <s v="Tanque (parte ativa)"/>
    <n v="51360.82"/>
  </r>
  <r>
    <s v="SUL"/>
    <n v="5836786094"/>
    <x v="3"/>
    <x v="1"/>
    <s v="ETO-COEP 00095/2026"/>
    <s v="PARECER COEP: EQUIPAMENTO FURTADO LEVAR PARA ANÁLISE COM O LEANDRO, NO ENTANTO SEGUE NA CATEGORIA DE COMPRA.Favor levar outro regulador de tensão, pois o mesmo foi furtado em campo."/>
    <s v="COEP"/>
    <s v="Em compra"/>
    <x v="1"/>
    <x v="1"/>
    <s v="3 células (equipamento furtado)"/>
    <n v="253479.73"/>
  </r>
  <r>
    <s v="NORTE"/>
    <n v="7925733015"/>
    <x v="1"/>
    <x v="0"/>
    <s v="ETO-COEP 00058/2026"/>
    <s v="PARECER COEP: EQUIPAMENTO SELECIONADO PARA COMPRAPARECER DMSL: FEEDBACK EQUIP. ESPECIAISNº DO EQUIPAMENTO: 7925733015TIPO EQUIPAMENTO: Noja RC10TIPO DE COMUNICAÇÃO: Rádio GEDATA DA MANUTENÇÃO: 24/03/2026SID: 1475/2026DESCRIÇÃO: Tanque do equipamento em CurtoFICOU EM OPERAÇÃO?: Não PENDÊNCIA: Sim, repassar a nota para DCMD substituir tanque.DADOS DIVERGENTES DA PROGRAMAÇÃO: NãoBATERIA SUBSTITUÍDA?: Não TIPO DE BATERIA: Lítio EQUIPE: Edicleber e Jhonata(DEOP)------------------------------------------------------------------------------------------------------religador 7925733015 com defeito, equipe fez abertura da chave de saida do mesmo e ele não aceita fehcamento devido provavel curto-circuito interno, enviar equipe para verificar o mesmo ficou by-pass fechado"/>
    <s v="COEP"/>
    <s v="Em compra"/>
    <x v="1"/>
    <x v="0"/>
    <s v="Tanque (parte ativa)"/>
    <n v="51360.82"/>
  </r>
  <r>
    <s v="NORTE"/>
    <n v="7900525015"/>
    <x v="1"/>
    <x v="0"/>
    <s v="ETO-COEP 00125/2026"/>
    <s v="PARECER COEP: É PARA REALIZAR A SUBSTITUIÇÃO DO RELIGADOR OU DAS BUCHAS, CASO SEJA BUCHAS , REPASSAR PARA OS COCM'S , CASO NÃO SEJA ESPECIFIQUE O MODELO , E A TENSÃO, FICO NO AGUARDO DO RETORNONota para manutenção substituir religador 7900525015 que está com as buchas de entrada danificadas fase A estourada e bc danificadas Local LD Pedro Afonso A Chaparral"/>
    <s v="COEP"/>
    <s v="Em compra"/>
    <x v="1"/>
    <x v="0"/>
    <s v="Buchas — aguardando definição (COCM?)"/>
    <n v="51360.82"/>
  </r>
  <r>
    <s v="CENTRO"/>
    <n v="5800291035"/>
    <x v="1"/>
    <x v="1"/>
    <s v="ETO-RD-PO 00097/2026"/>
    <s v="PARECER DMSL: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Obs.: Fizeram melhoria na malha de terra, mas não está dentro do aceitável! As outras pendências continuam, favor corrigir. Equipamento ficou em operação?: Não  - Equipe: Benvindo e Kaique- SS ANTIGA ETO-TELE 358/2026"/>
    <s v="COCM-C"/>
    <s v="Em execução"/>
    <x v="2"/>
    <x v="0"/>
    <e v="#N/A"/>
    <n v="20000"/>
  </r>
  <r>
    <s v="NORTE"/>
    <n v="7929376022"/>
    <x v="0"/>
    <x v="0"/>
    <s v="ETO-COEP 00120/2026"/>
    <s v="PARECER COEP: PROBLEMA NO ENVIO COCM'S CONTROLE ENVIADO FOI O NOJA , DEVIDO A FALTA DO MODELO NA SS (GRAVE)PARECER DMSL: *FEEDBACK EQUIP. ESPECIAIS**Nº DO EQUIPAMENTO:* 7929376022 *DATA DA MANUTENÇÃO:* 02/04/2026*SID:* 1677/2026*DESCRIÇÃO:* Trocar controle completo*PENDÊNCIA:* Sim.*DADOS DIVERGENTES DA PROGRAMAÇÃO:* Não*BATERIA SUBSTITUÍDA?:* Não*EQUIPE:* Adeilton e Edicleber __________________________________________________________POR GENTILEZA ATENDER SOLICITAÇÃO PRIMEIRO ATAQUE IDENTIFICOU QUE RELE ESTA EM CURTO NOTA ABERTA 224/2026 FOI BAIXADA POREM NÃO FOI CORRIGIDO PROBLEMA EM CAMPO."/>
    <s v="COEP"/>
    <s v="Em compra"/>
    <x v="1"/>
    <x v="0"/>
    <s v="Controle completo"/>
    <n v="51304.06"/>
  </r>
  <r>
    <s v="SUL"/>
    <n v="5800090147"/>
    <x v="1"/>
    <x v="1"/>
    <s v="ETO-COEP 00117/2026"/>
    <s v="PARECER COEP: AGUARDANDO RETORNO DO DMSLREGULADOR 5800090147 SEM COMUNICAÇÃO E TRAVANDO TAP´S - REALIZAO PRIMEIRO ATAQUE SEM SUCESSO.PARECER DMSL: Favor, substituir a célula da fase C do RT 5800090147 pois o microswitch que renconhece o neutro do regulador está com defeito.Equipamento ficou operando devido ser possível manobrar de forma manual."/>
    <s v="COEP"/>
    <s v="Em compra"/>
    <x v="1"/>
    <x v="0"/>
    <s v="Célula fase C (microswitch)"/>
    <n v="138038.91"/>
  </r>
  <r>
    <s v="CENTRO"/>
    <n v="7927413001"/>
    <x v="0"/>
    <x v="0"/>
    <s v="ETO-RD-PO 00118/2026"/>
    <s v="PARECER DMSL: *Segue feedback**Equipamento:* RLG 7927413001  *RELÉ TAVRIDA*Data:* 16/04/2026*SID:* 1817/2026*Serviço executado:* Placa de alimentação do equipamento com defeito, VERIFICAR SE É POSSIVEL  substituir o equipamento completo.*Equipamento ficou em operação?*_Não*Pendência:*_Sim*Bateria(s) substituída(s)?*_Nao *Equipe:* Benvindo e Kaique-------------------------------------------------------------------------------------------------Religador 7927413001 sem comunicação foi realizado primeiro ataque porem a comunicação não retornou. Favor enviar equipe para devidas trattivas"/>
    <s v="COCM-C"/>
    <s v="Em compra"/>
    <x v="1"/>
    <x v="3"/>
    <e v="#N/A"/>
    <n v="89455.54"/>
  </r>
  <r>
    <s v="CENTRO"/>
    <n v="7933726256"/>
    <x v="0"/>
    <x v="0"/>
    <s v="ETO-RD-PO 00181/2026"/>
    <s v="01/07 PARECER COEP: REDIRECIONADO PARA O POSTO DO COCM´S EQUIPAMENTO CHEGOU NO LOCAL, FAVOR ENTRAR EM CONTATO COM O DMSL, DEVIDO A URGÊNCIA DO EQUIPAMENTO EM OPERAÇÃO.30/06 PARECER COEP: DEVIDO A ALINHAMENTO COM COI UTILIZAREMOS PARTE ATIVA QUE ORIGINALMENTE FOI ENCOMENDADA PARA 7933726256PARECER DMSL: N° do Equipamento: _RLG 7933726256 MateirosTipo de Equipamento: _RLG NOJA RC 10 REL IIData: _06/05/2026SID: _2288/2026-Serviço Executado: _Equipamento com defeito na parte ativa, será necessário fazer a substituição da parte ativa e fazer melhoria na malha de terra!Equipamento ficou em operação?: _NaoPendência: _SimBateria(s) substituída(s)? NÃOData Fabricação/Instalação da(s) bateria(s):_06/2025Equipe: _Benvindo e Almir-------------------------------------------------------------------------------Religador 7933726256, sem comunicação apos primeiroa ataque não retornou as comunicação."/>
    <s v="COCM-C"/>
    <s v="Em execução"/>
    <x v="2"/>
    <x v="0"/>
    <s v="Tanque REAPROVEITADO (redirecionado de Santa Rita/7900453110)"/>
    <n v="13209.34"/>
  </r>
  <r>
    <s v="CENTRO"/>
    <n v="7900594026"/>
    <x v="0"/>
    <x v="0"/>
    <s v="ETO-COEP 00113/2026"/>
    <s v="PARECER COEP: AGUARDANDO COCM'S PARA ABRIR REQUISIÇÃOPARECER DMSL 10/06/2026: Tem uma nota aberta para esse equipamento solicitando a substituição desde 20/10/2025, como a nota não foi atendida estamos repassando para área responsável. Nota em aberto repassada ETO-COEP 210/2025.Segue nota para verificar intermitência de comunicação nos religadores 7908301026 , 7911120026, 7947959026 , 7908692026, 7900594026 rural- Ponte Alta ."/>
    <s v="COEP"/>
    <s v="Em execução"/>
    <x v="2"/>
    <x v="0"/>
    <s v="Religador completo (COOPER F6)"/>
    <n v="89455.54"/>
  </r>
  <r>
    <s v="SUL"/>
    <n v="7913662076"/>
    <x v="3"/>
    <x v="0"/>
    <s v="ETO-COEP 00114/2026"/>
    <s v="30/06 PARECER COEP: AGUARDANDO RETORNO DO DMSL PARA ENTENDER EXATAMENTE O QUE TENHO QUE SUBSTITUIRAberto nota para substituir tanque danificado e chave de entrada fase B danificadaPARECER DMSL: Foi confirmado pela equipe DMSL o defeito do tanque, favor seguir com a substituição e correção da chave de entrada fase B danificada."/>
    <s v="COEP"/>
    <s v="Em compra"/>
    <x v="1"/>
    <x v="0"/>
    <s v="Tanque + chave entrada fase B"/>
    <n v="33539.089999999997"/>
  </r>
  <r>
    <s v="NORTE"/>
    <n v="5800859011"/>
    <x v="0"/>
    <x v="1"/>
    <s v="ETO-COEP 00115/2026"/>
    <s v="PARECER COEP: EQUIPAMENTO EM ROTA DE ENTREGAPARECER DMSL: *FEEDBACK EQUIP. ESPECIAIS**Nº DO EQUIPAMENTO:* 5800859011*TIPO EQUIPAMENTO:* RT ITB *TIPO DE COMUNICAÇÃO:* Não *DATA DA MANUTENÇÃO:* 09/06/2026*SID:* 3195/2026*DESCRIÇÃO:* _ Foi identificado relé da fase C com defeito conforme orientação da supervisão e necessário realiza retrofit para instalação de controle rua.*FICOU EM OPERAÇÃO* Não*PENDÊNCIA:* Realizado Retrofit *DADOS DIVERGENTES DA PROGRAMAÇÃO:* Não*BATERIA SUBSTITUÍDA?:* Não*TIPO DE BATERIA:**EQUIPE:* Edeglan e Brunno.Observação: trocar por um controle RUA.------------------------------------------------------------------------------------------Enviar equipe do DMSL, para  fazer correção no RT 5800859011, o mesmo está com o displey da fase C apagado , dificutando  realizar  manobras no mesmo, emvirtude  disso o mesmo ficou BAY PASSADO EM CAMPO"/>
    <s v="COEP"/>
    <s v="Em execução"/>
    <x v="0"/>
    <x v="0"/>
    <s v="Controle c/ nobreak (retrofit RUA)"/>
    <n v="29445.39"/>
  </r>
  <r>
    <s v="CENTRO"/>
    <n v="7942572059"/>
    <x v="1"/>
    <x v="0"/>
    <s v="ETO-RD-PA 00427/2026"/>
    <s v="PARECER COEP: EQUIPAMENTO COM MELHORIA DE ATERRAMENTO É COM A ETO-RD-PA , NÃO PASSA PELO FLUXO DE AQUISIÇÃO DO COEP, FAVOR REALIZAR MELHORIA DE ATERRAMENTO ETO-RD-PAPARECER DMSL 19/05/2026: É necessário fazer melhorias na malha de aterramento.segue nota para RL 794252059 o mesmo esta sem comunicaçao, foi feito primeiro ataque, porem a comunicaçao nao voltou, obs ramal do marasca."/>
    <s v="COCM-C"/>
    <s v="Em execução"/>
    <x v="2"/>
    <x v="0"/>
    <e v="#N/A"/>
    <n v="15000"/>
  </r>
  <r>
    <s v="CENTRO"/>
    <n v="7911120026"/>
    <x v="4"/>
    <x v="0"/>
    <s v="DG-RD-PO 00444/2026"/>
    <s v="Segue nota para recuperar malha de aterramento no RL 7911120026 RDU- Ponte Alta .OBS: Provavelmente foi furtado cabos de aterramento   ."/>
    <s v="COCM-C"/>
    <s v="Em execução"/>
    <x v="2"/>
    <x v="0"/>
    <e v="#N/A"/>
    <n v="1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DE8866-0830-4DDE-9C7B-5A1CACE7B60E}" name="Tabela dinâmica2" cacheId="57" applyNumberFormats="0" applyBorderFormats="0" applyFontFormats="0" applyPatternFormats="0" applyAlignmentFormats="0" applyWidthHeightFormats="1" dataCaption="Valores" updatedVersion="8" minRefreshableVersion="3" useAutoFormatting="1" colGrandTotals="0" itemPrintTitles="1" createdVersion="8" indent="0" compact="0" compactData="0" multipleFieldFilters="0">
  <location ref="A35:D45" firstHeaderRow="0" firstDataRow="1" firstDataCol="2" rowPageCount="1" colPageCount="1"/>
  <pivotFields count="12">
    <pivotField compact="0" outline="0" showAll="0" defaultSubtotal="0"/>
    <pivotField dataField="1" compact="0" outline="0" showAll="0" defaultSubtotal="0"/>
    <pivotField axis="axisRow" compact="0" outline="0" showAll="0" defaultSubtotal="0">
      <items count="6">
        <item m="1" x="5"/>
        <item x="2"/>
        <item x="3"/>
        <item x="1"/>
        <item x="0"/>
        <item x="4"/>
      </items>
    </pivotField>
    <pivotField axis="axisRow" compact="0" outline="0" showAll="0" defaultSubtotal="0">
      <items count="2">
        <item x="0"/>
        <item x="1"/>
      </items>
    </pivotField>
    <pivotField compact="0" outline="0" showAll="0" defaultSubtotal="0"/>
    <pivotField compact="0" outline="0" showAll="0" defaultSubtotal="0"/>
    <pivotField compact="0" outline="0" showAll="0" defaultSubtotal="0"/>
    <pivotField compact="0" outline="0" showAll="0" defaultSubtotal="0"/>
    <pivotField axis="axisPage" compact="0" outline="0" multipleItemSelectionAllowed="1" showAll="0" defaultSubtotal="0">
      <items count="5">
        <item x="3"/>
        <item x="1"/>
        <item x="2"/>
        <item x="0"/>
        <item x="4"/>
      </items>
    </pivotField>
    <pivotField compact="0" outline="0" showAll="0" defaultSubtotal="0"/>
    <pivotField compact="0" outline="0" showAll="0" defaultSubtotal="0"/>
    <pivotField dataField="1" compact="0" numFmtId="44" outline="0" showAll="0" defaultSubtotal="0"/>
  </pivotFields>
  <rowFields count="2">
    <field x="3"/>
    <field x="2"/>
  </rowFields>
  <rowItems count="10">
    <i>
      <x/>
      <x v="1"/>
    </i>
    <i r="1">
      <x v="2"/>
    </i>
    <i r="1">
      <x v="3"/>
    </i>
    <i r="1">
      <x v="4"/>
    </i>
    <i r="1">
      <x v="5"/>
    </i>
    <i>
      <x v="1"/>
      <x v="1"/>
    </i>
    <i r="1">
      <x v="2"/>
    </i>
    <i r="1">
      <x v="3"/>
    </i>
    <i r="1">
      <x v="4"/>
    </i>
    <i t="grand">
      <x/>
    </i>
  </rowItems>
  <colFields count="1">
    <field x="-2"/>
  </colFields>
  <colItems count="2">
    <i>
      <x/>
    </i>
    <i i="1">
      <x v="1"/>
    </i>
  </colItems>
  <pageFields count="1">
    <pageField fld="8" hier="-1"/>
  </pageFields>
  <dataFields count="2">
    <dataField name="Contagem de Ativo" fld="1" subtotal="count" baseField="6" baseItem="0"/>
    <dataField name="Soma de Valor previsto" fld="11"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987414-F225-4C55-AB87-CA42F2C0028E}" name="Tabela dinâmica1" cacheId="57" applyNumberFormats="0" applyBorderFormats="0" applyFontFormats="0" applyPatternFormats="0" applyAlignmentFormats="0" applyWidthHeightFormats="1" dataCaption="Valores" updatedVersion="8" minRefreshableVersion="3" useAutoFormatting="1" colGrandTotals="0" itemPrintTitles="1" createdVersion="8" indent="0" compact="0" compactData="0" multipleFieldFilters="0">
  <location ref="A3:E30" firstHeaderRow="0" firstDataRow="1" firstDataCol="3"/>
  <pivotFields count="12">
    <pivotField compact="0" outline="0" showAll="0" defaultSubtotal="0"/>
    <pivotField dataField="1" compact="0" outline="0" showAll="0" defaultSubtotal="0"/>
    <pivotField axis="axisRow" compact="0" outline="0" showAll="0" defaultSubtotal="0">
      <items count="6">
        <item m="1" x="5"/>
        <item x="2"/>
        <item x="3"/>
        <item x="1"/>
        <item x="0"/>
        <item x="4"/>
      </items>
    </pivotField>
    <pivotField axis="axisRow" compact="0" outline="0" showAll="0" defaultSubtotal="0">
      <items count="2">
        <item x="0"/>
        <item x="1"/>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5">
        <item x="3"/>
        <item x="1"/>
        <item x="2"/>
        <item x="0"/>
        <item h="1" x="4"/>
      </items>
    </pivotField>
    <pivotField compact="0" outline="0" showAll="0" defaultSubtotal="0"/>
    <pivotField compact="0" outline="0" showAll="0" defaultSubtotal="0"/>
    <pivotField dataField="1" compact="0" numFmtId="44" outline="0" showAll="0" defaultSubtotal="0"/>
  </pivotFields>
  <rowFields count="3">
    <field x="3"/>
    <field x="2"/>
    <field x="8"/>
  </rowFields>
  <rowItems count="27">
    <i>
      <x/>
      <x v="1"/>
      <x/>
    </i>
    <i r="2">
      <x v="1"/>
    </i>
    <i r="2">
      <x v="2"/>
    </i>
    <i r="2">
      <x v="3"/>
    </i>
    <i r="1">
      <x v="2"/>
      <x/>
    </i>
    <i r="2">
      <x v="1"/>
    </i>
    <i r="1">
      <x v="3"/>
      <x v="1"/>
    </i>
    <i r="2">
      <x v="2"/>
    </i>
    <i r="2">
      <x v="3"/>
    </i>
    <i r="1">
      <x v="4"/>
      <x/>
    </i>
    <i r="2">
      <x v="1"/>
    </i>
    <i r="2">
      <x v="2"/>
    </i>
    <i r="2">
      <x v="3"/>
    </i>
    <i r="1">
      <x v="5"/>
      <x/>
    </i>
    <i r="2">
      <x v="2"/>
    </i>
    <i>
      <x v="1"/>
      <x v="1"/>
      <x v="1"/>
    </i>
    <i r="2">
      <x v="2"/>
    </i>
    <i r="2">
      <x v="3"/>
    </i>
    <i r="1">
      <x v="2"/>
      <x v="1"/>
    </i>
    <i r="2">
      <x v="2"/>
    </i>
    <i r="2">
      <x v="3"/>
    </i>
    <i r="1">
      <x v="3"/>
      <x v="1"/>
    </i>
    <i r="2">
      <x v="2"/>
    </i>
    <i r="2">
      <x v="3"/>
    </i>
    <i r="1">
      <x v="4"/>
      <x v="1"/>
    </i>
    <i r="2">
      <x v="3"/>
    </i>
    <i t="grand">
      <x/>
    </i>
  </rowItems>
  <colFields count="1">
    <field x="-2"/>
  </colFields>
  <colItems count="2">
    <i>
      <x/>
    </i>
    <i i="1">
      <x v="1"/>
    </i>
  </colItems>
  <dataFields count="2">
    <dataField name="Contagem de Ativo" fld="1" subtotal="count" baseField="6" baseItem="0"/>
    <dataField name="Soma de Valor previsto" fld="11"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A4184F-ECEB-4074-A6B3-E4C594DA5243}" name="Tabela dinâmica4" cacheId="57" applyNumberFormats="0" applyBorderFormats="0" applyFontFormats="0" applyPatternFormats="0" applyAlignmentFormats="0" applyWidthHeightFormats="1" dataCaption="Valores" updatedVersion="8" minRefreshableVersion="3" useAutoFormatting="1" colGrandTotals="0" itemPrintTitles="1" createdVersion="8" indent="0" compact="0" compactData="0" multipleFieldFilters="0">
  <location ref="A69:D80" firstHeaderRow="0" firstDataRow="1" firstDataCol="2" rowPageCount="2" colPageCount="1"/>
  <pivotFields count="12">
    <pivotField compact="0" outline="0" subtotalTop="0" showAll="0"/>
    <pivotField dataField="1" compact="0" outline="0" subtotalTop="0" showAll="0"/>
    <pivotField axis="axisRow" compact="0" outline="0" subtotalTop="0" showAll="0" sortType="ascending">
      <items count="7">
        <item m="1" x="5"/>
        <item x="2"/>
        <item x="3"/>
        <item x="1"/>
        <item x="0"/>
        <item h="1" x="4"/>
        <item t="default"/>
      </items>
    </pivotField>
    <pivotField axis="axisRow" compact="0" outline="0" subtotalTop="0" showAll="0">
      <items count="3">
        <item x="0"/>
        <item x="1"/>
        <item t="default"/>
      </items>
    </pivotField>
    <pivotField compact="0" outline="0" subtotalTop="0" showAll="0"/>
    <pivotField compact="0" outline="0" subtotalTop="0" showAll="0"/>
    <pivotField compact="0" outline="0" subtotalTop="0" showAll="0"/>
    <pivotField compact="0" outline="0" subtotalTop="0" showAll="0"/>
    <pivotField axis="axisPage" compact="0" outline="0" subtotalTop="0" multipleItemSelectionAllowed="1" showAll="0">
      <items count="6">
        <item x="3"/>
        <item x="1"/>
        <item h="1" x="2"/>
        <item h="1" x="0"/>
        <item h="1" x="4"/>
        <item t="default"/>
      </items>
    </pivotField>
    <pivotField axis="axisPage" compact="0" outline="0" subtotalTop="0" multipleItemSelectionAllowed="1" showAll="0">
      <items count="5">
        <item x="1"/>
        <item h="1" x="2"/>
        <item h="1" x="3"/>
        <item x="0"/>
        <item t="default"/>
      </items>
    </pivotField>
    <pivotField compact="0" outline="0" subtotalTop="0" showAll="0"/>
    <pivotField dataField="1" compact="0" numFmtId="44" outline="0" subtotalTop="0" showAll="0"/>
  </pivotFields>
  <rowFields count="2">
    <field x="3"/>
    <field x="2"/>
  </rowFields>
  <rowItems count="11">
    <i>
      <x/>
      <x v="1"/>
    </i>
    <i r="1">
      <x v="2"/>
    </i>
    <i r="1">
      <x v="3"/>
    </i>
    <i r="1">
      <x v="4"/>
    </i>
    <i t="default">
      <x/>
    </i>
    <i>
      <x v="1"/>
      <x v="1"/>
    </i>
    <i r="1">
      <x v="2"/>
    </i>
    <i r="1">
      <x v="3"/>
    </i>
    <i r="1">
      <x v="4"/>
    </i>
    <i t="default">
      <x v="1"/>
    </i>
    <i t="grand">
      <x/>
    </i>
  </rowItems>
  <colFields count="1">
    <field x="-2"/>
  </colFields>
  <colItems count="2">
    <i>
      <x/>
    </i>
    <i i="1">
      <x v="1"/>
    </i>
  </colItems>
  <pageFields count="2">
    <pageField fld="8" hier="-1"/>
    <pageField fld="9" hier="-1"/>
  </pageFields>
  <dataFields count="2">
    <dataField name="Contagem de Ativo" fld="1" subtotal="count" baseField="6" baseItem="0"/>
    <dataField name="Soma de Valor previsto" fld="11" baseField="0" baseItem="0" numFmtId="44"/>
  </dataFields>
  <formats count="9">
    <format dxfId="36">
      <pivotArea outline="0" fieldPosition="0">
        <references count="2">
          <reference field="2" count="1" selected="0">
            <x v="4"/>
          </reference>
          <reference field="3" count="1" selected="0">
            <x v="0"/>
          </reference>
        </references>
      </pivotArea>
    </format>
    <format dxfId="35">
      <pivotArea dataOnly="0" labelOnly="1" outline="0" fieldPosition="0">
        <references count="2">
          <reference field="2" count="1">
            <x v="4"/>
          </reference>
          <reference field="3" count="1" selected="0">
            <x v="0"/>
          </reference>
        </references>
      </pivotArea>
    </format>
    <format dxfId="34">
      <pivotArea outline="0" fieldPosition="0">
        <references count="2">
          <reference field="2" count="1" selected="0">
            <x v="1"/>
          </reference>
          <reference field="3" count="1" selected="0">
            <x v="0"/>
          </reference>
        </references>
      </pivotArea>
    </format>
    <format dxfId="33">
      <pivotArea dataOnly="0" labelOnly="1" outline="0" fieldPosition="0">
        <references count="2">
          <reference field="2" count="1">
            <x v="1"/>
          </reference>
          <reference field="3" count="1" selected="0">
            <x v="0"/>
          </reference>
        </references>
      </pivotArea>
    </format>
    <format dxfId="32">
      <pivotArea outline="0" fieldPosition="0">
        <references count="2">
          <reference field="2" count="1" selected="0">
            <x v="1"/>
          </reference>
          <reference field="3" count="1" selected="0">
            <x v="1"/>
          </reference>
        </references>
      </pivotArea>
    </format>
    <format dxfId="31">
      <pivotArea dataOnly="0" labelOnly="1" outline="0" fieldPosition="0">
        <references count="2">
          <reference field="2" count="1">
            <x v="1"/>
          </reference>
          <reference field="3" count="1" selected="0">
            <x v="1"/>
          </reference>
        </references>
      </pivotArea>
    </format>
    <format dxfId="30">
      <pivotArea dataOnly="0" outline="0" fieldPosition="0">
        <references count="1">
          <reference field="2" count="1">
            <x v="4"/>
          </reference>
        </references>
      </pivotArea>
    </format>
    <format dxfId="29">
      <pivotArea outline="0" fieldPosition="0">
        <references count="3">
          <reference field="4294967294" count="1" selected="0">
            <x v="0"/>
          </reference>
          <reference field="2" count="1" selected="0">
            <x v="3"/>
          </reference>
          <reference field="3" count="1" selected="0">
            <x v="0"/>
          </reference>
        </references>
      </pivotArea>
    </format>
    <format dxfId="28">
      <pivotArea outline="0" fieldPosition="0">
        <references count="3">
          <reference field="4294967294" count="1" selected="0">
            <x v="0"/>
          </reference>
          <reference field="2" count="1" selected="0">
            <x v="2"/>
          </reference>
          <reference field="3"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4853FB-75F8-46E8-9CA8-F536124D7680}" name="Tabela dinâmica3" cacheId="57" applyNumberFormats="0" applyBorderFormats="0" applyFontFormats="0" applyPatternFormats="0" applyAlignmentFormats="0" applyWidthHeightFormats="1" dataCaption="Valores" updatedVersion="8" minRefreshableVersion="3" useAutoFormatting="1" colGrandTotals="0" itemPrintTitles="1" createdVersion="8" indent="0" compact="0" compactData="0" multipleFieldFilters="0">
  <location ref="A51:D62" firstHeaderRow="0" firstDataRow="1" firstDataCol="2" rowPageCount="1" colPageCount="1"/>
  <pivotFields count="12">
    <pivotField compact="0" outline="0" subtotalTop="0" showAll="0"/>
    <pivotField dataField="1" compact="0" outline="0" subtotalTop="0" showAll="0"/>
    <pivotField axis="axisRow" compact="0" outline="0" subtotalTop="0" showAll="0">
      <items count="7">
        <item m="1" x="5"/>
        <item x="2"/>
        <item x="3"/>
        <item x="1"/>
        <item x="0"/>
        <item x="4"/>
        <item t="default"/>
      </items>
    </pivotField>
    <pivotField axis="axisRow" compact="0" outline="0" subtotalTop="0" showAll="0">
      <items count="3">
        <item x="0"/>
        <item x="1"/>
        <item t="default"/>
      </items>
    </pivotField>
    <pivotField compact="0" outline="0" subtotalTop="0" showAll="0"/>
    <pivotField compact="0" outline="0" subtotalTop="0" showAll="0"/>
    <pivotField compact="0" outline="0" subtotalTop="0" showAll="0"/>
    <pivotField compact="0" outline="0" subtotalTop="0" showAll="0"/>
    <pivotField axis="axisPage" compact="0" outline="0" subtotalTop="0" multipleItemSelectionAllowed="1" showAll="0">
      <items count="6">
        <item h="1" x="3"/>
        <item h="1" x="1"/>
        <item x="2"/>
        <item x="0"/>
        <item x="4"/>
        <item t="default"/>
      </items>
    </pivotField>
    <pivotField compact="0" outline="0" subtotalTop="0" showAll="0"/>
    <pivotField compact="0" outline="0" subtotalTop="0" showAll="0"/>
    <pivotField dataField="1" compact="0" numFmtId="44" outline="0" subtotalTop="0" showAll="0"/>
  </pivotFields>
  <rowFields count="2">
    <field x="3"/>
    <field x="2"/>
  </rowFields>
  <rowItems count="11">
    <i>
      <x/>
      <x v="1"/>
    </i>
    <i r="1">
      <x v="3"/>
    </i>
    <i r="1">
      <x v="4"/>
    </i>
    <i r="1">
      <x v="5"/>
    </i>
    <i t="default">
      <x/>
    </i>
    <i>
      <x v="1"/>
      <x v="1"/>
    </i>
    <i r="1">
      <x v="2"/>
    </i>
    <i r="1">
      <x v="3"/>
    </i>
    <i r="1">
      <x v="4"/>
    </i>
    <i t="default">
      <x v="1"/>
    </i>
    <i t="grand">
      <x/>
    </i>
  </rowItems>
  <colFields count="1">
    <field x="-2"/>
  </colFields>
  <colItems count="2">
    <i>
      <x/>
    </i>
    <i i="1">
      <x v="1"/>
    </i>
  </colItems>
  <pageFields count="1">
    <pageField fld="8" hier="-1"/>
  </pageFields>
  <dataFields count="2">
    <dataField name="Contagem de Ativo" fld="1" subtotal="count" baseField="6" baseItem="0"/>
    <dataField name="Soma de Valor previsto" fld="11"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ED456B-1C39-475A-99C9-662FDE17C799}" name="Tabela dinâmica2" cacheId="56"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E16" firstHeaderRow="0" firstDataRow="1" firstDataCol="3"/>
  <pivotFields count="5">
    <pivotField axis="axisRow" compact="0" allDrilled="1" outline="0" subtotalTop="0" showAll="0" dataSourceSort="1" defaultSubtotal="0" defaultAttributeDrillState="1">
      <items count="4">
        <item x="0"/>
        <item x="1"/>
        <item x="2"/>
        <item x="3"/>
      </items>
    </pivotField>
    <pivotField axis="axisRow" compact="0" allDrilled="1" outline="0" subtotalTop="0" showAll="0" dataSourceSort="1" defaultSubtotal="0" defaultAttributeDrillState="1">
      <items count="2">
        <item x="0"/>
        <item x="1"/>
      </items>
    </pivotField>
    <pivotField axis="axisRow" compact="0" allDrilled="1" outline="0" subtotalTop="0" showAll="0" sortType="ascending" defaultSubtotal="0" defaultAttributeDrillState="1">
      <items count="3">
        <item s="1" x="0"/>
        <item s="1" x="1"/>
        <item s="1" x="2"/>
      </items>
    </pivotField>
    <pivotField dataField="1" compact="0" outline="0" subtotalTop="0" showAll="0" defaultSubtotal="0"/>
    <pivotField dataField="1" compact="0" outline="0" subtotalTop="0" showAll="0" defaultSubtotal="0"/>
  </pivotFields>
  <rowFields count="3">
    <field x="1"/>
    <field x="2"/>
    <field x="0"/>
  </rowFields>
  <rowItems count="13">
    <i>
      <x/>
      <x/>
      <x/>
    </i>
    <i r="1">
      <x v="1"/>
      <x/>
    </i>
    <i r="2">
      <x v="1"/>
    </i>
    <i r="2">
      <x v="2"/>
    </i>
    <i r="1">
      <x v="2"/>
      <x/>
    </i>
    <i r="2">
      <x v="1"/>
    </i>
    <i r="2">
      <x v="2"/>
    </i>
    <i>
      <x v="1"/>
      <x v="1"/>
      <x v="3"/>
    </i>
    <i r="2">
      <x v="1"/>
    </i>
    <i r="2">
      <x v="2"/>
    </i>
    <i r="1">
      <x v="2"/>
      <x v="1"/>
    </i>
    <i r="2">
      <x v="2"/>
    </i>
    <i t="grand">
      <x/>
    </i>
  </rowItems>
  <colFields count="1">
    <field x="-2"/>
  </colFields>
  <colItems count="2">
    <i>
      <x/>
    </i>
    <i i="1">
      <x v="1"/>
    </i>
  </colItems>
  <dataFields count="2">
    <dataField name="Contagem de Ativo" fld="3" subtotal="count" baseField="2" baseItem="1"/>
    <dataField name="Soma de Valor previsto" fld="4" baseField="0" baseItem="1" numFmtId="164"/>
  </dataField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ntagem de Ativo"/>
    <pivotHierarchy dragToData="1"/>
  </pivotHierarchies>
  <pivotTableStyleInfo name="PivotStyleLight16" showRowHeaders="1" showColHeaders="1" showRowStripes="0" showColStripes="0" showLastColumn="1"/>
  <rowHierarchiesUsage count="3">
    <rowHierarchyUsage hierarchyUsage="3"/>
    <rowHierarchyUsage hierarchyUsage="2"/>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lanilha1!$A$1:$L$66">
        <x15:activeTabTopLevelEntity name="[Intervalo]"/>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2BC4FE26-3517-497B-AA62-EB8A6587E924}" autoFormatId="16" applyNumberFormats="0" applyBorderFormats="0" applyFontFormats="0" applyPatternFormats="0" applyAlignmentFormats="0" applyWidthHeightFormats="0">
  <queryTableRefresh nextId="64">
    <queryTableFields count="28">
      <queryTableField id="1" name="NUMERO_SS" tableColumnId="1"/>
      <queryTableField id="2" name="NUMERO_OS" tableColumnId="2"/>
      <queryTableField id="3" name="NUM_OBRA" tableColumnId="3"/>
      <queryTableField id="4" name="ORIGEM_SS" tableColumnId="4"/>
      <queryTableField id="5" name="DEFEITO_SS" tableColumnId="5"/>
      <queryTableField id="6" name="ORIGEM" tableColumnId="6"/>
      <queryTableField id="7" name="DEFEITO" tableColumnId="7"/>
      <queryTableField id="8" name="ESQUEMA" tableColumnId="8"/>
      <queryTableField id="9" name="TASK" tableColumnId="9"/>
      <queryTableField id="10" name="ANO" tableColumnId="10"/>
      <queryTableField id="11" name="ORG_SOLIC" tableColumnId="11"/>
      <queryTableField id="12" name="COD_EQUIPE" tableColumnId="12"/>
      <queryTableField id="13" name="ALIMENTADOR" tableColumnId="13"/>
      <queryTableField id="14" name="NUM_TRAFO" tableColumnId="14"/>
      <queryTableField id="15" name="COORD_X" tableColumnId="15"/>
      <queryTableField id="16" name="COORD_Y" tableColumnId="16"/>
      <queryTableField id="17" name="COD_GIS" tableColumnId="17"/>
      <queryTableField id="18" name="CRITICIDADE_SS" tableColumnId="18"/>
      <queryTableField id="19" name="SITUACAO_SS" tableColumnId="19"/>
      <queryTableField id="20" name="DATA_ABERTURA_SS" tableColumnId="20"/>
      <queryTableField id="21" name="DATA_TERMINO_SS" tableColumnId="21"/>
      <queryTableField id="22" name="DATA_LIMITE_SS" tableColumnId="22"/>
      <queryTableField id="23" name="DESCICAO_DO_ATIVO" tableColumnId="23"/>
      <queryTableField id="24" name="LOCALIDADE" tableColumnId="24"/>
      <queryTableField id="25" name="SOLICITANTE" tableColumnId="25"/>
      <queryTableField id="26" name="RURA_URBANO" tableColumnId="26"/>
      <queryTableField id="27" name="TIPOSS" tableColumnId="27"/>
      <queryTableField id="28" name="DESCRIPTION" tableColumnId="28"/>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B08FBAE-AE9C-4FEF-9BC2-03408E2BF9FC}" name="Table12" displayName="Table12" ref="A1:V117">
  <autoFilter ref="A1:V117" xr:uid="{5B08FBAE-AE9C-4FEF-9BC2-03408E2BF9FC}"/>
  <sortState xmlns:xlrd2="http://schemas.microsoft.com/office/spreadsheetml/2017/richdata2" ref="A5:V5">
    <sortCondition ref="G1:G117"/>
  </sortState>
  <tableColumns count="22">
    <tableColumn id="1" xr3:uid="{A8BE48C5-2F8F-41F4-8799-D5B7CC845B45}" name="Ativo" dataDxfId="83"/>
    <tableColumn id="6" xr3:uid="{6491548D-4494-46AF-94D6-D68DFD365AAB}" name="Tipo" dataDxfId="82">
      <calculatedColumnFormula>MID(Table12[[#This Row],[Ativo]],1,2)</calculatedColumnFormula>
    </tableColumn>
    <tableColumn id="12" xr3:uid="{68D60BE7-1642-4618-A6C3-689ED5011B00}" name="Localidade" dataDxfId="81"/>
    <tableColumn id="13" xr3:uid="{E24F47E8-2601-40F7-BF0A-FC3874274939}" name="Polo" dataDxfId="80"/>
    <tableColumn id="14" xr3:uid="{40B976CF-6872-45A9-A3EC-6B1551509241}" name="Regional" dataDxfId="79"/>
    <tableColumn id="4" xr3:uid="{FE7E4D26-184A-4BD6-855A-CA3F2C2DA744}" name="SS aberta" dataDxfId="78">
      <calculatedColumnFormula>IFERROR(_xlfn.XLOOKUP(Table12[[#This Row],[Ativo]],[2]!Pendentes[COD_RELIGADOR],[2]!Pendentes[SS_ORIGINAL]),"CONCLUÍDA")</calculatedColumnFormula>
    </tableColumn>
    <tableColumn id="10" xr3:uid="{AE9F2E2E-C398-4ECE-B1AB-22D6689ACACB}" name="Parecer COEP" dataDxfId="77"/>
    <tableColumn id="8" xr3:uid="{CB160EC9-3309-4F2D-B96F-06FF4A177B4D}" name="Observação" dataDxfId="76"/>
    <tableColumn id="22" xr3:uid="{D282A913-077E-4E64-AD61-F2093234BF0D}" name="Check de concluídas" dataDxfId="75"/>
    <tableColumn id="3" xr3:uid="{53C4711B-8736-40E1-AC7E-C803933B5503}" name="Defeito identificado" dataDxfId="74"/>
    <tableColumn id="11" xr3:uid="{929F6757-8E00-4B98-BC81-800AEDCAB271}" name="Descrição SS" dataDxfId="73">
      <calculatedColumnFormula>IFERROR(_xlfn.XLOOKUP(Table12[[#This Row],[Ativo]],[2]!Pendentes[COD_RELIGADOR],[2]!Pendentes[DESCRICAO]),"")</calculatedColumnFormula>
    </tableColumn>
    <tableColumn id="5" xr3:uid="{498C571D-1187-4BE0-8EBA-D9426E1B49E0}" name="Premissa 1" dataDxfId="72"/>
    <tableColumn id="7" xr3:uid="{1DAB7071-313D-4176-AFA4-9832491A6256}" name="Premissa 2" dataDxfId="71"/>
    <tableColumn id="9" xr3:uid="{22011645-FD00-4897-A35F-3EE4465DFFEA}" name="Premissa 3" dataDxfId="70"/>
    <tableColumn id="15" xr3:uid="{FB2609CB-E059-4F33-B1C2-92A4D37416EE}" name="Premissa 4" dataDxfId="69"/>
    <tableColumn id="16" xr3:uid="{C931731D-05FF-45EC-ADEB-429E8B8151BE}" name="Premissa 5" dataDxfId="68"/>
    <tableColumn id="17" xr3:uid="{C35D3539-32A6-4771-B5BD-796DF4BE0D40}" name="Premissa 6" dataDxfId="67"/>
    <tableColumn id="18" xr3:uid="{59E428F0-B259-4949-9D2C-05A6C470E799}" name="Premissa 7" dataDxfId="66"/>
    <tableColumn id="23" xr3:uid="{32510844-3AA5-4444-82B5-4BFD8676FCD1}" name="Premissa 8" dataDxfId="65"/>
    <tableColumn id="19" xr3:uid="{4CC789F8-0C59-44B4-BFB7-2F9E4D0D9B00}" name="Priorização" dataDxfId="64">
      <calculatedColumnFormula>SUM(Table12[[#This Row],[Premissa 1]:[Premissa 8]])</calculatedColumnFormula>
    </tableColumn>
    <tableColumn id="2" xr3:uid="{066A63BD-6D37-4643-925D-1BD5DC46287E}" name="Criticidade" dataDxfId="63"/>
    <tableColumn id="20" xr3:uid="{50C851D7-8D7E-44B4-86C4-9F04DD94A202}" name="Observação após análise" dataDxfId="6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615C10-53F7-4DC9-8CD9-0F0668C604F6}" name="BASE_SS_OS" displayName="BASE_SS_OS" ref="A1:AB79" tableType="queryTable" totalsRowShown="0">
  <autoFilter ref="A1:AB79" xr:uid="{8D615C10-53F7-4DC9-8CD9-0F0668C604F6}">
    <filterColumn colId="13">
      <filters>
        <filter val="5800438116"/>
      </filters>
    </filterColumn>
  </autoFilter>
  <sortState xmlns:xlrd2="http://schemas.microsoft.com/office/spreadsheetml/2017/richdata2" ref="A2:AB78">
    <sortCondition ref="N1:N78"/>
  </sortState>
  <tableColumns count="28">
    <tableColumn id="1" xr3:uid="{A8068D2E-7FFA-44E1-A7C8-922C3A12D101}" uniqueName="1" name="NUMERO_SS" queryTableFieldId="1" dataDxfId="61"/>
    <tableColumn id="2" xr3:uid="{92E19AAD-01DE-4405-AD88-F8D03C08BC90}" uniqueName="2" name="NUMERO_OS" queryTableFieldId="2" dataDxfId="60"/>
    <tableColumn id="3" xr3:uid="{4E3A3139-DCD3-4C79-88F0-8F3773C6CF1C}" uniqueName="3" name="NUM_OBRA" queryTableFieldId="3"/>
    <tableColumn id="4" xr3:uid="{DA4CB0EF-F6C1-4A40-9550-F57083E86331}" uniqueName="4" name="ORIGEM_SS" queryTableFieldId="4" dataDxfId="59"/>
    <tableColumn id="5" xr3:uid="{C9659C4E-95F5-4510-82F1-AC133C064A4B}" uniqueName="5" name="DEFEITO_SS" queryTableFieldId="5" dataDxfId="58"/>
    <tableColumn id="6" xr3:uid="{1D3DAAC3-5B9D-4082-8F49-FE81A5C45F13}" uniqueName="6" name="ORIGEM" queryTableFieldId="6" dataDxfId="57"/>
    <tableColumn id="7" xr3:uid="{FA26C10A-9F6E-4B04-B2BC-91EEAAA60238}" uniqueName="7" name="DEFEITO" queryTableFieldId="7" dataDxfId="56"/>
    <tableColumn id="8" xr3:uid="{B24A4AC7-9155-4CDE-AABF-4B6C0CE50C95}" uniqueName="8" name="ESQUEMA" queryTableFieldId="8" dataDxfId="55"/>
    <tableColumn id="9" xr3:uid="{F1EE2052-4754-43DC-9E5D-DF0411782D4C}" uniqueName="9" name="TASK" queryTableFieldId="9"/>
    <tableColumn id="10" xr3:uid="{1788C01E-B5D8-46DE-BC91-D00B98870E9B}" uniqueName="10" name="ANO" queryTableFieldId="10"/>
    <tableColumn id="11" xr3:uid="{1ACBAACB-5D74-4D3C-AFEF-218E6143AD4D}" uniqueName="11" name="ORG_SOLIC" queryTableFieldId="11" dataDxfId="54"/>
    <tableColumn id="12" xr3:uid="{81A1D4C7-64A3-4D4F-A3B7-C1E4BEF4E34F}" uniqueName="12" name="COD_EQUIPE" queryTableFieldId="12" dataDxfId="53"/>
    <tableColumn id="13" xr3:uid="{4F15D4D2-4528-41C5-9878-92811980E921}" uniqueName="13" name="ALIMENTADOR" queryTableFieldId="13" dataDxfId="52"/>
    <tableColumn id="14" xr3:uid="{B39EE043-1403-4928-AA25-56D88CCEE120}" uniqueName="14" name="NUM_TRAFO" queryTableFieldId="14" dataDxfId="51"/>
    <tableColumn id="15" xr3:uid="{4D88F8D2-122A-4113-8C0D-E206968734FC}" uniqueName="15" name="COORD_X" queryTableFieldId="15"/>
    <tableColumn id="16" xr3:uid="{C9349D19-5DEF-498C-9F3A-F5886CDA3617}" uniqueName="16" name="COORD_Y" queryTableFieldId="16"/>
    <tableColumn id="17" xr3:uid="{B6E6C1FB-F9A4-4DB8-B464-72BF8FA6BE60}" uniqueName="17" name="COD_GIS" queryTableFieldId="17" dataDxfId="50"/>
    <tableColumn id="18" xr3:uid="{C9BEBA45-A4B2-4D1E-A862-B998B70D4F12}" uniqueName="18" name="CRITICIDADE_SS" queryTableFieldId="18" dataDxfId="49"/>
    <tableColumn id="19" xr3:uid="{9D3F7B0F-37F1-4049-9B61-F2864E827A24}" uniqueName="19" name="SITUACAO_SS" queryTableFieldId="19" dataDxfId="48"/>
    <tableColumn id="20" xr3:uid="{FA1E777A-4426-4E88-9DFE-23A6ED8FEB0E}" uniqueName="20" name="DATA_ABERTURA_SS" queryTableFieldId="20" dataDxfId="47"/>
    <tableColumn id="21" xr3:uid="{5F2EC6B0-B309-4C72-91B5-37B7E1ABD860}" uniqueName="21" name="DATA_TERMINO_SS" queryTableFieldId="21" dataDxfId="46"/>
    <tableColumn id="22" xr3:uid="{EB61BAC7-434B-4EB8-8255-7EA6E1AF37E5}" uniqueName="22" name="DATA_LIMITE_SS" queryTableFieldId="22" dataDxfId="45"/>
    <tableColumn id="23" xr3:uid="{365B272B-1E1E-4901-866B-B92140DD3C77}" uniqueName="23" name="DESCICAO_DO_ATIVO" queryTableFieldId="23" dataDxfId="44"/>
    <tableColumn id="24" xr3:uid="{14615A1C-5539-4D1F-A8E6-24114134E1FC}" uniqueName="24" name="LOCALIDADE" queryTableFieldId="24" dataDxfId="43"/>
    <tableColumn id="25" xr3:uid="{3954FB32-2373-4114-A5CD-9678B1B104A3}" uniqueName="25" name="SOLICITANTE" queryTableFieldId="25" dataDxfId="42"/>
    <tableColumn id="26" xr3:uid="{91939494-1F11-4013-99C8-140FAC9C1094}" uniqueName="26" name="RURA_URBANO" queryTableFieldId="26" dataDxfId="41"/>
    <tableColumn id="27" xr3:uid="{EB302225-7E8A-4390-A6DB-2DAFC39718DC}" uniqueName="27" name="TIPOSS" queryTableFieldId="27" dataDxfId="40"/>
    <tableColumn id="28" xr3:uid="{E2D81F85-5EAD-4021-80E6-FDA82F31A4D7}" uniqueName="28" name="DESCRIPTION" queryTableFieldId="28" dataDxfId="3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6F873A-C8CD-44EA-9348-F214D7399C11}" name="Table1" displayName="Table1" ref="A1:K92">
  <autoFilter ref="A1:K92" xr:uid="{516F873A-C8CD-44EA-9348-F214D7399C11}"/>
  <tableColumns count="11">
    <tableColumn id="1" xr3:uid="{E2D7B6E2-C8A4-4317-9EDB-861DB3E9BAD5}" name="Ativo"/>
    <tableColumn id="3" xr3:uid="{C8BDFF65-68B2-4CBC-A501-29619CAEDDAB}" name="TIPO" dataDxfId="38"/>
    <tableColumn id="4" xr3:uid="{F20C3E18-D7F2-4C5D-80B0-D71180EFE37B}" name="Criticidade"/>
    <tableColumn id="6" xr3:uid="{AC7330B4-5F23-4CA5-BD72-FD244F506DA0}" name="Dias Pendente"/>
    <tableColumn id="7" xr3:uid="{E5C9E77B-4C6B-493D-BA5D-A409CAB0A4C5}" name="Status Atendimento"/>
    <tableColumn id="8" xr3:uid="{DD0E4B37-D8C5-4C84-956C-5A04D1FE973E}" name="Responsável"/>
    <tableColumn id="10" xr3:uid="{BA60EA71-50B8-491E-B7A1-4D41845782FE}" name="SS SGM"/>
    <tableColumn id="12" xr3:uid="{D37473A8-A35A-4113-9708-56A6DC82FC2E}" name="Município"/>
    <tableColumn id="13" xr3:uid="{0E6B4DA2-E5F8-4D33-815E-8FA50926E21E}" name="Polo"/>
    <tableColumn id="14" xr3:uid="{3F2C7D1E-017B-460C-8C8F-590DCF49D27F}" name="Regional"/>
    <tableColumn id="2" xr3:uid="{4D66F097-0573-4137-945F-33871954A8EE}" name="DESCRIÇÃO" dataDxfId="3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014F57E-7001-49C9-97A3-B88393AF8419}" name="Tabela6" displayName="Tabela6" ref="A3:L33" totalsRowShown="0">
  <autoFilter ref="A3:L33" xr:uid="{C014F57E-7001-49C9-97A3-B88393AF8419}"/>
  <tableColumns count="12">
    <tableColumn id="1" xr3:uid="{93D388B3-2E6C-4B1A-8B44-FC0738B240B4}" name="Regional"/>
    <tableColumn id="2" xr3:uid="{1599F9CE-11D9-43F3-9A7F-409622CEF18C}" name="Ativo"/>
    <tableColumn id="3" xr3:uid="{C5FF0A7D-04C4-483B-A37C-D76A18578675}" name="Criticidade"/>
    <tableColumn id="4" xr3:uid="{5928D026-64F1-4AD9-939A-16B50B04CBD0}" name="TIPO"/>
    <tableColumn id="5" xr3:uid="{AD1D7618-2E91-4E22-B8BE-75FFCDD89FF0}" name="SS SGM"/>
    <tableColumn id="6" xr3:uid="{3CBCF79A-E98B-4843-971C-CA3598BFC566}" name="DSC SS"/>
    <tableColumn id="7" xr3:uid="{762505CE-D668-4549-B15B-E1523AFCB5C3}" name="Responsável"/>
    <tableColumn id="8" xr3:uid="{FF94F9CC-1BB3-43B9-A108-FADFF02CCCA5}" name="Status (apresentação)"/>
    <tableColumn id="9" xr3:uid="{2B55687D-B808-4B99-B2D5-84FDBECBACAD}" name="Status"/>
    <tableColumn id="10" xr3:uid="{B307BCAB-8C67-4C31-BFB5-F618C59AED8D}" name="Observação"/>
    <tableColumn id="11" xr3:uid="{CAD39153-DDF7-46F4-B40A-1FB934712A1E}" name="Descrição compra"/>
    <tableColumn id="12" xr3:uid="{914E43BF-025A-4588-B68C-F83A5E55D22A}" name="Valor previst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24" dT="2026-07-07T21:10:54.62" personId="{2BD68904-532A-426A-98FA-A568A50C349A}" id="{2151EE8A-0946-4B33-9235-B9889D52F417}">
    <text>ALMOXARIFE ENTREGOU EQUIPAMENTO ERRADO</text>
  </threadedComment>
  <threadedComment ref="A31" dT="2026-07-06T21:24:56.82" personId="{D52F1C39-74EA-4A81-B7BF-DB671584A4B5}" id="{50A8C71E-CBEE-4A0D-AF8C-06B28814CE6B}">
    <text>Concluído até aqui</text>
  </threadedComment>
  <threadedComment ref="G85" dT="2026-06-30T23:53:48.90" personId="{2BD68904-532A-426A-98FA-A568A50C349A}" id="{AA380214-3CCE-4FCF-BF46-49F49201D416}">
    <text>REPASSEI PARA ELES E REPASSARAM NOVAMENTE</text>
  </threadedComment>
  <threadedComment ref="A95" dT="2026-07-06T14:45:45.39" personId="{2BD68904-532A-426A-98FA-A568A50C349A}" id="{74F7D663-C11B-4057-970B-683E56D9CB12}">
    <text xml:space="preserve">13.800 TANQUE TOCANTINOPOLIS
</text>
  </threadedComment>
</ThreadedComments>
</file>

<file path=xl/threadedComments/threadedComment2.xml><?xml version="1.0" encoding="utf-8"?>
<ThreadedComments xmlns="http://schemas.microsoft.com/office/spreadsheetml/2018/threadedcomments" xmlns:x="http://schemas.openxmlformats.org/spreadsheetml/2006/main">
  <threadedComment ref="I1" dT="2026-05-14T14:34:03.54" personId="{3E99BD6B-A250-4E69-800E-7F4473918BE0}" id="{A1AF3B86-1E1A-44A2-AC2D-34241E78816A}">
    <text>As vezes não roda no APP da proteção devido a fórmula</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Ajustes%20Religadores%20e%20Reguladores%20de%20Poste/5801773013.pdf"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27B09-93DC-4F78-855C-DF4769BE86BD}">
  <dimension ref="A1:Y124"/>
  <sheetViews>
    <sheetView topLeftCell="K1" zoomScale="85" zoomScaleNormal="85" workbookViewId="0">
      <selection activeCell="G2" sqref="G2"/>
    </sheetView>
  </sheetViews>
  <sheetFormatPr defaultRowHeight="15" customHeight="1" x14ac:dyDescent="0.25"/>
  <cols>
    <col min="1" max="1" width="17" style="2" customWidth="1"/>
    <col min="2" max="2" width="8.7109375" style="27" customWidth="1"/>
    <col min="3" max="3" width="29.140625" style="27" customWidth="1"/>
    <col min="4" max="4" width="25.140625" style="27" customWidth="1"/>
    <col min="5" max="5" width="13.28515625" style="27" customWidth="1"/>
    <col min="6" max="6" width="26.85546875" style="2" customWidth="1"/>
    <col min="7" max="7" width="55.5703125" style="2" customWidth="1"/>
    <col min="8" max="8" width="60.28515625" style="2" customWidth="1"/>
    <col min="9" max="9" width="23.5703125" style="2" customWidth="1"/>
    <col min="10" max="10" width="49.140625" customWidth="1"/>
    <col min="11" max="11" width="51.42578125" customWidth="1"/>
    <col min="12" max="14" width="12.7109375" customWidth="1"/>
    <col min="15" max="15" width="28.42578125" customWidth="1"/>
    <col min="16" max="21" width="12.7109375" customWidth="1"/>
    <col min="22" max="22" width="144.5703125" bestFit="1" customWidth="1"/>
    <col min="23" max="26" width="17.28515625" customWidth="1"/>
  </cols>
  <sheetData>
    <row r="1" spans="1:25" ht="15" customHeight="1" x14ac:dyDescent="0.25">
      <c r="A1" s="2" t="s">
        <v>0</v>
      </c>
      <c r="B1" s="27" t="s">
        <v>1</v>
      </c>
      <c r="C1" s="27" t="s">
        <v>2</v>
      </c>
      <c r="D1" s="27" t="s">
        <v>3</v>
      </c>
      <c r="E1" s="27" t="s">
        <v>4</v>
      </c>
      <c r="F1" s="2" t="s">
        <v>5</v>
      </c>
      <c r="G1" s="2" t="s">
        <v>6</v>
      </c>
      <c r="H1" s="2" t="s">
        <v>7</v>
      </c>
      <c r="I1" s="2" t="s">
        <v>8</v>
      </c>
      <c r="J1" t="s">
        <v>9</v>
      </c>
      <c r="K1" t="s">
        <v>10</v>
      </c>
      <c r="L1" t="s">
        <v>11</v>
      </c>
      <c r="M1" t="s">
        <v>12</v>
      </c>
      <c r="N1" t="s">
        <v>13</v>
      </c>
      <c r="O1" t="s">
        <v>14</v>
      </c>
      <c r="P1" t="s">
        <v>15</v>
      </c>
      <c r="Q1" t="s">
        <v>16</v>
      </c>
      <c r="R1" t="s">
        <v>17</v>
      </c>
      <c r="S1" t="s">
        <v>18</v>
      </c>
      <c r="T1" t="s">
        <v>19</v>
      </c>
      <c r="U1" t="s">
        <v>20</v>
      </c>
      <c r="V1" t="s">
        <v>21</v>
      </c>
      <c r="X1" s="105" t="s">
        <v>22</v>
      </c>
      <c r="Y1" s="106"/>
    </row>
    <row r="2" spans="1:25" ht="15" customHeight="1" x14ac:dyDescent="0.25">
      <c r="A2" s="2">
        <v>7923673004</v>
      </c>
      <c r="B2" s="27" t="str">
        <f>MID(Table12[[#This Row],[Ativo]],1,2)</f>
        <v>79</v>
      </c>
      <c r="C2" s="27" t="s">
        <v>23</v>
      </c>
      <c r="D2" s="27" t="s">
        <v>23</v>
      </c>
      <c r="E2" s="27" t="s">
        <v>24</v>
      </c>
      <c r="F2" s="2" t="str">
        <f>IFERROR(_xlfn.XLOOKUP(Table12[[#This Row],[Ativo]],[2]!Pendentes[COD_RELIGADOR],[2]!Pendentes[SS_ORIGINAL]),"CONCLUÍDA")</f>
        <v>ETO-COEP 00124/2026</v>
      </c>
      <c r="G2" s="2" t="s">
        <v>25</v>
      </c>
      <c r="J2" s="28"/>
      <c r="K2" t="str">
        <f>IFERROR(_xlfn.XLOOKUP(Table12[[#This Row],[Ativo]],[2]!Pendentes[COD_RELIGADOR],[2]!Pendentes[DESCRICAO]),"")</f>
        <v>PARECER COEP: Verificar Disponibilidade de equipamento no Scada e enviar modelo e tensão para a compra.RELIGADOR COM RELÉ DANIFICADO, REALIZAR SUBSTITUIÇÃO</v>
      </c>
      <c r="L2" s="27">
        <v>15</v>
      </c>
      <c r="M2" s="27">
        <v>20</v>
      </c>
      <c r="N2" s="27">
        <v>15</v>
      </c>
      <c r="O2" s="27">
        <v>15</v>
      </c>
      <c r="P2" s="27">
        <v>15</v>
      </c>
      <c r="Q2" s="27">
        <v>10</v>
      </c>
      <c r="R2" s="27">
        <v>0</v>
      </c>
      <c r="S2" s="27">
        <v>15</v>
      </c>
      <c r="T2" s="27">
        <f>SUM(Table12[[#This Row],[Premissa 1]:[Premissa 8]])</f>
        <v>105</v>
      </c>
      <c r="U2" s="27" t="s">
        <v>26</v>
      </c>
      <c r="V2" t="s">
        <v>27</v>
      </c>
      <c r="X2" s="41" t="s">
        <v>28</v>
      </c>
      <c r="Y2" s="41" t="s">
        <v>29</v>
      </c>
    </row>
    <row r="3" spans="1:25" ht="15" customHeight="1" x14ac:dyDescent="0.25">
      <c r="A3" s="2">
        <v>7947203070</v>
      </c>
      <c r="B3" s="27" t="str">
        <f>MID(Table12[[#This Row],[Ativo]],1,2)</f>
        <v>79</v>
      </c>
      <c r="C3" s="27" t="s">
        <v>30</v>
      </c>
      <c r="D3" s="27" t="s">
        <v>31</v>
      </c>
      <c r="E3" s="27" t="s">
        <v>32</v>
      </c>
      <c r="F3" s="2" t="str">
        <f>IFERROR(_xlfn.XLOOKUP(Table12[[#This Row],[Ativo]],[2]!Pendentes[COD_RELIGADOR],[2]!Pendentes[SS_ORIGINAL]),"CONCLUÍDA")</f>
        <v>ETO-COEP 00131/2026</v>
      </c>
      <c r="G3" s="2" t="s">
        <v>25</v>
      </c>
      <c r="H3" s="2" t="s">
        <v>33</v>
      </c>
      <c r="J3" s="28"/>
      <c r="K3" t="str">
        <f>IFERROR(_xlfn.XLOOKUP(Table12[[#This Row],[Ativo]],[2]!Pendentes[COD_RELIGADOR],[2]!Pendentes[DESCRICAO]),"")</f>
        <v>13/07 PARECER COEP: SELECIONADO PARA COMPRA CONTROLE favor verificar RL 7947203070, sem comunicaçao, feito 1° ataque pela equipe 070OP01 e nao retornou a comunicaçao , linformaçao no Scada de bateria.PARECER DMSL: Foi feito análise técnica, a placa do equipamento está queimada nessesario subistituir o equipamento completo -Carliel e Benvindo-05/02</v>
      </c>
      <c r="L3" s="27">
        <v>10</v>
      </c>
      <c r="M3" s="27">
        <v>20</v>
      </c>
      <c r="N3" s="27">
        <v>15</v>
      </c>
      <c r="O3" s="27">
        <v>15</v>
      </c>
      <c r="P3" s="27">
        <v>15</v>
      </c>
      <c r="Q3" s="27">
        <v>10</v>
      </c>
      <c r="R3" s="27">
        <v>0</v>
      </c>
      <c r="S3" s="27">
        <v>15</v>
      </c>
      <c r="T3" s="27">
        <f>SUM(Table12[[#This Row],[Premissa 1]:[Premissa 8]])</f>
        <v>100</v>
      </c>
      <c r="U3" s="27" t="s">
        <v>26</v>
      </c>
      <c r="V3" t="s">
        <v>34</v>
      </c>
    </row>
    <row r="4" spans="1:25" ht="15" customHeight="1" x14ac:dyDescent="0.25">
      <c r="A4" s="2">
        <v>7903569004</v>
      </c>
      <c r="B4" s="27" t="str">
        <f>MID(Table12[[#This Row],[Ativo]],1,2)</f>
        <v>79</v>
      </c>
      <c r="C4" s="27" t="s">
        <v>23</v>
      </c>
      <c r="D4" s="27" t="s">
        <v>23</v>
      </c>
      <c r="E4" s="27" t="s">
        <v>24</v>
      </c>
      <c r="F4" s="2" t="str">
        <f>IFERROR(_xlfn.XLOOKUP(Table12[[#This Row],[Ativo]],[2]!Pendentes[COD_RELIGADOR],[2]!Pendentes[SS_ORIGINAL]),"CONCLUÍDA")</f>
        <v>ETO-COEP 00152/2026</v>
      </c>
      <c r="G4" s="2" t="s">
        <v>25</v>
      </c>
      <c r="J4" s="28"/>
      <c r="K4" t="str">
        <f>IFERROR(_xlfn.XLOOKUP(Table12[[#This Row],[Ativo]],[2]!Pendentes[COD_RELIGADOR],[2]!Pendentes[DESCRICAO]),"")</f>
        <v>PARECER COEP 28/07/2026 : EQUIPAMENTO SELECIONADO PARA COMPRAEquipamento baypassado PARECER DMSL em 12/03: Realizar substituição do equipamento todo e parte ativa.</v>
      </c>
      <c r="L4" s="27">
        <v>15</v>
      </c>
      <c r="M4" s="27">
        <v>20</v>
      </c>
      <c r="N4" s="27">
        <v>5</v>
      </c>
      <c r="O4" s="27">
        <v>15</v>
      </c>
      <c r="P4" s="27">
        <v>15</v>
      </c>
      <c r="Q4" s="27">
        <v>10</v>
      </c>
      <c r="R4" s="27">
        <v>0</v>
      </c>
      <c r="S4" s="27">
        <v>15</v>
      </c>
      <c r="T4" s="27">
        <f>SUM(Table12[[#This Row],[Premissa 1]:[Premissa 8]])</f>
        <v>95</v>
      </c>
      <c r="U4" s="27" t="s">
        <v>26</v>
      </c>
      <c r="V4" t="s">
        <v>35</v>
      </c>
    </row>
    <row r="5" spans="1:25" ht="15" customHeight="1" x14ac:dyDescent="0.25">
      <c r="A5" s="2">
        <v>7927413001</v>
      </c>
      <c r="B5" s="27" t="str">
        <f>MID(Table12[[#This Row],[Ativo]],1,2)</f>
        <v>79</v>
      </c>
      <c r="C5" s="27" t="s">
        <v>36</v>
      </c>
      <c r="D5" s="27" t="s">
        <v>36</v>
      </c>
      <c r="E5" s="27" t="s">
        <v>32</v>
      </c>
      <c r="F5" s="2" t="str">
        <f>IFERROR(_xlfn.XLOOKUP(Table12[[#This Row],[Ativo]],[2]!Pendentes[COD_RELIGADOR],[2]!Pendentes[SS_ORIGINAL]),"CONCLUÍDA")</f>
        <v>ETO-COEP 00141/2026</v>
      </c>
      <c r="G5" s="2" t="s">
        <v>25</v>
      </c>
      <c r="H5" s="2" t="s">
        <v>33</v>
      </c>
      <c r="J5" s="28"/>
      <c r="K5" t="str">
        <f>IFERROR(_xlfn.XLOOKUP(Table12[[#This Row],[Ativo]],[2]!Pendentes[COD_RELIGADOR],[2]!Pendentes[DESCRICAO]),"")</f>
        <v>22/07/2026 EQUIPAMENTO SLEECIONADO PARA COMPRAPARECER DMSL: *Segue feedback**Equipamento:* RLG 7927413001  *RELÉ TAVRIDA*Data:* 16/04/2026*SID:* 1817/2026*Serviço executado:* Placa de alimentação do equipamento com defeito, VERIFICAR SE É POSSIVEL  substituir o equipamento completo.*Equipamento ficou em operação?*_Não*Pendência:*_Sim*Bateria(s) substituída(s)?*_Nao *Equipe:* Benvindo e Kaique-------------------------------------------------------------------------------------------------Religador 7927413001 sem comunicação foi realizado primeiro ataque porem a comunicação não retornou. Favor enviar equipe para devidas trattivas</v>
      </c>
      <c r="L5" s="27">
        <v>15</v>
      </c>
      <c r="M5" s="27">
        <v>5</v>
      </c>
      <c r="N5" s="27">
        <v>15</v>
      </c>
      <c r="O5" s="27">
        <v>15</v>
      </c>
      <c r="P5" s="27">
        <v>15</v>
      </c>
      <c r="Q5" s="27">
        <v>10</v>
      </c>
      <c r="R5" s="27">
        <v>0</v>
      </c>
      <c r="S5" s="27">
        <v>15</v>
      </c>
      <c r="T5" s="27">
        <f>SUM(Table12[[#This Row],[Premissa 1]:[Premissa 8]])</f>
        <v>90</v>
      </c>
      <c r="U5" s="27" t="s">
        <v>26</v>
      </c>
      <c r="V5" t="s">
        <v>37</v>
      </c>
    </row>
    <row r="6" spans="1:25" ht="15" customHeight="1" x14ac:dyDescent="0.25">
      <c r="A6" s="2">
        <v>7925871077</v>
      </c>
      <c r="B6" s="27" t="str">
        <f>MID(Table12[[#This Row],[Ativo]],1,2)</f>
        <v>79</v>
      </c>
      <c r="C6" s="27" t="s">
        <v>38</v>
      </c>
      <c r="D6" s="27" t="s">
        <v>23</v>
      </c>
      <c r="E6" s="27" t="s">
        <v>24</v>
      </c>
      <c r="F6" s="2" t="str">
        <f>IFERROR(_xlfn.XLOOKUP(Table12[[#This Row],[Ativo]],[2]!Pendentes[COD_RELIGADOR],[2]!Pendentes[SS_ORIGINAL]),"CONCLUÍDA")</f>
        <v>ETO-COEP 00048/2026</v>
      </c>
      <c r="G6" s="2" t="s">
        <v>25</v>
      </c>
      <c r="J6" s="28"/>
      <c r="K6" t="str">
        <f>IFERROR(_xlfn.XLOOKUP(Table12[[#This Row],[Ativo]],[2]!Pendentes[COD_RELIGADOR],[2]!Pendentes[DESCRICAO]),"")</f>
        <v>27/07 PARECER COEP: EM PROCESSO DE AQUISIÇÃOPARECER DMSL: A PEDIDO DA PCM DO NORTE LARA SOARES REALIZEI A CRIAÇÃO DESSA SS, EM RAZAO DA ANTIGAETO-TELE 337/2026 QUE FOI BAIXADA POR ENGANO DE TAL FORMA SEGUE A MESMA PARA REALIZAR AS TRATATIVAS. PENDENCIA: Religador continua by passado, equipamento está com defeito na parte ativa</v>
      </c>
      <c r="L6" s="27">
        <v>15</v>
      </c>
      <c r="M6" s="27">
        <v>10</v>
      </c>
      <c r="N6" s="27">
        <v>15</v>
      </c>
      <c r="O6" s="27">
        <v>15</v>
      </c>
      <c r="P6" s="27">
        <v>15</v>
      </c>
      <c r="Q6" s="27">
        <v>10</v>
      </c>
      <c r="R6" s="27">
        <v>0</v>
      </c>
      <c r="S6" s="27">
        <v>0</v>
      </c>
      <c r="T6" s="27">
        <f>SUM(Table12[[#This Row],[Premissa 1]:[Premissa 8]])</f>
        <v>80</v>
      </c>
      <c r="U6" s="27" t="s">
        <v>26</v>
      </c>
      <c r="V6" t="s">
        <v>39</v>
      </c>
    </row>
    <row r="7" spans="1:25" ht="15" customHeight="1" x14ac:dyDescent="0.25">
      <c r="A7" s="27">
        <v>7908302256</v>
      </c>
      <c r="B7" s="27" t="str">
        <f>MID(Table12[[#This Row],[Ativo]],1,2)</f>
        <v>79</v>
      </c>
      <c r="C7" s="27" t="s">
        <v>40</v>
      </c>
      <c r="D7" s="27" t="s">
        <v>41</v>
      </c>
      <c r="E7" s="27" t="s">
        <v>32</v>
      </c>
      <c r="F7" s="27" t="str">
        <f>IFERROR(_xlfn.XLOOKUP(Table12[[#This Row],[Ativo]],[2]!Pendentes[COD_RELIGADOR],[2]!Pendentes[SS_ORIGINAL]),"CONCLUÍDA")</f>
        <v>CONCLUÍDA</v>
      </c>
      <c r="G7" s="27" t="s">
        <v>25</v>
      </c>
      <c r="H7" s="2" t="s">
        <v>42</v>
      </c>
      <c r="J7" s="28"/>
      <c r="K7" t="str">
        <f>IFERROR(_xlfn.XLOOKUP(Table12[[#This Row],[Ativo]],[2]!Pendentes[COD_RELIGADOR],[2]!Pendentes[DESCRICAO]),"")</f>
        <v/>
      </c>
      <c r="L7" s="27">
        <v>5</v>
      </c>
      <c r="M7" s="27">
        <v>10</v>
      </c>
      <c r="N7" s="27">
        <v>5</v>
      </c>
      <c r="O7" s="27">
        <v>15</v>
      </c>
      <c r="P7" s="27">
        <v>15</v>
      </c>
      <c r="Q7" s="27">
        <v>10</v>
      </c>
      <c r="R7" s="27">
        <v>0</v>
      </c>
      <c r="S7" s="27">
        <v>15</v>
      </c>
      <c r="T7" s="27">
        <f>SUM(Table12[[#This Row],[Premissa 1]:[Premissa 8]])</f>
        <v>75</v>
      </c>
      <c r="U7" s="27" t="s">
        <v>43</v>
      </c>
      <c r="V7" t="s">
        <v>44</v>
      </c>
    </row>
    <row r="8" spans="1:25" ht="15" customHeight="1" x14ac:dyDescent="0.25">
      <c r="A8" s="2">
        <v>7903112004</v>
      </c>
      <c r="B8" s="27" t="str">
        <f>MID(Table12[[#This Row],[Ativo]],1,2)</f>
        <v>79</v>
      </c>
      <c r="C8" s="27" t="s">
        <v>23</v>
      </c>
      <c r="D8" s="27" t="s">
        <v>23</v>
      </c>
      <c r="E8" s="27" t="s">
        <v>24</v>
      </c>
      <c r="F8" s="2" t="str">
        <f>IFERROR(_xlfn.XLOOKUP(Table12[[#This Row],[Ativo]],[2]!Pendentes[COD_RELIGADOR],[2]!Pendentes[SS_ORIGINAL]),"CONCLUÍDA")</f>
        <v>ETO-COEP 00184/2025</v>
      </c>
      <c r="G8" s="2" t="s">
        <v>25</v>
      </c>
      <c r="H8" s="2" t="s">
        <v>45</v>
      </c>
      <c r="I8" s="2" t="s">
        <v>46</v>
      </c>
      <c r="J8" s="28" t="s">
        <v>47</v>
      </c>
      <c r="K8" t="str">
        <f>IFERROR(_xlfn.XLOOKUP(Table12[[#This Row],[Ativo]],[2]!Pendentes[COD_RELIGADOR],[2]!Pendentes[DESCRICAO]),"")</f>
        <v>20/07 PARECER COEP: EQUIPAMENTO SELECIONADO PARA COMPRAApós testes no RLG 7903112004 foi constatado defeito no mesmo e como se trata de um modelo COOPER FORM6 que está obsoleto e não possuímos peças sobressalentes, faz-se necessária substituição completa por modelo NOJA RC10.</v>
      </c>
      <c r="L8" s="27">
        <v>15</v>
      </c>
      <c r="M8" s="27">
        <v>10</v>
      </c>
      <c r="N8" s="27">
        <v>5</v>
      </c>
      <c r="O8" s="27">
        <v>15</v>
      </c>
      <c r="P8" s="27">
        <v>0</v>
      </c>
      <c r="Q8" s="27">
        <v>10</v>
      </c>
      <c r="R8" s="27">
        <v>0</v>
      </c>
      <c r="S8" s="27">
        <v>0</v>
      </c>
      <c r="T8" s="27">
        <f>SUM(Table12[[#This Row],[Premissa 1]:[Premissa 8]])</f>
        <v>55</v>
      </c>
      <c r="U8" s="27" t="s">
        <v>43</v>
      </c>
      <c r="V8" t="s">
        <v>48</v>
      </c>
    </row>
    <row r="9" spans="1:25" ht="15" customHeight="1" x14ac:dyDescent="0.25">
      <c r="A9" s="2">
        <v>7920024127</v>
      </c>
      <c r="B9" s="27" t="str">
        <f>MID(Table12[[#This Row],[Ativo]],1,2)</f>
        <v>79</v>
      </c>
      <c r="C9" s="27" t="s">
        <v>49</v>
      </c>
      <c r="D9" s="27" t="s">
        <v>50</v>
      </c>
      <c r="E9" s="27" t="s">
        <v>24</v>
      </c>
      <c r="F9" s="2" t="str">
        <f>IFERROR(_xlfn.XLOOKUP(Table12[[#This Row],[Ativo]],[2]!Pendentes[COD_RELIGADOR],[2]!Pendentes[SS_ORIGINAL]),"CONCLUÍDA")</f>
        <v>ETO-COEP 00120/2025</v>
      </c>
      <c r="G9" s="2" t="s">
        <v>25</v>
      </c>
      <c r="H9" s="2" t="s">
        <v>51</v>
      </c>
      <c r="J9" s="28" t="s">
        <v>52</v>
      </c>
      <c r="K9" t="str">
        <f>IFERROR(_xlfn.XLOOKUP(Table12[[#This Row],[Ativo]],[2]!Pendentes[COD_RELIGADOR],[2]!Pendentes[DESCRICAO]),"")</f>
        <v>30/06 PARECER COEP: AGUARDANDO O RETORNO DO DMSL , PARA ENTENDER SE O PROBLEMA É NA COMUNICAÇÃO OU PARTE ATIVA, JÁ QUE O EQUIPAMENTO EM QUESTÃO SEGUE COMUNICANDOPARECER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quebrado.RL 7920024127 está desarmando em campo e no SCADA continua fechado, só sinaliza aberto no SCADA quando a equipe faz o resert no equipamento em campo.</v>
      </c>
      <c r="L9" s="27">
        <v>15</v>
      </c>
      <c r="M9" s="27">
        <v>10</v>
      </c>
      <c r="N9" s="27">
        <v>5</v>
      </c>
      <c r="O9" s="27">
        <v>15</v>
      </c>
      <c r="P9" s="27">
        <v>0</v>
      </c>
      <c r="Q9" s="27">
        <v>10</v>
      </c>
      <c r="R9" s="27">
        <v>0</v>
      </c>
      <c r="S9" s="27">
        <v>0</v>
      </c>
      <c r="T9" s="27">
        <f>SUM(Table12[[#This Row],[Premissa 1]:[Premissa 8]])</f>
        <v>55</v>
      </c>
      <c r="U9" s="27" t="s">
        <v>43</v>
      </c>
      <c r="V9" t="s">
        <v>53</v>
      </c>
    </row>
    <row r="10" spans="1:25" ht="15" customHeight="1" x14ac:dyDescent="0.25">
      <c r="A10" s="2">
        <v>7930428001</v>
      </c>
      <c r="B10" s="27" t="str">
        <f>MID(Table12[[#This Row],[Ativo]],1,2)</f>
        <v>79</v>
      </c>
      <c r="C10" s="27" t="s">
        <v>36</v>
      </c>
      <c r="D10" s="27" t="s">
        <v>36</v>
      </c>
      <c r="E10" s="27" t="s">
        <v>32</v>
      </c>
      <c r="F10" s="2" t="str">
        <f>IFERROR(_xlfn.XLOOKUP(Table12[[#This Row],[Ativo]],[2]!Pendentes[COD_RELIGADOR],[2]!Pendentes[SS_ORIGINAL]),"CONCLUÍDA")</f>
        <v>ETO-COEP 00150/2026</v>
      </c>
      <c r="G10" s="2" t="s">
        <v>25</v>
      </c>
      <c r="J10" s="28" t="s">
        <v>54</v>
      </c>
      <c r="K10" t="str">
        <f>IFERROR(_xlfn.XLOOKUP(Table12[[#This Row],[Ativo]],[2]!Pendentes[COD_RELIGADOR],[2]!Pendentes[DESCRICAO]),"")</f>
        <v>PARECER DMSL DATA 16/07/2026: será necessário fazer a substituição da parte ativa do equipamento.PARECER COEP: Equipamento Funcionando no SCADA , favor reavaliar a necessidade de substituição e se necessário mandar o modelo do equipamento.Segue nota para substituir Taque do RL-7930428001 na LD Porto Nacional / São João, Identificado pela Int-20253617520441 equipamento dando passagem na fase A ficou bay-passado até substituição, Tensão 34,5kva, Acesso livre.</v>
      </c>
      <c r="L10" s="27">
        <v>5</v>
      </c>
      <c r="M10" s="27">
        <v>5</v>
      </c>
      <c r="N10" s="27">
        <v>15</v>
      </c>
      <c r="O10" s="27">
        <v>0</v>
      </c>
      <c r="P10" s="27">
        <v>15</v>
      </c>
      <c r="Q10" s="27">
        <v>10</v>
      </c>
      <c r="R10" s="27">
        <v>0</v>
      </c>
      <c r="S10" s="27">
        <v>0</v>
      </c>
      <c r="T10" s="27">
        <f>SUM(Table12[[#This Row],[Premissa 1]:[Premissa 8]])</f>
        <v>50</v>
      </c>
      <c r="U10" s="27" t="s">
        <v>43</v>
      </c>
      <c r="V10" t="s">
        <v>55</v>
      </c>
    </row>
    <row r="11" spans="1:25" ht="15" customHeight="1" x14ac:dyDescent="0.25">
      <c r="A11" s="2">
        <v>7936038076</v>
      </c>
      <c r="B11" s="27" t="str">
        <f>MID(Table12[[#This Row],[Ativo]],1,2)</f>
        <v>79</v>
      </c>
      <c r="C11" s="27" t="s">
        <v>56</v>
      </c>
      <c r="D11" s="27" t="s">
        <v>57</v>
      </c>
      <c r="E11" s="27" t="s">
        <v>58</v>
      </c>
      <c r="F11" s="2" t="str">
        <f>IFERROR(_xlfn.XLOOKUP(Table12[[#This Row],[Ativo]],[2]!Pendentes[COD_RELIGADOR],[2]!Pendentes[SS_ORIGINAL]),"CONCLUÍDA")</f>
        <v>CONCLUÍDA</v>
      </c>
      <c r="G11" s="2" t="s">
        <v>25</v>
      </c>
      <c r="J11" s="28" t="s">
        <v>54</v>
      </c>
      <c r="K11" t="str">
        <f>IFERROR(_xlfn.XLOOKUP(Table12[[#This Row],[Ativo]],[2]!Pendentes[COD_RELIGADOR],[2]!Pendentes[DESCRICAO]),"")</f>
        <v/>
      </c>
      <c r="L11" s="27">
        <v>5</v>
      </c>
      <c r="M11" s="27">
        <v>5</v>
      </c>
      <c r="N11" s="27">
        <v>15</v>
      </c>
      <c r="O11" s="27">
        <v>0</v>
      </c>
      <c r="P11" s="27">
        <v>15</v>
      </c>
      <c r="Q11" s="27">
        <v>10</v>
      </c>
      <c r="R11" s="27">
        <v>0</v>
      </c>
      <c r="S11" s="27">
        <v>0</v>
      </c>
      <c r="T11" s="27">
        <f>SUM(Table12[[#This Row],[Premissa 1]:[Premissa 8]])</f>
        <v>50</v>
      </c>
      <c r="U11" s="27" t="s">
        <v>43</v>
      </c>
      <c r="V11" t="s">
        <v>59</v>
      </c>
    </row>
    <row r="12" spans="1:25" ht="15" customHeight="1" x14ac:dyDescent="0.25">
      <c r="A12" s="2">
        <v>7943790134</v>
      </c>
      <c r="B12" s="27" t="str">
        <f>MID(Table12[[#This Row],[Ativo]],1,2)</f>
        <v>79</v>
      </c>
      <c r="C12" s="27" t="s">
        <v>60</v>
      </c>
      <c r="D12" s="27" t="s">
        <v>61</v>
      </c>
      <c r="E12" s="27" t="s">
        <v>24</v>
      </c>
      <c r="F12" s="2" t="str">
        <f>IFERROR(_xlfn.XLOOKUP(Table12[[#This Row],[Ativo]],[2]!Pendentes[COD_RELIGADOR],[2]!Pendentes[SS_ORIGINAL]),"CONCLUÍDA")</f>
        <v>ETO-TELE 00896/2026</v>
      </c>
      <c r="G12" s="2" t="s">
        <v>62</v>
      </c>
      <c r="J12" s="28" t="s">
        <v>54</v>
      </c>
      <c r="K12" t="str">
        <f>IFERROR(_xlfn.XLOOKUP(Table12[[#This Row],[Ativo]],[2]!Pendentes[COD_RELIGADOR],[2]!Pendentes[DESCRICAO]),"")</f>
        <v>PARECER DCMD:Serviço realizado , substituição da parte ativa  do RELIGADOR 7943790134 - Favor realizar comissionamento</v>
      </c>
      <c r="L12" s="27">
        <v>15</v>
      </c>
      <c r="M12" s="27">
        <v>10</v>
      </c>
      <c r="N12" s="27">
        <v>5</v>
      </c>
      <c r="O12" s="27">
        <v>15</v>
      </c>
      <c r="P12" s="27">
        <v>15</v>
      </c>
      <c r="Q12" s="27">
        <v>10</v>
      </c>
      <c r="R12" s="27">
        <v>0</v>
      </c>
      <c r="S12" s="27">
        <v>15</v>
      </c>
      <c r="T12" s="27">
        <f>SUM(Table12[[#This Row],[Premissa 1]:[Premissa 8]])</f>
        <v>85</v>
      </c>
      <c r="U12" s="27" t="s">
        <v>26</v>
      </c>
      <c r="V12" t="s">
        <v>63</v>
      </c>
    </row>
    <row r="13" spans="1:25" ht="15" customHeight="1" x14ac:dyDescent="0.25">
      <c r="A13" s="2">
        <v>5856070091</v>
      </c>
      <c r="B13" s="27" t="str">
        <f>MID(Table12[[#This Row],[Ativo]],1,2)</f>
        <v>58</v>
      </c>
      <c r="C13" s="27" t="s">
        <v>64</v>
      </c>
      <c r="D13" s="27" t="s">
        <v>65</v>
      </c>
      <c r="E13" s="27" t="s">
        <v>58</v>
      </c>
      <c r="F13" s="2" t="str">
        <f>IFERROR(_xlfn.XLOOKUP(Table12[[#This Row],[Ativo]],[2]!Pendentes[COD_RELIGADOR],[2]!Pendentes[SS_ORIGINAL]),"CONCLUÍDA")</f>
        <v>ETO-RD-DP 00479/2026</v>
      </c>
      <c r="G13" s="2" t="s">
        <v>66</v>
      </c>
      <c r="H13" s="2" t="s">
        <v>67</v>
      </c>
      <c r="J13" s="28" t="s">
        <v>68</v>
      </c>
      <c r="K13" t="str">
        <f>IFERROR(_xlfn.XLOOKUP(Table12[[#This Row],[Ativo]],[2]!Pendentes[COD_RELIGADOR],[2]!Pendentes[DESCRICAO]),"")</f>
        <v>PARECER DMSL: não foi regularizado a instalação do equipamento, nota repassada conforme alinhado com o supervisor.____________________________________________COCMS 26.03.26. SS REPASSADA PARA COEP PROVIDENCIAR MATERIAL. NÃO TEMOS AS PÇ EM ESTOQUE PARA FAZER A SUBSTITUIÇÃO. Solicitação de serviço para reposição de equipamentos furtados .COEP: Equipamento fornecido ao COCM-S para regularização.COCMS: Equipamento substituido conforme solicitado. Gentileza comissionar.PARECER DA PROTEÇÃO:SEGUE NOTA REPASSADA PARA DMSL COMISSIONAR.ENG° IRLLEY CASTELO BRANCOPARECER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v>
      </c>
      <c r="L13" s="27">
        <v>40</v>
      </c>
      <c r="M13" s="27">
        <v>20</v>
      </c>
      <c r="N13" s="27">
        <v>20</v>
      </c>
      <c r="O13" s="27">
        <v>20</v>
      </c>
      <c r="P13" s="27">
        <v>0</v>
      </c>
      <c r="Q13" s="27" t="s">
        <v>69</v>
      </c>
      <c r="R13" s="27" t="s">
        <v>69</v>
      </c>
      <c r="S13" s="27" t="s">
        <v>69</v>
      </c>
      <c r="T13" s="27">
        <f>SUM(Table12[[#This Row],[Premissa 1]:[Premissa 8]])</f>
        <v>100</v>
      </c>
      <c r="U13" s="27" t="s">
        <v>26</v>
      </c>
      <c r="V13" t="s">
        <v>70</v>
      </c>
    </row>
    <row r="14" spans="1:25" ht="15" customHeight="1" x14ac:dyDescent="0.25">
      <c r="A14" s="2">
        <v>5803327001</v>
      </c>
      <c r="B14" s="27" t="str">
        <f>MID(Table12[[#This Row],[Ativo]],1,2)</f>
        <v>58</v>
      </c>
      <c r="C14" s="27" t="s">
        <v>36</v>
      </c>
      <c r="D14" s="27" t="s">
        <v>36</v>
      </c>
      <c r="E14" s="27" t="s">
        <v>32</v>
      </c>
      <c r="F14" s="39" t="str">
        <f>IFERROR(_xlfn.XLOOKUP(Table12[[#This Row],[Ativo]],[2]!Pendentes[COD_RELIGADOR],[2]!Pendentes[SS_ORIGINAL]),"CONCLUÍDA")</f>
        <v>ETO-COEP 00149/2026</v>
      </c>
      <c r="G14" s="39" t="s">
        <v>66</v>
      </c>
      <c r="H14" s="2" t="s">
        <v>71</v>
      </c>
      <c r="J14" s="28" t="s">
        <v>72</v>
      </c>
      <c r="K14" t="str">
        <f>IFERROR(_xlfn.XLOOKUP(Table12[[#This Row],[Ativo]],[2]!Pendentes[COD_RELIGADOR],[2]!Pendentes[DESCRICAO]),"")</f>
        <v>01/07 PARECER COEP: FOI CONFIRMADO COM A OPERAÇÃO QUE O EQUIPAMENTO SEGUIU O FLUXO INTEIRO DE COMISSIONAMENTO, PROTEÇÃO, FAVOR EXPLICAR O QUE FOI REALIZADO E SE EQUIPAMENTO ESTÁ OPERANDO, SENÃO ESTIVER EXPLICAR O QUE FOI FEITO NELE30/06PARECER COEP: REPASSAR DIRETAMENTE PARA OS COCM'SRegulador 5803327001 fora de operação, by passado em campo com painel de comunicação com cabos desconectados tensão 13.8.parecer DMSL: Feedback Equip. EspeciaisRT 5803327001RELÉ RUASid: 4844Data: 19/09/2025Serviço realizado:*Equipamento foi remanejado, 7 km da sua localização sentido Palmas necessário comissionamento completo*Equipamento com um dos cabos umbilicais danificado.* aterramento bucha FC não esta interligada corretamente * para-raios estão no mesmo aterramento da bucha FC.* Tranques  muito alto e próximo da rede  não permitindo o comissionamento com segurança.* Controle alto  demais tem que baixar Equipamento ficou em operação?: nãoPendência: sim, precisa comissionar completoOBS</v>
      </c>
      <c r="L14" s="27">
        <v>40</v>
      </c>
      <c r="M14" s="27">
        <v>0</v>
      </c>
      <c r="N14" s="27">
        <v>0</v>
      </c>
      <c r="O14" s="27">
        <v>20</v>
      </c>
      <c r="P14" s="27">
        <v>20</v>
      </c>
      <c r="Q14" s="27" t="s">
        <v>69</v>
      </c>
      <c r="R14" s="27" t="s">
        <v>69</v>
      </c>
      <c r="S14" s="27" t="s">
        <v>69</v>
      </c>
      <c r="T14" s="27">
        <f>SUM(Table12[[#This Row],[Premissa 1]:[Premissa 8]])</f>
        <v>80</v>
      </c>
      <c r="U14" s="27" t="s">
        <v>43</v>
      </c>
      <c r="V14" t="s">
        <v>73</v>
      </c>
    </row>
    <row r="15" spans="1:25" ht="15" customHeight="1" x14ac:dyDescent="0.25">
      <c r="A15" s="2">
        <v>5854566043</v>
      </c>
      <c r="B15" s="27" t="str">
        <f>MID(Table12[[#This Row],[Ativo]],1,2)</f>
        <v>58</v>
      </c>
      <c r="C15" s="27" t="s">
        <v>74</v>
      </c>
      <c r="D15" s="27" t="s">
        <v>36</v>
      </c>
      <c r="E15" s="27" t="s">
        <v>32</v>
      </c>
      <c r="F15" s="2" t="str">
        <f>IFERROR(_xlfn.XLOOKUP(Table12[[#This Row],[Ativo]],[2]!Pendentes[COD_RELIGADOR],[2]!Pendentes[SS_ORIGINAL]),"CONCLUÍDA")</f>
        <v>ETO-PROT 00158/2026</v>
      </c>
      <c r="G15" s="27" t="s">
        <v>75</v>
      </c>
      <c r="J15" s="28" t="s">
        <v>76</v>
      </c>
      <c r="K15" t="str">
        <f>IFERROR(_xlfn.XLOOKUP(Table12[[#This Row],[Ativo]],[2]!Pendentes[COD_RELIGADOR],[2]!Pendentes[DESCRICAO]),"")</f>
        <v>24/07/2026 - PARECE COCM: EQUIPAMENTO SUBSTITUIDO NA OBRA 0312600352 OS: ETO-RD-PO 1873/202622/07/2026 PARECER COEP: EQUIPAMENTO ENTREGUE AOS COCM´SPRAZO DE 7 DIAS CONTANDO O SLA.PARECER COEP: EQUIPAMENTO ENTREGUE AOS COCM´S FAVOR SUSBSTTUIR , E AGUARDO O PRAZO DE PREVISÃO DE SUBSTIUIÇÃOboa noite,segue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v>
      </c>
      <c r="L15" s="27">
        <v>40</v>
      </c>
      <c r="M15" s="27">
        <v>20</v>
      </c>
      <c r="N15" s="27">
        <v>20</v>
      </c>
      <c r="O15" s="27">
        <v>10</v>
      </c>
      <c r="P15" s="27">
        <v>20</v>
      </c>
      <c r="Q15" s="27" t="s">
        <v>69</v>
      </c>
      <c r="R15" s="27" t="s">
        <v>69</v>
      </c>
      <c r="S15" s="27" t="s">
        <v>69</v>
      </c>
      <c r="T15" s="27">
        <f>SUM(Table12[[#This Row],[Premissa 1]:[Premissa 8]])</f>
        <v>110</v>
      </c>
      <c r="U15" s="27" t="s">
        <v>26</v>
      </c>
      <c r="V15" t="s">
        <v>77</v>
      </c>
    </row>
    <row r="16" spans="1:25" ht="15" customHeight="1" x14ac:dyDescent="0.25">
      <c r="A16" s="2">
        <v>7931608059</v>
      </c>
      <c r="B16" s="27" t="str">
        <f>MID(Table12[[#This Row],[Ativo]],1,2)</f>
        <v>79</v>
      </c>
      <c r="C16" s="27" t="s">
        <v>31</v>
      </c>
      <c r="D16" s="27" t="s">
        <v>31</v>
      </c>
      <c r="E16" s="27" t="s">
        <v>32</v>
      </c>
      <c r="F16" s="2" t="str">
        <f>IFERROR(_xlfn.XLOOKUP(Table12[[#This Row],[Ativo]],[2]!Pendentes[COD_RELIGADOR],[2]!Pendentes[SS_ORIGINAL]),"CONCLUÍDA")</f>
        <v>ETO-COEP 00040/2026</v>
      </c>
      <c r="G16" s="2" t="s">
        <v>75</v>
      </c>
      <c r="J16" s="28" t="s">
        <v>78</v>
      </c>
      <c r="K16" t="str">
        <f>IFERROR(_xlfn.XLOOKUP(Table12[[#This Row],[Ativo]],[2]!Pendentes[COD_RELIGADOR],[2]!Pendentes[DESCRICAO]),"")</f>
        <v>PARECER COEP: EQUIPAMENTO SELECIONADO PARA COMPRADMSL:Serviço Executado: Foi feita uma análise técnica no equipamento, devido à falta de comunicação. Também foi identificado que o tanque do equipamento está danificado, sendo assim,  necessário substituir o tanque e o rádio do equipamento, que está queimado, sendo necessário substituir também.</v>
      </c>
      <c r="L16" s="27">
        <v>15</v>
      </c>
      <c r="M16" s="27">
        <v>20</v>
      </c>
      <c r="N16" s="27">
        <v>15</v>
      </c>
      <c r="O16" s="27">
        <v>15</v>
      </c>
      <c r="P16" s="27">
        <v>15</v>
      </c>
      <c r="Q16" s="27">
        <v>10</v>
      </c>
      <c r="R16" s="27">
        <v>0</v>
      </c>
      <c r="S16" s="27">
        <v>15</v>
      </c>
      <c r="T16" s="27">
        <f>SUM(Table12[[#This Row],[Premissa 1]:[Premissa 8]])</f>
        <v>105</v>
      </c>
      <c r="U16" s="27" t="s">
        <v>26</v>
      </c>
      <c r="V16" t="s">
        <v>79</v>
      </c>
    </row>
    <row r="17" spans="1:22" ht="15" customHeight="1" x14ac:dyDescent="0.25">
      <c r="A17" s="2">
        <v>7925744087</v>
      </c>
      <c r="B17" s="27" t="str">
        <f>MID(Table12[[#This Row],[Ativo]],1,2)</f>
        <v>79</v>
      </c>
      <c r="C17" s="27" t="s">
        <v>80</v>
      </c>
      <c r="D17" s="27" t="s">
        <v>81</v>
      </c>
      <c r="E17" s="27" t="s">
        <v>24</v>
      </c>
      <c r="F17" s="2" t="str">
        <f>IFERROR(_xlfn.XLOOKUP(Table12[[#This Row],[Ativo]],[2]!Pendentes[COD_RELIGADOR],[2]!Pendentes[SS_ORIGINAL]),"CONCLUÍDA")</f>
        <v>ETO-COEP 00059/2026</v>
      </c>
      <c r="G17" s="2" t="s">
        <v>75</v>
      </c>
      <c r="J17" s="28"/>
      <c r="K17" t="str">
        <f>IFERROR(_xlfn.XLOOKUP(Table12[[#This Row],[Ativo]],[2]!Pendentes[COD_RELIGADOR],[2]!Pendentes[DESCRICAO]),"")</f>
        <v>PARECER COEP: EQUIPAMENTO SELECIONADO PARA COMPRAPARECER DMSL: FEEDBACK EQUIP. ESPECIAISNº DO EQUIPAMENTO:  7925744087TIPO EQUIPAMENTO: Noja RC 10TIPO DE COMUNICAÇÃO: Radio GE IPDATA DA MANUTENÇÃO: 19/02/2026SID: 735/2026 DESCRIÇÃO: foi identificado água dentro da parte interna do tanque e cabo umbilical encharcado de água foi passado essas informações para COS.FICOU EM OPERAÇÃO?: Não PENDÊNCIA: Sim substituir tanque e cabo umbilicalDADOS DIVERGENTES DA PROGRAMAÇÃO: NãoBATERIA SUBSTITUÍDA?: Não DATA DA BATERIA: 07/05/2025TIPO DE BATERIA: Lítio EQUIPE: Edeglan e Janio-------------------------------------------------------------------------------------------------RELIGADOR SEM COMUNICAÇÃO, APOS PRIMEIRO ATAQUE RETORNA E FICAR INDEFINIDO.</v>
      </c>
      <c r="L17" s="27">
        <v>15</v>
      </c>
      <c r="M17" s="27">
        <v>20</v>
      </c>
      <c r="N17" s="27">
        <v>5</v>
      </c>
      <c r="O17" s="27">
        <v>15</v>
      </c>
      <c r="P17" s="27">
        <v>15</v>
      </c>
      <c r="Q17" s="27">
        <v>10</v>
      </c>
      <c r="R17" s="27">
        <v>0</v>
      </c>
      <c r="S17" s="27">
        <v>15</v>
      </c>
      <c r="T17" s="27">
        <f>SUM(Table12[[#This Row],[Premissa 1]:[Premissa 8]])</f>
        <v>95</v>
      </c>
      <c r="U17" s="27" t="s">
        <v>26</v>
      </c>
      <c r="V17" t="s">
        <v>82</v>
      </c>
    </row>
    <row r="18" spans="1:22" ht="15" customHeight="1" x14ac:dyDescent="0.25">
      <c r="A18" s="2">
        <v>7900453110</v>
      </c>
      <c r="B18" s="27" t="str">
        <f>MID(Table12[[#This Row],[Ativo]],1,2)</f>
        <v>79</v>
      </c>
      <c r="C18" s="27" t="s">
        <v>83</v>
      </c>
      <c r="D18" s="27" t="s">
        <v>36</v>
      </c>
      <c r="E18" s="27" t="s">
        <v>32</v>
      </c>
      <c r="F18" s="2" t="str">
        <f>IFERROR(_xlfn.XLOOKUP(Table12[[#This Row],[Ativo]],[2]!Pendentes[COD_RELIGADOR],[2]!Pendentes[SS_ORIGINAL]),"CONCLUÍDA")</f>
        <v>ETO-COEP 00087/2026</v>
      </c>
      <c r="G18" s="2" t="s">
        <v>75</v>
      </c>
      <c r="H18" s="2" t="s">
        <v>84</v>
      </c>
      <c r="J18" s="28" t="s">
        <v>54</v>
      </c>
      <c r="K18" t="str">
        <f>IFERROR(_xlfn.XLOOKUP(Table12[[#This Row],[Ativo]],[2]!Pendentes[COD_RELIGADOR],[2]!Pendentes[DESCRICAO]),"")</f>
        <v>10/07/2026 EQUIPAMENTO SELECIONADO PARA COMPRA PARTE ATIVA30/06.PARECER COEP: ALINHADO COM O ALLAN REMANEJAMOS PARTE ATIVA PARA ATENDER 7933726256PARECER COEP: Aproveitar controle cooper se possível em outro local, previsão de chegada do material dia 01/07 para substituiçãoFavor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completo.Equipamento ficou em operação?: _SIM_a pedido do COS ficou em operação, a operação está ciente da necessidade de substituir.Pendência: Sim, será necessário substituir o equipamento.</v>
      </c>
      <c r="L18" s="27">
        <v>15</v>
      </c>
      <c r="M18" s="27">
        <v>10</v>
      </c>
      <c r="N18" s="27">
        <v>5</v>
      </c>
      <c r="O18" s="27">
        <v>15</v>
      </c>
      <c r="P18" s="27">
        <v>15</v>
      </c>
      <c r="Q18" s="27">
        <v>10</v>
      </c>
      <c r="R18" s="27">
        <v>0</v>
      </c>
      <c r="S18" s="27">
        <v>15</v>
      </c>
      <c r="T18" s="27">
        <f>SUM(Table12[[#This Row],[Premissa 1]:[Premissa 8]])</f>
        <v>85</v>
      </c>
      <c r="U18" s="27" t="s">
        <v>26</v>
      </c>
      <c r="V18" t="s">
        <v>85</v>
      </c>
    </row>
    <row r="19" spans="1:22" ht="15" customHeight="1" x14ac:dyDescent="0.25">
      <c r="A19" s="2">
        <v>5800371025</v>
      </c>
      <c r="B19" s="27" t="str">
        <f>MID(Table12[[#This Row],[Ativo]],1,2)</f>
        <v>58</v>
      </c>
      <c r="C19" s="27" t="s">
        <v>86</v>
      </c>
      <c r="D19" s="27" t="s">
        <v>87</v>
      </c>
      <c r="E19" s="27" t="s">
        <v>24</v>
      </c>
      <c r="F19" s="2" t="str">
        <f>IFERROR(_xlfn.XLOOKUP(Table12[[#This Row],[Ativo]],[2]!Pendentes[COD_RELIGADOR],[2]!Pendentes[SS_ORIGINAL]),"CONCLUÍDA")</f>
        <v>ETO-TELE 01040/2026</v>
      </c>
      <c r="G19" s="2" t="s">
        <v>75</v>
      </c>
      <c r="J19" s="28" t="s">
        <v>88</v>
      </c>
      <c r="K19" t="str">
        <f>IFERROR(_xlfn.XLOOKUP(Table12[[#This Row],[Ativo]],[2]!Pendentes[COD_RELIGADOR],[2]!Pendentes[DESCRICAO]),"")</f>
        <v>16/07/2026 PARECER COEP: ALINHADO COM O KELLITON REALIZAR SUBSTITUIÇÃO DO CONTROLE DE TUPIRAMA, ALINHADO COM O JEAN QUE OS CABOS COMPATIBILIZADORES VÃO CHEGAR 16/08 , ATÉ ESSA DATA MANTER ESSA SS E CONTROLE RUA, DEPOIS REPASSAR PARA O DMSLPARECER COEP: AVALIAR COM O LEANDRO, PROVAVELMENTE SÓ COMPRAPARECER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etc.Segue nota para veriifcar falha em regulador de tensão N: 5800371025 dentro S/E Arapoema , equipamento esta com 2 reles com falha  marca toshiba .Parecer DCMD: foi substituido célula 30/07/2026. o mesmo está liberado para ser colocado em operação</v>
      </c>
      <c r="L19" s="27">
        <v>0</v>
      </c>
      <c r="M19" s="27">
        <v>20</v>
      </c>
      <c r="N19" s="27">
        <v>20</v>
      </c>
      <c r="O19" s="27">
        <v>10</v>
      </c>
      <c r="P19" s="27">
        <v>20</v>
      </c>
      <c r="Q19" s="27" t="s">
        <v>69</v>
      </c>
      <c r="R19" s="27" t="s">
        <v>69</v>
      </c>
      <c r="S19" s="27" t="s">
        <v>69</v>
      </c>
      <c r="T19" s="27">
        <f>SUM(Table12[[#This Row],[Premissa 1]:[Premissa 8]])</f>
        <v>70</v>
      </c>
      <c r="U19" s="27" t="s">
        <v>43</v>
      </c>
      <c r="V19" t="s">
        <v>89</v>
      </c>
    </row>
    <row r="20" spans="1:22" ht="15" customHeight="1" x14ac:dyDescent="0.25">
      <c r="A20" s="2">
        <v>7926089013</v>
      </c>
      <c r="B20" s="27" t="str">
        <f>MID(Table12[[#This Row],[Ativo]],1,2)</f>
        <v>79</v>
      </c>
      <c r="C20" s="27" t="s">
        <v>90</v>
      </c>
      <c r="D20" s="27" t="s">
        <v>90</v>
      </c>
      <c r="E20" s="27" t="s">
        <v>32</v>
      </c>
      <c r="F20" s="2" t="str">
        <f>IFERROR(_xlfn.XLOOKUP(Table12[[#This Row],[Ativo]],[2]!Pendentes[COD_RELIGADOR],[2]!Pendentes[SS_ORIGINAL]),"CONCLUÍDA")</f>
        <v>ETO-COEP 00078/2026</v>
      </c>
      <c r="G20" s="2" t="s">
        <v>75</v>
      </c>
      <c r="J20" s="28" t="s">
        <v>54</v>
      </c>
      <c r="K20" t="str">
        <f>IFERROR(_xlfn.XLOOKUP(Table12[[#This Row],[Ativo]],[2]!Pendentes[COD_RELIGADOR],[2]!Pendentes[DESCRICAO]),"")</f>
        <v>PARECER COEP: EQUIPAMENTO SELECIONADO PARA COMPRAPARECER DMSL: Feedback Equip. EspeciaisRLG 7926089013,RELÉ NOJA RC10SID 1805/2026DATA 15/04/2026Serviço Executado: Favor realizar a troca da parte ativa do equipamento --reprogramar para atualizar a base juntamente com escada Equipamento ficou em operação: Não Pendência: sim atualizar a base e  subistituir o tanque Bateria(s) substituída(s)? Não Data de Fabricação/Instalação da(s) bateria(s): Equipe: Carliel e João Vitor Fernando e Elson---------------------------------------------------------------------------------ATUALIZAR AJUSTES DO RL 7926089013 LD PARAISO I  A  PIUM. IMPLEMENTAÇÃO DA FUNÇÃO 27, SUBTENSÃO.AJUSTES DISPONIVEIS NO APP DA PROTEÇÃO.</v>
      </c>
      <c r="L20" s="27">
        <v>15</v>
      </c>
      <c r="M20" s="27">
        <v>10</v>
      </c>
      <c r="N20" s="27">
        <v>5</v>
      </c>
      <c r="O20" s="27">
        <v>15</v>
      </c>
      <c r="P20" s="27">
        <v>15</v>
      </c>
      <c r="Q20" s="27">
        <v>10</v>
      </c>
      <c r="R20" s="27">
        <v>0</v>
      </c>
      <c r="S20" s="27">
        <v>0</v>
      </c>
      <c r="T20" s="27">
        <f>SUM(Table12[[#This Row],[Premissa 1]:[Premissa 8]])</f>
        <v>70</v>
      </c>
      <c r="U20" s="27" t="s">
        <v>43</v>
      </c>
      <c r="V20" t="s">
        <v>91</v>
      </c>
    </row>
    <row r="21" spans="1:22" ht="15" customHeight="1" x14ac:dyDescent="0.25">
      <c r="A21" s="2">
        <v>7927646026</v>
      </c>
      <c r="B21" s="27" t="str">
        <f>MID(Table12[[#This Row],[Ativo]],1,2)</f>
        <v>79</v>
      </c>
      <c r="C21" s="27" t="s">
        <v>41</v>
      </c>
      <c r="D21" s="27" t="s">
        <v>41</v>
      </c>
      <c r="E21" s="27" t="s">
        <v>32</v>
      </c>
      <c r="F21" s="2" t="str">
        <f>IFERROR(_xlfn.XLOOKUP(Table12[[#This Row],[Ativo]],[2]!Pendentes[COD_RELIGADOR],[2]!Pendentes[SS_ORIGINAL]),"CONCLUÍDA")</f>
        <v>ETO-COEP 00029/2026</v>
      </c>
      <c r="G21" s="2" t="s">
        <v>75</v>
      </c>
      <c r="J21" s="28" t="s">
        <v>54</v>
      </c>
      <c r="K21" t="str">
        <f>IFERROR(_xlfn.XLOOKUP(Table12[[#This Row],[Ativo]],[2]!Pendentes[COD_RELIGADOR],[2]!Pendentes[DESCRICAO]),"")</f>
        <v>PARECER COEP: EQUIPAMENTO SELECIONADO PARA COMPRARELIGADOR BY PASSADO POR DEFEITO, NECESSÁRIO AVALIAÇÃO DO PROBLEMA.parecer dmsl:O religador apresenta defeito no tanque, sendo necessário substituir o tanque o mesmo está tirando a linha, e troca os  isoladores. Quando retornar, trazer uma fonte para o equipamento, a mesma foi removida.FICOU EM OPERAÇÃO? NãoPENDÊNCIA: Sim, aguardando peças para substituição.</v>
      </c>
      <c r="L21" s="27">
        <v>15</v>
      </c>
      <c r="M21" s="27">
        <v>10</v>
      </c>
      <c r="N21" s="27">
        <v>5</v>
      </c>
      <c r="O21" s="27">
        <v>0</v>
      </c>
      <c r="P21" s="27">
        <v>15</v>
      </c>
      <c r="Q21" s="27">
        <v>0</v>
      </c>
      <c r="R21" s="27">
        <v>10</v>
      </c>
      <c r="S21" s="27">
        <v>0</v>
      </c>
      <c r="T21" s="27">
        <f>SUM(Table12[[#This Row],[Premissa 1]:[Premissa 8]])</f>
        <v>55</v>
      </c>
      <c r="U21" s="27" t="s">
        <v>43</v>
      </c>
      <c r="V21" t="s">
        <v>92</v>
      </c>
    </row>
    <row r="22" spans="1:22" ht="15" customHeight="1" x14ac:dyDescent="0.25">
      <c r="A22" s="2">
        <v>5800859011</v>
      </c>
      <c r="B22" s="27" t="str">
        <f>MID(Table12[[#This Row],[Ativo]],1,2)</f>
        <v>58</v>
      </c>
      <c r="C22" s="27" t="s">
        <v>93</v>
      </c>
      <c r="D22" s="27" t="s">
        <v>81</v>
      </c>
      <c r="E22" s="27" t="s">
        <v>24</v>
      </c>
      <c r="F22" s="2" t="str">
        <f>IFERROR(_xlfn.XLOOKUP(Table12[[#This Row],[Ativo]],[2]!Pendentes[COD_RELIGADOR],[2]!Pendentes[SS_ORIGINAL]),"CONCLUÍDA")</f>
        <v>CONCLUÍDA</v>
      </c>
      <c r="G22" s="2" t="s">
        <v>94</v>
      </c>
      <c r="H22" s="2" t="s">
        <v>95</v>
      </c>
      <c r="J22" s="28" t="s">
        <v>96</v>
      </c>
      <c r="K22" t="str">
        <f>IFERROR(_xlfn.XLOOKUP(Table12[[#This Row],[Ativo]],[2]!Pendentes[COD_RELIGADOR],[2]!Pendentes[DESCRICAO]),"")</f>
        <v/>
      </c>
      <c r="L22" s="27">
        <v>40</v>
      </c>
      <c r="M22" s="27">
        <v>20</v>
      </c>
      <c r="N22" s="27">
        <v>20</v>
      </c>
      <c r="O22" s="27">
        <v>10</v>
      </c>
      <c r="P22" s="27">
        <v>20</v>
      </c>
      <c r="Q22" s="27" t="s">
        <v>69</v>
      </c>
      <c r="R22" s="27" t="s">
        <v>69</v>
      </c>
      <c r="S22" s="27" t="s">
        <v>69</v>
      </c>
      <c r="T22" s="27">
        <f>SUM(Table12[[#This Row],[Premissa 1]:[Premissa 8]])</f>
        <v>110</v>
      </c>
      <c r="U22" s="27" t="s">
        <v>26</v>
      </c>
      <c r="V22" t="s">
        <v>97</v>
      </c>
    </row>
    <row r="23" spans="1:22" ht="15" customHeight="1" x14ac:dyDescent="0.25">
      <c r="A23" s="2">
        <v>7900117013</v>
      </c>
      <c r="B23" s="27" t="str">
        <f>MID(Table12[[#This Row],[Ativo]],1,2)</f>
        <v>79</v>
      </c>
      <c r="C23" s="27" t="s">
        <v>90</v>
      </c>
      <c r="D23" s="27" t="s">
        <v>90</v>
      </c>
      <c r="E23" s="27" t="s">
        <v>32</v>
      </c>
      <c r="F23" s="2" t="str">
        <f>IFERROR(_xlfn.XLOOKUP(Table12[[#This Row],[Ativo]],[2]!Pendentes[COD_RELIGADOR],[2]!Pendentes[SS_ORIGINAL]),"CONCLUÍDA")</f>
        <v>ETO-PROT 00154/2026</v>
      </c>
      <c r="G23" s="2" t="s">
        <v>94</v>
      </c>
      <c r="H23" s="2" t="s">
        <v>98</v>
      </c>
      <c r="I23" s="2" t="s">
        <v>46</v>
      </c>
      <c r="J23" s="28" t="s">
        <v>99</v>
      </c>
      <c r="K23" t="str">
        <f>IFERROR(_xlfn.XLOOKUP(Table12[[#This Row],[Ativo]],[2]!Pendentes[COD_RELIGADOR],[2]!Pendentes[DESCRICAO]),"")</f>
        <v>15/07 PARECER COCM: EQUIPAMENTO FOI SUBSTITUÍDO OBRA 021260042210/07 PARECER COEP: EQUIPAMENTO ENTREGUE AOS COCM´S FAVOR INFORMAR PRAZO DE SUBSTUIÇÃO PARA O DMSL E REPASSAR DEPOIS PARA PROTEÇÃO REALIZAR OS AJUSTES E DESCREVER NA SS O SERVIÇO REALIZADOPARECER COEP: PREVISÃO DE ENTREGA AOS COCM'S 01/07Segue nota para correção de anomalia e provável substituição de religador , religador 7900117013 -RDU - Paraiso .OBS: equipe DMSL Elisfran estava atualizando firmware no equipamento  , porém relé parou de funcionar devido essa atualização , sendo necessário sua substituição .em campo o modelo e   cooper Form6 , segundo tecnico deve ser substituído por um Noja .Repassado para o COEP para aquisição do equipamento e posterior repasse para o COCM.</v>
      </c>
      <c r="L23" s="27">
        <v>15</v>
      </c>
      <c r="M23" s="27">
        <v>20</v>
      </c>
      <c r="N23" s="27">
        <v>15</v>
      </c>
      <c r="O23" s="27">
        <v>15</v>
      </c>
      <c r="P23" s="27">
        <v>15</v>
      </c>
      <c r="Q23" s="27">
        <v>0</v>
      </c>
      <c r="R23" s="27">
        <v>0</v>
      </c>
      <c r="S23" s="27">
        <v>15</v>
      </c>
      <c r="T23" s="27">
        <f>SUM(Table12[[#This Row],[Premissa 1]:[Premissa 8]])</f>
        <v>95</v>
      </c>
      <c r="U23" s="27" t="s">
        <v>26</v>
      </c>
      <c r="V23" t="s">
        <v>100</v>
      </c>
    </row>
    <row r="24" spans="1:22" ht="15" customHeight="1" x14ac:dyDescent="0.25">
      <c r="A24" s="2">
        <v>7929376022</v>
      </c>
      <c r="B24" s="27" t="str">
        <f>MID(Table12[[#This Row],[Ativo]],1,2)</f>
        <v>79</v>
      </c>
      <c r="C24" s="27" t="s">
        <v>101</v>
      </c>
      <c r="D24" s="27" t="s">
        <v>23</v>
      </c>
      <c r="E24" s="27" t="s">
        <v>24</v>
      </c>
      <c r="F24" s="2" t="str">
        <f>IFERROR(_xlfn.XLOOKUP(Table12[[#This Row],[Ativo]],[2]!Pendentes[COD_RELIGADOR],[2]!Pendentes[SS_ORIGINAL]),"CONCLUÍDA")</f>
        <v>ETO-TELE 01107/2026</v>
      </c>
      <c r="G24" s="2" t="s">
        <v>94</v>
      </c>
      <c r="H24" s="35" t="s">
        <v>102</v>
      </c>
      <c r="I24" s="2" t="s">
        <v>46</v>
      </c>
      <c r="J24" s="28"/>
      <c r="K24" t="str">
        <f>IFERROR(_xlfn.XLOOKUP(Table12[[#This Row],[Ativo]],[2]!Pendentes[COD_RELIGADOR],[2]!Pendentes[DESCRICAO]),"")</f>
        <v>13/08/2026 PARECER COEP: EQUIPAMENTO FOI TROCADO A PEÇA , CONFIRMAMOS COM O LEONARDO DE ARAGUAÍNA , LAUDO EM ANEXO , FAVOR REALIZAR COMISSIONAMENTOPARECER COEP: PROBLEMA NO ENVIO COCM'S CONTROLE ENVIADO FOI O NOJA , DEVIDO A FALTA DO MODELO NA SS (GRAVE)PARECER DMSL: *FEEDBACK EQUIP. ESPECIAIS**Nº DO EQUIPAMENTO:* 7929376022 *DATA DA MANUTENÇÃO:* 02/04/2026*SID:* 1677/2026*DESCRIÇÃO:* Trocar controle completo*PENDÊNCIA:* Sim.*DADOS DIVERGENTES DA PROGRAMAÇÃO:* Não*BATERIA SUBSTITUÍDA?:* Não*EQUIPE:* Adeilton e Edicleber __________________________________________________________POR GENTILEZA ATENDER SOLICITAÇÃO PRIMEIRO ATAQUE IDENTIFICOU QUE RELE ESTA EM CURTO NOTA ABERTA 224/2026 FOI BAIXADA POREM NÃO FOI CORRIGIDO PROBLEMA EM CAMPO.</v>
      </c>
      <c r="L24" s="27">
        <v>15</v>
      </c>
      <c r="M24" s="27">
        <v>20</v>
      </c>
      <c r="N24" s="27">
        <v>5</v>
      </c>
      <c r="O24" s="27">
        <v>15</v>
      </c>
      <c r="P24" s="27">
        <v>15</v>
      </c>
      <c r="Q24" s="27">
        <v>10</v>
      </c>
      <c r="R24" s="27">
        <v>0</v>
      </c>
      <c r="S24" s="27">
        <v>15</v>
      </c>
      <c r="T24" s="27">
        <f>SUM(Table12[[#This Row],[Premissa 1]:[Premissa 8]])</f>
        <v>95</v>
      </c>
      <c r="U24" s="27" t="s">
        <v>26</v>
      </c>
      <c r="V24" t="s">
        <v>103</v>
      </c>
    </row>
    <row r="25" spans="1:22" ht="15" customHeight="1" x14ac:dyDescent="0.25">
      <c r="A25" s="2">
        <v>7908686014</v>
      </c>
      <c r="B25" s="27" t="str">
        <f>MID(Table12[[#This Row],[Ativo]],1,2)</f>
        <v>79</v>
      </c>
      <c r="C25" s="27" t="s">
        <v>104</v>
      </c>
      <c r="D25" s="27" t="s">
        <v>90</v>
      </c>
      <c r="E25" s="27" t="s">
        <v>32</v>
      </c>
      <c r="F25" s="2" t="str">
        <f>IFERROR(_xlfn.XLOOKUP(Table12[[#This Row],[Ativo]],[2]!Pendentes[COD_RELIGADOR],[2]!Pendentes[SS_ORIGINAL]),"CONCLUÍDA")</f>
        <v>ETO-PROT 00159/2026</v>
      </c>
      <c r="G25" s="2" t="s">
        <v>94</v>
      </c>
      <c r="H25" s="2" t="s">
        <v>98</v>
      </c>
      <c r="I25" s="2" t="s">
        <v>46</v>
      </c>
      <c r="J25" s="28" t="s">
        <v>54</v>
      </c>
      <c r="K25" t="str">
        <f>IFERROR(_xlfn.XLOOKUP(Table12[[#This Row],[Ativo]],[2]!Pendentes[COD_RELIGADOR],[2]!Pendentes[DESCRICAO]),"")</f>
        <v>24/07 PARECER COCM: EQUIPAMENTO FOI SUBSTITUIDO OBRA 021260042510/07 PARECER COEP: EQUIPAMENTO ENTREGUE AOS COCM´S FAVOR INFORMAR PRAZO DE SUBSTUIÇÃO PARA O DMSL E REPASSAR DEPOIS PARA PROTEÇÃO REALIZAR OS AJUSTES E DESCREVER NA SS O SERVIÇO REALIZADO06/07 PARECER COEP: PREVISÃO DE ENTREGA DE ACORDO COM CALENDÁRIO LOGISITCO NOVO 06/07NOTA DMSL: Favor substituir o tanque, ele não está efetuando os comandos enviados. Não substituir o controle pois o mesmo funciona como repetidor de outros equipamentos.Segue nota para verificar falha de fechamento religador 7908686014- Pium .OBS: equipamento não fechou local e remoto , fica sinalizando no painel para verificar alarmes !</v>
      </c>
      <c r="L25" s="27">
        <v>15</v>
      </c>
      <c r="M25" s="27">
        <v>20</v>
      </c>
      <c r="N25" s="27">
        <v>0</v>
      </c>
      <c r="O25" s="27">
        <v>15</v>
      </c>
      <c r="P25" s="27">
        <v>15</v>
      </c>
      <c r="Q25" s="27">
        <v>10</v>
      </c>
      <c r="R25" s="27">
        <v>0</v>
      </c>
      <c r="S25" s="27">
        <v>15</v>
      </c>
      <c r="T25" s="27">
        <f>SUM(Table12[[#This Row],[Premissa 1]:[Premissa 8]])</f>
        <v>90</v>
      </c>
      <c r="U25" s="27" t="s">
        <v>26</v>
      </c>
      <c r="V25" t="s">
        <v>105</v>
      </c>
    </row>
    <row r="26" spans="1:22" ht="15" customHeight="1" x14ac:dyDescent="0.25">
      <c r="A26" s="2">
        <v>7925087021</v>
      </c>
      <c r="B26" s="27" t="str">
        <f>MID(Table12[[#This Row],[Ativo]],1,2)</f>
        <v>79</v>
      </c>
      <c r="C26" s="27" t="s">
        <v>106</v>
      </c>
      <c r="D26" s="27" t="s">
        <v>107</v>
      </c>
      <c r="E26" s="27" t="s">
        <v>58</v>
      </c>
      <c r="F26" s="2" t="str">
        <f>IFERROR(_xlfn.XLOOKUP(Table12[[#This Row],[Ativo]],[2]!Pendentes[COD_RELIGADOR],[2]!Pendentes[SS_ORIGINAL]),"CONCLUÍDA")</f>
        <v>ETO-PROT 00152/2026</v>
      </c>
      <c r="G26" s="2" t="s">
        <v>94</v>
      </c>
      <c r="H26" s="2" t="s">
        <v>98</v>
      </c>
      <c r="I26" s="2" t="s">
        <v>46</v>
      </c>
      <c r="J26" s="28" t="s">
        <v>54</v>
      </c>
      <c r="K26" t="str">
        <f>IFERROR(_xlfn.XLOOKUP(Table12[[#This Row],[Ativo]],[2]!Pendentes[COD_RELIGADOR],[2]!Pendentes[DESCRICAO]),"")</f>
        <v>10/07 PARECER COEP: EQUIPAMENTO ENTREGUE AOS COCM´S FAVOR INFORMAR PRAZO DE SUBSTUIÇÃO PARA O DMSL E REPASSAR DEPOIS PARA PROTEÇÃO REALIZAR OS AJUSTES E DESCREVER NA SS O SERVIÇO REALIZADOPARECER COEP: EM ROTA DE ENTREGA, VERIFICAR PREVISÃO DE CHEGADARealizar a substituição do tanque do equipamento.</v>
      </c>
      <c r="L26" s="27">
        <v>15</v>
      </c>
      <c r="M26" s="27">
        <v>10</v>
      </c>
      <c r="N26" s="27">
        <v>5</v>
      </c>
      <c r="O26" s="27">
        <v>0</v>
      </c>
      <c r="P26" s="27">
        <v>15</v>
      </c>
      <c r="Q26" s="27">
        <v>10</v>
      </c>
      <c r="R26" s="27">
        <v>0</v>
      </c>
      <c r="S26" s="27">
        <v>15</v>
      </c>
      <c r="T26" s="27">
        <f>SUM(Table12[[#This Row],[Premissa 1]:[Premissa 8]])</f>
        <v>70</v>
      </c>
      <c r="U26" s="27" t="s">
        <v>43</v>
      </c>
      <c r="V26" t="s">
        <v>108</v>
      </c>
    </row>
    <row r="27" spans="1:22" ht="15" customHeight="1" x14ac:dyDescent="0.25">
      <c r="A27" s="2">
        <v>5801866013</v>
      </c>
      <c r="B27" s="27" t="str">
        <f>MID(Table12[[#This Row],[Ativo]],1,2)</f>
        <v>58</v>
      </c>
      <c r="C27" s="27" t="s">
        <v>90</v>
      </c>
      <c r="D27" s="27" t="s">
        <v>90</v>
      </c>
      <c r="E27" s="27" t="s">
        <v>32</v>
      </c>
      <c r="F27" s="2" t="str">
        <f>IFERROR(_xlfn.XLOOKUP(Table12[[#This Row],[Ativo]],[2]!Pendentes[COD_RELIGADOR],[2]!Pendentes[SS_ORIGINAL]),"CONCLUÍDA")</f>
        <v>ETO-PROT 00151/2026</v>
      </c>
      <c r="G27" s="2" t="s">
        <v>94</v>
      </c>
      <c r="H27" s="2" t="s">
        <v>109</v>
      </c>
      <c r="J27" s="28" t="s">
        <v>76</v>
      </c>
      <c r="K27" t="str">
        <f>IFERROR(_xlfn.XLOOKUP(Table12[[#This Row],[Ativo]],[2]!Pendentes[COD_RELIGADOR],[2]!Pendentes[DESCRICAO]),"")</f>
        <v>15/07 PARECER COCM, FOI ATENDIDA PELA OS ETO-RD-PS 1616/2026 OBRA-021260053910/07 PARECER COEP: EQUIPAMENTO ENTREGUE AOS COCM´S FAVOR INFORMAR PRAZO DE SUBSTUIÇÃO PARA O DMSL E REPASSAR DEPOIS PARA PROTEÇÃO REALIZAR OS AJUSTES E DESCREVER NA SS O SERVIÇO REALIZADOPARECER COEP: EM PROCESSO DE ENTREGAPARECER DMSL: RT 5801866013Serviço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BR.Obs.: Será necessário baixar todo o banco pelo menos um metro, as buchas estão muito próximas a parte energizada não oferecem segurança para equipe no momento do ensaio elétrico.Equipamento ficou em operação?: Não Possui nobreak: SimPossui antena: SimPossui rádio:SimPendência: SimData da bateria:  Equipe: Benvindo e Kaique._______________________________________________RT 5801866013BY PASSADO DEVIDO DEFEITO EM CELULA BEMVINDO ESTEVE NO LOCAL JUNTO AO COD .NECESSARIO TRATATIVA PARA MESMA .FASE DANIFICADO C</v>
      </c>
      <c r="L27" s="27">
        <v>0</v>
      </c>
      <c r="M27" s="27">
        <v>20</v>
      </c>
      <c r="N27" s="27">
        <v>20</v>
      </c>
      <c r="O27" s="27">
        <v>20</v>
      </c>
      <c r="P27" s="27">
        <v>10</v>
      </c>
      <c r="Q27" s="27" t="s">
        <v>69</v>
      </c>
      <c r="R27" s="27" t="s">
        <v>69</v>
      </c>
      <c r="S27" s="27" t="s">
        <v>69</v>
      </c>
      <c r="T27" s="27">
        <f>SUM(Table12[[#This Row],[Premissa 1]:[Premissa 8]])</f>
        <v>70</v>
      </c>
      <c r="U27" s="27" t="s">
        <v>43</v>
      </c>
      <c r="V27" t="s">
        <v>110</v>
      </c>
    </row>
    <row r="28" spans="1:22" ht="15" customHeight="1" x14ac:dyDescent="0.25">
      <c r="A28" s="2">
        <v>7900573047</v>
      </c>
      <c r="B28" s="27" t="str">
        <f>MID(Table12[[#This Row],[Ativo]],1,2)</f>
        <v>79</v>
      </c>
      <c r="C28" s="27" t="s">
        <v>111</v>
      </c>
      <c r="D28" s="27" t="s">
        <v>112</v>
      </c>
      <c r="E28" s="27" t="s">
        <v>58</v>
      </c>
      <c r="F28" s="2" t="str">
        <f>IFERROR(_xlfn.XLOOKUP(Table12[[#This Row],[Ativo]],[2]!Pendentes[COD_RELIGADOR],[2]!Pendentes[SS_ORIGINAL]),"CONCLUÍDA")</f>
        <v>ETO-PROT 00153/2026</v>
      </c>
      <c r="G28" s="2" t="s">
        <v>94</v>
      </c>
      <c r="H28" s="2" t="s">
        <v>98</v>
      </c>
      <c r="I28" s="2" t="s">
        <v>46</v>
      </c>
      <c r="J28" s="28" t="s">
        <v>113</v>
      </c>
      <c r="K28" t="str">
        <f>IFERROR(_xlfn.XLOOKUP(Table12[[#This Row],[Ativo]],[2]!Pendentes[COD_RELIGADOR],[2]!Pendentes[DESCRICAO]),"")</f>
        <v>10/07 PARECER COEP: EQUIPAMENTO ENTREGUE AOS COCM´S FAVOR INFORMAR PRAZO DE SUBSTUIÇÃO PARA O DMSL E REPASSAR DEPOIS PARA PROTEÇÃO REALIZAR OS AJUSTES E DESCREVER NA SS O SERVIÇO REALIZADOPARECER COEP: AGUARDANDO COCM'S GERAREM AS OBRAS PARA PODER ENTREGAR MATERIALFavor providenciar manutenção no RL 7900573047, o mesmo estar em curto conforme fotos anexadas. Equipamento ficou bay passado em campo.PARECER DMSL: Equipe: FABIO AP./JOÃO MARCOSData Executada: 15/10/2025Serviço Executado:Foi constatado que o equipamento esta queimado na parte ativa placa, tanque e relé. Por favor fazer a substituição pelo Noja RC10.</v>
      </c>
      <c r="L28" s="27">
        <v>5</v>
      </c>
      <c r="M28" s="27">
        <v>5</v>
      </c>
      <c r="N28" s="27">
        <v>15</v>
      </c>
      <c r="O28" s="27">
        <v>0</v>
      </c>
      <c r="P28" s="27">
        <v>15</v>
      </c>
      <c r="Q28" s="27">
        <v>10</v>
      </c>
      <c r="R28" s="27">
        <v>0</v>
      </c>
      <c r="S28" s="27">
        <v>15</v>
      </c>
      <c r="T28" s="27">
        <f>SUM(Table12[[#This Row],[Premissa 1]:[Premissa 8]])</f>
        <v>65</v>
      </c>
      <c r="U28" s="27" t="s">
        <v>43</v>
      </c>
      <c r="V28" t="s">
        <v>114</v>
      </c>
    </row>
    <row r="29" spans="1:22" ht="15" customHeight="1" x14ac:dyDescent="0.25">
      <c r="A29" s="2">
        <v>7953610256</v>
      </c>
      <c r="B29" s="27" t="str">
        <f>MID(Table12[[#This Row],[Ativo]],1,2)</f>
        <v>79</v>
      </c>
      <c r="C29" s="27" t="s">
        <v>40</v>
      </c>
      <c r="D29" s="27" t="s">
        <v>41</v>
      </c>
      <c r="E29" s="27" t="s">
        <v>32</v>
      </c>
      <c r="F29" s="2" t="str">
        <f>IFERROR(_xlfn.XLOOKUP(Table12[[#This Row],[Ativo]],[2]!Pendentes[COD_RELIGADOR],[2]!Pendentes[SS_ORIGINAL]),"CONCLUÍDA")</f>
        <v>ETO-PROT 00157/2026</v>
      </c>
      <c r="G29" s="2" t="s">
        <v>94</v>
      </c>
      <c r="H29" s="2" t="s">
        <v>95</v>
      </c>
      <c r="J29" s="28"/>
      <c r="K29" t="str">
        <f>IFERROR(_xlfn.XLOOKUP(Table12[[#This Row],[Ativo]],[2]!Pendentes[COD_RELIGADOR],[2]!Pendentes[DESCRICAO]),"")</f>
        <v>24/07/2026 - PARECE COCM: EQUIPAMENTO SUBSTIUIDO NA OS:ETO-RD-PO 2020/202614/07/2026 - PARECER COEP: REALOCAR TANQUE 34,5 SOBRESSALENTE DE PARAÍSO PARA ATENDER  PARECER DMSL: Data: 10/03/2026,Serviço Executado: Foi substituído o relé do equipamento, o mesmo estava danificado. Trocado o DPS, o mesmo estava queimado devido ao tanque estar furado. O equipamento ficou em bypass.Equipamento ficou em operação? NãoPendência? Sim, substituir a parte ativa com cordão umbilical.Equipe: Carliel e João VitorSEGUE SS PARA REGULARIZAR AUTOMAÇÃO DO RL 7953610256 NA INTERLIGAÇÃO COM A COELBA (CHAPADA DA MANGABEIRA) - EQUIPE INFOMOU CURTO INTERNO NO GABINETE DJ AC NÃO FECHA</v>
      </c>
      <c r="L29" s="27">
        <v>5</v>
      </c>
      <c r="M29" s="27">
        <v>5</v>
      </c>
      <c r="N29" s="27">
        <v>15</v>
      </c>
      <c r="O29" s="27">
        <v>15</v>
      </c>
      <c r="P29" s="27">
        <v>0</v>
      </c>
      <c r="Q29" s="27">
        <v>0</v>
      </c>
      <c r="R29" s="27">
        <v>10</v>
      </c>
      <c r="S29" s="27">
        <v>15</v>
      </c>
      <c r="T29" s="27">
        <f>SUM(Table12[[#This Row],[Premissa 1]:[Premissa 8]])</f>
        <v>65</v>
      </c>
      <c r="U29" s="27" t="s">
        <v>43</v>
      </c>
      <c r="V29" t="s">
        <v>115</v>
      </c>
    </row>
    <row r="30" spans="1:22" ht="15" customHeight="1" x14ac:dyDescent="0.25">
      <c r="A30" s="2">
        <v>7927169001</v>
      </c>
      <c r="B30" s="27" t="str">
        <f>MID(Table12[[#This Row],[Ativo]],1,2)</f>
        <v>79</v>
      </c>
      <c r="C30" s="27" t="s">
        <v>36</v>
      </c>
      <c r="D30" s="27" t="s">
        <v>36</v>
      </c>
      <c r="E30" s="27" t="s">
        <v>32</v>
      </c>
      <c r="F30" s="2" t="str">
        <f>IFERROR(_xlfn.XLOOKUP(Table12[[#This Row],[Ativo]],[2]!Pendentes[COD_RELIGADOR],[2]!Pendentes[SS_ORIGINAL]),"CONCLUÍDA")</f>
        <v>ETO-PROT 00156/2026</v>
      </c>
      <c r="G30" s="2" t="s">
        <v>94</v>
      </c>
      <c r="H30" s="2" t="s">
        <v>98</v>
      </c>
      <c r="I30" s="2" t="s">
        <v>46</v>
      </c>
      <c r="J30" s="28" t="s">
        <v>54</v>
      </c>
      <c r="K30" t="str">
        <f>IFERROR(_xlfn.XLOOKUP(Table12[[#This Row],[Ativo]],[2]!Pendentes[COD_RELIGADOR],[2]!Pendentes[DESCRICAO]),"")</f>
        <v>PARECER COEP: EQUIPAMENTO ENTREGUE, SEGUE SS PARA O COCM´S , PARA REALIZAR O ATENDIMENTO,FAVOR ADICIONAR O PARECER PARA MANDAR PARA PROTEÇÃOSS ANTIGA: 1500/2025 PARECER DMSL: Serviço Executado: Foi verificado que o tanque do equipamento está danificado, sendo necessário substituir o tanque do equipamento.Equipamento ficou em operação?: NãoPendência: Sim, instalar fonte, disjuntor e DPS, e substituir o tanque.***** Parecer COCM******Subsituido Tranque do RL pela Ordem de Serviço DLP-MPPA01 247/2026 RELATORIO EM ANEXO DA O.S EXECUTORA</v>
      </c>
      <c r="L30" s="27">
        <v>5</v>
      </c>
      <c r="M30" s="27">
        <v>5</v>
      </c>
      <c r="N30" s="27">
        <v>15</v>
      </c>
      <c r="O30" s="27">
        <v>0</v>
      </c>
      <c r="P30" s="27">
        <v>15</v>
      </c>
      <c r="Q30" s="27">
        <v>0</v>
      </c>
      <c r="R30" s="27">
        <v>0</v>
      </c>
      <c r="S30" s="27">
        <v>15</v>
      </c>
      <c r="T30" s="27">
        <f>SUM(Table12[[#This Row],[Premissa 1]:[Premissa 8]])</f>
        <v>55</v>
      </c>
      <c r="U30" s="27" t="s">
        <v>43</v>
      </c>
      <c r="V30" t="s">
        <v>116</v>
      </c>
    </row>
    <row r="31" spans="1:22" ht="15" customHeight="1" x14ac:dyDescent="0.25">
      <c r="A31" s="2">
        <v>7955520116</v>
      </c>
      <c r="B31" s="27" t="str">
        <f>MID(Table12[[#This Row],[Ativo]],1,2)</f>
        <v>79</v>
      </c>
      <c r="C31" s="27" t="s">
        <v>117</v>
      </c>
      <c r="D31" s="27" t="s">
        <v>65</v>
      </c>
      <c r="E31" s="27" t="s">
        <v>58</v>
      </c>
      <c r="F31" s="2" t="str">
        <f>IFERROR(_xlfn.XLOOKUP(Table12[[#This Row],[Ativo]],[2]!Pendentes[COD_RELIGADOR],[2]!Pendentes[SS_ORIGINAL]),"CONCLUÍDA")</f>
        <v>CONCLUÍDA</v>
      </c>
      <c r="G31" s="2" t="s">
        <v>94</v>
      </c>
      <c r="H31" s="2" t="s">
        <v>118</v>
      </c>
      <c r="J31" s="28" t="s">
        <v>54</v>
      </c>
      <c r="K31" t="str">
        <f>IFERROR(_xlfn.XLOOKUP(Table12[[#This Row],[Ativo]],[2]!Pendentes[COD_RELIGADOR],[2]!Pendentes[DESCRICAO]),"")</f>
        <v/>
      </c>
      <c r="L31" s="27">
        <v>5</v>
      </c>
      <c r="M31" s="27">
        <v>5</v>
      </c>
      <c r="N31" s="27">
        <v>15</v>
      </c>
      <c r="O31" s="27">
        <v>0</v>
      </c>
      <c r="P31" s="27">
        <v>0</v>
      </c>
      <c r="Q31" s="27">
        <v>10</v>
      </c>
      <c r="R31" s="27">
        <v>0</v>
      </c>
      <c r="S31" s="27">
        <v>15</v>
      </c>
      <c r="T31" s="27">
        <f>SUM(Table12[[#This Row],[Premissa 1]:[Premissa 8]])</f>
        <v>50</v>
      </c>
      <c r="U31" s="27" t="s">
        <v>43</v>
      </c>
      <c r="V31" t="s">
        <v>119</v>
      </c>
    </row>
    <row r="32" spans="1:22" ht="15" customHeight="1" x14ac:dyDescent="0.25">
      <c r="A32" s="2">
        <v>7931610122</v>
      </c>
      <c r="B32" s="27" t="str">
        <f>MID(Table12[[#This Row],[Ativo]],1,2)</f>
        <v>79</v>
      </c>
      <c r="C32" s="27" t="s">
        <v>120</v>
      </c>
      <c r="D32" s="27" t="s">
        <v>120</v>
      </c>
      <c r="E32" s="27" t="s">
        <v>32</v>
      </c>
      <c r="F32" s="2" t="str">
        <f>IFERROR(_xlfn.XLOOKUP(Table12[[#This Row],[Ativo]],[2]!Pendentes[COD_RELIGADOR],[2]!Pendentes[SS_ORIGINAL]),"CONCLUÍDA")</f>
        <v>CONCLUÍDA</v>
      </c>
      <c r="G32" s="2" t="s">
        <v>121</v>
      </c>
      <c r="H32" s="27"/>
      <c r="I32" s="2" t="s">
        <v>46</v>
      </c>
      <c r="J32" s="28" t="s">
        <v>122</v>
      </c>
      <c r="K32" t="str">
        <f>IFERROR(_xlfn.XLOOKUP(Table12[[#This Row],[Ativo]],[2]!Pendentes[COD_RELIGADOR],[2]!Pendentes[DESCRICAO]),"")</f>
        <v/>
      </c>
      <c r="L32" s="27">
        <v>15</v>
      </c>
      <c r="M32" s="27">
        <v>20</v>
      </c>
      <c r="N32" s="27">
        <v>15</v>
      </c>
      <c r="O32" s="27">
        <v>15</v>
      </c>
      <c r="P32" s="27">
        <v>15</v>
      </c>
      <c r="Q32" s="27">
        <v>10</v>
      </c>
      <c r="R32" s="27">
        <v>0</v>
      </c>
      <c r="S32" s="27">
        <v>15</v>
      </c>
      <c r="T32" s="27">
        <f>SUM(Table12[[#This Row],[Premissa 1]:[Premissa 8]])</f>
        <v>105</v>
      </c>
      <c r="U32" s="27" t="s">
        <v>26</v>
      </c>
      <c r="V32" t="s">
        <v>123</v>
      </c>
    </row>
    <row r="33" spans="1:22" ht="15" customHeight="1" x14ac:dyDescent="0.25">
      <c r="A33" s="2">
        <v>7908705049</v>
      </c>
      <c r="B33" s="27" t="str">
        <f>MID(Table12[[#This Row],[Ativo]],1,2)</f>
        <v>79</v>
      </c>
      <c r="C33" s="27" t="s">
        <v>124</v>
      </c>
      <c r="D33" s="27" t="s">
        <v>65</v>
      </c>
      <c r="E33" s="27" t="s">
        <v>58</v>
      </c>
      <c r="F33" s="2" t="str">
        <f>IFERROR(_xlfn.XLOOKUP(Table12[[#This Row],[Ativo]],[2]!Pendentes[COD_RELIGADOR],[2]!Pendentes[SS_ORIGINAL]),"CONCLUÍDA")</f>
        <v>ETO-RD-DP 00409/2026</v>
      </c>
      <c r="G33" s="2" t="s">
        <v>121</v>
      </c>
      <c r="H33" s="2" t="s">
        <v>125</v>
      </c>
      <c r="I33" s="2" t="s">
        <v>46</v>
      </c>
      <c r="J33" s="28" t="s">
        <v>113</v>
      </c>
      <c r="K33" t="str">
        <f>IFERROR(_xlfn.XLOOKUP(Table12[[#This Row],[Ativo]],[2]!Pendentes[COD_RELIGADOR],[2]!Pendentes[DESCRICAO]),"")</f>
        <v>EQUIPAMENTO ENTREGUE, SOLICITO PREVISÃO PARA SUBSTITUIÇÃO:PARECER COEP: PREVISÃO DE ENTREGA AOS COCM'S 01/07Manutenção no RL 7908705049PARECER DMSL(28/08/2025): Equipe foi fazer manutenção no RL e constatou que o tanque e o relé do mesmo se encontra queimado, providenciar substituição.PARECER COCMS 30/04/2026CRIADO OBRA 0512600135 PARA REQUISIÇÃO MATERIAL</v>
      </c>
      <c r="L33" s="27">
        <v>15</v>
      </c>
      <c r="M33" s="27">
        <v>20</v>
      </c>
      <c r="N33" s="27">
        <v>5</v>
      </c>
      <c r="O33" s="27">
        <v>15</v>
      </c>
      <c r="P33" s="27">
        <v>15</v>
      </c>
      <c r="Q33" s="27">
        <v>0</v>
      </c>
      <c r="R33" s="27">
        <v>10</v>
      </c>
      <c r="S33" s="27">
        <v>15</v>
      </c>
      <c r="T33" s="27">
        <f>SUM(Table12[[#This Row],[Premissa 1]:[Premissa 8]])</f>
        <v>95</v>
      </c>
      <c r="U33" s="27" t="s">
        <v>26</v>
      </c>
      <c r="V33" t="s">
        <v>126</v>
      </c>
    </row>
    <row r="34" spans="1:22" ht="15" customHeight="1" x14ac:dyDescent="0.25">
      <c r="A34" s="2">
        <v>7933726256</v>
      </c>
      <c r="B34" s="27" t="str">
        <f>MID(Table12[[#This Row],[Ativo]],1,2)</f>
        <v>79</v>
      </c>
      <c r="C34" s="27" t="s">
        <v>40</v>
      </c>
      <c r="D34" s="27" t="s">
        <v>41</v>
      </c>
      <c r="E34" s="27" t="s">
        <v>32</v>
      </c>
      <c r="F34" s="2" t="str">
        <f>IFERROR(_xlfn.XLOOKUP(Table12[[#This Row],[Ativo]],[2]!Pendentes[COD_RELIGADOR],[2]!Pendentes[SS_ORIGINAL]),"CONCLUÍDA")</f>
        <v>ETO-SE-PCM 00092/2026</v>
      </c>
      <c r="G34" s="2" t="s">
        <v>121</v>
      </c>
      <c r="H34" s="2" t="s">
        <v>127</v>
      </c>
      <c r="I34" s="2" t="s">
        <v>46</v>
      </c>
      <c r="J34" s="28"/>
      <c r="K34" t="str">
        <f>IFERROR(_xlfn.XLOOKUP(Table12[[#This Row],[Ativo]],[2]!Pendentes[COD_RELIGADOR],[2]!Pendentes[DESCRICAO]),"")</f>
        <v>17/08/2026 PARECER DA PROTEÇÃO:NOTA REPASSADA PARA DMSL COMISSIONARENG° IRLLEY CASTELO BRANCO07/07 Equipamento foi substituido na OS: ETO-RD-PO 1859/2026 OBRA 031260035101/07 PARECER COEP: REDIRECIONADO PARA O POSTO DO COCM´S EQUIPAMENTO CHEGOU NO LOCAL, FAVOR ENTRAR EM CONTATO COM O DMSL, DEVIDO A URGÊNCIA DO EQUIPAMENTO EM OPERAÇÃO.30/06 PARECER COEP: DEVIDO A ALINHAMENTO COM COI UTILIZAREMOS PARTE ATIVA QUE ORIGINALMENTE FOI ENCOMENDADA PARA 7933726256PARECER DMSL: N° do Equipamento: _RLG 7933726256 MateirosTipo de Equipamento: _RLG NOJA RC 10 REL IIData: _06/05/2026SID: _2288/2026-Serviço Executado: _Equipamento com defeito na parte ativa, será necessário fazer a substituição da parte ativa e fazer melhoria na malha de terra!Equipamento ficou em operação?: _NaoPendência: _SimBateria(s) substituída(s)? NÃOData Fabricação/Instalação da(s) bateria(s):_06/2025Equipe: _Benvindo e Almir-------------------------------------------------------------------------------Religador 7933726256, sem comunicação apos primeiroa ataque não retornou as comunicação.</v>
      </c>
      <c r="L34" s="27">
        <v>15</v>
      </c>
      <c r="M34" s="27">
        <v>10</v>
      </c>
      <c r="N34" s="27">
        <v>15</v>
      </c>
      <c r="O34" s="27">
        <v>15</v>
      </c>
      <c r="P34" s="27">
        <v>15</v>
      </c>
      <c r="Q34" s="27">
        <v>10</v>
      </c>
      <c r="R34" s="27">
        <v>0</v>
      </c>
      <c r="S34" s="27">
        <v>15</v>
      </c>
      <c r="T34" s="27">
        <f>SUM(Table12[[#This Row],[Premissa 1]:[Premissa 8]])</f>
        <v>95</v>
      </c>
      <c r="U34" s="27" t="s">
        <v>26</v>
      </c>
      <c r="V34" t="s">
        <v>128</v>
      </c>
    </row>
    <row r="35" spans="1:22" ht="15" customHeight="1" x14ac:dyDescent="0.25">
      <c r="A35" s="2">
        <v>7933766059</v>
      </c>
      <c r="B35" s="27" t="str">
        <f>MID(Table12[[#This Row],[Ativo]],1,2)</f>
        <v>79</v>
      </c>
      <c r="C35" s="27" t="s">
        <v>31</v>
      </c>
      <c r="D35" s="27" t="s">
        <v>31</v>
      </c>
      <c r="E35" s="27" t="s">
        <v>32</v>
      </c>
      <c r="F35" s="2" t="str">
        <f>IFERROR(_xlfn.XLOOKUP(Table12[[#This Row],[Ativo]],[2]!Pendentes[COD_RELIGADOR],[2]!Pendentes[SS_ORIGINAL]),"CONCLUÍDA")</f>
        <v>CONCLUÍDA</v>
      </c>
      <c r="G35" s="2" t="s">
        <v>121</v>
      </c>
      <c r="I35" s="2" t="s">
        <v>46</v>
      </c>
      <c r="J35" s="28" t="s">
        <v>129</v>
      </c>
      <c r="K35" t="str">
        <f>IFERROR(_xlfn.XLOOKUP(Table12[[#This Row],[Ativo]],[2]!Pendentes[COD_RELIGADOR],[2]!Pendentes[DESCRICAO]),"")</f>
        <v/>
      </c>
      <c r="L35" s="27">
        <v>15</v>
      </c>
      <c r="M35" s="27">
        <v>20</v>
      </c>
      <c r="N35" s="27">
        <v>5</v>
      </c>
      <c r="O35" s="27">
        <v>15</v>
      </c>
      <c r="P35" s="27">
        <v>15</v>
      </c>
      <c r="Q35" s="27">
        <v>0</v>
      </c>
      <c r="R35" s="27">
        <v>10</v>
      </c>
      <c r="S35" s="27">
        <v>15</v>
      </c>
      <c r="T35" s="27">
        <f>SUM(Table12[[#This Row],[Premissa 1]:[Premissa 8]])</f>
        <v>95</v>
      </c>
      <c r="U35" s="27" t="s">
        <v>26</v>
      </c>
      <c r="V35" t="s">
        <v>130</v>
      </c>
    </row>
    <row r="36" spans="1:22" ht="15" customHeight="1" x14ac:dyDescent="0.25">
      <c r="A36" s="2">
        <v>7900594026</v>
      </c>
      <c r="B36" s="27" t="str">
        <f>MID(Table12[[#This Row],[Ativo]],1,2)</f>
        <v>79</v>
      </c>
      <c r="C36" s="27" t="s">
        <v>41</v>
      </c>
      <c r="D36" s="27" t="s">
        <v>41</v>
      </c>
      <c r="E36" s="27" t="s">
        <v>32</v>
      </c>
      <c r="F36" s="2" t="str">
        <f>IFERROR(_xlfn.XLOOKUP(Table12[[#This Row],[Ativo]],[2]!Pendentes[COD_RELIGADOR],[2]!Pendentes[SS_ORIGINAL]),"CONCLUÍDA")</f>
        <v>ETO-SE-PA 00107/2026</v>
      </c>
      <c r="G36" s="2" t="s">
        <v>121</v>
      </c>
      <c r="H36" s="2" t="s">
        <v>131</v>
      </c>
      <c r="I36" s="2" t="s">
        <v>46</v>
      </c>
      <c r="J36" s="28"/>
      <c r="K36" t="str">
        <f>IFERROR(_xlfn.XLOOKUP(Table12[[#This Row],[Ativo]],[2]!Pendentes[COD_RELIGADOR],[2]!Pendentes[DESCRICAO]),"")</f>
        <v>PARECER DA PROTEÇÃO:16/07/2026 AJUSTES DISPONIBILIZADOS NO APP DA PROTEÇÃO15/07/2026 EQUIPAMENTO SUBSTITUIDO NA OS ETO-RD-PO 1860 OBRA 031260035414/07/2026 PARECER COCM/ COEP: DE ACORDO COM O EDSON CURCINO FOI FEITA S SUBSTITUIÇÃO DO EQUIPAMENTO , SEGUE PARA PROTEÇÃO ELABORAR AJUSTE10/07 PARECER COEP: EQUIPAMENTO DESLOCADO QUE ESTAVA EM GUARAÍ FOI ALINHADO COM O VALMOR QUE SERIA SUBSTITUIDO DIA 07/07/2026 , FAVOR PASSAR PARA PROTEÇÃO 7900594026PARECER COEP: AGUARDANDO COCM'S PARA ABRIR REQUISIÇÃOPARECER DMSL 10/06/2026: Tem uma nota aberta para esse equipamento solicitando a substituição desde 20/10/2025, como a nota não foi atendida estamos repassando para área responsável. Nota em aberto repassada ETO-COEP 210/2025.Segue nota para verificar intermitência de comunicação nos religadores 7908301026 , 7911120026, 7947959026 , 7908692026, 7900594026 rural- Ponte Alta .</v>
      </c>
      <c r="L36" s="27">
        <v>15</v>
      </c>
      <c r="M36" s="27">
        <v>20</v>
      </c>
      <c r="N36" s="27">
        <v>15</v>
      </c>
      <c r="O36" s="27">
        <v>15</v>
      </c>
      <c r="P36" s="27">
        <v>15</v>
      </c>
      <c r="Q36" s="27">
        <v>0</v>
      </c>
      <c r="R36" s="27">
        <v>0</v>
      </c>
      <c r="S36" s="27">
        <v>15</v>
      </c>
      <c r="T36" s="27">
        <f>SUM(Table12[[#This Row],[Premissa 1]:[Premissa 8]])</f>
        <v>95</v>
      </c>
      <c r="U36" s="27" t="s">
        <v>26</v>
      </c>
      <c r="V36" t="s">
        <v>132</v>
      </c>
    </row>
    <row r="37" spans="1:22" ht="15" customHeight="1" x14ac:dyDescent="0.25">
      <c r="A37" s="2">
        <v>7900230155</v>
      </c>
      <c r="B37" s="27" t="str">
        <f>MID(Table12[[#This Row],[Ativo]],1,2)</f>
        <v>79</v>
      </c>
      <c r="C37" s="27" t="s">
        <v>133</v>
      </c>
      <c r="D37" s="27" t="s">
        <v>87</v>
      </c>
      <c r="E37" s="27" t="s">
        <v>24</v>
      </c>
      <c r="F37" s="2" t="str">
        <f>IFERROR(_xlfn.XLOOKUP(Table12[[#This Row],[Ativo]],[2]!Pendentes[COD_RELIGADOR],[2]!Pendentes[SS_ORIGINAL]),"CONCLUÍDA")</f>
        <v>ETO-TELE 01131/2026</v>
      </c>
      <c r="G37" s="2" t="s">
        <v>134</v>
      </c>
      <c r="H37" s="2" t="s">
        <v>135</v>
      </c>
      <c r="J37" s="28" t="s">
        <v>136</v>
      </c>
      <c r="K37" t="str">
        <f>IFERROR(_xlfn.XLOOKUP(Table12[[#This Row],[Ativo]],[2]!Pendentes[COD_RELIGADOR],[2]!Pendentes[DESCRICAO]),"")</f>
        <v>PARECER DA PROTEÇÃO - 17/08/2026:SEGUE NOTA PARA COMISSIONAMENTO JUNTO COM TIME SCADA, EQUIPAMENTO JA NO DESENHO ADMS.ENG° IRLLEY CASTELO BRANCO07/07/2026 PARECER COEP: MATERIAL ENVIADO , CONFORME ALINHANDO COM O WANDER REALIZAR SUBSTIUIÇÂO DO EQUIPAMENTO, FAVOR ESCREVER PARECER COCM ANTES DE PASSAR PARA PROTEÇÂO, DO QUE FOI REALIZADO01/07/2026 PARECER COEP: PROBLEMA NO ENVIO DO MATERIAL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pendencias.Senhores Favor verificar RL 7900230155  o mesmo sinalizou aberto  no SCADA porem a cidade de Palmeirante estava normal , feito um reset no rl e o mesmo subiu fechado.08/07/2026 PARECER DCMD: EQUIPE ETO-LVGR01  DE GUARAI ESTEVE NO RL 7900230155 DIA 25-06-2026 E FEZ TODAS A PENDENCIAS DO RL, OBS: EQUIPE SO NAO CONECTOU O CABO DO TRAFO NO RL. RL ESTA PRONTO PARA O COMISSIONAMENTO</v>
      </c>
      <c r="L37" s="27">
        <v>15</v>
      </c>
      <c r="M37" s="27">
        <v>20</v>
      </c>
      <c r="N37" s="27">
        <v>5</v>
      </c>
      <c r="O37" s="27">
        <v>15</v>
      </c>
      <c r="P37" s="27">
        <v>0</v>
      </c>
      <c r="Q37" s="27">
        <v>10</v>
      </c>
      <c r="R37" s="27">
        <v>0</v>
      </c>
      <c r="S37" s="27">
        <v>15</v>
      </c>
      <c r="T37" s="27">
        <f>SUM(Table12[[#This Row],[Premissa 1]:[Premissa 8]])</f>
        <v>80</v>
      </c>
      <c r="U37" s="27" t="s">
        <v>26</v>
      </c>
      <c r="V37" t="s">
        <v>137</v>
      </c>
    </row>
    <row r="38" spans="1:22" ht="15" customHeight="1" x14ac:dyDescent="0.25">
      <c r="A38" s="2">
        <v>5865120195</v>
      </c>
      <c r="B38" s="27" t="str">
        <f>MID(Table12[[#This Row],[Ativo]],1,2)</f>
        <v>58</v>
      </c>
      <c r="C38" s="27" t="s">
        <v>138</v>
      </c>
      <c r="D38" s="27" t="s">
        <v>81</v>
      </c>
      <c r="E38" s="27" t="s">
        <v>24</v>
      </c>
      <c r="F38" s="2" t="str">
        <f>IFERROR(_xlfn.XLOOKUP(Table12[[#This Row],[Ativo]],[2]!Pendentes[COD_RELIGADOR],[2]!Pendentes[SS_ORIGINAL]),"CONCLUÍDA")</f>
        <v>ETO-TELE 01132/2026</v>
      </c>
      <c r="G38" s="2" t="s">
        <v>139</v>
      </c>
      <c r="J38" s="28" t="s">
        <v>139</v>
      </c>
      <c r="K38" t="str">
        <f>IFERROR(_xlfn.XLOOKUP(Table12[[#This Row],[Ativo]],[2]!Pendentes[COD_RELIGADOR],[2]!Pendentes[DESCRICAO]),"")</f>
        <v>PARECER DMSL:PENDÊNCIA: Realizar melhoria no aterramento por ser tratar de um terreno muito arenoso, e há pendências por parte do time da proteção, os ajustes do RT não estão disponíveis para inserção no referido equipamento.DATA DA MANUTENÇÃO: 12/03/202EQUIPE: Brunno e Edeglan.***********************PARECER DA PROTEÇÃO - 17/08/2026:FAVOR COMISSIONAR REGULADOR 5865120195 – LD Santa Maria Ramal Centenário e Recursolândia – 34,5kV. AJUSTE REALIZADO, DISPONÍVEL NO APP DA PROTEÇÃO.*********************** INSTALADO NA OBRA 0702400720 GENTILEZA, REALIZAR O COMISSIONAMENTO.LAUDO EM ANEXO.COORD EO: 889017, 901685708-07-2026 PARECER: FOI FEITO A MELHORIA NO REGULADOR CONFORME FOTOS EM ANEXO.</v>
      </c>
      <c r="L38" s="27">
        <v>20</v>
      </c>
      <c r="M38" s="27">
        <v>20</v>
      </c>
      <c r="N38" s="27">
        <v>20</v>
      </c>
      <c r="O38" s="27">
        <v>10</v>
      </c>
      <c r="P38" s="27">
        <v>0</v>
      </c>
      <c r="Q38" s="27" t="s">
        <v>69</v>
      </c>
      <c r="R38" s="27" t="s">
        <v>69</v>
      </c>
      <c r="S38" s="27" t="s">
        <v>69</v>
      </c>
      <c r="T38" s="27">
        <f>SUM(Table12[[#This Row],[Premissa 1]:[Premissa 8]])</f>
        <v>70</v>
      </c>
      <c r="U38" s="27" t="s">
        <v>43</v>
      </c>
      <c r="V38" t="s">
        <v>140</v>
      </c>
    </row>
    <row r="39" spans="1:22" ht="15" customHeight="1" x14ac:dyDescent="0.25">
      <c r="A39" s="2">
        <v>5853360007</v>
      </c>
      <c r="B39" s="27" t="str">
        <f>MID(Table12[[#This Row],[Ativo]],1,2)</f>
        <v>58</v>
      </c>
      <c r="C39" s="27" t="s">
        <v>141</v>
      </c>
      <c r="D39" s="27" t="s">
        <v>141</v>
      </c>
      <c r="E39" s="27" t="s">
        <v>32</v>
      </c>
      <c r="F39" s="2" t="str">
        <f>IFERROR(_xlfn.XLOOKUP(Table12[[#This Row],[Ativo]],[2]!Pendentes[COD_RELIGADOR],[2]!Pendentes[SS_ORIGINAL]),"CONCLUÍDA")</f>
        <v>ETO-RD-PS 00323/2025</v>
      </c>
      <c r="G39" s="35" t="s">
        <v>142</v>
      </c>
      <c r="H39" s="2" t="s">
        <v>143</v>
      </c>
      <c r="J39" s="28" t="s">
        <v>139</v>
      </c>
      <c r="K39" t="str">
        <f>IFERROR(_xlfn.XLOOKUP(Table12[[#This Row],[Ativo]],[2]!Pendentes[COD_RELIGADOR],[2]!Pendentes[DESCRICAO]),"")</f>
        <v>REALIZAR TESTES NO EQUIPAMENTO E CONFERIR MEDIÇÕES DA MALHA DE ATERRAMENTO. ESTANDO OK, COMISSIONAR EQUIPAMENTO E COLOCA-LO EM OPERAÇÃO.AJUSTES DISPONIVEIS NO APP DA PROTEÇÃdmsl : N° do Equipamento:*RT 5853360007 MIRACEMASID: 2493/2025Data: 13/05/2025Serviço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7a.Equipamento ficou em operação?: Não Equipe: Benvindo e Jardel</v>
      </c>
      <c r="L39" s="27">
        <v>0</v>
      </c>
      <c r="M39" s="27">
        <v>20</v>
      </c>
      <c r="N39" s="27">
        <v>20</v>
      </c>
      <c r="O39" s="27">
        <v>10</v>
      </c>
      <c r="P39" s="27">
        <v>20</v>
      </c>
      <c r="Q39" s="27" t="s">
        <v>69</v>
      </c>
      <c r="R39" s="27" t="s">
        <v>69</v>
      </c>
      <c r="S39" s="27" t="s">
        <v>69</v>
      </c>
      <c r="T39" s="27">
        <f>SUM(Table12[[#This Row],[Premissa 1]:[Premissa 8]])</f>
        <v>70</v>
      </c>
      <c r="U39" s="27" t="s">
        <v>43</v>
      </c>
      <c r="V39" t="s">
        <v>144</v>
      </c>
    </row>
    <row r="40" spans="1:22" ht="15" customHeight="1" x14ac:dyDescent="0.25">
      <c r="A40" s="2">
        <v>5800291077</v>
      </c>
      <c r="B40" s="27" t="str">
        <f>MID(Table12[[#This Row],[Ativo]],1,2)</f>
        <v>58</v>
      </c>
      <c r="C40" s="27" t="s">
        <v>38</v>
      </c>
      <c r="D40" s="27" t="s">
        <v>23</v>
      </c>
      <c r="E40" s="27" t="s">
        <v>24</v>
      </c>
      <c r="F40" s="2" t="str">
        <f>IFERROR(_xlfn.XLOOKUP(Table12[[#This Row],[Ativo]],[2]!Pendentes[COD_RELIGADOR],[2]!Pendentes[SS_ORIGINAL]),"CONCLUÍDA")</f>
        <v>CONCLUÍDA</v>
      </c>
      <c r="I40" s="2" t="s">
        <v>145</v>
      </c>
      <c r="J40" s="28"/>
      <c r="K40" t="str">
        <f>IFERROR(_xlfn.XLOOKUP(Table12[[#This Row],[Ativo]],[2]!Pendentes[COD_RELIGADOR],[2]!Pendentes[DESCRICAO]),"")</f>
        <v/>
      </c>
      <c r="L40" s="27">
        <v>40</v>
      </c>
      <c r="M40" s="27">
        <v>20</v>
      </c>
      <c r="N40" s="27">
        <v>20</v>
      </c>
      <c r="O40" s="27">
        <v>20</v>
      </c>
      <c r="P40" s="27">
        <v>20</v>
      </c>
      <c r="Q40" s="27" t="s">
        <v>69</v>
      </c>
      <c r="R40" s="27" t="s">
        <v>69</v>
      </c>
      <c r="S40" s="27" t="s">
        <v>69</v>
      </c>
      <c r="T40" s="27">
        <f>SUM(Table12[[#This Row],[Premissa 1]:[Premissa 8]])</f>
        <v>120</v>
      </c>
      <c r="U40" s="27" t="s">
        <v>26</v>
      </c>
      <c r="V40" t="s">
        <v>146</v>
      </c>
    </row>
    <row r="41" spans="1:22" ht="15" customHeight="1" x14ac:dyDescent="0.25">
      <c r="A41" s="2">
        <v>5836764032</v>
      </c>
      <c r="B41" s="27" t="str">
        <f>MID(Table12[[#This Row],[Ativo]],1,2)</f>
        <v>58</v>
      </c>
      <c r="C41" s="27" t="s">
        <v>147</v>
      </c>
      <c r="D41" s="27" t="s">
        <v>112</v>
      </c>
      <c r="E41" s="27" t="s">
        <v>58</v>
      </c>
      <c r="F41" s="2" t="str">
        <f>IFERROR(_xlfn.XLOOKUP(Table12[[#This Row],[Ativo]],[2]!Pendentes[COD_RELIGADOR],[2]!Pendentes[SS_ORIGINAL]),"CONCLUÍDA")</f>
        <v>CONCLUÍDA</v>
      </c>
      <c r="I41" s="2" t="s">
        <v>145</v>
      </c>
      <c r="J41" s="28"/>
      <c r="K41" t="str">
        <f>IFERROR(_xlfn.XLOOKUP(Table12[[#This Row],[Ativo]],[2]!Pendentes[COD_RELIGADOR],[2]!Pendentes[DESCRICAO]),"")</f>
        <v/>
      </c>
      <c r="L41" s="27">
        <v>40</v>
      </c>
      <c r="M41" s="27">
        <v>20</v>
      </c>
      <c r="N41" s="27">
        <v>20</v>
      </c>
      <c r="O41" s="27">
        <v>10</v>
      </c>
      <c r="P41" s="27">
        <v>20</v>
      </c>
      <c r="Q41" s="27" t="s">
        <v>69</v>
      </c>
      <c r="R41" s="27" t="s">
        <v>69</v>
      </c>
      <c r="S41" s="27" t="s">
        <v>69</v>
      </c>
      <c r="T41" s="27">
        <f>SUM(Table12[[#This Row],[Premissa 1]:[Premissa 8]])</f>
        <v>110</v>
      </c>
      <c r="U41" s="27" t="s">
        <v>26</v>
      </c>
      <c r="V41" t="s">
        <v>148</v>
      </c>
    </row>
    <row r="42" spans="1:22" ht="15" customHeight="1" x14ac:dyDescent="0.25">
      <c r="A42" s="2">
        <v>7900648055</v>
      </c>
      <c r="B42" s="27" t="str">
        <f>MID(Table12[[#This Row],[Ativo]],1,2)</f>
        <v>79</v>
      </c>
      <c r="C42" s="27" t="s">
        <v>149</v>
      </c>
      <c r="D42" s="27" t="s">
        <v>150</v>
      </c>
      <c r="E42" s="27" t="s">
        <v>32</v>
      </c>
      <c r="F42" s="2" t="str">
        <f>IFERROR(_xlfn.XLOOKUP(Table12[[#This Row],[Ativo]],[2]!Pendentes[COD_RELIGADOR],[2]!Pendentes[SS_ORIGINAL]),"CONCLUÍDA")</f>
        <v>CONCLUÍDA</v>
      </c>
      <c r="J42" s="28"/>
      <c r="K42" t="str">
        <f>IFERROR(_xlfn.XLOOKUP(Table12[[#This Row],[Ativo]],[2]!Pendentes[COD_RELIGADOR],[2]!Pendentes[DESCRICAO]),"")</f>
        <v/>
      </c>
      <c r="L42" s="27">
        <v>15</v>
      </c>
      <c r="M42" s="27">
        <v>20</v>
      </c>
      <c r="N42" s="27">
        <v>15</v>
      </c>
      <c r="O42" s="27">
        <v>15</v>
      </c>
      <c r="P42" s="27">
        <v>15</v>
      </c>
      <c r="Q42" s="27">
        <v>10</v>
      </c>
      <c r="R42" s="27">
        <v>0</v>
      </c>
      <c r="S42" s="27">
        <v>15</v>
      </c>
      <c r="T42" s="27">
        <f>SUM(Table12[[#This Row],[Premissa 1]:[Premissa 8]])</f>
        <v>105</v>
      </c>
      <c r="U42" s="27" t="s">
        <v>26</v>
      </c>
      <c r="V42" t="s">
        <v>151</v>
      </c>
    </row>
    <row r="43" spans="1:22" ht="15" customHeight="1" x14ac:dyDescent="0.25">
      <c r="A43" s="2">
        <v>7921040031</v>
      </c>
      <c r="B43" s="27" t="str">
        <f>MID(Table12[[#This Row],[Ativo]],1,2)</f>
        <v>79</v>
      </c>
      <c r="C43" s="27" t="s">
        <v>152</v>
      </c>
      <c r="D43" s="27" t="s">
        <v>141</v>
      </c>
      <c r="E43" s="27" t="s">
        <v>32</v>
      </c>
      <c r="F43" s="40" t="str">
        <f>IFERROR(_xlfn.XLOOKUP(Table12[[#This Row],[Ativo]],[2]!Pendentes[COD_RELIGADOR],[2]!Pendentes[SS_ORIGINAL]),"CONCLUÍDA")</f>
        <v>CONCLUÍDA</v>
      </c>
      <c r="I43" s="2" t="s">
        <v>145</v>
      </c>
      <c r="J43" s="28"/>
      <c r="K43" t="str">
        <f>IFERROR(_xlfn.XLOOKUP(Table12[[#This Row],[Ativo]],[2]!Pendentes[COD_RELIGADOR],[2]!Pendentes[DESCRICAO]),"")</f>
        <v/>
      </c>
      <c r="L43" s="27">
        <v>15</v>
      </c>
      <c r="M43" s="27">
        <v>20</v>
      </c>
      <c r="N43" s="27">
        <v>5</v>
      </c>
      <c r="O43" s="27">
        <v>15</v>
      </c>
      <c r="P43" s="27">
        <v>15</v>
      </c>
      <c r="Q43" s="27">
        <v>10</v>
      </c>
      <c r="R43" s="27">
        <v>0</v>
      </c>
      <c r="S43" s="27">
        <v>15</v>
      </c>
      <c r="T43" s="27">
        <f>SUM(Table12[[#This Row],[Premissa 1]:[Premissa 8]])</f>
        <v>95</v>
      </c>
      <c r="U43" s="27" t="s">
        <v>26</v>
      </c>
      <c r="V43" t="s">
        <v>153</v>
      </c>
    </row>
    <row r="44" spans="1:22" ht="15" customHeight="1" x14ac:dyDescent="0.25">
      <c r="A44" s="2">
        <v>5800438116</v>
      </c>
      <c r="B44" s="27" t="str">
        <f>MID(Table12[[#This Row],[Ativo]],1,2)</f>
        <v>58</v>
      </c>
      <c r="C44" s="27" t="s">
        <v>117</v>
      </c>
      <c r="D44" s="27" t="s">
        <v>65</v>
      </c>
      <c r="E44" s="27" t="s">
        <v>58</v>
      </c>
      <c r="F44" s="2" t="str">
        <f>IFERROR(_xlfn.XLOOKUP(Table12[[#This Row],[Ativo]],[2]!Pendentes[COD_RELIGADOR],[2]!Pendentes[SS_ORIGINAL]),"CONCLUÍDA")</f>
        <v>CONCLUÍDA</v>
      </c>
      <c r="G44" s="2" t="s">
        <v>94</v>
      </c>
      <c r="H44" s="2" t="s">
        <v>95</v>
      </c>
      <c r="J44" s="28" t="s">
        <v>154</v>
      </c>
      <c r="K44" t="str">
        <f>IFERROR(_xlfn.XLOOKUP(Table12[[#This Row],[Ativo]],[2]!Pendentes[COD_RELIGADOR],[2]!Pendentes[DESCRICAO]),"")</f>
        <v/>
      </c>
      <c r="L44" s="27">
        <v>0</v>
      </c>
      <c r="M44" s="27">
        <v>20</v>
      </c>
      <c r="N44" s="27">
        <v>20</v>
      </c>
      <c r="O44" s="27">
        <v>20</v>
      </c>
      <c r="P44" s="27">
        <v>0</v>
      </c>
      <c r="Q44" s="27" t="s">
        <v>69</v>
      </c>
      <c r="R44" s="27" t="s">
        <v>69</v>
      </c>
      <c r="S44" s="27" t="s">
        <v>69</v>
      </c>
      <c r="T44" s="27">
        <f>SUM(Table12[[#This Row],[Premissa 1]:[Premissa 8]])</f>
        <v>60</v>
      </c>
      <c r="U44" s="27" t="s">
        <v>155</v>
      </c>
      <c r="V44" t="s">
        <v>156</v>
      </c>
    </row>
    <row r="45" spans="1:22" ht="15" customHeight="1" x14ac:dyDescent="0.25">
      <c r="A45" s="2">
        <v>5800090147</v>
      </c>
      <c r="B45" s="27" t="str">
        <f>MID(Table12[[#This Row],[Ativo]],1,2)</f>
        <v>58</v>
      </c>
      <c r="C45" s="27" t="s">
        <v>157</v>
      </c>
      <c r="D45" s="27" t="s">
        <v>65</v>
      </c>
      <c r="E45" s="27" t="s">
        <v>58</v>
      </c>
      <c r="F45" s="2" t="str">
        <f>IFERROR(_xlfn.XLOOKUP(Table12[[#This Row],[Ativo]],[2]!Pendentes[COD_RELIGADOR],[2]!Pendentes[SS_ORIGINAL]),"CONCLUÍDA")</f>
        <v>CONCLUÍDA</v>
      </c>
      <c r="G45" s="2" t="s">
        <v>25</v>
      </c>
      <c r="J45" s="28"/>
      <c r="K45" t="str">
        <f>IFERROR(_xlfn.XLOOKUP(Table12[[#This Row],[Ativo]],[2]!Pendentes[COD_RELIGADOR],[2]!Pendentes[DESCRICAO]),"")</f>
        <v/>
      </c>
      <c r="L45" s="27">
        <v>0</v>
      </c>
      <c r="M45" s="27">
        <v>20</v>
      </c>
      <c r="N45" s="27">
        <v>20</v>
      </c>
      <c r="O45" s="27">
        <v>10</v>
      </c>
      <c r="P45" s="27">
        <v>10</v>
      </c>
      <c r="Q45" s="27" t="s">
        <v>69</v>
      </c>
      <c r="R45" s="27" t="s">
        <v>69</v>
      </c>
      <c r="S45" s="27" t="s">
        <v>69</v>
      </c>
      <c r="T45" s="27">
        <f>SUM(Table12[[#This Row],[Premissa 1]:[Premissa 8]])</f>
        <v>60</v>
      </c>
      <c r="U45" s="27" t="s">
        <v>155</v>
      </c>
      <c r="V45" t="s">
        <v>158</v>
      </c>
    </row>
    <row r="46" spans="1:22" ht="15" customHeight="1" x14ac:dyDescent="0.25">
      <c r="A46" s="2">
        <v>5840227063</v>
      </c>
      <c r="B46" s="27" t="str">
        <f>MID(Table12[[#This Row],[Ativo]],1,2)</f>
        <v>58</v>
      </c>
      <c r="C46" s="27" t="s">
        <v>159</v>
      </c>
      <c r="D46" s="27" t="s">
        <v>87</v>
      </c>
      <c r="E46" s="27" t="s">
        <v>24</v>
      </c>
      <c r="F46" s="2" t="str">
        <f>IFERROR(_xlfn.XLOOKUP(Table12[[#This Row],[Ativo]],[2]!Pendentes[COD_RELIGADOR],[2]!Pendentes[SS_ORIGINAL]),"CONCLUÍDA")</f>
        <v>ETO-COEP 00151/2026</v>
      </c>
      <c r="G46" s="2" t="s">
        <v>160</v>
      </c>
      <c r="J46" s="28"/>
      <c r="K46" t="str">
        <f>IFERROR(_xlfn.XLOOKUP(Table12[[#This Row],[Ativo]],[2]!Pendentes[COD_RELIGADOR],[2]!Pendentes[DESCRICAO]),"")</f>
        <v>PARECER COEP 27/07/2026 : EM PROCESSO DE AQUISIÇÃOPARECER DMSL 13/07/2026: Realizados ensaios de isolação nas três células, e foi identificado curto na fase A, sendo necessário a sua substituição. Os cabos das buchas ficaram desconectados para melhor identificação no momento da sua substituiçãSEGUE PARA O DMSL AVALIAR ANTES DE SEGUIRMOS COM O SERVIÇOSEGUE PARA REALIZAR TROCA---------------------------------------------------------Boa noite,Segue SS para tratativas regulador de tensão 5840227063 fase C em curto</v>
      </c>
      <c r="L46" s="27">
        <v>0</v>
      </c>
      <c r="M46" s="27">
        <v>20</v>
      </c>
      <c r="N46" s="27">
        <v>20</v>
      </c>
      <c r="O46" s="27">
        <v>10</v>
      </c>
      <c r="P46" s="27">
        <v>10</v>
      </c>
      <c r="Q46" s="27" t="s">
        <v>69</v>
      </c>
      <c r="R46" s="27" t="s">
        <v>69</v>
      </c>
      <c r="S46" s="27" t="s">
        <v>69</v>
      </c>
      <c r="T46" s="27">
        <f>SUM(Table12[[#This Row],[Premissa 1]:[Premissa 8]])</f>
        <v>60</v>
      </c>
      <c r="U46" s="27" t="s">
        <v>155</v>
      </c>
      <c r="V46" t="s">
        <v>161</v>
      </c>
    </row>
    <row r="47" spans="1:22" ht="15" customHeight="1" x14ac:dyDescent="0.25">
      <c r="A47" s="2">
        <v>5846328094</v>
      </c>
      <c r="B47" s="27" t="str">
        <f>MID(Table12[[#This Row],[Ativo]],1,2)</f>
        <v>58</v>
      </c>
      <c r="C47" s="27" t="s">
        <v>107</v>
      </c>
      <c r="D47" s="27" t="s">
        <v>107</v>
      </c>
      <c r="E47" s="27" t="s">
        <v>58</v>
      </c>
      <c r="F47" s="2" t="str">
        <f>IFERROR(_xlfn.XLOOKUP(Table12[[#This Row],[Ativo]],[2]!Pendentes[COD_RELIGADOR],[2]!Pendentes[SS_ORIGINAL]),"CONCLUÍDA")</f>
        <v>ETO-TELE 00986/2026</v>
      </c>
      <c r="G47" s="2" t="s">
        <v>139</v>
      </c>
      <c r="J47" s="28"/>
      <c r="K47" t="str">
        <f>IFERROR(_xlfn.XLOOKUP(Table12[[#This Row],[Ativo]],[2]!Pendentes[COD_RELIGADOR],[2]!Pendentes[DESCRICAO]),"")</f>
        <v>COCM SUL - 07/07/2026 - FOI REALIZADO MELHORIA DE ATERRAMENTO E FEITO A MANUTENÇÕES E TODAS AS CHAVES E SUBSTITUIDO OS CONECTORES.PARECER COEP: MELHORIA DE ATERRAMENTO É COCM'S, FAVOR ENCAMINHAR DIRETAMENTE PARA ELES, COCM'S REALIZAR MELHORIA DE ATERRAMENTO POR FAVORPor genteliiza verificar RT 5846328094 situação de equipamento, se encontra by passado em campoPARECER DMSL:Favor, realizar melhoria de aterramento que se encontra alta e substituir todos os conectores das buchas por conectores estrangulador.</v>
      </c>
      <c r="L47" s="27">
        <v>0</v>
      </c>
      <c r="M47" s="27">
        <v>20</v>
      </c>
      <c r="N47" s="27">
        <v>20</v>
      </c>
      <c r="O47" s="27">
        <v>10</v>
      </c>
      <c r="P47" s="27">
        <v>10</v>
      </c>
      <c r="Q47" s="27" t="s">
        <v>69</v>
      </c>
      <c r="R47" s="27" t="s">
        <v>69</v>
      </c>
      <c r="S47" s="27" t="s">
        <v>69</v>
      </c>
      <c r="T47" s="27">
        <f>SUM(Table12[[#This Row],[Premissa 1]:[Premissa 8]])</f>
        <v>60</v>
      </c>
      <c r="U47" s="27" t="s">
        <v>155</v>
      </c>
      <c r="V47" t="s">
        <v>162</v>
      </c>
    </row>
    <row r="48" spans="1:22" ht="15" customHeight="1" x14ac:dyDescent="0.25">
      <c r="A48" s="2">
        <v>5851753086</v>
      </c>
      <c r="B48" s="27" t="str">
        <f>MID(Table12[[#This Row],[Ativo]],1,2)</f>
        <v>58</v>
      </c>
      <c r="C48" s="27" t="s">
        <v>163</v>
      </c>
      <c r="D48" s="27" t="s">
        <v>150</v>
      </c>
      <c r="E48" s="27" t="s">
        <v>32</v>
      </c>
      <c r="F48" s="2" t="str">
        <f>IFERROR(_xlfn.XLOOKUP(Table12[[#This Row],[Ativo]],[2]!Pendentes[COD_RELIGADOR],[2]!Pendentes[SS_ORIGINAL]),"CONCLUÍDA")</f>
        <v>CONCLUÍDA</v>
      </c>
      <c r="G48" s="2" t="s">
        <v>62</v>
      </c>
      <c r="J48" s="28"/>
      <c r="K48" t="str">
        <f>IFERROR(_xlfn.XLOOKUP(Table12[[#This Row],[Ativo]],[2]!Pendentes[COD_RELIGADOR],[2]!Pendentes[DESCRICAO]),"")</f>
        <v/>
      </c>
      <c r="L48" s="27">
        <v>0</v>
      </c>
      <c r="M48" s="27">
        <v>20</v>
      </c>
      <c r="N48" s="27">
        <v>20</v>
      </c>
      <c r="O48" s="27">
        <v>10</v>
      </c>
      <c r="P48" s="27">
        <v>10</v>
      </c>
      <c r="Q48" s="27" t="s">
        <v>69</v>
      </c>
      <c r="R48" s="27" t="s">
        <v>69</v>
      </c>
      <c r="S48" s="27" t="s">
        <v>69</v>
      </c>
      <c r="T48" s="27">
        <f>SUM(Table12[[#This Row],[Premissa 1]:[Premissa 8]])</f>
        <v>60</v>
      </c>
      <c r="U48" s="27" t="s">
        <v>155</v>
      </c>
      <c r="V48" t="s">
        <v>164</v>
      </c>
    </row>
    <row r="49" spans="1:22" ht="15" customHeight="1" x14ac:dyDescent="0.25">
      <c r="A49" s="2">
        <v>7957620015</v>
      </c>
      <c r="B49" s="27" t="str">
        <f>MID(Table12[[#This Row],[Ativo]],1,2)</f>
        <v>79</v>
      </c>
      <c r="C49" s="27" t="s">
        <v>165</v>
      </c>
      <c r="D49" s="27" t="s">
        <v>81</v>
      </c>
      <c r="E49" s="27" t="s">
        <v>24</v>
      </c>
      <c r="F49" s="2" t="str">
        <f>IFERROR(_xlfn.XLOOKUP(Table12[[#This Row],[Ativo]],[2]!Pendentes[COD_RELIGADOR],[2]!Pendentes[SS_ORIGINAL]),"CONCLUÍDA")</f>
        <v>CONCLUÍDA</v>
      </c>
      <c r="I49" s="2" t="s">
        <v>145</v>
      </c>
      <c r="J49" s="28"/>
      <c r="K49" t="str">
        <f>IFERROR(_xlfn.XLOOKUP(Table12[[#This Row],[Ativo]],[2]!Pendentes[COD_RELIGADOR],[2]!Pendentes[DESCRICAO]),"")</f>
        <v/>
      </c>
      <c r="L49" s="27">
        <v>15</v>
      </c>
      <c r="M49" s="27">
        <v>20</v>
      </c>
      <c r="N49" s="27">
        <v>15</v>
      </c>
      <c r="O49" s="27">
        <v>15</v>
      </c>
      <c r="P49" s="27">
        <v>15</v>
      </c>
      <c r="Q49" s="27">
        <v>0</v>
      </c>
      <c r="R49" s="27">
        <v>0</v>
      </c>
      <c r="S49" s="27">
        <v>15</v>
      </c>
      <c r="T49" s="27">
        <f>SUM(Table12[[#This Row],[Premissa 1]:[Premissa 8]])</f>
        <v>95</v>
      </c>
      <c r="U49" s="27" t="s">
        <v>26</v>
      </c>
      <c r="V49" t="s">
        <v>166</v>
      </c>
    </row>
    <row r="50" spans="1:22" ht="15" customHeight="1" x14ac:dyDescent="0.25">
      <c r="A50" s="2">
        <v>5800440256</v>
      </c>
      <c r="B50" s="27" t="str">
        <f>MID(Table12[[#This Row],[Ativo]],1,2)</f>
        <v>58</v>
      </c>
      <c r="C50" s="27" t="s">
        <v>40</v>
      </c>
      <c r="D50" s="27" t="s">
        <v>41</v>
      </c>
      <c r="E50" s="27" t="s">
        <v>32</v>
      </c>
      <c r="F50" s="39" t="str">
        <f>IFERROR(_xlfn.XLOOKUP(Table12[[#This Row],[Ativo]],[2]!Pendentes[COD_RELIGADOR],[2]!Pendentes[SS_ORIGINAL]),"CONCLUÍDA")</f>
        <v>ETO-COEP 00169/2026</v>
      </c>
      <c r="G50" s="39"/>
      <c r="J50" s="28"/>
      <c r="K50" t="str">
        <f>IFERROR(_xlfn.XLOOKUP(Table12[[#This Row],[Ativo]],[2]!Pendentes[COD_RELIGADOR],[2]!Pendentes[DESCRICAO]),"")</f>
        <v>PARECER DMSL 06/08: Substituir célula da Fase B do banco de Regulador de tensão e realizar melhorias na malha de aterramento do ReguladorBoa noite,Segue SS para as devidas tratativas, verificar flutuação de tensão do regulador 5800440256 pois a tensão está oscilando de 16kv a 23kv    favor verificar esta anomalia pois cliente BRK está abrindo reclamação todas as noites.</v>
      </c>
      <c r="L50" s="27">
        <v>20</v>
      </c>
      <c r="M50" s="27">
        <v>20</v>
      </c>
      <c r="N50" s="27">
        <v>20</v>
      </c>
      <c r="O50" s="27">
        <v>10</v>
      </c>
      <c r="P50" s="27">
        <v>20</v>
      </c>
      <c r="Q50" s="27" t="s">
        <v>69</v>
      </c>
      <c r="R50" s="27" t="s">
        <v>69</v>
      </c>
      <c r="S50" s="27" t="s">
        <v>69</v>
      </c>
      <c r="T50" s="27">
        <f>SUM(Table12[[#This Row],[Premissa 1]:[Premissa 8]])</f>
        <v>90</v>
      </c>
      <c r="U50" s="27" t="s">
        <v>26</v>
      </c>
      <c r="V50" t="s">
        <v>167</v>
      </c>
    </row>
    <row r="51" spans="1:22" ht="15" customHeight="1" x14ac:dyDescent="0.25">
      <c r="A51" s="2">
        <v>7900543083</v>
      </c>
      <c r="B51" s="27" t="str">
        <f>MID(Table12[[#This Row],[Ativo]],1,2)</f>
        <v>79</v>
      </c>
      <c r="C51" s="27" t="s">
        <v>168</v>
      </c>
      <c r="D51" s="27" t="s">
        <v>31</v>
      </c>
      <c r="E51" s="27" t="s">
        <v>32</v>
      </c>
      <c r="F51" s="2" t="str">
        <f>IFERROR(_xlfn.XLOOKUP(Table12[[#This Row],[Ativo]],[2]!Pendentes[COD_RELIGADOR],[2]!Pendentes[SS_ORIGINAL]),"CONCLUÍDA")</f>
        <v>CONCLUÍDA</v>
      </c>
      <c r="I51" s="2" t="s">
        <v>145</v>
      </c>
      <c r="J51" s="28"/>
      <c r="K51" t="str">
        <f>IFERROR(_xlfn.XLOOKUP(Table12[[#This Row],[Ativo]],[2]!Pendentes[COD_RELIGADOR],[2]!Pendentes[DESCRICAO]),"")</f>
        <v/>
      </c>
      <c r="L51" s="27">
        <v>15</v>
      </c>
      <c r="M51" s="27">
        <v>20</v>
      </c>
      <c r="N51" s="27">
        <v>5</v>
      </c>
      <c r="O51" s="27">
        <v>15</v>
      </c>
      <c r="P51" s="27">
        <v>0</v>
      </c>
      <c r="Q51" s="27">
        <v>0</v>
      </c>
      <c r="R51" s="27">
        <v>10</v>
      </c>
      <c r="S51" s="27">
        <v>15</v>
      </c>
      <c r="T51" s="27">
        <f>SUM(Table12[[#This Row],[Premissa 1]:[Premissa 8]])</f>
        <v>80</v>
      </c>
      <c r="U51" s="27" t="s">
        <v>26</v>
      </c>
      <c r="V51" t="s">
        <v>169</v>
      </c>
    </row>
    <row r="52" spans="1:22" ht="15" customHeight="1" x14ac:dyDescent="0.25">
      <c r="A52" s="2">
        <v>7900930040</v>
      </c>
      <c r="B52" s="27" t="str">
        <f>MID(Table12[[#This Row],[Ativo]],1,2)</f>
        <v>79</v>
      </c>
      <c r="C52" s="27" t="s">
        <v>170</v>
      </c>
      <c r="D52" s="27" t="s">
        <v>23</v>
      </c>
      <c r="E52" s="27" t="s">
        <v>24</v>
      </c>
      <c r="F52" s="2" t="str">
        <f>IFERROR(_xlfn.XLOOKUP(Table12[[#This Row],[Ativo]],[2]!Pendentes[COD_RELIGADOR],[2]!Pendentes[SS_ORIGINAL]),"CONCLUÍDA")</f>
        <v>CONCLUÍDA</v>
      </c>
      <c r="I52" s="2" t="s">
        <v>145</v>
      </c>
      <c r="J52" s="28"/>
      <c r="K52" t="str">
        <f>IFERROR(_xlfn.XLOOKUP(Table12[[#This Row],[Ativo]],[2]!Pendentes[COD_RELIGADOR],[2]!Pendentes[DESCRICAO]),"")</f>
        <v/>
      </c>
      <c r="L52" s="27">
        <v>15</v>
      </c>
      <c r="M52" s="27">
        <v>20</v>
      </c>
      <c r="N52" s="27">
        <v>5</v>
      </c>
      <c r="O52" s="27">
        <v>15</v>
      </c>
      <c r="P52" s="27">
        <v>0</v>
      </c>
      <c r="Q52" s="27">
        <v>0</v>
      </c>
      <c r="R52" s="27">
        <v>10</v>
      </c>
      <c r="S52" s="27">
        <v>15</v>
      </c>
      <c r="T52" s="27">
        <f>SUM(Table12[[#This Row],[Premissa 1]:[Premissa 8]])</f>
        <v>80</v>
      </c>
      <c r="U52" s="27" t="s">
        <v>26</v>
      </c>
      <c r="V52" t="s">
        <v>171</v>
      </c>
    </row>
    <row r="53" spans="1:22" ht="15" customHeight="1" x14ac:dyDescent="0.25">
      <c r="A53" s="2">
        <v>7931383086</v>
      </c>
      <c r="B53" s="27" t="str">
        <f>MID(Table12[[#This Row],[Ativo]],1,2)</f>
        <v>79</v>
      </c>
      <c r="C53" s="27" t="s">
        <v>163</v>
      </c>
      <c r="D53" s="27" t="s">
        <v>150</v>
      </c>
      <c r="E53" s="27" t="s">
        <v>32</v>
      </c>
      <c r="F53" s="2" t="str">
        <f>IFERROR(_xlfn.XLOOKUP(Table12[[#This Row],[Ativo]],[2]!Pendentes[COD_RELIGADOR],[2]!Pendentes[SS_ORIGINAL]),"CONCLUÍDA")</f>
        <v>CONCLUÍDA</v>
      </c>
      <c r="I53" s="2" t="s">
        <v>145</v>
      </c>
      <c r="J53" s="28"/>
      <c r="K53" t="str">
        <f>IFERROR(_xlfn.XLOOKUP(Table12[[#This Row],[Ativo]],[2]!Pendentes[COD_RELIGADOR],[2]!Pendentes[DESCRICAO]),"")</f>
        <v/>
      </c>
      <c r="L53" s="27">
        <v>15</v>
      </c>
      <c r="M53" s="27">
        <v>20</v>
      </c>
      <c r="N53" s="27">
        <v>5</v>
      </c>
      <c r="O53" s="27">
        <v>15</v>
      </c>
      <c r="P53" s="27">
        <v>0</v>
      </c>
      <c r="Q53" s="27">
        <v>10</v>
      </c>
      <c r="R53" s="27">
        <v>0</v>
      </c>
      <c r="S53" s="27">
        <v>15</v>
      </c>
      <c r="T53" s="27">
        <f>SUM(Table12[[#This Row],[Premissa 1]:[Premissa 8]])</f>
        <v>80</v>
      </c>
      <c r="U53" s="27" t="s">
        <v>26</v>
      </c>
      <c r="V53" t="s">
        <v>172</v>
      </c>
    </row>
    <row r="54" spans="1:22" ht="15" customHeight="1" x14ac:dyDescent="0.25">
      <c r="A54" s="2">
        <v>5800366016</v>
      </c>
      <c r="B54" s="27" t="str">
        <f>MID(Table12[[#This Row],[Ativo]],1,2)</f>
        <v>58</v>
      </c>
      <c r="C54" s="27" t="s">
        <v>173</v>
      </c>
      <c r="D54" s="27" t="s">
        <v>50</v>
      </c>
      <c r="E54" s="27" t="s">
        <v>24</v>
      </c>
      <c r="F54" s="2" t="str">
        <f>IFERROR(_xlfn.XLOOKUP(Table12[[#This Row],[Ativo]],[2]!Pendentes[COD_RELIGADOR],[2]!Pendentes[SS_ORIGINAL]),"CONCLUÍDA")</f>
        <v>CONCLUÍDA</v>
      </c>
      <c r="I54" s="2" t="s">
        <v>145</v>
      </c>
      <c r="J54" s="28"/>
      <c r="K54" t="str">
        <f>IFERROR(_xlfn.XLOOKUP(Table12[[#This Row],[Ativo]],[2]!Pendentes[COD_RELIGADOR],[2]!Pendentes[DESCRICAO]),"")</f>
        <v/>
      </c>
      <c r="L54" s="27">
        <v>0</v>
      </c>
      <c r="M54" s="27">
        <v>20</v>
      </c>
      <c r="N54" s="27">
        <v>20</v>
      </c>
      <c r="O54" s="27">
        <v>20</v>
      </c>
      <c r="P54" s="27">
        <v>10</v>
      </c>
      <c r="Q54" s="27" t="s">
        <v>69</v>
      </c>
      <c r="R54" s="27" t="s">
        <v>69</v>
      </c>
      <c r="S54" s="27" t="s">
        <v>69</v>
      </c>
      <c r="T54" s="27">
        <f>SUM(Table12[[#This Row],[Premissa 1]:[Premissa 8]])</f>
        <v>70</v>
      </c>
      <c r="U54" s="27" t="s">
        <v>43</v>
      </c>
      <c r="V54" t="s">
        <v>174</v>
      </c>
    </row>
    <row r="55" spans="1:22" ht="15" customHeight="1" x14ac:dyDescent="0.25">
      <c r="A55" s="2">
        <v>7955523028</v>
      </c>
      <c r="B55" s="27" t="str">
        <f>MID(Table12[[#This Row],[Ativo]],1,2)</f>
        <v>79</v>
      </c>
      <c r="C55" s="27" t="s">
        <v>175</v>
      </c>
      <c r="D55" s="27" t="s">
        <v>65</v>
      </c>
      <c r="E55" s="27" t="s">
        <v>58</v>
      </c>
      <c r="F55" s="2" t="str">
        <f>IFERROR(_xlfn.XLOOKUP(Table12[[#This Row],[Ativo]],[2]!Pendentes[COD_RELIGADOR],[2]!Pendentes[SS_ORIGINAL]),"CONCLUÍDA")</f>
        <v>CONCLUÍDA</v>
      </c>
      <c r="I55" s="2" t="s">
        <v>145</v>
      </c>
      <c r="J55" s="28"/>
      <c r="K55" t="str">
        <f>IFERROR(_xlfn.XLOOKUP(Table12[[#This Row],[Ativo]],[2]!Pendentes[COD_RELIGADOR],[2]!Pendentes[DESCRICAO]),"")</f>
        <v/>
      </c>
      <c r="L55" s="27">
        <v>15</v>
      </c>
      <c r="M55" s="27">
        <v>10</v>
      </c>
      <c r="N55" s="27">
        <v>5</v>
      </c>
      <c r="O55" s="27">
        <v>15</v>
      </c>
      <c r="P55" s="27">
        <v>15</v>
      </c>
      <c r="Q55" s="27">
        <v>10</v>
      </c>
      <c r="R55" s="27">
        <v>0</v>
      </c>
      <c r="S55" s="27">
        <v>0</v>
      </c>
      <c r="T55" s="27">
        <f>SUM(Table12[[#This Row],[Premissa 1]:[Premissa 8]])</f>
        <v>70</v>
      </c>
      <c r="U55" s="27" t="s">
        <v>43</v>
      </c>
      <c r="V55" t="s">
        <v>176</v>
      </c>
    </row>
    <row r="56" spans="1:22" ht="15" customHeight="1" x14ac:dyDescent="0.25">
      <c r="A56" s="2">
        <v>7900018004</v>
      </c>
      <c r="B56" s="27" t="str">
        <f>MID(Table12[[#This Row],[Ativo]],1,2)</f>
        <v>79</v>
      </c>
      <c r="C56" s="27" t="s">
        <v>23</v>
      </c>
      <c r="D56" s="27" t="s">
        <v>23</v>
      </c>
      <c r="E56" s="27" t="s">
        <v>24</v>
      </c>
      <c r="F56" s="2" t="str">
        <f>IFERROR(_xlfn.XLOOKUP(Table12[[#This Row],[Ativo]],[2]!Pendentes[COD_RELIGADOR],[2]!Pendentes[SS_ORIGINAL]),"CONCLUÍDA")</f>
        <v>CONCLUÍDA</v>
      </c>
      <c r="I56" s="2" t="s">
        <v>145</v>
      </c>
      <c r="J56" s="28"/>
      <c r="K56" t="str">
        <f>IFERROR(_xlfn.XLOOKUP(Table12[[#This Row],[Ativo]],[2]!Pendentes[COD_RELIGADOR],[2]!Pendentes[DESCRICAO]),"")</f>
        <v/>
      </c>
      <c r="L56" s="27">
        <v>15</v>
      </c>
      <c r="M56" s="27">
        <v>10</v>
      </c>
      <c r="N56" s="27">
        <v>5</v>
      </c>
      <c r="O56" s="27">
        <v>15</v>
      </c>
      <c r="P56" s="27">
        <v>0</v>
      </c>
      <c r="Q56" s="27">
        <v>10</v>
      </c>
      <c r="R56" s="27">
        <v>0</v>
      </c>
      <c r="S56" s="27">
        <v>0</v>
      </c>
      <c r="T56" s="27">
        <f>SUM(Table12[[#This Row],[Premissa 1]:[Premissa 8]])</f>
        <v>55</v>
      </c>
      <c r="U56" s="27" t="s">
        <v>43</v>
      </c>
      <c r="V56" t="s">
        <v>177</v>
      </c>
    </row>
    <row r="57" spans="1:22" ht="15" customHeight="1" x14ac:dyDescent="0.25">
      <c r="A57" s="2">
        <v>7934698002</v>
      </c>
      <c r="B57" s="27" t="str">
        <f>MID(Table12[[#This Row],[Ativo]],1,2)</f>
        <v>79</v>
      </c>
      <c r="C57" s="27" t="s">
        <v>50</v>
      </c>
      <c r="D57" s="27" t="s">
        <v>50</v>
      </c>
      <c r="E57" s="27" t="s">
        <v>24</v>
      </c>
      <c r="F57" s="2" t="str">
        <f>IFERROR(_xlfn.XLOOKUP(Table12[[#This Row],[Ativo]],[2]!Pendentes[COD_RELIGADOR],[2]!Pendentes[SS_ORIGINAL]),"CONCLUÍDA")</f>
        <v>CONCLUÍDA</v>
      </c>
      <c r="I57" s="2" t="s">
        <v>145</v>
      </c>
      <c r="J57" s="28" t="s">
        <v>178</v>
      </c>
      <c r="K57" t="str">
        <f>IFERROR(_xlfn.XLOOKUP(Table12[[#This Row],[Ativo]],[2]!Pendentes[COD_RELIGADOR],[2]!Pendentes[DESCRICAO]),"")</f>
        <v/>
      </c>
      <c r="L57" s="27">
        <v>5</v>
      </c>
      <c r="M57" s="27">
        <v>5</v>
      </c>
      <c r="N57" s="27">
        <v>5</v>
      </c>
      <c r="O57" s="27">
        <v>0</v>
      </c>
      <c r="P57" s="27">
        <v>15</v>
      </c>
      <c r="Q57" s="27">
        <v>0</v>
      </c>
      <c r="R57" s="27">
        <v>10</v>
      </c>
      <c r="S57" s="27">
        <v>15</v>
      </c>
      <c r="T57" s="27">
        <f>SUM(Table12[[#This Row],[Premissa 1]:[Premissa 8]])</f>
        <v>55</v>
      </c>
      <c r="U57" s="27" t="s">
        <v>43</v>
      </c>
      <c r="V57" t="s">
        <v>179</v>
      </c>
    </row>
    <row r="58" spans="1:22" ht="15" customHeight="1" x14ac:dyDescent="0.25">
      <c r="A58" s="2">
        <v>5800291035</v>
      </c>
      <c r="B58" s="27" t="str">
        <f>MID(Table12[[#This Row],[Ativo]],1,2)</f>
        <v>58</v>
      </c>
      <c r="C58" s="27" t="s">
        <v>180</v>
      </c>
      <c r="D58" s="27" t="s">
        <v>41</v>
      </c>
      <c r="E58" s="27" t="s">
        <v>32</v>
      </c>
      <c r="F58" s="39" t="str">
        <f>IFERROR(_xlfn.XLOOKUP(Table12[[#This Row],[Ativo]],[2]!Pendentes[COD_RELIGADOR],[2]!Pendentes[SS_ORIGINAL]),"CONCLUÍDA")</f>
        <v>CONCLUÍDA</v>
      </c>
      <c r="G58" s="39" t="s">
        <v>181</v>
      </c>
      <c r="J58" s="28" t="s">
        <v>139</v>
      </c>
      <c r="K58" t="str">
        <f>IFERROR(_xlfn.XLOOKUP(Table12[[#This Row],[Ativo]],[2]!Pendentes[COD_RELIGADOR],[2]!Pendentes[DESCRICAO]),"")</f>
        <v/>
      </c>
      <c r="L58" s="27">
        <v>0</v>
      </c>
      <c r="M58" s="27">
        <v>20</v>
      </c>
      <c r="N58" s="27">
        <v>20</v>
      </c>
      <c r="O58" s="27">
        <v>10</v>
      </c>
      <c r="P58" s="27">
        <v>0</v>
      </c>
      <c r="Q58" s="27" t="s">
        <v>69</v>
      </c>
      <c r="R58" s="27" t="s">
        <v>69</v>
      </c>
      <c r="S58" s="27" t="s">
        <v>69</v>
      </c>
      <c r="T58" s="27">
        <f>SUM(Table12[[#This Row],[Premissa 1]:[Premissa 8]])</f>
        <v>50</v>
      </c>
      <c r="U58" s="27" t="s">
        <v>155</v>
      </c>
      <c r="V58" t="s">
        <v>182</v>
      </c>
    </row>
    <row r="59" spans="1:22" ht="15" customHeight="1" x14ac:dyDescent="0.25">
      <c r="A59" s="2">
        <v>5827102054</v>
      </c>
      <c r="B59" s="27" t="str">
        <f>MID(Table12[[#This Row],[Ativo]],1,2)</f>
        <v>58</v>
      </c>
      <c r="C59" s="27" t="s">
        <v>183</v>
      </c>
      <c r="D59" s="27" t="s">
        <v>90</v>
      </c>
      <c r="E59" s="27" t="s">
        <v>32</v>
      </c>
      <c r="F59" s="2" t="str">
        <f>IFERROR(_xlfn.XLOOKUP(Table12[[#This Row],[Ativo]],[2]!Pendentes[COD_RELIGADOR],[2]!Pendentes[SS_ORIGINAL]),"CONCLUÍDA")</f>
        <v>ETO-PROT 00164/2026</v>
      </c>
      <c r="G59" s="2" t="s">
        <v>184</v>
      </c>
      <c r="J59" s="28" t="s">
        <v>185</v>
      </c>
      <c r="K59" t="str">
        <f>IFERROR(_xlfn.XLOOKUP(Table12[[#This Row],[Ativo]],[2]!Pendentes[COD_RELIGADOR],[2]!Pendentes[DESCRICAO]),"")</f>
        <v>PARECER COCM: FOI SUBSTITUÍDO OS EQUIPAMENTO FEITO A MELHORIA DO ATERRAMENTO ATENDIDO PELA OBRA N-0212600609PARECER COEP:NÃO É POSSÍVEL RETORNAR COM O CONTROLE COMPLETO , MAS DARIA PARA FAZER A MELHORIA NA MALHA DE ATERRAMENTO , ENCAMINHANDO PARA OS COCM'S PARA REALIZAREM A MELHORIAparecer DMSL: :Nobreack com defeito, rele queimado, cabo de comunicação entre o rádio e o rele danificado, malha de aterramento está com a resistência alta!Feito reparo no cabo, substituído nobreack, e rele. Se possível retornar com controle completo pq o q está em campo teve infiltração de água, abrir chamado no scada para atualizar base do equipamento pois o mesmo está com a base antiga, fazer correção da malha de aterramento.Equipamento ficou em operação?: Não Pendência: sim, levar controle novo, fazer correção da malha de terra, levar suporte para fixar antena. OBS</v>
      </c>
      <c r="L59" s="27">
        <v>0</v>
      </c>
      <c r="M59" s="27">
        <v>20</v>
      </c>
      <c r="N59" s="27">
        <v>20</v>
      </c>
      <c r="O59" s="27">
        <v>10</v>
      </c>
      <c r="P59" s="27">
        <v>0</v>
      </c>
      <c r="Q59" s="27" t="s">
        <v>69</v>
      </c>
      <c r="R59" s="27" t="s">
        <v>69</v>
      </c>
      <c r="S59" s="27" t="s">
        <v>69</v>
      </c>
      <c r="T59" s="27">
        <f>SUM(Table12[[#This Row],[Premissa 1]:[Premissa 8]])</f>
        <v>50</v>
      </c>
      <c r="U59" s="27" t="s">
        <v>155</v>
      </c>
      <c r="V59" t="s">
        <v>186</v>
      </c>
    </row>
    <row r="60" spans="1:22" ht="15" customHeight="1" x14ac:dyDescent="0.25">
      <c r="A60" s="32">
        <v>5850308009</v>
      </c>
      <c r="B60" s="30" t="str">
        <f>MID(Table12[[#This Row],[Ativo]],1,2)</f>
        <v>58</v>
      </c>
      <c r="C60" s="30" t="s">
        <v>81</v>
      </c>
      <c r="D60" s="30" t="s">
        <v>81</v>
      </c>
      <c r="E60" s="30" t="s">
        <v>24</v>
      </c>
      <c r="F60" s="32" t="str">
        <f>IFERROR(_xlfn.XLOOKUP(Table12[[#This Row],[Ativo]],[2]!Pendentes[COD_RELIGADOR],[2]!Pendentes[SS_ORIGINAL]),"CONCLUÍDA")</f>
        <v>CONCLUÍDA</v>
      </c>
      <c r="G60" s="32" t="s">
        <v>25</v>
      </c>
      <c r="H60" s="32"/>
      <c r="I60" s="32" t="s">
        <v>187</v>
      </c>
      <c r="J60" s="31" t="s">
        <v>178</v>
      </c>
      <c r="K60" t="str">
        <f>IFERROR(_xlfn.XLOOKUP(Table12[[#This Row],[Ativo]],[2]!Pendentes[COD_RELIGADOR],[2]!Pendentes[DESCRICAO]),"")</f>
        <v/>
      </c>
      <c r="L60" s="30">
        <v>0</v>
      </c>
      <c r="M60" s="30">
        <v>20</v>
      </c>
      <c r="N60" s="30">
        <v>20</v>
      </c>
      <c r="O60" s="30">
        <v>0</v>
      </c>
      <c r="P60" s="30">
        <v>10</v>
      </c>
      <c r="Q60" s="30" t="s">
        <v>69</v>
      </c>
      <c r="R60" s="30" t="s">
        <v>69</v>
      </c>
      <c r="S60" s="30" t="s">
        <v>69</v>
      </c>
      <c r="T60" s="30">
        <f>SUM(Table12[[#This Row],[Premissa 1]:[Premissa 8]])</f>
        <v>50</v>
      </c>
      <c r="U60" s="30" t="s">
        <v>155</v>
      </c>
      <c r="V60" s="29" t="s">
        <v>188</v>
      </c>
    </row>
    <row r="61" spans="1:22" ht="15" customHeight="1" x14ac:dyDescent="0.25">
      <c r="A61" s="2">
        <v>7900535058</v>
      </c>
      <c r="B61" s="27" t="str">
        <f>MID(Table12[[#This Row],[Ativo]],1,2)</f>
        <v>79</v>
      </c>
      <c r="C61" s="27" t="s">
        <v>189</v>
      </c>
      <c r="D61" s="27" t="s">
        <v>23</v>
      </c>
      <c r="E61" s="27" t="s">
        <v>24</v>
      </c>
      <c r="F61" s="2" t="str">
        <f>IFERROR(_xlfn.XLOOKUP(Table12[[#This Row],[Ativo]],[2]!Pendentes[COD_RELIGADOR],[2]!Pendentes[SS_ORIGINAL]),"CONCLUÍDA")</f>
        <v>ETO-COEP 00173/2025</v>
      </c>
      <c r="G61" s="2" t="s">
        <v>190</v>
      </c>
      <c r="J61" s="28" t="s">
        <v>99</v>
      </c>
      <c r="K61" t="str">
        <f>IFERROR(_xlfn.XLOOKUP(Table12[[#This Row],[Ativo]],[2]!Pendentes[COD_RELIGADOR],[2]!Pendentes[DESCRICAO]),"")</f>
        <v>PARECER COEP: EQUIPAMENTO SELECIONADO PARA COMPRAPARECER DMSL:  Equipamento 7900535058 encontra-se com o relé danificado, firmware corrompido, o mesmo não inicia. Devido ao fato de não possuirmos mais peças de reposição para religador cooper, se faz necessário a  substituição de todo conjunto por um Noja RC10.envar equipe para verificar rlo 7900535058 foi feito primeiro ataque com equipe 040op36 o mesmo esta com RELE TRAVADO E FICOU FORA DE OPERAÇÃO, ATENDE RDR DE SANTA FÉ SAIDA DA CIDADEEQUIPE INFORMOU ABELHAS NA CAIXA DO PAINEL DE COMANDO</v>
      </c>
      <c r="L61" s="27">
        <v>5</v>
      </c>
      <c r="M61" s="27">
        <v>10</v>
      </c>
      <c r="N61" s="27">
        <v>5</v>
      </c>
      <c r="O61" s="27">
        <v>0</v>
      </c>
      <c r="P61" s="27">
        <v>15</v>
      </c>
      <c r="Q61" s="27">
        <v>10</v>
      </c>
      <c r="R61" s="27">
        <v>0</v>
      </c>
      <c r="S61" s="27">
        <v>0</v>
      </c>
      <c r="T61" s="27">
        <f>SUM(Table12[[#This Row],[Premissa 1]:[Premissa 8]])</f>
        <v>45</v>
      </c>
      <c r="U61" s="27" t="s">
        <v>155</v>
      </c>
      <c r="V61" t="s">
        <v>191</v>
      </c>
    </row>
    <row r="62" spans="1:22" ht="15" customHeight="1" x14ac:dyDescent="0.25">
      <c r="A62" s="32">
        <v>7927713200</v>
      </c>
      <c r="B62" s="30" t="str">
        <f>MID(Table12[[#This Row],[Ativo]],1,2)</f>
        <v>79</v>
      </c>
      <c r="C62" s="30" t="s">
        <v>192</v>
      </c>
      <c r="D62" s="30" t="s">
        <v>107</v>
      </c>
      <c r="E62" s="30" t="s">
        <v>58</v>
      </c>
      <c r="F62" s="32" t="str">
        <f>IFERROR(_xlfn.XLOOKUP(Table12[[#This Row],[Ativo]],[2]!Pendentes[COD_RELIGADOR],[2]!Pendentes[SS_ORIGINAL]),"CONCLUÍDA")</f>
        <v>ETO-COEP 00157/2026</v>
      </c>
      <c r="G62" s="32" t="s">
        <v>25</v>
      </c>
      <c r="H62" s="32"/>
      <c r="I62" s="32"/>
      <c r="J62" s="31" t="s">
        <v>54</v>
      </c>
      <c r="K62" t="str">
        <f>IFERROR(_xlfn.XLOOKUP(Table12[[#This Row],[Ativo]],[2]!Pendentes[COD_RELIGADOR],[2]!Pendentes[DESCRICAO]),"")</f>
        <v>segue SS para REALIZAR SUBSTITUIÇÃO DO TANQUE do RL 7927713200 danificado , com equipe de manutencao tensao 34,5kv mesmo atende Povoado retiro na rural de sao salvador  .</v>
      </c>
      <c r="L62" s="30">
        <v>5</v>
      </c>
      <c r="M62" s="30">
        <v>5</v>
      </c>
      <c r="N62" s="30">
        <v>5</v>
      </c>
      <c r="O62" s="30">
        <v>0</v>
      </c>
      <c r="P62" s="30">
        <v>15</v>
      </c>
      <c r="Q62" s="30">
        <v>10</v>
      </c>
      <c r="R62" s="30">
        <v>0</v>
      </c>
      <c r="S62" s="30">
        <v>0</v>
      </c>
      <c r="T62" s="30">
        <f>SUM(Table12[[#This Row],[Premissa 1]:[Premissa 8]])</f>
        <v>40</v>
      </c>
      <c r="U62" s="30" t="s">
        <v>155</v>
      </c>
      <c r="V62" s="29" t="s">
        <v>193</v>
      </c>
    </row>
    <row r="63" spans="1:22" ht="15" customHeight="1" x14ac:dyDescent="0.25">
      <c r="A63" s="2">
        <v>7937102148</v>
      </c>
      <c r="B63" s="27" t="str">
        <f>MID(Table12[[#This Row],[Ativo]],1,2)</f>
        <v>79</v>
      </c>
      <c r="C63" s="27" t="s">
        <v>194</v>
      </c>
      <c r="D63" s="27" t="s">
        <v>107</v>
      </c>
      <c r="E63" s="27" t="s">
        <v>58</v>
      </c>
      <c r="F63" s="2" t="str">
        <f>IFERROR(_xlfn.XLOOKUP(Table12[[#This Row],[Ativo]],[2]!Pendentes[COD_RELIGADOR],[2]!Pendentes[SS_ORIGINAL]),"CONCLUÍDA")</f>
        <v>ETO-COEP 00129/2026</v>
      </c>
      <c r="G63" s="2" t="s">
        <v>195</v>
      </c>
      <c r="J63" s="28" t="s">
        <v>54</v>
      </c>
      <c r="K63" t="str">
        <f>IFERROR(_xlfn.XLOOKUP(Table12[[#This Row],[Ativo]],[2]!Pendentes[COD_RELIGADOR],[2]!Pendentes[DESCRICAO]),"")</f>
        <v>PARECER COEP: REAVALIAR DISPONIBILIDADE DO EQUIPAMENTO NO SCADA ASSIM COMO , FORNECER MODELO DO EQUIPAMENTO E FAIXA DE TENSÃO PARA COMPRA / AQUISIÇÃOTanque com defeito, realizar substituição do tanque.</v>
      </c>
      <c r="L63" s="27">
        <v>5</v>
      </c>
      <c r="M63" s="27">
        <v>5</v>
      </c>
      <c r="N63" s="27">
        <v>5</v>
      </c>
      <c r="O63" s="27">
        <v>0</v>
      </c>
      <c r="P63" s="27">
        <v>15</v>
      </c>
      <c r="Q63" s="27">
        <v>10</v>
      </c>
      <c r="R63" s="27">
        <v>0</v>
      </c>
      <c r="S63" s="27">
        <v>0</v>
      </c>
      <c r="T63" s="27">
        <f>SUM(Table12[[#This Row],[Premissa 1]:[Premissa 8]])</f>
        <v>40</v>
      </c>
      <c r="U63" s="27" t="s">
        <v>155</v>
      </c>
      <c r="V63" t="s">
        <v>196</v>
      </c>
    </row>
    <row r="64" spans="1:22" ht="15" customHeight="1" x14ac:dyDescent="0.25">
      <c r="A64" s="2">
        <v>7944559149</v>
      </c>
      <c r="B64" s="27" t="str">
        <f>MID(Table12[[#This Row],[Ativo]],1,2)</f>
        <v>79</v>
      </c>
      <c r="C64" s="27" t="s">
        <v>197</v>
      </c>
      <c r="D64" s="27" t="s">
        <v>150</v>
      </c>
      <c r="E64" s="27" t="s">
        <v>32</v>
      </c>
      <c r="F64" s="2" t="str">
        <f>IFERROR(_xlfn.XLOOKUP(Table12[[#This Row],[Ativo]],[2]!Pendentes[COD_RELIGADOR],[2]!Pendentes[SS_ORIGINAL]),"CONCLUÍDA")</f>
        <v>ETO-COEP 00063/2026</v>
      </c>
      <c r="G64" s="2" t="s">
        <v>198</v>
      </c>
      <c r="J64" s="28"/>
      <c r="K64" t="str">
        <f>IFERROR(_xlfn.XLOOKUP(Table12[[#This Row],[Ativo]],[2]!Pendentes[COD_RELIGADOR],[2]!Pendentes[DESCRICAO]),"")</f>
        <v>14/07/2026 PARECER COEP: EQUIPAMENTO SELECIONADO PARA COMPRA Equipamento ficou em operação?: NãoPendência: Sim será necessário substituir a placaServiço Executado:  curto na placa foi tentando recuperar a mesma porém não teve sucesso!Bateria(s)substituída(s)? NÃOEquipe: Kaique e benvido</v>
      </c>
      <c r="L64" s="27">
        <v>5</v>
      </c>
      <c r="M64" s="27">
        <v>10</v>
      </c>
      <c r="N64" s="27">
        <v>0</v>
      </c>
      <c r="O64" s="27">
        <v>0</v>
      </c>
      <c r="P64" s="27">
        <v>15</v>
      </c>
      <c r="Q64" s="27">
        <v>10</v>
      </c>
      <c r="R64" s="27">
        <v>0</v>
      </c>
      <c r="S64" s="27">
        <v>0</v>
      </c>
      <c r="T64" s="27">
        <f>SUM(Table12[[#This Row],[Premissa 1]:[Premissa 8]])</f>
        <v>40</v>
      </c>
      <c r="U64" s="27" t="s">
        <v>155</v>
      </c>
      <c r="V64" t="s">
        <v>199</v>
      </c>
    </row>
    <row r="65" spans="1:22" ht="15" customHeight="1" x14ac:dyDescent="0.25">
      <c r="A65" s="2">
        <v>5800961074</v>
      </c>
      <c r="B65" s="27" t="str">
        <f>MID(Table12[[#This Row],[Ativo]],1,2)</f>
        <v>58</v>
      </c>
      <c r="C65" s="27" t="s">
        <v>65</v>
      </c>
      <c r="D65" s="27" t="s">
        <v>65</v>
      </c>
      <c r="E65" s="27" t="s">
        <v>58</v>
      </c>
      <c r="F65" s="2" t="str">
        <f>IFERROR(_xlfn.XLOOKUP(Table12[[#This Row],[Ativo]],[2]!Pendentes[COD_RELIGADOR],[2]!Pendentes[SS_ORIGINAL]),"CONCLUÍDA")</f>
        <v>ETO-COEP 00221/2025</v>
      </c>
      <c r="G65" s="2" t="s">
        <v>200</v>
      </c>
      <c r="J65" s="28" t="s">
        <v>201</v>
      </c>
      <c r="K65" t="str">
        <f>IFERROR(_xlfn.XLOOKUP(Table12[[#This Row],[Ativo]],[2]!Pendentes[COD_RELIGADOR],[2]!Pendentes[DESCRICAO]),"")</f>
        <v>PARECER COEP: EQUIPAMENTO SELECIONADO PARA COMPRASubstituir as 3 células- Melhoria na malha de aterramento - Melhoria no circuito de aterramento qua aterra as células.- Substituir conectores paralelos</v>
      </c>
      <c r="L65" s="27">
        <v>20</v>
      </c>
      <c r="M65" s="27">
        <v>0</v>
      </c>
      <c r="N65" s="27">
        <v>0</v>
      </c>
      <c r="O65" s="27">
        <v>20</v>
      </c>
      <c r="P65" s="27">
        <v>0</v>
      </c>
      <c r="Q65" s="27" t="s">
        <v>69</v>
      </c>
      <c r="R65" s="27" t="s">
        <v>69</v>
      </c>
      <c r="S65" s="27" t="s">
        <v>69</v>
      </c>
      <c r="T65" s="27">
        <f>SUM(Table12[[#This Row],[Premissa 1]:[Premissa 8]])</f>
        <v>40</v>
      </c>
      <c r="U65" s="27" t="s">
        <v>155</v>
      </c>
      <c r="V65" t="s">
        <v>202</v>
      </c>
    </row>
    <row r="66" spans="1:22" ht="15" customHeight="1" x14ac:dyDescent="0.25">
      <c r="A66" s="2">
        <v>7908249152</v>
      </c>
      <c r="B66" s="27" t="str">
        <f>MID(Table12[[#This Row],[Ativo]],1,2)</f>
        <v>79</v>
      </c>
      <c r="C66" s="27" t="s">
        <v>203</v>
      </c>
      <c r="D66" s="27" t="s">
        <v>36</v>
      </c>
      <c r="E66" s="27" t="s">
        <v>32</v>
      </c>
      <c r="F66" s="2" t="str">
        <f>IFERROR(_xlfn.XLOOKUP(Table12[[#This Row],[Ativo]],[2]!Pendentes[COD_RELIGADOR],[2]!Pendentes[SS_ORIGINAL]),"CONCLUÍDA")</f>
        <v>ETO-COEP 00038/2026</v>
      </c>
      <c r="G66" s="2" t="s">
        <v>198</v>
      </c>
      <c r="J66" s="28" t="s">
        <v>204</v>
      </c>
      <c r="K66" t="str">
        <f>IFERROR(_xlfn.XLOOKUP(Table12[[#This Row],[Ativo]],[2]!Pendentes[COD_RELIGADOR],[2]!Pendentes[DESCRICAO]),"")</f>
        <v>14/07/2026 PARECER COEP: EQUIPAMENTO SELECIONADO PARA COMPRADMSL:Serviço Executado: Houve um curto no equipamento danificando a parte ativa, será necessário fazer a substituição do equipamento completo ( parte ativa e controle) colocar o um cabo pp novo do trafo até o Dj pois o mesmo está sem condições de uso. Obs:. Foi retirado rádio e rele Equipamento ficou em operação?: Não Pendência: Sim, substituir o equipamento completo.</v>
      </c>
      <c r="L66" s="27">
        <v>5</v>
      </c>
      <c r="M66" s="27">
        <v>5</v>
      </c>
      <c r="N66" s="27">
        <v>0</v>
      </c>
      <c r="O66" s="27">
        <v>0</v>
      </c>
      <c r="P66" s="27">
        <v>15</v>
      </c>
      <c r="Q66" s="27">
        <v>10</v>
      </c>
      <c r="R66" s="27">
        <v>0</v>
      </c>
      <c r="S66" s="27">
        <v>0</v>
      </c>
      <c r="T66" s="27">
        <f>SUM(Table12[[#This Row],[Premissa 1]:[Premissa 8]])</f>
        <v>35</v>
      </c>
      <c r="U66" s="27" t="s">
        <v>155</v>
      </c>
      <c r="V66" t="s">
        <v>205</v>
      </c>
    </row>
    <row r="67" spans="1:22" ht="15" customHeight="1" x14ac:dyDescent="0.25">
      <c r="A67" s="32">
        <v>7922995039</v>
      </c>
      <c r="B67" s="30" t="str">
        <f>MID(Table12[[#This Row],[Ativo]],1,2)</f>
        <v>79</v>
      </c>
      <c r="C67" s="30" t="s">
        <v>206</v>
      </c>
      <c r="D67" s="30" t="s">
        <v>61</v>
      </c>
      <c r="E67" s="30" t="s">
        <v>24</v>
      </c>
      <c r="F67" s="32" t="str">
        <f>IFERROR(_xlfn.XLOOKUP(Table12[[#This Row],[Ativo]],[2]!Pendentes[COD_RELIGADOR],[2]!Pendentes[SS_ORIGINAL]),"CONCLUÍDA")</f>
        <v>CONCLUÍDA</v>
      </c>
      <c r="G67" s="32" t="s">
        <v>207</v>
      </c>
      <c r="H67" s="32"/>
      <c r="I67" s="32" t="s">
        <v>187</v>
      </c>
      <c r="J67" s="31" t="s">
        <v>208</v>
      </c>
      <c r="K67" t="str">
        <f>IFERROR(_xlfn.XLOOKUP(Table12[[#This Row],[Ativo]],[2]!Pendentes[COD_RELIGADOR],[2]!Pendentes[DESCRICAO]),"")</f>
        <v/>
      </c>
      <c r="L67" s="30">
        <v>5</v>
      </c>
      <c r="M67" s="30">
        <v>5</v>
      </c>
      <c r="N67" s="30">
        <v>0</v>
      </c>
      <c r="O67" s="30">
        <v>0</v>
      </c>
      <c r="P67" s="30">
        <v>15</v>
      </c>
      <c r="Q67" s="30">
        <v>10</v>
      </c>
      <c r="R67" s="30">
        <v>0</v>
      </c>
      <c r="S67" s="30">
        <v>0</v>
      </c>
      <c r="T67" s="30">
        <f>SUM(Table12[[#This Row],[Premissa 1]:[Premissa 8]])</f>
        <v>35</v>
      </c>
      <c r="U67" s="30" t="s">
        <v>155</v>
      </c>
      <c r="V67" s="29" t="s">
        <v>209</v>
      </c>
    </row>
    <row r="68" spans="1:22" ht="15" customHeight="1" x14ac:dyDescent="0.25">
      <c r="A68" s="2">
        <v>7925733015</v>
      </c>
      <c r="B68" s="27" t="str">
        <f>MID(Table12[[#This Row],[Ativo]],1,2)</f>
        <v>79</v>
      </c>
      <c r="C68" s="27" t="s">
        <v>165</v>
      </c>
      <c r="D68" s="27" t="s">
        <v>81</v>
      </c>
      <c r="E68" s="27" t="s">
        <v>24</v>
      </c>
      <c r="F68" s="2" t="str">
        <f>IFERROR(_xlfn.XLOOKUP(Table12[[#This Row],[Ativo]],[2]!Pendentes[COD_RELIGADOR],[2]!Pendentes[SS_ORIGINAL]),"CONCLUÍDA")</f>
        <v>ETO-COEP 00058/2026</v>
      </c>
      <c r="G68" s="2" t="s">
        <v>75</v>
      </c>
      <c r="J68" s="28"/>
      <c r="K68" t="str">
        <f>IFERROR(_xlfn.XLOOKUP(Table12[[#This Row],[Ativo]],[2]!Pendentes[COD_RELIGADOR],[2]!Pendentes[DESCRICAO]),"")</f>
        <v>PARECER COEP: EQUIPAMENTO SELECIONADO PARA COMPRAPARECER DMSL: FEEDBACK EQUIP. ESPECIAISNº DO EQUIPAMENTO: 7925733015TIPO EQUIPAMENTO: Noja RC10TIPO DE COMUNICAÇÃO: Rádio GEDATA DA MANUTENÇÃO: 24/03/2026SID: 1475/2026DESCRIÇÃO: Tanque do equipamento em CurtoFICOU EM OPERAÇÃO?: Não PENDÊNCIA: Sim, repassar a nota para DCMD substituir tanque.DADOS DIVERGENTES DA PROGRAMAÇÃO: NãoBATERIA SUBSTITUÍDA?: Não TIPO DE BATERIA: Lítio EQUIPE: Edicleber e Jhonata(DEOP)------------------------------------------------------------------------------------------------------religador 7925733015 com defeito, equipe fez abertura da chave de saida do mesmo e ele não aceita fehcamento devido provavel curto-circuito interno, enviar equipe para verificar o mesmo ficou by-pass fechado</v>
      </c>
      <c r="L68" s="27">
        <v>5</v>
      </c>
      <c r="M68" s="27">
        <v>5</v>
      </c>
      <c r="N68" s="27">
        <v>0</v>
      </c>
      <c r="O68" s="27">
        <v>0</v>
      </c>
      <c r="P68" s="27">
        <v>15</v>
      </c>
      <c r="Q68" s="27">
        <v>10</v>
      </c>
      <c r="R68" s="27">
        <v>0</v>
      </c>
      <c r="S68" s="27">
        <v>0</v>
      </c>
      <c r="T68" s="27">
        <f>SUM(Table12[[#This Row],[Premissa 1]:[Premissa 8]])</f>
        <v>35</v>
      </c>
      <c r="U68" s="27" t="s">
        <v>155</v>
      </c>
      <c r="V68" t="s">
        <v>210</v>
      </c>
    </row>
    <row r="69" spans="1:22" ht="15" customHeight="1" x14ac:dyDescent="0.25">
      <c r="A69" s="2">
        <v>7927396052</v>
      </c>
      <c r="B69" s="27" t="str">
        <f>MID(Table12[[#This Row],[Ativo]],1,2)</f>
        <v>79</v>
      </c>
      <c r="C69" s="27" t="s">
        <v>211</v>
      </c>
      <c r="D69" s="27" t="s">
        <v>211</v>
      </c>
      <c r="E69" s="27" t="s">
        <v>58</v>
      </c>
      <c r="F69" s="2" t="str">
        <f>IFERROR(_xlfn.XLOOKUP(Table12[[#This Row],[Ativo]],[2]!Pendentes[COD_RELIGADOR],[2]!Pendentes[SS_ORIGINAL]),"CONCLUÍDA")</f>
        <v>ETO-COEP 00045/2026</v>
      </c>
      <c r="G69" s="2" t="s">
        <v>75</v>
      </c>
      <c r="J69" s="28" t="s">
        <v>54</v>
      </c>
      <c r="K69" t="str">
        <f>IFERROR(_xlfn.XLOOKUP(Table12[[#This Row],[Ativo]],[2]!Pendentes[COD_RELIGADOR],[2]!Pendentes[DESCRICAO]),"")</f>
        <v>PARECER COEP: EQUIPAMENTO SELECIONADO PARA COMPRAreligador foi bay passado devido mesmo esta saindo fumaca do painel e sem comunicação 7927396052.PARECER DMSL: Após testes, equipe DMSL constatou que apenas o tanque do RLG 7927396052 encontra-se queimado. Favor, substituir parte ativa do equipamento.NS Tanque: 0320123040198</v>
      </c>
      <c r="L69" s="27">
        <v>5</v>
      </c>
      <c r="M69" s="27">
        <v>5</v>
      </c>
      <c r="N69" s="27">
        <v>0</v>
      </c>
      <c r="O69" s="27">
        <v>0</v>
      </c>
      <c r="P69" s="27">
        <v>15</v>
      </c>
      <c r="Q69" s="27">
        <v>10</v>
      </c>
      <c r="R69" s="27">
        <v>0</v>
      </c>
      <c r="S69" s="27">
        <v>0</v>
      </c>
      <c r="T69" s="27">
        <f>SUM(Table12[[#This Row],[Premissa 1]:[Premissa 8]])</f>
        <v>35</v>
      </c>
      <c r="U69" s="27" t="s">
        <v>155</v>
      </c>
      <c r="V69" t="s">
        <v>212</v>
      </c>
    </row>
    <row r="70" spans="1:22" ht="15" customHeight="1" x14ac:dyDescent="0.25">
      <c r="A70" s="38">
        <v>7933585074</v>
      </c>
      <c r="B70" s="36" t="str">
        <f>MID(Table12[[#This Row],[Ativo]],1,2)</f>
        <v>79</v>
      </c>
      <c r="C70" s="36" t="s">
        <v>65</v>
      </c>
      <c r="D70" s="36" t="s">
        <v>65</v>
      </c>
      <c r="E70" s="36" t="s">
        <v>58</v>
      </c>
      <c r="F70" s="38" t="str">
        <f>IFERROR(_xlfn.XLOOKUP(Table12[[#This Row],[Ativo]],[2]!Pendentes[COD_RELIGADOR],[2]!Pendentes[SS_ORIGINAL]),"CONCLUÍDA")</f>
        <v>ETO-COEP 00024/2026</v>
      </c>
      <c r="G70" s="36" t="s">
        <v>198</v>
      </c>
      <c r="H70" s="38"/>
      <c r="I70" s="38"/>
      <c r="J70" s="37" t="s">
        <v>54</v>
      </c>
      <c r="K70" t="str">
        <f>IFERROR(_xlfn.XLOOKUP(Table12[[#This Row],[Ativo]],[2]!Pendentes[COD_RELIGADOR],[2]!Pendentes[DESCRICAO]),"")</f>
        <v>30/06 PARECER COEP: EQUIPAMENTO SELECIONADO PARA COMPRAREALIZAR SUBSTITUIÇÃO DO TANQUE, O MESMO ESTÁ COM DEFEITO.</v>
      </c>
      <c r="L70" s="36">
        <v>5</v>
      </c>
      <c r="M70" s="36">
        <v>5</v>
      </c>
      <c r="N70" s="36">
        <v>15</v>
      </c>
      <c r="O70" s="36">
        <v>0</v>
      </c>
      <c r="P70" s="36">
        <v>0</v>
      </c>
      <c r="Q70" s="36">
        <v>0</v>
      </c>
      <c r="R70" s="36">
        <v>10</v>
      </c>
      <c r="S70" s="36">
        <v>0</v>
      </c>
      <c r="T70" s="36">
        <f>SUM(Table12[[#This Row],[Premissa 1]:[Premissa 8]])</f>
        <v>35</v>
      </c>
      <c r="U70" s="36" t="s">
        <v>155</v>
      </c>
      <c r="V70" s="7" t="s">
        <v>213</v>
      </c>
    </row>
    <row r="71" spans="1:22" ht="15" customHeight="1" x14ac:dyDescent="0.25">
      <c r="A71" s="32">
        <v>7942572059</v>
      </c>
      <c r="B71" s="30" t="str">
        <f>MID(Table12[[#This Row],[Ativo]],1,2)</f>
        <v>79</v>
      </c>
      <c r="C71" s="30" t="s">
        <v>31</v>
      </c>
      <c r="D71" s="30" t="s">
        <v>31</v>
      </c>
      <c r="E71" s="30" t="s">
        <v>32</v>
      </c>
      <c r="F71" s="32" t="str">
        <f>IFERROR(_xlfn.XLOOKUP(Table12[[#This Row],[Ativo]],[2]!Pendentes[COD_RELIGADOR],[2]!Pendentes[SS_ORIGINAL]),"CONCLUÍDA")</f>
        <v>ETO-PROT 00155/2026</v>
      </c>
      <c r="G71" s="32" t="s">
        <v>139</v>
      </c>
      <c r="H71" s="32"/>
      <c r="I71" s="32" t="s">
        <v>187</v>
      </c>
      <c r="J71" s="31"/>
      <c r="K71" t="str">
        <f>IFERROR(_xlfn.XLOOKUP(Table12[[#This Row],[Ativo]],[2]!Pendentes[COD_RELIGADOR],[2]!Pendentes[DESCRICAO]),"")</f>
        <v>PARECER COEP: EQUIPAMENTO COM MELHORIA DE ATERRAMENTO É COM A ETO-RD-PA , NÃO PASSA PELO FLUXO DE AQUISIÇÃO DO COEP, FAVOR REALIZAR MELHORIA DE ATERRAMENTO ETO-RD-PAPARECER DMSL 19/05/2026: É necessário fazer melhorias na malha de aterramento.segue nota para RL 794252059 o mesmo esta sem comunicaçao, foi feito primeiro ataque, porem a comunicaçao nao voltou, obs ramal do marasca.**** Parcecer do COCM CENTRO-****FEITO A MALHAR DE ATERRAMENTO ATENDIDA PELA ORDEM DE SERVIÇO DLP-MLPA02 91/2026 COM RELATORIO EM ANEXO A O.S</v>
      </c>
      <c r="L71" s="30">
        <v>5</v>
      </c>
      <c r="M71" s="30">
        <v>5</v>
      </c>
      <c r="N71" s="30">
        <v>15</v>
      </c>
      <c r="O71" s="30">
        <v>0</v>
      </c>
      <c r="P71" s="30">
        <v>0</v>
      </c>
      <c r="Q71" s="30">
        <v>0</v>
      </c>
      <c r="R71" s="30">
        <v>10</v>
      </c>
      <c r="S71" s="30">
        <v>0</v>
      </c>
      <c r="T71" s="30">
        <f>SUM(Table12[[#This Row],[Premissa 1]:[Premissa 8]])</f>
        <v>35</v>
      </c>
      <c r="U71" s="30" t="s">
        <v>155</v>
      </c>
      <c r="V71" s="29" t="s">
        <v>214</v>
      </c>
    </row>
    <row r="72" spans="1:22" ht="15" customHeight="1" x14ac:dyDescent="0.25">
      <c r="A72" s="2">
        <v>7944319149</v>
      </c>
      <c r="B72" s="27" t="str">
        <f>MID(Table12[[#This Row],[Ativo]],1,2)</f>
        <v>79</v>
      </c>
      <c r="C72" s="27" t="s">
        <v>197</v>
      </c>
      <c r="D72" s="27" t="s">
        <v>150</v>
      </c>
      <c r="E72" s="27" t="s">
        <v>32</v>
      </c>
      <c r="F72" s="2" t="str">
        <f>IFERROR(_xlfn.XLOOKUP(Table12[[#This Row],[Ativo]],[2]!Pendentes[COD_RELIGADOR],[2]!Pendentes[SS_ORIGINAL]),"CONCLUÍDA")</f>
        <v>CONCLUÍDA</v>
      </c>
      <c r="I72" s="2" t="s">
        <v>145</v>
      </c>
      <c r="J72" s="28" t="s">
        <v>54</v>
      </c>
      <c r="K72" t="str">
        <f>IFERROR(_xlfn.XLOOKUP(Table12[[#This Row],[Ativo]],[2]!Pendentes[COD_RELIGADOR],[2]!Pendentes[DESCRICAO]),"")</f>
        <v/>
      </c>
      <c r="L72" s="27">
        <v>5</v>
      </c>
      <c r="M72" s="27">
        <v>5</v>
      </c>
      <c r="N72" s="27">
        <v>15</v>
      </c>
      <c r="O72" s="27">
        <v>0</v>
      </c>
      <c r="P72" s="27">
        <v>0</v>
      </c>
      <c r="Q72" s="27">
        <v>0</v>
      </c>
      <c r="R72" s="27">
        <v>10</v>
      </c>
      <c r="S72" s="27">
        <v>0</v>
      </c>
      <c r="T72" s="27">
        <f>SUM(Table12[[#This Row],[Premissa 1]:[Premissa 8]])</f>
        <v>35</v>
      </c>
      <c r="U72" s="27" t="s">
        <v>155</v>
      </c>
      <c r="V72" t="s">
        <v>215</v>
      </c>
    </row>
    <row r="73" spans="1:22" ht="15" customHeight="1" x14ac:dyDescent="0.25">
      <c r="A73" s="2">
        <v>7955986084</v>
      </c>
      <c r="B73" s="27" t="str">
        <f>MID(Table12[[#This Row],[Ativo]],1,2)</f>
        <v>79</v>
      </c>
      <c r="C73" s="27" t="s">
        <v>150</v>
      </c>
      <c r="D73" s="27" t="s">
        <v>150</v>
      </c>
      <c r="E73" s="27" t="s">
        <v>32</v>
      </c>
      <c r="F73" s="2" t="str">
        <f>IFERROR(_xlfn.XLOOKUP(Table12[[#This Row],[Ativo]],[2]!Pendentes[COD_RELIGADOR],[2]!Pendentes[SS_ORIGINAL]),"CONCLUÍDA")</f>
        <v>ETO-COEP 00133/2026</v>
      </c>
      <c r="G73" s="2" t="s">
        <v>216</v>
      </c>
      <c r="J73" s="28"/>
      <c r="K73" t="str">
        <f>IFERROR(_xlfn.XLOOKUP(Table12[[#This Row],[Ativo]],[2]!Pendentes[COD_RELIGADOR],[2]!Pendentes[DESCRICAO]),"")</f>
        <v>14/07/2026 PARECER COEP : SUBSTIUIR CONTROLE COMPLETOPARECER DMSL: Equipamento com a placa de alimentação ca em curto, será necessário substituir a placa do equipamento. (Antiga nota era pra ter sido repassada porém foi baixada indevidamente pela equipe)</v>
      </c>
      <c r="L73" s="27">
        <v>5</v>
      </c>
      <c r="M73" s="27">
        <v>5</v>
      </c>
      <c r="N73" s="27">
        <v>0</v>
      </c>
      <c r="O73" s="27">
        <v>0</v>
      </c>
      <c r="P73" s="27">
        <v>15</v>
      </c>
      <c r="Q73" s="27">
        <v>10</v>
      </c>
      <c r="R73" s="27">
        <v>0</v>
      </c>
      <c r="S73" s="27">
        <v>0</v>
      </c>
      <c r="T73" s="27">
        <f>SUM(Table12[[#This Row],[Premissa 1]:[Premissa 8]])</f>
        <v>35</v>
      </c>
      <c r="U73" s="27" t="s">
        <v>155</v>
      </c>
      <c r="V73" t="s">
        <v>217</v>
      </c>
    </row>
    <row r="74" spans="1:22" ht="15" customHeight="1" x14ac:dyDescent="0.25">
      <c r="A74" s="32">
        <v>7967181127</v>
      </c>
      <c r="B74" s="30" t="str">
        <f>MID(Table12[[#This Row],[Ativo]],1,2)</f>
        <v>79</v>
      </c>
      <c r="C74" s="30" t="s">
        <v>49</v>
      </c>
      <c r="D74" s="30" t="s">
        <v>50</v>
      </c>
      <c r="E74" s="30" t="s">
        <v>24</v>
      </c>
      <c r="F74" s="32" t="str">
        <f>IFERROR(_xlfn.XLOOKUP(Table12[[#This Row],[Ativo]],[2]!Pendentes[COD_RELIGADOR],[2]!Pendentes[SS_ORIGINAL]),"CONCLUÍDA")</f>
        <v>CONCLUÍDA</v>
      </c>
      <c r="G74" s="32" t="s">
        <v>218</v>
      </c>
      <c r="H74" s="32"/>
      <c r="I74" s="32"/>
      <c r="J74" s="31"/>
      <c r="K74" t="str">
        <f>IFERROR(_xlfn.XLOOKUP(Table12[[#This Row],[Ativo]],[2]!Pendentes[COD_RELIGADOR],[2]!Pendentes[DESCRICAO]),"")</f>
        <v/>
      </c>
      <c r="L74" s="30">
        <v>5</v>
      </c>
      <c r="M74" s="30">
        <v>5</v>
      </c>
      <c r="N74" s="30">
        <v>0</v>
      </c>
      <c r="O74" s="30">
        <v>0</v>
      </c>
      <c r="P74" s="30">
        <v>15</v>
      </c>
      <c r="Q74" s="30">
        <v>10</v>
      </c>
      <c r="R74" s="30">
        <v>0</v>
      </c>
      <c r="S74" s="30">
        <v>0</v>
      </c>
      <c r="T74" s="30">
        <f>SUM(Table12[[#This Row],[Premissa 1]:[Premissa 8]])</f>
        <v>35</v>
      </c>
      <c r="U74" s="30" t="s">
        <v>155</v>
      </c>
      <c r="V74" s="29" t="s">
        <v>219</v>
      </c>
    </row>
    <row r="75" spans="1:22" ht="15" customHeight="1" x14ac:dyDescent="0.25">
      <c r="A75" s="2">
        <v>7900525015</v>
      </c>
      <c r="B75" s="27" t="str">
        <f>MID(Table12[[#This Row],[Ativo]],1,2)</f>
        <v>79</v>
      </c>
      <c r="C75" s="27" t="s">
        <v>165</v>
      </c>
      <c r="D75" s="27" t="s">
        <v>81</v>
      </c>
      <c r="E75" s="27" t="s">
        <v>24</v>
      </c>
      <c r="F75" s="2" t="str">
        <f>IFERROR(_xlfn.XLOOKUP(Table12[[#This Row],[Ativo]],[2]!Pendentes[COD_RELIGADOR],[2]!Pendentes[SS_ORIGINAL]),"CONCLUÍDA")</f>
        <v>ETO-COEP 00125/2026</v>
      </c>
      <c r="G75" s="2" t="s">
        <v>220</v>
      </c>
      <c r="J75" s="28"/>
      <c r="K75" t="str">
        <f>IFERROR(_xlfn.XLOOKUP(Table12[[#This Row],[Ativo]],[2]!Pendentes[COD_RELIGADOR],[2]!Pendentes[DESCRICAO]),"")</f>
        <v>PARECER COEP: É PARA REALIZAR A SUBSTITUIÇÃO DO RELIGADOR OU DAS BUCHAS, CASO SEJA BUCHAS , REPASSAR PARA OS COCM'S , CASO NÃO SEJA ESPECIFIQUE O MODELO , E A TENSÃO, FICO NO AGUARDO DO RETORNONota para manutenção substituir religador 7900525015 que está com as buchas de entrada danificadas fase A estourada e bc danificadas Local LD Pedro Afonso A Chaparral</v>
      </c>
      <c r="L75" s="27">
        <v>5</v>
      </c>
      <c r="M75" s="27">
        <v>5</v>
      </c>
      <c r="N75" s="27">
        <v>0</v>
      </c>
      <c r="O75" s="27">
        <v>0</v>
      </c>
      <c r="P75" s="27">
        <v>15</v>
      </c>
      <c r="Q75" s="27">
        <v>10</v>
      </c>
      <c r="R75" s="27">
        <v>0</v>
      </c>
      <c r="S75" s="27">
        <v>0</v>
      </c>
      <c r="T75" s="27">
        <f>SUM(Table12[[#This Row],[Premissa 1]:[Premissa 8]])</f>
        <v>35</v>
      </c>
      <c r="U75" s="27" t="s">
        <v>155</v>
      </c>
      <c r="V75" t="s">
        <v>221</v>
      </c>
    </row>
    <row r="76" spans="1:22" ht="15" customHeight="1" x14ac:dyDescent="0.25">
      <c r="A76" s="2">
        <v>7928564039</v>
      </c>
      <c r="B76" s="27" t="str">
        <f>MID(Table12[[#This Row],[Ativo]],1,2)</f>
        <v>79</v>
      </c>
      <c r="C76" s="27" t="s">
        <v>206</v>
      </c>
      <c r="D76" s="27" t="s">
        <v>61</v>
      </c>
      <c r="E76" s="27" t="s">
        <v>24</v>
      </c>
      <c r="F76" s="2" t="str">
        <f>IFERROR(_xlfn.XLOOKUP(Table12[[#This Row],[Ativo]],[2]!Pendentes[COD_RELIGADOR],[2]!Pendentes[SS_ORIGINAL]),"CONCLUÍDA")</f>
        <v>ETO-COEP 00123/2026</v>
      </c>
      <c r="G76" s="2" t="s">
        <v>222</v>
      </c>
      <c r="J76" s="28" t="s">
        <v>223</v>
      </c>
      <c r="K76" t="str">
        <f>IFERROR(_xlfn.XLOOKUP(Table12[[#This Row],[Ativo]],[2]!Pendentes[COD_RELIGADOR],[2]!Pendentes[DESCRICAO]),"")</f>
        <v>PARECER COEP: EQUIPAMENTO SELECIONADO PARA COMPRATroca do sistema de comunicação do equipamentoDMSL 28/07/2025: Equipamento com tanque, modulo e rele com defeito, solicitar troca do equipamento ao DCMD.Fotos vão ser enviadas por e-mail</v>
      </c>
      <c r="L76" s="27">
        <v>5</v>
      </c>
      <c r="M76" s="27">
        <v>10</v>
      </c>
      <c r="N76" s="27">
        <v>5</v>
      </c>
      <c r="O76" s="27">
        <v>0</v>
      </c>
      <c r="P76" s="27">
        <v>0</v>
      </c>
      <c r="Q76" s="27">
        <v>10</v>
      </c>
      <c r="R76" s="27">
        <v>0</v>
      </c>
      <c r="S76" s="27">
        <v>0</v>
      </c>
      <c r="T76" s="27">
        <f>SUM(Table12[[#This Row],[Premissa 1]:[Premissa 8]])</f>
        <v>30</v>
      </c>
      <c r="U76" s="27" t="s">
        <v>155</v>
      </c>
      <c r="V76" t="s">
        <v>224</v>
      </c>
    </row>
    <row r="77" spans="1:22" ht="15" customHeight="1" x14ac:dyDescent="0.25">
      <c r="A77" s="32">
        <v>7957126085</v>
      </c>
      <c r="B77" s="30" t="str">
        <f>MID(Table12[[#This Row],[Ativo]],1,2)</f>
        <v>79</v>
      </c>
      <c r="C77" s="30" t="s">
        <v>225</v>
      </c>
      <c r="D77" s="30" t="s">
        <v>90</v>
      </c>
      <c r="E77" s="30" t="s">
        <v>32</v>
      </c>
      <c r="F77" s="32" t="str">
        <f>IFERROR(_xlfn.XLOOKUP(Table12[[#This Row],[Ativo]],[2]!Pendentes[COD_RELIGADOR],[2]!Pendentes[SS_ORIGINAL]),"CONCLUÍDA")</f>
        <v>CONCLUÍDA</v>
      </c>
      <c r="G77" s="32" t="s">
        <v>226</v>
      </c>
      <c r="H77" s="32"/>
      <c r="I77" s="32" t="s">
        <v>46</v>
      </c>
      <c r="J77" s="31" t="s">
        <v>227</v>
      </c>
      <c r="K77" t="str">
        <f>IFERROR(_xlfn.XLOOKUP(Table12[[#This Row],[Ativo]],[2]!Pendentes[COD_RELIGADOR],[2]!Pendentes[DESCRICAO]),"")</f>
        <v/>
      </c>
      <c r="L77" s="30">
        <v>5</v>
      </c>
      <c r="M77" s="30">
        <v>10</v>
      </c>
      <c r="N77" s="30">
        <v>5</v>
      </c>
      <c r="O77" s="30">
        <v>0</v>
      </c>
      <c r="P77" s="30">
        <v>0</v>
      </c>
      <c r="Q77" s="30">
        <v>10</v>
      </c>
      <c r="R77" s="30">
        <v>0</v>
      </c>
      <c r="S77" s="30">
        <v>0</v>
      </c>
      <c r="T77" s="30">
        <f>SUM(Table12[[#This Row],[Premissa 1]:[Premissa 8]])</f>
        <v>30</v>
      </c>
      <c r="U77" s="30" t="s">
        <v>155</v>
      </c>
      <c r="V77" s="29" t="s">
        <v>228</v>
      </c>
    </row>
    <row r="78" spans="1:22" ht="15" customHeight="1" x14ac:dyDescent="0.25">
      <c r="A78" s="2">
        <v>5841308190</v>
      </c>
      <c r="B78" s="27" t="str">
        <f>MID(Table12[[#This Row],[Ativo]],1,2)</f>
        <v>58</v>
      </c>
      <c r="C78" s="27" t="s">
        <v>229</v>
      </c>
      <c r="D78" s="27" t="s">
        <v>65</v>
      </c>
      <c r="E78" s="27" t="s">
        <v>58</v>
      </c>
      <c r="F78" s="32" t="str">
        <f>IFERROR(_xlfn.XLOOKUP(Table12[[#This Row],[Ativo]],[2]!Pendentes[COD_RELIGADOR],[2]!Pendentes[SS_ORIGINAL]),"CONCLUÍDA")</f>
        <v>CONCLUÍDA</v>
      </c>
      <c r="G78" s="32"/>
      <c r="I78" s="2" t="s">
        <v>230</v>
      </c>
      <c r="J78" s="28" t="s">
        <v>69</v>
      </c>
      <c r="K78" t="str">
        <f>IFERROR(_xlfn.XLOOKUP(Table12[[#This Row],[Ativo]],[2]!Pendentes[COD_RELIGADOR],[2]!Pendentes[DESCRICAO]),"")</f>
        <v/>
      </c>
      <c r="L78" s="27">
        <v>0</v>
      </c>
      <c r="M78" s="27">
        <v>20</v>
      </c>
      <c r="N78" s="27">
        <v>0</v>
      </c>
      <c r="O78" s="27">
        <v>10</v>
      </c>
      <c r="P78" s="27">
        <v>0</v>
      </c>
      <c r="Q78" s="27" t="s">
        <v>69</v>
      </c>
      <c r="R78" s="27" t="s">
        <v>69</v>
      </c>
      <c r="S78" s="27" t="s">
        <v>69</v>
      </c>
      <c r="T78" s="27">
        <f>SUM(Table12[[#This Row],[Premissa 1]:[Premissa 8]])</f>
        <v>30</v>
      </c>
      <c r="U78" s="27" t="s">
        <v>231</v>
      </c>
      <c r="V78" t="s">
        <v>232</v>
      </c>
    </row>
    <row r="79" spans="1:22" ht="15" customHeight="1" x14ac:dyDescent="0.25">
      <c r="A79" s="2">
        <v>5844630060</v>
      </c>
      <c r="B79" s="27" t="str">
        <f>MID(Table12[[#This Row],[Ativo]],1,2)</f>
        <v>58</v>
      </c>
      <c r="C79" s="27" t="s">
        <v>233</v>
      </c>
      <c r="D79" s="27" t="s">
        <v>87</v>
      </c>
      <c r="E79" s="27" t="s">
        <v>24</v>
      </c>
      <c r="F79" s="2" t="str">
        <f>IFERROR(_xlfn.XLOOKUP(Table12[[#This Row],[Ativo]],[2]!Pendentes[COD_RELIGADOR],[2]!Pendentes[SS_ORIGINAL]),"CONCLUÍDA")</f>
        <v>ETO-TELE 01102/2026</v>
      </c>
      <c r="G79" s="2" t="s">
        <v>94</v>
      </c>
      <c r="J79" s="28" t="s">
        <v>234</v>
      </c>
      <c r="K79" t="str">
        <f>IFERROR(_xlfn.XLOOKUP(Table12[[#This Row],[Ativo]],[2]!Pendentes[COD_RELIGADOR],[2]!Pendentes[DESCRICAO]),"")</f>
        <v>Segue nota para verificar falha em comandos via supervisório e constantes travamento no regulador de tensão 5844630060 - rural- Nova Olinda .Foi executado comandos no relé via supervisório, porém sem sucesso , em campo o equipamento está com a fase B travada no -16 .Obs: equipamento ficou fora de operação bay passado , favor agilizar atendimento !</v>
      </c>
      <c r="L79" s="27">
        <v>20</v>
      </c>
      <c r="M79" s="27">
        <v>0</v>
      </c>
      <c r="N79" s="27">
        <v>0</v>
      </c>
      <c r="O79" s="27">
        <v>10</v>
      </c>
      <c r="P79" s="27">
        <v>0</v>
      </c>
      <c r="Q79" s="27" t="s">
        <v>69</v>
      </c>
      <c r="R79" s="27" t="s">
        <v>69</v>
      </c>
      <c r="S79" s="27" t="s">
        <v>69</v>
      </c>
      <c r="T79" s="27">
        <f>SUM(Table12[[#This Row],[Premissa 1]:[Premissa 8]])</f>
        <v>30</v>
      </c>
      <c r="U79" s="27" t="s">
        <v>231</v>
      </c>
      <c r="V79" t="s">
        <v>235</v>
      </c>
    </row>
    <row r="80" spans="1:22" ht="15" customHeight="1" x14ac:dyDescent="0.25">
      <c r="A80" s="2">
        <v>5855411017</v>
      </c>
      <c r="B80" s="27" t="str">
        <f>MID(Table12[[#This Row],[Ativo]],1,2)</f>
        <v>58</v>
      </c>
      <c r="C80" s="27" t="s">
        <v>236</v>
      </c>
      <c r="D80" s="27" t="s">
        <v>141</v>
      </c>
      <c r="E80" s="27" t="s">
        <v>32</v>
      </c>
      <c r="F80" s="2" t="str">
        <f>IFERROR(_xlfn.XLOOKUP(Table12[[#This Row],[Ativo]],[2]!Pendentes[COD_RELIGADOR],[2]!Pendentes[SS_ORIGINAL]),"CONCLUÍDA")</f>
        <v>ETO-COEP 00156/2026</v>
      </c>
      <c r="G80" s="2" t="s">
        <v>237</v>
      </c>
      <c r="J80" s="28" t="s">
        <v>178</v>
      </c>
      <c r="K80" t="str">
        <f>IFERROR(_xlfn.XLOOKUP(Table12[[#This Row],[Ativo]],[2]!Pendentes[COD_RELIGADOR],[2]!Pendentes[DESCRICAO]),"")</f>
        <v>20/07 PARECER COCM: NÃO RECEBEMOS MATERIAL10/07 PARECER COEP: EQUIPAMENTO ENTREGUE AOS COCM´S FAVOR INFORMAR PRAZO DE SUBSTUIÇÃO PARA O DMSL E REPASSAR DEPOIS PARA PROTEÇÃO REALIZAR OS AJUSTES E DESCREVER NA SS O SERVIÇO REALIZADOPARECER COEP: EQUIPAMENTO EM ROTA DE ENTREGASEM COMUNICAÇÃO, FALHA DE ALIMENTAÇÃO - REALIZADO PRIMEIRO ATAQUE SEM SUCESSO.PARECER DMSL: 17/09/2025 Equipamento ficou em operação? Não Pendência: sim. Equipamento ficou Bay passado levar controle  COMPLETO para trocar. ellisfran</v>
      </c>
      <c r="L80" s="27">
        <v>0</v>
      </c>
      <c r="M80" s="27">
        <v>0</v>
      </c>
      <c r="N80" s="27">
        <v>0</v>
      </c>
      <c r="O80" s="27">
        <v>10</v>
      </c>
      <c r="P80" s="27">
        <v>20</v>
      </c>
      <c r="Q80" s="27" t="s">
        <v>69</v>
      </c>
      <c r="R80" s="27" t="s">
        <v>69</v>
      </c>
      <c r="S80" s="27" t="s">
        <v>69</v>
      </c>
      <c r="T80" s="27">
        <f>SUM(Table12[[#This Row],[Premissa 1]:[Premissa 8]])</f>
        <v>30</v>
      </c>
      <c r="U80" s="27" t="s">
        <v>231</v>
      </c>
      <c r="V80" t="s">
        <v>238</v>
      </c>
    </row>
    <row r="81" spans="1:22" ht="15" customHeight="1" x14ac:dyDescent="0.25">
      <c r="A81" s="32">
        <v>7900505026</v>
      </c>
      <c r="B81" s="30" t="str">
        <f>MID(Table12[[#This Row],[Ativo]],1,2)</f>
        <v>79</v>
      </c>
      <c r="C81" s="30" t="s">
        <v>41</v>
      </c>
      <c r="D81" s="30" t="s">
        <v>41</v>
      </c>
      <c r="E81" s="30" t="s">
        <v>32</v>
      </c>
      <c r="F81" s="32" t="str">
        <f>IFERROR(_xlfn.XLOOKUP(Table12[[#This Row],[Ativo]],[2]!Pendentes[COD_RELIGADOR],[2]!Pendentes[SS_ORIGINAL]),"CONCLUÍDA")</f>
        <v>CONCLUÍDA</v>
      </c>
      <c r="G81" s="32" t="s">
        <v>239</v>
      </c>
      <c r="H81" s="32"/>
      <c r="I81" s="32"/>
      <c r="J81" s="31" t="s">
        <v>208</v>
      </c>
      <c r="K81" t="str">
        <f>IFERROR(_xlfn.XLOOKUP(Table12[[#This Row],[Ativo]],[2]!Pendentes[COD_RELIGADOR],[2]!Pendentes[DESCRICAO]),"")</f>
        <v/>
      </c>
      <c r="L81" s="30">
        <v>5</v>
      </c>
      <c r="M81" s="30">
        <v>5</v>
      </c>
      <c r="N81" s="30">
        <v>5</v>
      </c>
      <c r="O81" s="30">
        <v>0</v>
      </c>
      <c r="P81" s="30">
        <v>0</v>
      </c>
      <c r="Q81" s="30">
        <v>0</v>
      </c>
      <c r="R81" s="30">
        <v>10</v>
      </c>
      <c r="S81" s="30">
        <v>0</v>
      </c>
      <c r="T81" s="30">
        <f>SUM(Table12[[#This Row],[Premissa 1]:[Premissa 8]])</f>
        <v>25</v>
      </c>
      <c r="U81" s="30" t="s">
        <v>231</v>
      </c>
      <c r="V81" s="29" t="s">
        <v>240</v>
      </c>
    </row>
    <row r="82" spans="1:22" ht="15" customHeight="1" x14ac:dyDescent="0.25">
      <c r="A82" s="32">
        <v>7908196047</v>
      </c>
      <c r="B82" s="30" t="str">
        <f>MID(Table12[[#This Row],[Ativo]],1,2)</f>
        <v>79</v>
      </c>
      <c r="C82" s="30" t="s">
        <v>111</v>
      </c>
      <c r="D82" s="30" t="s">
        <v>112</v>
      </c>
      <c r="E82" s="30" t="s">
        <v>58</v>
      </c>
      <c r="F82" s="32" t="str">
        <f>IFERROR(_xlfn.XLOOKUP(Table12[[#This Row],[Ativo]],[2]!Pendentes[COD_RELIGADOR],[2]!Pendentes[SS_ORIGINAL]),"CONCLUÍDA")</f>
        <v>ETO-COEP 00168/2026</v>
      </c>
      <c r="G82" s="32"/>
      <c r="H82" s="32"/>
      <c r="I82" s="32"/>
      <c r="J82" s="31" t="s">
        <v>208</v>
      </c>
      <c r="K82" t="str">
        <f>IFERROR(_xlfn.XLOOKUP(Table12[[#This Row],[Ativo]],[2]!Pendentes[COD_RELIGADOR],[2]!Pendentes[DESCRICAO]),"")</f>
        <v>03/08/2026 PARECER DMSL: FOI CONFIRMADO PELO VONES DO DCMD QUE O EQUIPAMENTO AINDA NÃO FOI SUBSTITUÍDO. FAVOR, APÓS SUBSTITUIÇÃO, REPASSAR A NOTA PARA A PROTEÇÃO PARA REVISAR OS AJUSTES, POIS TRATA-SE DE ALTERAÇÃO DO MODELO DO EQUIPAMENTO.13/07/2026 PARECER COEP: EQUIPAMENTO REMANEJADO FAVOR FAZER O COMISSIONAMENTORELIGADOR N° 7908196047 REMANEJADO NA OBRA 0402401150 GENTILEZA, REALIZAR O COMISSIONAMENTO. LAUDO EM ANEXO. COORD EO: 698485, 8657287PARECER DA PROTEÇÃO:AJUSTE DISPONIBILIZADO NO APP DA PROTEÇÃO, NOTA REPASSADA PARA DMSL COMISSIONAR, POLO GURUPI, RL APENAS REMANEJADO DA REDE VELHA PARA REDE NOVA, EQUIPAMENTO COOPER, SE MANTEVE O MESMO NÚMERO DE ATIVO.ENG° IRLLEY CASTELO BRANCO.PARECER DMSL: Constatado curto-circuito no tanque do religador, impedindo as operações de abertura e fechamento do equipamento. Solicita-se a substituição completa do religador, incluindo tanque e unidade de controle.</v>
      </c>
      <c r="L82" s="30">
        <v>5</v>
      </c>
      <c r="M82" s="30">
        <v>5</v>
      </c>
      <c r="N82" s="30">
        <v>5</v>
      </c>
      <c r="O82" s="30">
        <v>0</v>
      </c>
      <c r="P82" s="30">
        <v>0</v>
      </c>
      <c r="Q82" s="30">
        <v>0</v>
      </c>
      <c r="R82" s="30">
        <v>10</v>
      </c>
      <c r="S82" s="30">
        <v>0</v>
      </c>
      <c r="T82" s="30">
        <f>SUM(Table12[[#This Row],[Premissa 1]:[Premissa 8]])</f>
        <v>25</v>
      </c>
      <c r="U82" s="30" t="s">
        <v>231</v>
      </c>
      <c r="V82" s="29" t="s">
        <v>241</v>
      </c>
    </row>
    <row r="83" spans="1:22" ht="15" customHeight="1" x14ac:dyDescent="0.25">
      <c r="A83" s="2">
        <v>7921202014</v>
      </c>
      <c r="B83" s="27" t="str">
        <f>MID(Table12[[#This Row],[Ativo]],1,2)</f>
        <v>79</v>
      </c>
      <c r="C83" s="27" t="s">
        <v>104</v>
      </c>
      <c r="D83" s="27" t="s">
        <v>90</v>
      </c>
      <c r="E83" s="27" t="s">
        <v>32</v>
      </c>
      <c r="F83" s="2" t="str">
        <f>IFERROR(_xlfn.XLOOKUP(Table12[[#This Row],[Ativo]],[2]!Pendentes[COD_RELIGADOR],[2]!Pendentes[SS_ORIGINAL]),"CONCLUÍDA")</f>
        <v>ETO-COEP 00132/2026</v>
      </c>
      <c r="G83" s="20" t="s">
        <v>242</v>
      </c>
      <c r="J83" s="28"/>
      <c r="K83" t="str">
        <f>IFERROR(_xlfn.XLOOKUP(Table12[[#This Row],[Ativo]],[2]!Pendentes[COD_RELIGADOR],[2]!Pendentes[DESCRICAO]),"")</f>
        <v>PARECER COEP: EQUIPAMENTO SELECIONADO PARA COMPRA , DEVERIA SER SUBSTITUIDO PARTE ATIVAPARECER DMSL: Serviço Executado: _ indentificado o problema na parte ativa será  necessário fazer a substituição da mesmo, feito a medição do aterramento. Preciso substituir para raio da fase c.Equipamento ficou em operação?: _NAOPendência: _SimBateria(s) substituída(s)? _NãoData Fabricação/Instalação da(s) bateria(s):_Equipe: _Benvindo e kaique----------------------------------------------------------------------------------RL com defeito no rele, fica só reiniciando ficou By passado OS atendimento primeiro ataque 106530226</v>
      </c>
      <c r="L83" s="27">
        <v>5</v>
      </c>
      <c r="M83" s="27">
        <v>5</v>
      </c>
      <c r="N83" s="27">
        <v>5</v>
      </c>
      <c r="O83" s="27">
        <v>0</v>
      </c>
      <c r="P83" s="27">
        <v>0</v>
      </c>
      <c r="Q83" s="27">
        <v>10</v>
      </c>
      <c r="R83" s="27">
        <v>0</v>
      </c>
      <c r="S83" s="27">
        <v>0</v>
      </c>
      <c r="T83" s="27">
        <f>SUM(Table12[[#This Row],[Premissa 1]:[Premissa 8]])</f>
        <v>25</v>
      </c>
      <c r="U83" s="27" t="s">
        <v>231</v>
      </c>
      <c r="V83" t="s">
        <v>243</v>
      </c>
    </row>
    <row r="84" spans="1:22" ht="15" customHeight="1" x14ac:dyDescent="0.25">
      <c r="A84" s="2">
        <v>7923927122</v>
      </c>
      <c r="B84" s="27" t="str">
        <f>MID(Table12[[#This Row],[Ativo]],1,2)</f>
        <v>79</v>
      </c>
      <c r="C84" s="27" t="s">
        <v>120</v>
      </c>
      <c r="D84" s="27" t="s">
        <v>120</v>
      </c>
      <c r="E84" s="27" t="s">
        <v>32</v>
      </c>
      <c r="F84" s="2" t="str">
        <f>IFERROR(_xlfn.XLOOKUP(Table12[[#This Row],[Ativo]],[2]!Pendentes[COD_RELIGADOR],[2]!Pendentes[SS_ORIGINAL]),"CONCLUÍDA")</f>
        <v>ETO-COEP 00148/2026</v>
      </c>
      <c r="G84" s="2" t="s">
        <v>244</v>
      </c>
      <c r="J84" s="28" t="s">
        <v>245</v>
      </c>
      <c r="K84" t="str">
        <f>IFERROR(_xlfn.XLOOKUP(Table12[[#This Row],[Ativo]],[2]!Pendentes[COD_RELIGADOR],[2]!Pendentes[DESCRICAO]),"")</f>
        <v>PARECER DMSL 16/07: Nota solicitada ao DMSL com a informação de que o tanque precisa ser substituído. Estou encaminhando a nota para a área responsável.Segue nota para envia manutenção substituir tanque do RL-7923927122 em curto, Anomalia identificada desarme das LD, s Palmas / Aparecida e Palmas Taquaruçu, Acesso livre, Tensão 34,5kv, Local RL de Interligação entre 424R / 414R.</v>
      </c>
      <c r="L84" s="27">
        <v>15</v>
      </c>
      <c r="M84" s="27">
        <v>0</v>
      </c>
      <c r="N84" s="27">
        <v>0</v>
      </c>
      <c r="O84" s="27">
        <v>0</v>
      </c>
      <c r="P84" s="27">
        <v>0</v>
      </c>
      <c r="Q84" s="27">
        <v>10</v>
      </c>
      <c r="R84" s="27">
        <v>0</v>
      </c>
      <c r="S84" s="27">
        <v>0</v>
      </c>
      <c r="T84" s="27">
        <f>SUM(Table12[[#This Row],[Premissa 1]:[Premissa 8]])</f>
        <v>25</v>
      </c>
      <c r="U84" s="27" t="s">
        <v>231</v>
      </c>
      <c r="V84" t="s">
        <v>246</v>
      </c>
    </row>
    <row r="85" spans="1:22" ht="15" customHeight="1" x14ac:dyDescent="0.25">
      <c r="A85" s="2">
        <v>7927446001</v>
      </c>
      <c r="B85" s="27" t="str">
        <f>MID(Table12[[#This Row],[Ativo]],1,2)</f>
        <v>79</v>
      </c>
      <c r="C85" s="27" t="s">
        <v>36</v>
      </c>
      <c r="D85" s="27" t="s">
        <v>36</v>
      </c>
      <c r="E85" s="27" t="s">
        <v>32</v>
      </c>
      <c r="F85" s="2" t="str">
        <f>IFERROR(_xlfn.XLOOKUP(Table12[[#This Row],[Ativo]],[2]!Pendentes[COD_RELIGADOR],[2]!Pendentes[SS_ORIGINAL]),"CONCLUÍDA")</f>
        <v>ETO-COEP 00143/2025</v>
      </c>
      <c r="G85" s="35" t="s">
        <v>247</v>
      </c>
      <c r="J85" s="28" t="s">
        <v>248</v>
      </c>
      <c r="K85" t="str">
        <f>IFERROR(_xlfn.XLOOKUP(Table12[[#This Row],[Ativo]],[2]!Pendentes[COD_RELIGADOR],[2]!Pendentes[DESCRICAO]),"")</f>
        <v>30/06 PARECER COEP: EQUIPAMENTO COMPLETOSegue para verificação RL sem comunicação feito primeiro ataque sem sucesso.PARECER DMSL:Data:* _08/07/2025Serviço Executado: Placa de alimentação danificada, devido a curto, não temos material sobressalente para manutenção! Favor substituir o equipamento completo.Obs.: O rádio ficou dentro do controle, favor orientar a equipe que for substituir colocar dentro do controle novo.Equipamento ficou em operação?: Não Pendência: Sim, substituir equipamento completo.</v>
      </c>
      <c r="L85" s="27">
        <v>5</v>
      </c>
      <c r="M85" s="27">
        <v>5</v>
      </c>
      <c r="N85" s="27">
        <v>5</v>
      </c>
      <c r="O85" s="27">
        <v>0</v>
      </c>
      <c r="P85" s="27">
        <v>0</v>
      </c>
      <c r="Q85" s="27">
        <v>10</v>
      </c>
      <c r="R85" s="27">
        <v>0</v>
      </c>
      <c r="S85" s="27">
        <v>0</v>
      </c>
      <c r="T85" s="27">
        <f>SUM(Table12[[#This Row],[Premissa 1]:[Premissa 8]])</f>
        <v>25</v>
      </c>
      <c r="U85" s="27" t="s">
        <v>231</v>
      </c>
      <c r="V85" t="s">
        <v>249</v>
      </c>
    </row>
    <row r="86" spans="1:22" ht="15" customHeight="1" x14ac:dyDescent="0.25">
      <c r="A86" s="2">
        <v>7928241200</v>
      </c>
      <c r="B86" s="27" t="str">
        <f>MID(Table12[[#This Row],[Ativo]],1,2)</f>
        <v>79</v>
      </c>
      <c r="C86" s="27" t="s">
        <v>192</v>
      </c>
      <c r="D86" s="27" t="s">
        <v>107</v>
      </c>
      <c r="E86" s="27" t="s">
        <v>58</v>
      </c>
      <c r="F86" s="2" t="str">
        <f>IFERROR(_xlfn.XLOOKUP(Table12[[#This Row],[Ativo]],[2]!Pendentes[COD_RELIGADOR],[2]!Pendentes[SS_ORIGINAL]),"CONCLUÍDA")</f>
        <v>ETO-COEP 00128/2026</v>
      </c>
      <c r="G86" s="2" t="s">
        <v>250</v>
      </c>
      <c r="J86" s="28" t="s">
        <v>245</v>
      </c>
      <c r="K86" t="str">
        <f>IFERROR(_xlfn.XLOOKUP(Table12[[#This Row],[Ativo]],[2]!Pendentes[COD_RELIGADOR],[2]!Pendentes[DESCRICAO]),"")</f>
        <v>PARECER COEP: EQUIPAMENTO SELECIONADO  PARA COMPRAPARECER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v>
      </c>
      <c r="L86" s="27">
        <v>5</v>
      </c>
      <c r="M86" s="27">
        <v>5</v>
      </c>
      <c r="N86" s="27">
        <v>5</v>
      </c>
      <c r="O86" s="27">
        <v>0</v>
      </c>
      <c r="P86" s="27">
        <v>0</v>
      </c>
      <c r="Q86" s="27">
        <v>10</v>
      </c>
      <c r="R86" s="27">
        <v>0</v>
      </c>
      <c r="S86" s="27">
        <v>0</v>
      </c>
      <c r="T86" s="27">
        <f>SUM(Table12[[#This Row],[Premissa 1]:[Premissa 8]])</f>
        <v>25</v>
      </c>
      <c r="U86" s="27" t="s">
        <v>231</v>
      </c>
      <c r="V86" t="s">
        <v>251</v>
      </c>
    </row>
    <row r="87" spans="1:22" ht="15" customHeight="1" x14ac:dyDescent="0.25">
      <c r="A87" s="2">
        <v>7942485096</v>
      </c>
      <c r="B87" s="27" t="str">
        <f>MID(Table12[[#This Row],[Ativo]],1,2)</f>
        <v>79</v>
      </c>
      <c r="C87" s="27" t="s">
        <v>252</v>
      </c>
      <c r="D87" s="27" t="s">
        <v>41</v>
      </c>
      <c r="E87" s="27" t="s">
        <v>32</v>
      </c>
      <c r="F87" s="2" t="str">
        <f>IFERROR(_xlfn.XLOOKUP(Table12[[#This Row],[Ativo]],[2]!Pendentes[COD_RELIGADOR],[2]!Pendentes[SS_ORIGINAL]),"CONCLUÍDA")</f>
        <v>ETO-COEP 00158/2025</v>
      </c>
      <c r="G87" s="27" t="s">
        <v>75</v>
      </c>
      <c r="J87" s="28" t="s">
        <v>253</v>
      </c>
      <c r="K87" t="str">
        <f>IFERROR(_xlfn.XLOOKUP(Table12[[#This Row],[Ativo]],[2]!Pendentes[COD_RELIGADOR],[2]!Pendentes[DESCRICAO]),"")</f>
        <v>30/06 PARECER COEP: EQUIPAMENTO SELECIONADO PARA COMPRARELIGADOR COM DEFEITO 7942485096, ESTA DANDO PASSAGEM ESTANDO ABERTO. NÃO ACEITA COMANDOS. FICOU BY PASSADO EM CAMPO PARA MANUTENÇÃO.PARECER DMSL: Ao testar o tanque, foi constatado que o mesmo está danificado e precisa ser substituído.Substituir somente o tanque. Deixar claro na nota para o dcmd substituir somente o tanque. Não tem necessidade de substituir o controle.</v>
      </c>
      <c r="L87" s="27">
        <v>5</v>
      </c>
      <c r="M87" s="27">
        <v>5</v>
      </c>
      <c r="N87" s="27">
        <v>5</v>
      </c>
      <c r="O87" s="27">
        <v>0</v>
      </c>
      <c r="P87" s="27">
        <v>0</v>
      </c>
      <c r="Q87" s="27">
        <v>10</v>
      </c>
      <c r="R87" s="27">
        <v>0</v>
      </c>
      <c r="S87" s="27">
        <v>0</v>
      </c>
      <c r="T87" s="27">
        <f>SUM(Table12[[#This Row],[Premissa 1]:[Premissa 8]])</f>
        <v>25</v>
      </c>
      <c r="U87" s="27" t="s">
        <v>231</v>
      </c>
      <c r="V87" t="s">
        <v>254</v>
      </c>
    </row>
    <row r="88" spans="1:22" ht="15" customHeight="1" x14ac:dyDescent="0.25">
      <c r="A88" s="32">
        <v>7955430075</v>
      </c>
      <c r="B88" s="30" t="str">
        <f>MID(Table12[[#This Row],[Ativo]],1,2)</f>
        <v>79</v>
      </c>
      <c r="C88" s="30" t="s">
        <v>255</v>
      </c>
      <c r="D88" s="30" t="s">
        <v>150</v>
      </c>
      <c r="E88" s="30" t="s">
        <v>32</v>
      </c>
      <c r="F88" s="32" t="str">
        <f>IFERROR(_xlfn.XLOOKUP(Table12[[#This Row],[Ativo]],[2]!Pendentes[COD_RELIGADOR],[2]!Pendentes[SS_ORIGINAL]),"CONCLUÍDA")</f>
        <v>CONCLUÍDA</v>
      </c>
      <c r="G88" s="32" t="s">
        <v>256</v>
      </c>
      <c r="H88" s="32"/>
      <c r="I88" s="32" t="s">
        <v>187</v>
      </c>
      <c r="J88" s="31" t="s">
        <v>245</v>
      </c>
      <c r="K88" t="str">
        <f>IFERROR(_xlfn.XLOOKUP(Table12[[#This Row],[Ativo]],[2]!Pendentes[COD_RELIGADOR],[2]!Pendentes[DESCRICAO]),"")</f>
        <v/>
      </c>
      <c r="L88" s="30">
        <v>5</v>
      </c>
      <c r="M88" s="30">
        <v>5</v>
      </c>
      <c r="N88" s="30">
        <v>5</v>
      </c>
      <c r="O88" s="30">
        <v>0</v>
      </c>
      <c r="P88" s="30">
        <v>0</v>
      </c>
      <c r="Q88" s="30">
        <v>0</v>
      </c>
      <c r="R88" s="30">
        <v>10</v>
      </c>
      <c r="S88" s="30">
        <v>0</v>
      </c>
      <c r="T88" s="30">
        <f>SUM(Table12[[#This Row],[Premissa 1]:[Premissa 8]])</f>
        <v>25</v>
      </c>
      <c r="U88" s="30" t="s">
        <v>231</v>
      </c>
      <c r="V88" s="29" t="s">
        <v>257</v>
      </c>
    </row>
    <row r="89" spans="1:22" ht="15" customHeight="1" x14ac:dyDescent="0.25">
      <c r="A89" s="2">
        <v>7955686076</v>
      </c>
      <c r="B89" s="27" t="str">
        <f>MID(Table12[[#This Row],[Ativo]],1,2)</f>
        <v>79</v>
      </c>
      <c r="C89" s="27" t="s">
        <v>56</v>
      </c>
      <c r="D89" s="27" t="s">
        <v>57</v>
      </c>
      <c r="E89" s="27" t="s">
        <v>58</v>
      </c>
      <c r="F89" s="2" t="str">
        <f>IFERROR(_xlfn.XLOOKUP(Table12[[#This Row],[Ativo]],[2]!Pendentes[COD_RELIGADOR],[2]!Pendentes[SS_ORIGINAL]),"CONCLUÍDA")</f>
        <v>CONCLUÍDA</v>
      </c>
      <c r="I89" s="2" t="s">
        <v>145</v>
      </c>
      <c r="J89" s="28" t="s">
        <v>69</v>
      </c>
      <c r="K89" t="str">
        <f>IFERROR(_xlfn.XLOOKUP(Table12[[#This Row],[Ativo]],[2]!Pendentes[COD_RELIGADOR],[2]!Pendentes[DESCRICAO]),"")</f>
        <v/>
      </c>
      <c r="L89" s="27">
        <v>5</v>
      </c>
      <c r="M89" s="27">
        <v>5</v>
      </c>
      <c r="N89" s="27">
        <v>0</v>
      </c>
      <c r="O89" s="27">
        <v>0</v>
      </c>
      <c r="P89" s="27">
        <v>15</v>
      </c>
      <c r="Q89" s="27">
        <v>0</v>
      </c>
      <c r="R89" s="27">
        <v>0</v>
      </c>
      <c r="S89" s="27">
        <v>0</v>
      </c>
      <c r="T89" s="27">
        <f>SUM(Table12[[#This Row],[Premissa 1]:[Premissa 8]])</f>
        <v>25</v>
      </c>
      <c r="U89" s="27" t="s">
        <v>231</v>
      </c>
      <c r="V89" t="s">
        <v>258</v>
      </c>
    </row>
    <row r="90" spans="1:22" ht="15" customHeight="1" x14ac:dyDescent="0.25">
      <c r="A90" s="2">
        <v>7955946007</v>
      </c>
      <c r="B90" s="27" t="str">
        <f>MID(Table12[[#This Row],[Ativo]],1,2)</f>
        <v>79</v>
      </c>
      <c r="C90" s="27" t="s">
        <v>141</v>
      </c>
      <c r="D90" s="27" t="s">
        <v>141</v>
      </c>
      <c r="E90" s="27" t="s">
        <v>32</v>
      </c>
      <c r="F90" s="2" t="str">
        <f>IFERROR(_xlfn.XLOOKUP(Table12[[#This Row],[Ativo]],[2]!Pendentes[COD_RELIGADOR],[2]!Pendentes[SS_ORIGINAL]),"CONCLUÍDA")</f>
        <v>ETO-COEP 00134/2026</v>
      </c>
      <c r="G90" s="2" t="s">
        <v>259</v>
      </c>
      <c r="J90" s="28"/>
      <c r="K90" t="str">
        <f>IFERROR(_xlfn.XLOOKUP(Table12[[#This Row],[Ativo]],[2]!Pendentes[COD_RELIGADOR],[2]!Pendentes[DESCRICAO]),"")</f>
        <v>13/07/2026 PARECER COEP: SUBSTITUIR CONTOLE OU MANDAR MANUTENCIONAR EM CASO DE PRIORIDADE ALTAPARECER DMSL: Necessário substituir a placa de alimentação ca, a mesma está em curto não conseguimos recuperar. (Antiga nota era pra ter sido repassada porém foi baixada indevidamente pela equipe)</v>
      </c>
      <c r="L90" s="27">
        <v>5</v>
      </c>
      <c r="M90" s="27">
        <v>5</v>
      </c>
      <c r="N90" s="27">
        <v>5</v>
      </c>
      <c r="O90" s="27">
        <v>0</v>
      </c>
      <c r="P90" s="27">
        <v>0</v>
      </c>
      <c r="Q90" s="27">
        <v>0</v>
      </c>
      <c r="R90" s="27">
        <v>10</v>
      </c>
      <c r="S90" s="27">
        <v>0</v>
      </c>
      <c r="T90" s="27">
        <f>SUM(Table12[[#This Row],[Premissa 1]:[Premissa 8]])</f>
        <v>25</v>
      </c>
      <c r="U90" s="27" t="s">
        <v>231</v>
      </c>
      <c r="V90" t="s">
        <v>260</v>
      </c>
    </row>
    <row r="91" spans="1:22" ht="15" customHeight="1" x14ac:dyDescent="0.25">
      <c r="A91" s="2">
        <v>7901110084</v>
      </c>
      <c r="B91" s="27" t="str">
        <f>MID(Table12[[#This Row],[Ativo]],1,2)</f>
        <v>79</v>
      </c>
      <c r="C91" s="27" t="s">
        <v>150</v>
      </c>
      <c r="D91" s="27" t="s">
        <v>150</v>
      </c>
      <c r="E91" s="27" t="s">
        <v>32</v>
      </c>
      <c r="F91" s="2" t="str">
        <f>IFERROR(_xlfn.XLOOKUP(Table12[[#This Row],[Ativo]],[2]!Pendentes[COD_RELIGADOR],[2]!Pendentes[SS_ORIGINAL]),"CONCLUÍDA")</f>
        <v>ETO-COEP 00061/2026</v>
      </c>
      <c r="G91" s="2" t="s">
        <v>190</v>
      </c>
      <c r="J91" s="28"/>
      <c r="K91" t="str">
        <f>IFERROR(_xlfn.XLOOKUP(Table12[[#This Row],[Ativo]],[2]!Pendentes[COD_RELIGADOR],[2]!Pendentes[DESCRICAO]),"")</f>
        <v>PARECER COEP: EQUIPAMENTO SELECIONADO PARA COMPRAPARECER DMSL: Serviço Executado: Foi feito análise técnica, testes funcionais e identificado que a parte ativa do equipamento está com defeito. Necessário substituir a parte ativa.FICOU EM OPERAÇÃO? Não- EQUIPE: Carliel e BenvindoSegue SS para verificaçao Rl esta danificado dando passagem de tensão mesmo aberto Sim, quando retornar trazer uma fonte pois a mesma foi removida.</v>
      </c>
      <c r="L91" s="27">
        <v>5</v>
      </c>
      <c r="M91" s="27">
        <v>5</v>
      </c>
      <c r="N91" s="27">
        <v>0</v>
      </c>
      <c r="O91" s="27">
        <v>0</v>
      </c>
      <c r="P91" s="27">
        <v>0</v>
      </c>
      <c r="Q91" s="27">
        <v>0</v>
      </c>
      <c r="R91" s="27">
        <v>10</v>
      </c>
      <c r="S91" s="27">
        <v>0</v>
      </c>
      <c r="T91" s="27">
        <f>SUM(Table12[[#This Row],[Premissa 1]:[Premissa 8]])</f>
        <v>20</v>
      </c>
      <c r="U91" s="27" t="s">
        <v>231</v>
      </c>
      <c r="V91" t="s">
        <v>261</v>
      </c>
    </row>
    <row r="92" spans="1:22" ht="15" customHeight="1" x14ac:dyDescent="0.25">
      <c r="A92" s="32">
        <v>7908206074</v>
      </c>
      <c r="B92" s="30" t="str">
        <f>MID(Table12[[#This Row],[Ativo]],1,2)</f>
        <v>79</v>
      </c>
      <c r="C92" s="30" t="s">
        <v>65</v>
      </c>
      <c r="D92" s="30" t="s">
        <v>65</v>
      </c>
      <c r="E92" s="30" t="s">
        <v>58</v>
      </c>
      <c r="F92" s="32" t="str">
        <f>IFERROR(_xlfn.XLOOKUP(Table12[[#This Row],[Ativo]],[2]!Pendentes[COD_RELIGADOR],[2]!Pendentes[SS_ORIGINAL]),"CONCLUÍDA")</f>
        <v>CONCLUÍDA</v>
      </c>
      <c r="G92" s="32" t="s">
        <v>262</v>
      </c>
      <c r="H92" s="32"/>
      <c r="I92" s="32" t="s">
        <v>187</v>
      </c>
      <c r="J92" s="31" t="s">
        <v>54</v>
      </c>
      <c r="K92" t="str">
        <f>IFERROR(_xlfn.XLOOKUP(Table12[[#This Row],[Ativo]],[2]!Pendentes[COD_RELIGADOR],[2]!Pendentes[DESCRICAO]),"")</f>
        <v/>
      </c>
      <c r="L92" s="30">
        <v>5</v>
      </c>
      <c r="M92" s="30">
        <v>5</v>
      </c>
      <c r="N92" s="30">
        <v>0</v>
      </c>
      <c r="O92" s="30">
        <v>0</v>
      </c>
      <c r="P92" s="30">
        <v>0</v>
      </c>
      <c r="Q92" s="30">
        <v>0</v>
      </c>
      <c r="R92" s="30">
        <v>10</v>
      </c>
      <c r="S92" s="30">
        <v>0</v>
      </c>
      <c r="T92" s="30">
        <f>SUM(Table12[[#This Row],[Premissa 1]:[Premissa 8]])</f>
        <v>20</v>
      </c>
      <c r="U92" s="30" t="s">
        <v>231</v>
      </c>
      <c r="V92" s="29" t="s">
        <v>263</v>
      </c>
    </row>
    <row r="93" spans="1:22" ht="15" customHeight="1" x14ac:dyDescent="0.25">
      <c r="A93" s="32">
        <v>7908708116</v>
      </c>
      <c r="B93" s="30" t="str">
        <f>MID(Table12[[#This Row],[Ativo]],1,2)</f>
        <v>79</v>
      </c>
      <c r="C93" s="30" t="s">
        <v>117</v>
      </c>
      <c r="D93" s="30" t="s">
        <v>65</v>
      </c>
      <c r="E93" s="30" t="s">
        <v>58</v>
      </c>
      <c r="F93" s="32" t="str">
        <f>IFERROR(_xlfn.XLOOKUP(Table12[[#This Row],[Ativo]],[2]!Pendentes[COD_RELIGADOR],[2]!Pendentes[SS_ORIGINAL]),"CONCLUÍDA")</f>
        <v>ETO-PROT 00165/2026</v>
      </c>
      <c r="G93" s="34" t="s">
        <v>25</v>
      </c>
      <c r="H93" s="32"/>
      <c r="I93" s="32"/>
      <c r="J93" s="31" t="s">
        <v>204</v>
      </c>
      <c r="K93" t="str">
        <f>IFERROR(_xlfn.XLOOKUP(Table12[[#This Row],[Ativo]],[2]!Pendentes[COD_RELIGADOR],[2]!Pendentes[DESCRICAO]),"")</f>
        <v>COCMS: 12/08/2026PART ATIVA DO RELIGADOR FOI SUBSTITUIDA.GENTILEZA COMISSIONAR EQUIPAMENTO. SUBSTITUIR PARTE ATIVA DO RELIGADOR 7908708116. LV. ABRIR JUNTE DE ENTRADA E SAIDA DO RELIGADOR PARA POSSIBILITAR SUBSTITUIÇÃO DO MESMO.</v>
      </c>
      <c r="L93" s="30">
        <v>5</v>
      </c>
      <c r="M93" s="30">
        <v>5</v>
      </c>
      <c r="N93" s="30">
        <v>0</v>
      </c>
      <c r="O93" s="30">
        <v>0</v>
      </c>
      <c r="P93" s="30">
        <v>0</v>
      </c>
      <c r="Q93" s="30">
        <v>0</v>
      </c>
      <c r="R93" s="30">
        <v>10</v>
      </c>
      <c r="S93" s="30">
        <v>0</v>
      </c>
      <c r="T93" s="30">
        <f>SUM(Table12[[#This Row],[Premissa 1]:[Premissa 8]])</f>
        <v>20</v>
      </c>
      <c r="U93" s="30" t="s">
        <v>231</v>
      </c>
      <c r="V93" s="29" t="s">
        <v>264</v>
      </c>
    </row>
    <row r="94" spans="1:22" ht="15" customHeight="1" x14ac:dyDescent="0.25">
      <c r="A94" s="2">
        <v>7910027196</v>
      </c>
      <c r="B94" s="27" t="str">
        <f>MID(Table12[[#This Row],[Ativo]],1,2)</f>
        <v>79</v>
      </c>
      <c r="C94" s="27" t="s">
        <v>265</v>
      </c>
      <c r="D94" s="27" t="s">
        <v>31</v>
      </c>
      <c r="E94" s="27" t="s">
        <v>32</v>
      </c>
      <c r="F94" s="2" t="str">
        <f>IFERROR(_xlfn.XLOOKUP(Table12[[#This Row],[Ativo]],[2]!Pendentes[COD_RELIGADOR],[2]!Pendentes[SS_ORIGINAL]),"CONCLUÍDA")</f>
        <v>ETO-COEP 00154/2026</v>
      </c>
      <c r="G94" s="2" t="s">
        <v>266</v>
      </c>
      <c r="J94" s="28" t="s">
        <v>267</v>
      </c>
      <c r="K94" t="str">
        <f>IFERROR(_xlfn.XLOOKUP(Table12[[#This Row],[Ativo]],[2]!Pendentes[COD_RELIGADOR],[2]!Pendentes[DESCRICAO]),"")</f>
        <v>13/07/2026 PARECER COEP: NÃO FAZ SENTIDO FAZER A TROCA DE EQUIPAMENTO COMPLETO APENAS POR CAUSA DA FASE B , QUE PARECE SER UM ERRO DE CALIBRAÇÃO.PARECER DMSL: EQUIPAMENTO FICOU EM OPERACAO, RESTABELCIDO PELA KAROL ação remota com a velp porém ele também deve ser realizado substituição por conta da fase B 7910027196 ta com a leitura incorreta na tensão da fase B. Subsituição do Equipamento Completo exceto o Radio. (Antiga nota era pra ter sido repassada porém foi baixada indevidamente pela equipe)PARECER DMSL(22/07/26): O religador está fora de operação desde 11/2025. Necessitando substituição completa em função do defeito de leitura de corrente da fase B. Preservar apenas o radio e antena.</v>
      </c>
      <c r="L94" s="27">
        <v>5</v>
      </c>
      <c r="M94" s="27">
        <v>5</v>
      </c>
      <c r="N94" s="27">
        <v>0</v>
      </c>
      <c r="O94" s="27">
        <v>0</v>
      </c>
      <c r="P94" s="27">
        <v>0</v>
      </c>
      <c r="Q94" s="27">
        <v>0</v>
      </c>
      <c r="R94" s="27">
        <v>10</v>
      </c>
      <c r="S94" s="27">
        <v>0</v>
      </c>
      <c r="T94" s="27">
        <f>SUM(Table12[[#This Row],[Premissa 1]:[Premissa 8]])</f>
        <v>20</v>
      </c>
      <c r="U94" s="27" t="s">
        <v>231</v>
      </c>
      <c r="V94" t="s">
        <v>268</v>
      </c>
    </row>
    <row r="95" spans="1:22" ht="15" customHeight="1" x14ac:dyDescent="0.25">
      <c r="A95" s="2">
        <v>7913662076</v>
      </c>
      <c r="B95" s="27" t="str">
        <f>MID(Table12[[#This Row],[Ativo]],1,2)</f>
        <v>79</v>
      </c>
      <c r="C95" s="27" t="s">
        <v>56</v>
      </c>
      <c r="D95" s="27" t="s">
        <v>57</v>
      </c>
      <c r="E95" s="27" t="s">
        <v>58</v>
      </c>
      <c r="F95" s="2" t="str">
        <f>IFERROR(_xlfn.XLOOKUP(Table12[[#This Row],[Ativo]],[2]!Pendentes[COD_RELIGADOR],[2]!Pendentes[SS_ORIGINAL]),"CONCLUÍDA")</f>
        <v>ETO-COEP 00114/2026</v>
      </c>
      <c r="G95" s="2" t="s">
        <v>269</v>
      </c>
      <c r="J95" s="28"/>
      <c r="K95" t="str">
        <f>IFERROR(_xlfn.XLOOKUP(Table12[[#This Row],[Ativo]],[2]!Pendentes[COD_RELIGADOR],[2]!Pendentes[DESCRICAO]),"")</f>
        <v>27/07 PARECER COEP: TANQUE DANIFICADO DA 13,5Aberto nota para substituir tanque danificado e chave de entrada fase B danificadaPARECER DMSL: Foi confirmado pela equipe DMSL o defeito do tanque, favor seguir com a substituição e correção da chave de entrada fase B danificada.</v>
      </c>
      <c r="L95" s="27">
        <v>5</v>
      </c>
      <c r="M95" s="27">
        <v>5</v>
      </c>
      <c r="N95" s="27">
        <v>0</v>
      </c>
      <c r="O95" s="27">
        <v>0</v>
      </c>
      <c r="P95" s="27">
        <v>0</v>
      </c>
      <c r="Q95" s="27">
        <v>10</v>
      </c>
      <c r="R95" s="27">
        <v>0</v>
      </c>
      <c r="S95" s="27">
        <v>0</v>
      </c>
      <c r="T95" s="27">
        <f>SUM(Table12[[#This Row],[Premissa 1]:[Premissa 8]])</f>
        <v>20</v>
      </c>
      <c r="U95" s="27" t="s">
        <v>231</v>
      </c>
      <c r="V95" t="s">
        <v>270</v>
      </c>
    </row>
    <row r="96" spans="1:22" ht="15" customHeight="1" x14ac:dyDescent="0.25">
      <c r="A96" s="2">
        <v>5862236091</v>
      </c>
      <c r="B96" s="27" t="str">
        <f>MID(Table12[[#This Row],[Ativo]],1,2)</f>
        <v>58</v>
      </c>
      <c r="C96" s="27" t="s">
        <v>64</v>
      </c>
      <c r="D96" s="27" t="s">
        <v>65</v>
      </c>
      <c r="E96" s="27" t="s">
        <v>58</v>
      </c>
      <c r="F96" s="2" t="str">
        <f>IFERROR(_xlfn.XLOOKUP(Table12[[#This Row],[Ativo]],[2]!Pendentes[COD_RELIGADOR],[2]!Pendentes[SS_ORIGINAL]),"CONCLUÍDA")</f>
        <v>ETO-COEP 00158/2026</v>
      </c>
      <c r="G96" s="27" t="s">
        <v>271</v>
      </c>
      <c r="H96" s="2" t="s">
        <v>272</v>
      </c>
      <c r="J96" s="28" t="s">
        <v>234</v>
      </c>
      <c r="K96" t="str">
        <f>IFERROR(_xlfn.XLOOKUP(Table12[[#This Row],[Ativo]],[2]!Pendentes[COD_RELIGADOR],[2]!Pendentes[DESCRICAO]),"")</f>
        <v>27/07 PARECER COEP: PEÇAS REDIRECIONADAS 5856070091 PRIORIDADE MAIOR20/07 PARECER COEP: EQUIPAMENTO ENTREGUE , FAVOR EDITAR A SS COM A DATA PREVISTA DE SUBSTITUIÇÃO NO PARECER DOS COCM´S Realizar substituição da FASE B.Célula da fase B estava com a tampa do contador de tape aberta, pegou chuva e molhou os contatos danificando a peça toda.</v>
      </c>
      <c r="L96" s="27">
        <v>0</v>
      </c>
      <c r="M96" s="27">
        <v>0</v>
      </c>
      <c r="N96" s="27">
        <v>0</v>
      </c>
      <c r="O96" s="27">
        <v>20</v>
      </c>
      <c r="P96" s="27">
        <v>0</v>
      </c>
      <c r="Q96" s="27" t="s">
        <v>69</v>
      </c>
      <c r="R96" s="27" t="s">
        <v>69</v>
      </c>
      <c r="S96" s="27" t="s">
        <v>69</v>
      </c>
      <c r="T96" s="27">
        <f>SUM(Table12[[#This Row],[Premissa 1]:[Premissa 8]])</f>
        <v>20</v>
      </c>
      <c r="U96" s="27" t="s">
        <v>231</v>
      </c>
      <c r="V96" t="s">
        <v>273</v>
      </c>
    </row>
    <row r="97" spans="1:22" ht="15" customHeight="1" x14ac:dyDescent="0.25">
      <c r="A97" s="2">
        <v>5836786094</v>
      </c>
      <c r="B97" s="27" t="str">
        <f>MID(Table12[[#This Row],[Ativo]],1,2)</f>
        <v>58</v>
      </c>
      <c r="C97" s="27" t="s">
        <v>107</v>
      </c>
      <c r="D97" s="27" t="s">
        <v>107</v>
      </c>
      <c r="E97" s="27" t="s">
        <v>58</v>
      </c>
      <c r="F97" s="2" t="str">
        <f>IFERROR(_xlfn.XLOOKUP(Table12[[#This Row],[Ativo]],[2]!Pendentes[COD_RELIGADOR],[2]!Pendentes[SS_ORIGINAL]),"CONCLUÍDA")</f>
        <v>ETO-COEP 00095/2026</v>
      </c>
      <c r="G97" s="2" t="s">
        <v>274</v>
      </c>
      <c r="J97" s="28"/>
      <c r="K97" t="str">
        <f>IFERROR(_xlfn.XLOOKUP(Table12[[#This Row],[Ativo]],[2]!Pendentes[COD_RELIGADOR],[2]!Pendentes[DESCRICAO]),"")</f>
        <v>24/07 PARECER COEP:EQUIPAMENTO EM LOGISTICA DE ENTREGA Favor levar outro regulador de tensão, pois o mesmo foi furtado em campo.</v>
      </c>
      <c r="L97" s="27">
        <v>0</v>
      </c>
      <c r="M97" s="27">
        <v>0</v>
      </c>
      <c r="N97" s="27">
        <v>0</v>
      </c>
      <c r="O97" s="27">
        <v>10</v>
      </c>
      <c r="P97" s="27">
        <v>10</v>
      </c>
      <c r="Q97" s="27" t="s">
        <v>69</v>
      </c>
      <c r="R97" s="27" t="s">
        <v>69</v>
      </c>
      <c r="S97" s="27" t="s">
        <v>69</v>
      </c>
      <c r="T97" s="27">
        <f>SUM(Table12[[#This Row],[Premissa 1]:[Premissa 8]])</f>
        <v>20</v>
      </c>
      <c r="U97" s="27" t="s">
        <v>231</v>
      </c>
      <c r="V97" t="s">
        <v>275</v>
      </c>
    </row>
    <row r="98" spans="1:22" ht="15" customHeight="1" x14ac:dyDescent="0.25">
      <c r="A98" s="2">
        <v>7919270014</v>
      </c>
      <c r="B98" s="27" t="str">
        <f>MID(Table12[[#This Row],[Ativo]],1,2)</f>
        <v>79</v>
      </c>
      <c r="C98" s="27" t="s">
        <v>104</v>
      </c>
      <c r="D98" s="27" t="s">
        <v>90</v>
      </c>
      <c r="E98" s="27" t="s">
        <v>32</v>
      </c>
      <c r="F98" s="2" t="str">
        <f>IFERROR(_xlfn.XLOOKUP(Table12[[#This Row],[Ativo]],[2]!Pendentes[COD_RELIGADOR],[2]!Pendentes[SS_ORIGINAL]),"CONCLUÍDA")</f>
        <v>ETO-COEP 00159/2026</v>
      </c>
      <c r="G98" s="2" t="s">
        <v>269</v>
      </c>
      <c r="J98" s="28"/>
      <c r="K98" t="str">
        <f>IFERROR(_xlfn.XLOOKUP(Table12[[#This Row],[Ativo]],[2]!Pendentes[COD_RELIGADOR],[2]!Pendentes[DESCRICAO]),"")</f>
        <v>27/07/2026 PARECER COEP: EM PROCESSO DE AQUISIÇÃO , COMPLETOPARECER COEP: AGUARDANDO RETORNO DO DMSL, EQUIPAMENTO FOI INSTALADO NOVO NA OBRA 0212501060, ENTENDER O PORQUE NÃO FOI REALIZADO COMISSIONAMENTOPARECER DMSL: Substituir Equipamento completo problema na placa de alimentação e na parte ativa, falta colocar placa de identificação correta na topologia, baixar o controle.Equipamento ficou em operação?: naoPendência: simBateria(s) substituída(s)? NÃOEquipe: Kaique/ Benvindo13/07/2026 PARECER COEP: SUBSTITUIÇÃO REALZIADA , FAVOR COMISSIONARPARECER DMSL (22/07/26): Solicito que o laudo de substituição seja anexado, e a SS seja repassada para proteção atribuir a ordem de ajuste, antes de repassar para ETO-TELE.----------------------------------------------PARECER DA PROTEÇÃO: Prosseguir com o comissionamento. Ajustes de religador permanecem os mesmos, disponíveis no APP da Proteção.********************************RELIGADOR N°7919270014 REMANEJADO NA OBRA 0212501060 GENTILEZA, REALIZAR O COMISSIONAMENTO. LAUDO EM ANEXO. COORD EO: 617422, 8830787</v>
      </c>
      <c r="L98" s="27">
        <v>5</v>
      </c>
      <c r="M98" s="27">
        <v>5</v>
      </c>
      <c r="N98" s="27">
        <v>0</v>
      </c>
      <c r="O98" s="27">
        <v>0</v>
      </c>
      <c r="P98" s="27">
        <v>0</v>
      </c>
      <c r="Q98" s="27">
        <v>10</v>
      </c>
      <c r="R98" s="27">
        <v>0</v>
      </c>
      <c r="S98" s="27">
        <v>0</v>
      </c>
      <c r="T98" s="27">
        <f>SUM(Table12[[#This Row],[Premissa 1]:[Premissa 8]])</f>
        <v>20</v>
      </c>
      <c r="U98" s="27" t="s">
        <v>231</v>
      </c>
      <c r="V98" t="s">
        <v>276</v>
      </c>
    </row>
    <row r="99" spans="1:22" ht="15" customHeight="1" x14ac:dyDescent="0.25">
      <c r="A99" s="2">
        <v>7926442035</v>
      </c>
      <c r="B99" s="27" t="str">
        <f>MID(Table12[[#This Row],[Ativo]],1,2)</f>
        <v>79</v>
      </c>
      <c r="C99" s="27" t="s">
        <v>180</v>
      </c>
      <c r="D99" s="27" t="s">
        <v>41</v>
      </c>
      <c r="E99" s="27" t="s">
        <v>32</v>
      </c>
      <c r="F99" s="2" t="str">
        <f>IFERROR(_xlfn.XLOOKUP(Table12[[#This Row],[Ativo]],[2]!Pendentes[COD_RELIGADOR],[2]!Pendentes[SS_ORIGINAL]),"CONCLUÍDA")</f>
        <v>ETO-COEP 00051/2026</v>
      </c>
      <c r="G99" s="2" t="s">
        <v>75</v>
      </c>
      <c r="J99" s="28"/>
      <c r="K99" t="str">
        <f>IFERROR(_xlfn.XLOOKUP(Table12[[#This Row],[Ativo]],[2]!Pendentes[COD_RELIGADOR],[2]!Pendentes[DESCRICAO]),"")</f>
        <v>PARECER COEP: EQUIPAMENTO SELECIONADO PARA COMPRAPARECER DMSL: Data: 12/03/2026 Serviço Executado:- Análise técnica constatou:- Parte ativa do equipamento danificada: necessita substituição- Trafo danificado: foi feitos testes nas buchas secundárias o mesmo não chega tensão    - Vazamento de óleo    - Necessita substituiçãoEquipamento ficou em operação? NãoPendências:- Solicitar limpeza de faixa para acesso ao equipamento- Trocar parte ativa do equipamento- Substituir o trafoEquipe: Carliel e João VitorSegue nota para envia equipe verificar falha de comunicação e automação no RL-7926442035 feito primeiro ataque com equipe 035OP02, porém sem sucesso. </v>
      </c>
      <c r="L99" s="27">
        <v>5</v>
      </c>
      <c r="M99" s="27">
        <v>5</v>
      </c>
      <c r="N99" s="27">
        <v>0</v>
      </c>
      <c r="O99" s="27">
        <v>0</v>
      </c>
      <c r="P99" s="27">
        <v>0</v>
      </c>
      <c r="Q99" s="27">
        <v>0</v>
      </c>
      <c r="R99" s="27">
        <v>10</v>
      </c>
      <c r="S99" s="27">
        <v>0</v>
      </c>
      <c r="T99" s="27">
        <f>SUM(Table12[[#This Row],[Premissa 1]:[Premissa 8]])</f>
        <v>20</v>
      </c>
      <c r="U99" s="27" t="s">
        <v>231</v>
      </c>
      <c r="V99" t="s">
        <v>277</v>
      </c>
    </row>
    <row r="100" spans="1:22" ht="15" customHeight="1" x14ac:dyDescent="0.25">
      <c r="A100" s="2">
        <v>7954668084</v>
      </c>
      <c r="B100" s="27" t="str">
        <f>MID(Table12[[#This Row],[Ativo]],1,2)</f>
        <v>79</v>
      </c>
      <c r="C100" s="27" t="s">
        <v>150</v>
      </c>
      <c r="D100" s="27" t="s">
        <v>150</v>
      </c>
      <c r="E100" s="27" t="s">
        <v>32</v>
      </c>
      <c r="F100" s="2" t="str">
        <f>IFERROR(_xlfn.XLOOKUP(Table12[[#This Row],[Ativo]],[2]!Pendentes[COD_RELIGADOR],[2]!Pendentes[SS_ORIGINAL]),"CONCLUÍDA")</f>
        <v>CONCLUÍDA</v>
      </c>
      <c r="J100" s="28" t="s">
        <v>278</v>
      </c>
      <c r="K100" t="str">
        <f>IFERROR(_xlfn.XLOOKUP(Table12[[#This Row],[Ativo]],[2]!Pendentes[COD_RELIGADOR],[2]!Pendentes[DESCRICAO]),"")</f>
        <v/>
      </c>
      <c r="L100" s="27">
        <v>5</v>
      </c>
      <c r="M100" s="27">
        <v>5</v>
      </c>
      <c r="N100" s="27">
        <v>0</v>
      </c>
      <c r="O100" s="27">
        <v>0</v>
      </c>
      <c r="P100" s="27">
        <v>0</v>
      </c>
      <c r="Q100" s="27">
        <v>0</v>
      </c>
      <c r="R100" s="27">
        <v>10</v>
      </c>
      <c r="S100" s="27"/>
      <c r="T100" s="27">
        <f>SUM(Table12[[#This Row],[Premissa 1]:[Premissa 8]])</f>
        <v>20</v>
      </c>
      <c r="U100" s="27" t="s">
        <v>231</v>
      </c>
      <c r="V100" t="s">
        <v>279</v>
      </c>
    </row>
    <row r="101" spans="1:22" ht="15" customHeight="1" x14ac:dyDescent="0.25">
      <c r="A101" s="33">
        <v>7938137007</v>
      </c>
      <c r="B101" s="27" t="str">
        <f>MID(Table12[[#This Row],[Ativo]],1,2)</f>
        <v>79</v>
      </c>
      <c r="C101" s="27" t="s">
        <v>141</v>
      </c>
      <c r="D101" s="27" t="s">
        <v>141</v>
      </c>
      <c r="E101" s="27" t="s">
        <v>32</v>
      </c>
      <c r="F101" s="2" t="str">
        <f>IFERROR(_xlfn.XLOOKUP(Table12[[#This Row],[Ativo]],[2]!Pendentes[COD_RELIGADOR],[2]!Pendentes[SS_ORIGINAL]),"CONCLUÍDA")</f>
        <v>ETO-COEP 00144/2026</v>
      </c>
      <c r="G101" s="2" t="s">
        <v>280</v>
      </c>
      <c r="J101" s="28" t="s">
        <v>281</v>
      </c>
      <c r="K101" t="str">
        <f>IFERROR(_xlfn.XLOOKUP(Table12[[#This Row],[Ativo]],[2]!Pendentes[COD_RELIGADOR],[2]!Pendentes[DESCRICAO]),"")</f>
        <v>PARECER DMSL 09/07/2026: GENTILEZA VERIFICAR HAVIA UMA NOTA ABERTA, EQUIPE RETORNOU EM CAMPO E NÃO FOI REALIZADAserviço realizado na SS ENC-RD-PS 1397/2025, REPASSANDO PARA COMISSIONARRL 7938137007 NO RL INSTALAR BATERIA NOVA E RADIO A PEDIDO DE KAROLINY DMSLACESSO LIVREPARECER DMSL: * equipamento esta com a bucha da fase A com problemas(solta), necessário substituir* Trafo do serviço auxiliar esta vazando óleo, necessário substituir- Material ainda não foi entregue para substituição 15/07/2026</v>
      </c>
      <c r="L101" s="27">
        <v>5</v>
      </c>
      <c r="M101" s="27">
        <v>5</v>
      </c>
      <c r="N101" s="27">
        <v>5</v>
      </c>
      <c r="O101" s="27">
        <v>0</v>
      </c>
      <c r="P101" s="27">
        <v>0</v>
      </c>
      <c r="Q101" s="27">
        <v>0</v>
      </c>
      <c r="R101" s="27">
        <v>0</v>
      </c>
      <c r="S101" s="27">
        <v>0</v>
      </c>
      <c r="T101" s="27">
        <f>SUM(Table12[[#This Row],[Premissa 1]:[Premissa 8]])</f>
        <v>15</v>
      </c>
      <c r="U101" s="27" t="s">
        <v>231</v>
      </c>
      <c r="V101" t="s">
        <v>282</v>
      </c>
    </row>
    <row r="102" spans="1:22" ht="15" customHeight="1" x14ac:dyDescent="0.25">
      <c r="A102" s="2">
        <v>5856156091</v>
      </c>
      <c r="B102" s="27" t="str">
        <f>MID(Table12[[#This Row],[Ativo]],1,2)</f>
        <v>58</v>
      </c>
      <c r="C102" s="27" t="s">
        <v>64</v>
      </c>
      <c r="D102" s="27" t="s">
        <v>65</v>
      </c>
      <c r="E102" s="27" t="s">
        <v>58</v>
      </c>
      <c r="F102" s="2" t="str">
        <f>IFERROR(_xlfn.XLOOKUP(Table12[[#This Row],[Ativo]],[2]!Pendentes[COD_RELIGADOR],[2]!Pendentes[SS_ORIGINAL]),"CONCLUÍDA")</f>
        <v>ETO-COEP 00160/2026</v>
      </c>
      <c r="G102" s="2" t="s">
        <v>283</v>
      </c>
      <c r="J102" s="28" t="s">
        <v>284</v>
      </c>
      <c r="K102" t="str">
        <f>IFERROR(_xlfn.XLOOKUP(Table12[[#This Row],[Ativo]],[2]!Pendentes[COD_RELIGADOR],[2]!Pendentes[DESCRICAO]),"")</f>
        <v>27/07/2026 PARECER COEP: EQUIPAMENTO SELECIONADO PARA COMPRA, PORÉM PODEMOS DESATIVAR DE ACORDO COM A ASPODCMD 26.03.2026. SS REPASSADA PARA COEP PROVIDENCIAR MATERIAL. NÃO TEMOS O MATERIAL EM ESTOQUE PARA SUBSTITUIÇÃO. COEP: Equipamento fornecido ao COCM-S para regularização.PARECER COEP: EQUIPAMENTOS JÁ FORNECIDOS PARA OS COCM'S PARA REGULARIZAÇÃOPARECER DA PROTEÇÃO:EQUIPAMENTOS FURTADOS. PARA AQUISIÇÃO DAS CELULAS DE REPOSIÇÃO, FAVOR CONSULTAR OS DADOS DE PLACA EM ANEXO.PARECER DA PROTEÇÃO:COMISISONAR RT 5856156091 LD DIANOPOLIS A NATIVIDADE. NECESSARIO REALIZAR MEDIÇÕES DA RESISTENCIA DA MALHA DE ATERRAMENTO.AJUSTES DISPONIVEIS NO APP DA PROTEÇÃO.RELIGADOR N° 5856156091 INSTALADO NA OBRA 0502400526 GENTILEZA, REALIZAR O COMISSIONAMENTO. LAUDO EM ANEXO. COORD EO: 899501, 8714782</v>
      </c>
      <c r="L102" s="27">
        <v>0</v>
      </c>
      <c r="M102" s="27">
        <v>0</v>
      </c>
      <c r="N102" s="27">
        <v>0</v>
      </c>
      <c r="O102" s="27">
        <v>0</v>
      </c>
      <c r="P102" s="27">
        <v>0</v>
      </c>
      <c r="Q102" s="27" t="s">
        <v>69</v>
      </c>
      <c r="R102" s="27" t="s">
        <v>69</v>
      </c>
      <c r="S102" s="27" t="s">
        <v>69</v>
      </c>
      <c r="T102" s="27">
        <f>SUM(Table12[[#This Row],[Premissa 1]:[Premissa 8]])</f>
        <v>0</v>
      </c>
      <c r="U102" s="27" t="s">
        <v>231</v>
      </c>
      <c r="V102" t="s">
        <v>285</v>
      </c>
    </row>
    <row r="103" spans="1:22" ht="15" customHeight="1" x14ac:dyDescent="0.25">
      <c r="A103" s="32">
        <v>5858783119</v>
      </c>
      <c r="B103" s="30" t="str">
        <f>MID(Table12[[#This Row],[Ativo]],1,2)</f>
        <v>58</v>
      </c>
      <c r="C103" s="30" t="s">
        <v>286</v>
      </c>
      <c r="D103" s="30" t="s">
        <v>50</v>
      </c>
      <c r="E103" s="30" t="s">
        <v>24</v>
      </c>
      <c r="F103" s="32" t="str">
        <f>IFERROR(_xlfn.XLOOKUP(Table12[[#This Row],[Ativo]],[2]!Pendentes[COD_RELIGADOR],[2]!Pendentes[SS_ORIGINAL]),"CONCLUÍDA")</f>
        <v>ETO-COEP 00164/2026</v>
      </c>
      <c r="G103" s="32" t="s">
        <v>287</v>
      </c>
      <c r="H103" s="32"/>
      <c r="I103" s="32"/>
      <c r="J103" s="31" t="s">
        <v>288</v>
      </c>
      <c r="K103" t="str">
        <f>IFERROR(_xlfn.XLOOKUP(Table12[[#This Row],[Ativo]],[2]!Pendentes[COD_RELIGADOR],[2]!Pendentes[DESCRICAO]),"")</f>
        <v>PARECER DMSL 31/07/2026: RT 5858783119 SE ECONTRA NA MESMA SITUAÇÃO INFORMADA NO DIA 16/06/2026. FAVOR, REGULARIZAR A SITUAÇÃO DO EQUIPAMENTO, SUBSTITUINDO OS 3 TANQUES E  INSTALAR NOVOS PARA-RAIOS.27/07/2026 PARECER COEP: FIZEMOS UMA VISITA AO EQUIPAMENTO , EQUIPAMENTO SE ENCONTRA EM OPERAÇÃO E SEM SINAL DE AVARIA FAVOR AVALIAR PARECER DMSL A SS FOTOS COM O LUANDERSSON OU JOAO ANTONIO LAGARES 20/07 PARECER COEP: EQUIPAMENTO SELECIONADO PARA COMPRA , DEVIDO AO ERRO NA INSTALAÇÃO E O FURTOPARECER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v>
      </c>
      <c r="L103" s="30">
        <v>0</v>
      </c>
      <c r="M103" s="30">
        <v>0</v>
      </c>
      <c r="N103" s="30">
        <v>0</v>
      </c>
      <c r="O103" s="30">
        <v>0</v>
      </c>
      <c r="P103" s="30">
        <v>0</v>
      </c>
      <c r="Q103" s="30" t="s">
        <v>69</v>
      </c>
      <c r="R103" s="30" t="s">
        <v>69</v>
      </c>
      <c r="S103" s="30" t="s">
        <v>69</v>
      </c>
      <c r="T103" s="30">
        <f>SUM(Table12[[#This Row],[Premissa 1]:[Premissa 8]])</f>
        <v>0</v>
      </c>
      <c r="U103" s="30" t="s">
        <v>231</v>
      </c>
      <c r="V103" s="29" t="s">
        <v>289</v>
      </c>
    </row>
    <row r="104" spans="1:22" ht="15" customHeight="1" x14ac:dyDescent="0.25">
      <c r="A104" s="32">
        <v>7900532053</v>
      </c>
      <c r="B104" s="30" t="str">
        <f>MID(Table12[[#This Row],[Ativo]],1,2)</f>
        <v>79</v>
      </c>
      <c r="C104" s="30" t="s">
        <v>290</v>
      </c>
      <c r="D104" s="30" t="s">
        <v>50</v>
      </c>
      <c r="E104" s="30" t="s">
        <v>24</v>
      </c>
      <c r="F104" s="32" t="str">
        <f>IFERROR(_xlfn.XLOOKUP(Table12[[#This Row],[Ativo]],[2]!Pendentes[COD_RELIGADOR],[2]!Pendentes[SS_ORIGINAL]),"CONCLUÍDA")</f>
        <v>CONCLUÍDA</v>
      </c>
      <c r="G104" s="32" t="s">
        <v>291</v>
      </c>
      <c r="H104" s="32"/>
      <c r="I104" s="32"/>
      <c r="J104" s="31" t="s">
        <v>208</v>
      </c>
      <c r="K104" t="str">
        <f>IFERROR(_xlfn.XLOOKUP(Table12[[#This Row],[Ativo]],[2]!Pendentes[COD_RELIGADOR],[2]!Pendentes[DESCRICAO]),"")</f>
        <v/>
      </c>
      <c r="L104" s="30">
        <v>0</v>
      </c>
      <c r="M104" s="30">
        <v>0</v>
      </c>
      <c r="N104" s="30">
        <v>0</v>
      </c>
      <c r="O104" s="30">
        <v>0</v>
      </c>
      <c r="P104" s="30">
        <v>0</v>
      </c>
      <c r="Q104" s="30">
        <v>0</v>
      </c>
      <c r="R104" s="30">
        <v>0</v>
      </c>
      <c r="S104" s="30">
        <v>0</v>
      </c>
      <c r="T104" s="30">
        <f>SUM(Table12[[#This Row],[Premissa 1]:[Premissa 8]])</f>
        <v>0</v>
      </c>
      <c r="U104" s="30" t="s">
        <v>69</v>
      </c>
      <c r="V104" s="29" t="s">
        <v>292</v>
      </c>
    </row>
    <row r="105" spans="1:22" ht="15" customHeight="1" x14ac:dyDescent="0.25">
      <c r="A105" s="2">
        <v>7925713040</v>
      </c>
      <c r="B105" s="27" t="str">
        <f>MID(Table12[[#This Row],[Ativo]],1,2)</f>
        <v>79</v>
      </c>
      <c r="C105" s="27" t="s">
        <v>170</v>
      </c>
      <c r="D105" s="27" t="s">
        <v>23</v>
      </c>
      <c r="E105" s="27" t="s">
        <v>24</v>
      </c>
      <c r="F105" s="2" t="str">
        <f>IFERROR(_xlfn.XLOOKUP(Table12[[#This Row],[Ativo]],[2]!Pendentes[COD_RELIGADOR],[2]!Pendentes[SS_ORIGINAL]),"CONCLUÍDA")</f>
        <v>CONCLUÍDA</v>
      </c>
      <c r="J105" s="28"/>
      <c r="K105" t="str">
        <f>IFERROR(_xlfn.XLOOKUP(Table12[[#This Row],[Ativo]],[2]!Pendentes[COD_RELIGADOR],[2]!Pendentes[DESCRICAO]),"")</f>
        <v/>
      </c>
      <c r="L105" s="27" t="s">
        <v>293</v>
      </c>
      <c r="M105" s="27"/>
      <c r="N105" s="27"/>
      <c r="O105" s="27"/>
      <c r="P105" s="27"/>
      <c r="Q105" s="27"/>
      <c r="R105" s="27"/>
      <c r="S105" s="27"/>
      <c r="T105" s="27">
        <f>SUM(Table12[[#This Row],[Premissa 1]:[Premissa 8]])</f>
        <v>0</v>
      </c>
      <c r="U105" s="27"/>
    </row>
    <row r="106" spans="1:22" ht="15" customHeight="1" x14ac:dyDescent="0.25">
      <c r="A106" s="2">
        <v>7948412064</v>
      </c>
      <c r="B106" s="27" t="str">
        <f>MID(Table12[[#This Row],[Ativo]],1,2)</f>
        <v>79</v>
      </c>
      <c r="C106" s="27" t="s">
        <v>294</v>
      </c>
      <c r="D106" s="27" t="s">
        <v>81</v>
      </c>
      <c r="E106" s="27" t="s">
        <v>24</v>
      </c>
      <c r="F106" s="2" t="str">
        <f>IFERROR(_xlfn.XLOOKUP(Table12[[#This Row],[Ativo]],[2]!Pendentes[COD_RELIGADOR],[2]!Pendentes[SS_ORIGINAL]),"CONCLUÍDA")</f>
        <v>CONCLUÍDA</v>
      </c>
      <c r="J106" s="28"/>
      <c r="K106" t="str">
        <f>IFERROR(_xlfn.XLOOKUP(Table12[[#This Row],[Ativo]],[2]!Pendentes[COD_RELIGADOR],[2]!Pendentes[DESCRICAO]),"")</f>
        <v/>
      </c>
      <c r="L106" s="27" t="s">
        <v>293</v>
      </c>
      <c r="M106" s="27"/>
      <c r="N106" s="27"/>
      <c r="O106" s="27"/>
      <c r="P106" s="27"/>
      <c r="Q106" s="27"/>
      <c r="R106" s="27"/>
      <c r="S106" s="27"/>
      <c r="T106" s="27">
        <f>SUM(Table12[[#This Row],[Premissa 1]:[Premissa 8]])</f>
        <v>0</v>
      </c>
      <c r="U106" s="27"/>
    </row>
    <row r="107" spans="1:22" ht="15" customHeight="1" x14ac:dyDescent="0.25">
      <c r="A107" s="2">
        <v>7955832052</v>
      </c>
      <c r="B107" s="27" t="str">
        <f>MID(Table12[[#This Row],[Ativo]],1,2)</f>
        <v>79</v>
      </c>
      <c r="C107" s="27" t="s">
        <v>211</v>
      </c>
      <c r="D107" s="27" t="s">
        <v>211</v>
      </c>
      <c r="E107" s="27" t="s">
        <v>58</v>
      </c>
      <c r="F107" s="2" t="str">
        <f>IFERROR(_xlfn.XLOOKUP(Table12[[#This Row],[Ativo]],[2]!Pendentes[COD_RELIGADOR],[2]!Pendentes[SS_ORIGINAL]),"CONCLUÍDA")</f>
        <v>CONCLUÍDA</v>
      </c>
      <c r="J107" s="28"/>
      <c r="K107" t="str">
        <f>IFERROR(_xlfn.XLOOKUP(Table12[[#This Row],[Ativo]],[2]!Pendentes[COD_RELIGADOR],[2]!Pendentes[DESCRICAO]),"")</f>
        <v/>
      </c>
      <c r="L107" s="27" t="s">
        <v>293</v>
      </c>
      <c r="M107" s="27"/>
      <c r="N107" s="27"/>
      <c r="O107" s="27"/>
      <c r="P107" s="27"/>
      <c r="Q107" s="27"/>
      <c r="R107" s="27"/>
      <c r="S107" s="27"/>
      <c r="T107" s="27">
        <f>SUM(Table12[[#This Row],[Premissa 1]:[Premissa 8]])</f>
        <v>0</v>
      </c>
      <c r="U107" s="27"/>
    </row>
    <row r="108" spans="1:22" ht="15" customHeight="1" x14ac:dyDescent="0.25">
      <c r="A108" s="2">
        <v>7930359149</v>
      </c>
      <c r="B108" s="27" t="str">
        <f>MID(Table12[[#This Row],[Ativo]],1,2)</f>
        <v>79</v>
      </c>
      <c r="C108" s="27" t="s">
        <v>197</v>
      </c>
      <c r="D108" s="27" t="s">
        <v>150</v>
      </c>
      <c r="E108" s="27" t="s">
        <v>32</v>
      </c>
      <c r="F108" s="2" t="str">
        <f>IFERROR(_xlfn.XLOOKUP(Table12[[#This Row],[Ativo]],[2]!Pendentes[COD_RELIGADOR],[2]!Pendentes[SS_ORIGINAL]),"CONCLUÍDA")</f>
        <v>ETO-COEP 00138/2026</v>
      </c>
      <c r="J108" s="28"/>
      <c r="K108" t="str">
        <f>IFERROR(_xlfn.XLOOKUP(Table12[[#This Row],[Ativo]],[2]!Pendentes[COD_RELIGADOR],[2]!Pendentes[DESCRICAO]),"")</f>
        <v>PARECER DMSL 07/07/2026: equipamento tem que ser subistuido pois não faz comando, parte ativa com defeito FEITO O PRIMEIRO ATAQUE NO RELIGADOR 7930359149 E MESMO NÃO ACEITA COMANDO NEM LOCAL E NEM REMOTO SEGUNDO EQUIPE 149OP02 E PLACA DO RL ESTA CARBONIZADA COM SINAL DE CURTO.</v>
      </c>
      <c r="L108" s="27" t="s">
        <v>293</v>
      </c>
      <c r="M108" s="27"/>
      <c r="N108" s="27"/>
      <c r="O108" s="27"/>
      <c r="P108" s="27"/>
      <c r="Q108" s="27"/>
      <c r="R108" s="27"/>
      <c r="S108" s="27"/>
      <c r="T108" s="27">
        <f>SUM(Table12[[#This Row],[Premissa 1]:[Premissa 8]])</f>
        <v>0</v>
      </c>
      <c r="U108" s="27"/>
    </row>
    <row r="109" spans="1:22" ht="15" customHeight="1" x14ac:dyDescent="0.25">
      <c r="A109" s="2">
        <v>7902098003</v>
      </c>
      <c r="B109" s="27" t="str">
        <f>MID(Table12[[#This Row],[Ativo]],1,2)</f>
        <v>79</v>
      </c>
      <c r="C109" s="27" t="s">
        <v>57</v>
      </c>
      <c r="D109" s="27" t="s">
        <v>57</v>
      </c>
      <c r="E109" s="27" t="s">
        <v>58</v>
      </c>
      <c r="F109" s="2" t="str">
        <f>IFERROR(_xlfn.XLOOKUP(Table12[[#This Row],[Ativo]],[2]!Pendentes[COD_RELIGADOR],[2]!Pendentes[SS_ORIGINAL]),"CONCLUÍDA")</f>
        <v>CONCLUÍDA</v>
      </c>
      <c r="J109" s="28"/>
      <c r="K109" t="str">
        <f>IFERROR(_xlfn.XLOOKUP(Table12[[#This Row],[Ativo]],[2]!Pendentes[COD_RELIGADOR],[2]!Pendentes[DESCRICAO]),"")</f>
        <v/>
      </c>
      <c r="L109" s="27" t="s">
        <v>293</v>
      </c>
      <c r="M109" s="27"/>
      <c r="N109" s="27"/>
      <c r="O109" s="27"/>
      <c r="P109" s="27"/>
      <c r="Q109" s="27"/>
      <c r="R109" s="27"/>
      <c r="S109" s="27"/>
      <c r="T109" s="27">
        <f>SUM(Table12[[#This Row],[Premissa 1]:[Premissa 8]])</f>
        <v>0</v>
      </c>
      <c r="U109" s="27"/>
    </row>
    <row r="110" spans="1:22" ht="15" customHeight="1" x14ac:dyDescent="0.25">
      <c r="A110" s="2">
        <v>7953211079</v>
      </c>
      <c r="B110" s="27" t="str">
        <f>MID(Table12[[#This Row],[Ativo]],1,2)</f>
        <v>79</v>
      </c>
      <c r="C110" s="27" t="s">
        <v>295</v>
      </c>
      <c r="D110" s="27" t="s">
        <v>81</v>
      </c>
      <c r="E110" s="27" t="s">
        <v>24</v>
      </c>
      <c r="F110" s="2" t="str">
        <f>IFERROR(_xlfn.XLOOKUP(Table12[[#This Row],[Ativo]],[2]!Pendentes[COD_RELIGADOR],[2]!Pendentes[SS_ORIGINAL]),"CONCLUÍDA")</f>
        <v>ETO-COEP 00147/2026</v>
      </c>
      <c r="J110" s="28"/>
      <c r="K110" t="str">
        <f>IFERROR(_xlfn.XLOOKUP(Table12[[#This Row],[Ativo]],[2]!Pendentes[COD_RELIGADOR],[2]!Pendentes[DESCRICAO]),"")</f>
        <v>20/07 PARECER COEP: EQUIPAMENTO SELECIONADO PARA COMPRASegue nota para substituir relé religador avariado marca noja , equipamento N: 7953211079 - Itapiratins .Obs: informação repassado pelo técnico DMSL Bruno .</v>
      </c>
      <c r="L110" s="27" t="s">
        <v>293</v>
      </c>
      <c r="M110" s="27"/>
      <c r="N110" s="27"/>
      <c r="O110" s="27"/>
      <c r="P110" s="27"/>
      <c r="Q110" s="27"/>
      <c r="R110" s="27"/>
      <c r="S110" s="27"/>
      <c r="T110" s="27">
        <f>SUM(Table12[[#This Row],[Premissa 1]:[Premissa 8]])</f>
        <v>0</v>
      </c>
      <c r="U110" s="27"/>
    </row>
    <row r="111" spans="1:22" ht="15" customHeight="1" x14ac:dyDescent="0.25">
      <c r="A111" s="2">
        <v>7949648145</v>
      </c>
      <c r="B111" s="27" t="str">
        <f>MID(Table12[[#This Row],[Ativo]],1,2)</f>
        <v>79</v>
      </c>
      <c r="C111" s="27" t="s">
        <v>296</v>
      </c>
      <c r="D111" s="27" t="s">
        <v>61</v>
      </c>
      <c r="E111" s="27" t="s">
        <v>24</v>
      </c>
      <c r="F111" s="2" t="str">
        <f>IFERROR(_xlfn.XLOOKUP(Table12[[#This Row],[Ativo]],[2]!Pendentes[COD_RELIGADOR],[2]!Pendentes[SS_ORIGINAL]),"CONCLUÍDA")</f>
        <v>ETO-TELE 00929/2026</v>
      </c>
      <c r="J111" s="28"/>
      <c r="K111" t="str">
        <f>IFERROR(_xlfn.XLOOKUP(Table12[[#This Row],[Ativo]],[2]!Pendentes[COD_RELIGADOR],[2]!Pendentes[DESCRICAO]),"")</f>
        <v>FEITO PRIMEIRO ATAQUE COM A EQUIPE LOCAL E NÃO VOLTOU A COMUNICAR. PROVIDENCIAR MANUTENÇÃO PARA O MESMO.</v>
      </c>
      <c r="L111" s="27" t="s">
        <v>293</v>
      </c>
      <c r="M111" s="27"/>
      <c r="N111" s="27"/>
      <c r="O111" s="27"/>
      <c r="P111" s="27"/>
      <c r="Q111" s="27"/>
      <c r="R111" s="27"/>
      <c r="S111" s="27"/>
      <c r="T111" s="27">
        <f>SUM(Table12[[#This Row],[Premissa 1]:[Premissa 8]])</f>
        <v>0</v>
      </c>
      <c r="U111" s="27"/>
    </row>
    <row r="112" spans="1:22" ht="15" customHeight="1" x14ac:dyDescent="0.25">
      <c r="A112" s="2">
        <v>7957021094</v>
      </c>
      <c r="B112" s="27" t="str">
        <f>MID(Table12[[#This Row],[Ativo]],1,2)</f>
        <v>79</v>
      </c>
      <c r="C112" s="27" t="s">
        <v>107</v>
      </c>
      <c r="D112" s="27" t="s">
        <v>107</v>
      </c>
      <c r="E112" s="27" t="s">
        <v>58</v>
      </c>
      <c r="F112" s="2" t="str">
        <f>IFERROR(_xlfn.XLOOKUP(Table12[[#This Row],[Ativo]],[2]!Pendentes[COD_RELIGADOR],[2]!Pendentes[SS_ORIGINAL]),"CONCLUÍDA")</f>
        <v>CONCLUÍDA</v>
      </c>
      <c r="J112" s="28"/>
      <c r="K112" t="str">
        <f>IFERROR(_xlfn.XLOOKUP(Table12[[#This Row],[Ativo]],[2]!Pendentes[COD_RELIGADOR],[2]!Pendentes[DESCRICAO]),"")</f>
        <v/>
      </c>
      <c r="L112" s="27" t="s">
        <v>293</v>
      </c>
      <c r="M112" s="27"/>
      <c r="N112" s="27"/>
      <c r="O112" s="27"/>
      <c r="P112" s="27"/>
      <c r="Q112" s="27"/>
      <c r="R112" s="27"/>
      <c r="S112" s="27"/>
      <c r="T112" s="27">
        <f>SUM(Table12[[#This Row],[Premissa 1]:[Premissa 8]])</f>
        <v>0</v>
      </c>
      <c r="U112" s="27"/>
    </row>
    <row r="113" spans="1:21" ht="15" customHeight="1" x14ac:dyDescent="0.25">
      <c r="A113" s="2">
        <v>7908300096</v>
      </c>
      <c r="B113" s="27" t="str">
        <f>MID(Table12[[#This Row],[Ativo]],1,2)</f>
        <v>79</v>
      </c>
      <c r="C113" s="27" t="s">
        <v>252</v>
      </c>
      <c r="D113" s="27" t="s">
        <v>41</v>
      </c>
      <c r="E113" s="27" t="s">
        <v>32</v>
      </c>
      <c r="F113" s="2" t="str">
        <f>IFERROR(_xlfn.XLOOKUP(Table12[[#This Row],[Ativo]],[2]!Pendentes[COD_RELIGADOR],[2]!Pendentes[SS_ORIGINAL]),"CONCLUÍDA")</f>
        <v>ETO-TELE 00938/2026</v>
      </c>
      <c r="J113" s="28"/>
      <c r="K113" t="str">
        <f>IFERROR(_xlfn.XLOOKUP(Table12[[#This Row],[Ativo]],[2]!Pendentes[COD_RELIGADOR],[2]!Pendentes[DESCRICAO]),"")</f>
        <v>Segue nota para verificar falha intermitência na comunicação RL 7908300096 RDU- Pindorama .</v>
      </c>
      <c r="L113" s="27" t="s">
        <v>293</v>
      </c>
      <c r="M113" s="27"/>
      <c r="N113" s="27"/>
      <c r="O113" s="27"/>
      <c r="P113" s="27"/>
      <c r="Q113" s="27"/>
      <c r="R113" s="27"/>
      <c r="S113" s="27"/>
      <c r="T113" s="27">
        <f>SUM(Table12[[#This Row],[Premissa 1]:[Premissa 8]])</f>
        <v>0</v>
      </c>
      <c r="U113" s="27"/>
    </row>
    <row r="114" spans="1:21" ht="15" customHeight="1" x14ac:dyDescent="0.25">
      <c r="A114" s="2">
        <v>7953570026</v>
      </c>
      <c r="B114" s="27" t="str">
        <f>MID(Table12[[#This Row],[Ativo]],1,2)</f>
        <v>79</v>
      </c>
      <c r="C114" s="27" t="s">
        <v>41</v>
      </c>
      <c r="D114" s="27" t="s">
        <v>41</v>
      </c>
      <c r="E114" s="27" t="s">
        <v>32</v>
      </c>
      <c r="F114" s="2" t="str">
        <f>IFERROR(_xlfn.XLOOKUP(Table12[[#This Row],[Ativo]],[2]!Pendentes[COD_RELIGADOR],[2]!Pendentes[SS_ORIGINAL]),"CONCLUÍDA")</f>
        <v>CONCLUÍDA</v>
      </c>
      <c r="J114" s="28"/>
      <c r="K114" t="str">
        <f>IFERROR(_xlfn.XLOOKUP(Table12[[#This Row],[Ativo]],[2]!Pendentes[COD_RELIGADOR],[2]!Pendentes[DESCRICAO]),"")</f>
        <v/>
      </c>
      <c r="L114" s="27" t="s">
        <v>293</v>
      </c>
      <c r="M114" s="27"/>
      <c r="N114" s="27"/>
      <c r="O114" s="27"/>
      <c r="P114" s="27"/>
      <c r="Q114" s="27"/>
      <c r="R114" s="27"/>
      <c r="S114" s="27"/>
      <c r="T114" s="27">
        <f>SUM(Table12[[#This Row],[Premissa 1]:[Premissa 8]])</f>
        <v>0</v>
      </c>
      <c r="U114" s="27"/>
    </row>
    <row r="115" spans="1:21" ht="15" customHeight="1" x14ac:dyDescent="0.25">
      <c r="A115" s="2">
        <v>7911120026</v>
      </c>
      <c r="B115" s="27" t="str">
        <f>MID(Table12[[#This Row],[Ativo]],1,2)</f>
        <v>79</v>
      </c>
      <c r="C115" s="27" t="s">
        <v>41</v>
      </c>
      <c r="D115" s="27" t="s">
        <v>41</v>
      </c>
      <c r="E115" s="27" t="s">
        <v>32</v>
      </c>
      <c r="F115" s="2" t="str">
        <f>IFERROR(_xlfn.XLOOKUP(Table12[[#This Row],[Ativo]],[2]!Pendentes[COD_RELIGADOR],[2]!Pendentes[SS_ORIGINAL]),"CONCLUÍDA")</f>
        <v>CONCLUÍDA</v>
      </c>
      <c r="G115" s="2" t="s">
        <v>139</v>
      </c>
      <c r="J115" s="28"/>
      <c r="K115" t="str">
        <f>IFERROR(_xlfn.XLOOKUP(Table12[[#This Row],[Ativo]],[2]!Pendentes[COD_RELIGADOR],[2]!Pendentes[DESCRICAO]),"")</f>
        <v/>
      </c>
      <c r="L115" s="27" t="s">
        <v>293</v>
      </c>
      <c r="M115" s="27"/>
      <c r="N115" s="27"/>
      <c r="O115" s="27"/>
      <c r="P115" s="27"/>
      <c r="Q115" s="27"/>
      <c r="R115" s="27"/>
      <c r="S115" s="27"/>
      <c r="T115" s="27">
        <f>SUM(Table12[[#This Row],[Premissa 1]:[Premissa 8]])</f>
        <v>0</v>
      </c>
      <c r="U115" s="27"/>
    </row>
    <row r="116" spans="1:21" ht="15" customHeight="1" x14ac:dyDescent="0.25">
      <c r="A116" s="2">
        <v>5820790038</v>
      </c>
      <c r="B116" s="27" t="str">
        <f>MID(Table12[[#This Row],[Ativo]],1,2)</f>
        <v>58</v>
      </c>
      <c r="C116" s="27" t="s">
        <v>297</v>
      </c>
      <c r="D116" s="27" t="s">
        <v>65</v>
      </c>
      <c r="E116" s="27" t="s">
        <v>58</v>
      </c>
      <c r="F116" s="2" t="str">
        <f>IFERROR(_xlfn.XLOOKUP(Table12[[#This Row],[Ativo]],[2]!Pendentes[COD_RELIGADOR],[2]!Pendentes[SS_ORIGINAL]),"CONCLUÍDA")</f>
        <v>CONCLUÍDA</v>
      </c>
      <c r="J116" s="28"/>
      <c r="K116" t="str">
        <f>IFERROR(_xlfn.XLOOKUP(Table12[[#This Row],[Ativo]],[2]!Pendentes[COD_RELIGADOR],[2]!Pendentes[DESCRICAO]),"")</f>
        <v/>
      </c>
      <c r="L116" s="27" t="s">
        <v>293</v>
      </c>
      <c r="M116" s="27"/>
      <c r="N116" s="27"/>
      <c r="O116" s="27"/>
      <c r="P116" s="27"/>
      <c r="Q116" s="27"/>
      <c r="R116" s="27"/>
      <c r="S116" s="27"/>
      <c r="T116" s="27">
        <f>SUM(Table12[[#This Row],[Premissa 1]:[Premissa 8]])</f>
        <v>0</v>
      </c>
      <c r="U116" s="27"/>
    </row>
    <row r="117" spans="1:21" ht="15" customHeight="1" x14ac:dyDescent="0.25">
      <c r="A117" s="2">
        <v>7934697002</v>
      </c>
      <c r="B117" s="27" t="str">
        <f>MID(Table12[[#This Row],[Ativo]],1,2)</f>
        <v>79</v>
      </c>
      <c r="C117" s="27" t="s">
        <v>50</v>
      </c>
      <c r="D117" s="27" t="s">
        <v>50</v>
      </c>
      <c r="E117" s="27" t="s">
        <v>24</v>
      </c>
      <c r="F117" s="2" t="str">
        <f>IFERROR(_xlfn.XLOOKUP(Table12[[#This Row],[Ativo]],[2]!Pendentes[COD_RELIGADOR],[2]!Pendentes[SS_ORIGINAL]),"CONCLUÍDA")</f>
        <v>CONCLUÍDA</v>
      </c>
      <c r="J117" s="28"/>
      <c r="K117" t="str">
        <f>IFERROR(_xlfn.XLOOKUP(Table12[[#This Row],[Ativo]],[2]!Pendentes[COD_RELIGADOR],[2]!Pendentes[DESCRICAO]),"")</f>
        <v/>
      </c>
      <c r="L117" s="27" t="s">
        <v>293</v>
      </c>
      <c r="M117" s="27"/>
      <c r="N117" s="27"/>
      <c r="O117" s="27"/>
      <c r="P117" s="27"/>
      <c r="Q117" s="27"/>
      <c r="R117" s="27"/>
      <c r="S117" s="27"/>
      <c r="T117" s="27">
        <f>SUM(Table12[[#This Row],[Premissa 1]:[Premissa 8]])</f>
        <v>0</v>
      </c>
      <c r="U117" s="27"/>
    </row>
    <row r="124" spans="1:21" ht="185.25" customHeight="1" x14ac:dyDescent="0.25">
      <c r="H124" s="42" t="s">
        <v>298</v>
      </c>
    </row>
  </sheetData>
  <mergeCells count="1">
    <mergeCell ref="X1:Y1"/>
  </mergeCells>
  <conditionalFormatting sqref="A1:A1048576">
    <cfRule type="duplicateValues" dxfId="27" priority="1"/>
  </conditionalFormatting>
  <conditionalFormatting sqref="F1:J42 F43:G52 H43:J53 F53 F54:J1048576">
    <cfRule type="cellIs" dxfId="26" priority="2" operator="equal">
      <formula>"CONCLUÍDA"</formula>
    </cfRule>
  </conditionalFormatting>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02B0E-7E42-4E01-BEE8-31EBB07A051F}">
  <sheetPr codeName="Planilha1"/>
  <dimension ref="A1:AB79"/>
  <sheetViews>
    <sheetView topLeftCell="Y1" workbookViewId="0">
      <selection activeCell="A79" sqref="A79"/>
    </sheetView>
  </sheetViews>
  <sheetFormatPr defaultRowHeight="15" x14ac:dyDescent="0.25"/>
  <cols>
    <col min="1" max="1" width="22.7109375" bestFit="1" customWidth="1"/>
    <col min="2" max="2" width="15" bestFit="1" customWidth="1"/>
    <col min="3" max="3" width="14" bestFit="1" customWidth="1"/>
    <col min="4" max="4" width="22.5703125" bestFit="1" customWidth="1"/>
    <col min="5" max="5" width="38.42578125" bestFit="1" customWidth="1"/>
    <col min="6" max="6" width="10.7109375" bestFit="1" customWidth="1"/>
    <col min="7" max="7" width="10.5703125" bestFit="1" customWidth="1"/>
    <col min="8" max="8" width="12.28515625" bestFit="1" customWidth="1"/>
    <col min="9" max="9" width="7.7109375" bestFit="1" customWidth="1"/>
    <col min="10" max="10" width="7.42578125" bestFit="1" customWidth="1"/>
    <col min="11" max="11" width="13.28515625" bestFit="1" customWidth="1"/>
    <col min="12" max="12" width="14.7109375" bestFit="1" customWidth="1"/>
    <col min="13" max="13" width="16.5703125" bestFit="1" customWidth="1"/>
    <col min="14" max="14" width="14.85546875" bestFit="1" customWidth="1"/>
    <col min="15" max="16" width="11.85546875" bestFit="1" customWidth="1"/>
    <col min="17" max="17" width="15.42578125" bestFit="1" customWidth="1"/>
    <col min="18" max="18" width="17.42578125" bestFit="1" customWidth="1"/>
    <col min="19" max="19" width="15.5703125" bestFit="1" customWidth="1"/>
    <col min="20" max="20" width="21.85546875" bestFit="1" customWidth="1"/>
    <col min="21" max="21" width="20.85546875" bestFit="1" customWidth="1"/>
    <col min="22" max="22" width="18.140625" bestFit="1" customWidth="1"/>
    <col min="23" max="23" width="35.5703125" bestFit="1" customWidth="1"/>
    <col min="24" max="24" width="29.140625" bestFit="1" customWidth="1"/>
    <col min="25" max="25" width="35.85546875" bestFit="1" customWidth="1"/>
    <col min="26" max="26" width="17.28515625" bestFit="1" customWidth="1"/>
    <col min="27" max="27" width="34.85546875" bestFit="1" customWidth="1"/>
    <col min="28" max="28" width="81.140625" bestFit="1" customWidth="1"/>
    <col min="29" max="29" width="15.7109375" bestFit="1" customWidth="1"/>
    <col min="30" max="30" width="27" bestFit="1" customWidth="1"/>
    <col min="31" max="31" width="25.85546875" bestFit="1" customWidth="1"/>
    <col min="32" max="32" width="24.5703125" bestFit="1" customWidth="1"/>
    <col min="33" max="33" width="32.42578125" bestFit="1" customWidth="1"/>
    <col min="34" max="34" width="31" bestFit="1" customWidth="1"/>
    <col min="35" max="35" width="17" bestFit="1" customWidth="1"/>
    <col min="36" max="36" width="28.42578125" bestFit="1" customWidth="1"/>
    <col min="37" max="37" width="12" bestFit="1" customWidth="1"/>
    <col min="38" max="38" width="24.28515625" bestFit="1" customWidth="1"/>
    <col min="39" max="39" width="26.28515625" bestFit="1" customWidth="1"/>
    <col min="40" max="40" width="23.28515625" bestFit="1" customWidth="1"/>
    <col min="41" max="41" width="22.42578125" bestFit="1" customWidth="1"/>
    <col min="42" max="42" width="17.42578125" bestFit="1" customWidth="1"/>
    <col min="43" max="43" width="16.5703125" bestFit="1" customWidth="1"/>
    <col min="44" max="44" width="21.140625" bestFit="1" customWidth="1"/>
    <col min="45" max="45" width="16.140625" bestFit="1" customWidth="1"/>
    <col min="46" max="46" width="58.7109375" bestFit="1" customWidth="1"/>
    <col min="47" max="47" width="51" bestFit="1" customWidth="1"/>
    <col min="48" max="48" width="50.7109375" bestFit="1" customWidth="1"/>
    <col min="49" max="49" width="35.28515625" bestFit="1" customWidth="1"/>
    <col min="50" max="50" width="32.5703125" bestFit="1" customWidth="1"/>
    <col min="51" max="51" width="39.42578125" bestFit="1" customWidth="1"/>
    <col min="52" max="52" width="34" bestFit="1" customWidth="1"/>
    <col min="53" max="53" width="34.85546875" bestFit="1" customWidth="1"/>
    <col min="54" max="54" width="24.85546875" bestFit="1" customWidth="1"/>
    <col min="55" max="57" width="40.5703125" bestFit="1" customWidth="1"/>
    <col min="58" max="60" width="33.5703125" bestFit="1" customWidth="1"/>
    <col min="61" max="61" width="35.5703125" bestFit="1" customWidth="1"/>
    <col min="62" max="62" width="29" bestFit="1" customWidth="1"/>
    <col min="63" max="63" width="45.28515625" bestFit="1" customWidth="1"/>
  </cols>
  <sheetData>
    <row r="1" spans="1:28" x14ac:dyDescent="0.25">
      <c r="A1" t="s">
        <v>299</v>
      </c>
      <c r="B1" t="s">
        <v>300</v>
      </c>
      <c r="C1" t="s">
        <v>301</v>
      </c>
      <c r="D1" t="s">
        <v>302</v>
      </c>
      <c r="E1" t="s">
        <v>303</v>
      </c>
      <c r="F1" t="s">
        <v>304</v>
      </c>
      <c r="G1" t="s">
        <v>305</v>
      </c>
      <c r="H1" t="s">
        <v>306</v>
      </c>
      <c r="I1" t="s">
        <v>307</v>
      </c>
      <c r="J1" t="s">
        <v>308</v>
      </c>
      <c r="K1" t="s">
        <v>309</v>
      </c>
      <c r="L1" t="s">
        <v>310</v>
      </c>
      <c r="M1" t="s">
        <v>311</v>
      </c>
      <c r="N1" t="s">
        <v>312</v>
      </c>
      <c r="O1" t="s">
        <v>313</v>
      </c>
      <c r="P1" t="s">
        <v>314</v>
      </c>
      <c r="Q1" t="s">
        <v>315</v>
      </c>
      <c r="R1" t="s">
        <v>316</v>
      </c>
      <c r="S1" t="s">
        <v>317</v>
      </c>
      <c r="T1" t="s">
        <v>318</v>
      </c>
      <c r="U1" t="s">
        <v>319</v>
      </c>
      <c r="V1" t="s">
        <v>320</v>
      </c>
      <c r="W1" t="s">
        <v>321</v>
      </c>
      <c r="X1" t="s">
        <v>322</v>
      </c>
      <c r="Y1" t="s">
        <v>323</v>
      </c>
      <c r="Z1" t="s">
        <v>324</v>
      </c>
      <c r="AA1" t="s">
        <v>325</v>
      </c>
      <c r="AB1" t="s">
        <v>326</v>
      </c>
    </row>
    <row r="2" spans="1:28" hidden="1" x14ac:dyDescent="0.25">
      <c r="A2" t="s">
        <v>327</v>
      </c>
      <c r="B2" t="s">
        <v>328</v>
      </c>
      <c r="D2" t="s">
        <v>328</v>
      </c>
      <c r="E2" t="s">
        <v>328</v>
      </c>
      <c r="F2" t="s">
        <v>328</v>
      </c>
      <c r="G2" t="s">
        <v>328</v>
      </c>
      <c r="H2" t="s">
        <v>328</v>
      </c>
      <c r="J2">
        <v>2026</v>
      </c>
      <c r="K2" t="s">
        <v>329</v>
      </c>
      <c r="L2" t="s">
        <v>330</v>
      </c>
      <c r="M2" t="s">
        <v>331</v>
      </c>
      <c r="N2" t="s">
        <v>332</v>
      </c>
      <c r="O2">
        <v>941293</v>
      </c>
      <c r="P2">
        <v>8659898</v>
      </c>
      <c r="Q2" t="s">
        <v>333</v>
      </c>
      <c r="R2" t="s">
        <v>334</v>
      </c>
      <c r="S2" t="s">
        <v>335</v>
      </c>
      <c r="T2" s="3">
        <v>46188.582407407404</v>
      </c>
      <c r="U2" s="3"/>
      <c r="V2" s="3">
        <v>46191.582407407404</v>
      </c>
      <c r="W2" t="s">
        <v>336</v>
      </c>
      <c r="X2" t="s">
        <v>157</v>
      </c>
      <c r="Y2" t="s">
        <v>337</v>
      </c>
      <c r="Z2" t="s">
        <v>338</v>
      </c>
      <c r="AA2" t="s">
        <v>339</v>
      </c>
      <c r="AB2" t="s">
        <v>340</v>
      </c>
    </row>
    <row r="3" spans="1:28" hidden="1" x14ac:dyDescent="0.25">
      <c r="A3" t="s">
        <v>341</v>
      </c>
      <c r="B3" t="s">
        <v>328</v>
      </c>
      <c r="D3" t="s">
        <v>328</v>
      </c>
      <c r="E3" t="s">
        <v>328</v>
      </c>
      <c r="F3" t="s">
        <v>328</v>
      </c>
      <c r="G3" t="s">
        <v>328</v>
      </c>
      <c r="H3" t="s">
        <v>328</v>
      </c>
      <c r="J3">
        <v>2026</v>
      </c>
      <c r="K3" t="s">
        <v>342</v>
      </c>
      <c r="L3" t="s">
        <v>343</v>
      </c>
      <c r="M3" t="s">
        <v>344</v>
      </c>
      <c r="N3" t="s">
        <v>345</v>
      </c>
      <c r="O3">
        <v>819396</v>
      </c>
      <c r="P3">
        <v>8780710</v>
      </c>
      <c r="Q3" t="s">
        <v>346</v>
      </c>
      <c r="R3" t="s">
        <v>347</v>
      </c>
      <c r="S3" t="s">
        <v>335</v>
      </c>
      <c r="T3" s="3">
        <v>46112.442384259259</v>
      </c>
      <c r="U3" s="3"/>
      <c r="V3" s="3">
        <v>46512.442384259259</v>
      </c>
      <c r="W3" t="s">
        <v>336</v>
      </c>
      <c r="X3" t="s">
        <v>180</v>
      </c>
      <c r="Y3" t="s">
        <v>348</v>
      </c>
      <c r="Z3" t="s">
        <v>338</v>
      </c>
      <c r="AA3" t="s">
        <v>339</v>
      </c>
      <c r="AB3" t="s">
        <v>349</v>
      </c>
    </row>
    <row r="4" spans="1:28" hidden="1" x14ac:dyDescent="0.25">
      <c r="A4" t="s">
        <v>350</v>
      </c>
      <c r="B4" t="s">
        <v>328</v>
      </c>
      <c r="D4" t="s">
        <v>351</v>
      </c>
      <c r="E4" t="s">
        <v>352</v>
      </c>
      <c r="F4" t="s">
        <v>328</v>
      </c>
      <c r="G4" t="s">
        <v>328</v>
      </c>
      <c r="H4" t="s">
        <v>328</v>
      </c>
      <c r="J4">
        <v>2025</v>
      </c>
      <c r="K4" t="s">
        <v>329</v>
      </c>
      <c r="L4" t="s">
        <v>330</v>
      </c>
      <c r="M4" t="s">
        <v>353</v>
      </c>
      <c r="N4" t="s">
        <v>354</v>
      </c>
      <c r="O4">
        <v>714151</v>
      </c>
      <c r="P4">
        <v>9152942</v>
      </c>
      <c r="Q4" t="s">
        <v>355</v>
      </c>
      <c r="R4" t="s">
        <v>334</v>
      </c>
      <c r="S4" t="s">
        <v>335</v>
      </c>
      <c r="T4" s="3">
        <v>45905.61378472222</v>
      </c>
      <c r="U4" s="3"/>
      <c r="V4" s="3">
        <v>45908.61378472222</v>
      </c>
      <c r="W4" t="s">
        <v>336</v>
      </c>
      <c r="X4" t="s">
        <v>86</v>
      </c>
      <c r="Y4" t="s">
        <v>356</v>
      </c>
      <c r="Z4" t="s">
        <v>357</v>
      </c>
      <c r="AA4" t="s">
        <v>339</v>
      </c>
      <c r="AB4" t="s">
        <v>358</v>
      </c>
    </row>
    <row r="5" spans="1:28" x14ac:dyDescent="0.25">
      <c r="A5" t="s">
        <v>359</v>
      </c>
      <c r="B5" t="s">
        <v>328</v>
      </c>
      <c r="D5" t="s">
        <v>351</v>
      </c>
      <c r="E5" t="s">
        <v>352</v>
      </c>
      <c r="F5" t="s">
        <v>328</v>
      </c>
      <c r="G5" t="s">
        <v>328</v>
      </c>
      <c r="H5" t="s">
        <v>328</v>
      </c>
      <c r="J5">
        <v>2026</v>
      </c>
      <c r="K5" t="s">
        <v>329</v>
      </c>
      <c r="L5" t="s">
        <v>360</v>
      </c>
      <c r="M5" t="s">
        <v>361</v>
      </c>
      <c r="N5" t="s">
        <v>362</v>
      </c>
      <c r="O5">
        <v>859820</v>
      </c>
      <c r="P5">
        <v>8711174</v>
      </c>
      <c r="Q5" t="s">
        <v>363</v>
      </c>
      <c r="R5" t="s">
        <v>347</v>
      </c>
      <c r="S5" t="s">
        <v>335</v>
      </c>
      <c r="T5" s="3">
        <v>46204.503993055558</v>
      </c>
      <c r="U5" s="3"/>
      <c r="V5" s="3">
        <v>46604.503993055558</v>
      </c>
      <c r="W5" t="s">
        <v>336</v>
      </c>
      <c r="X5" t="s">
        <v>117</v>
      </c>
      <c r="Y5" t="s">
        <v>356</v>
      </c>
      <c r="Z5" t="s">
        <v>338</v>
      </c>
      <c r="AA5" t="s">
        <v>339</v>
      </c>
      <c r="AB5" t="s">
        <v>364</v>
      </c>
    </row>
    <row r="6" spans="1:28" hidden="1" x14ac:dyDescent="0.25">
      <c r="A6" t="s">
        <v>365</v>
      </c>
      <c r="B6" t="s">
        <v>328</v>
      </c>
      <c r="D6" t="s">
        <v>366</v>
      </c>
      <c r="E6" t="s">
        <v>367</v>
      </c>
      <c r="F6" t="s">
        <v>328</v>
      </c>
      <c r="G6" t="s">
        <v>328</v>
      </c>
      <c r="H6" t="s">
        <v>328</v>
      </c>
      <c r="J6">
        <v>2026</v>
      </c>
      <c r="K6" t="s">
        <v>329</v>
      </c>
      <c r="L6" t="s">
        <v>330</v>
      </c>
      <c r="M6" t="s">
        <v>368</v>
      </c>
      <c r="N6" t="s">
        <v>369</v>
      </c>
      <c r="O6">
        <v>797626</v>
      </c>
      <c r="P6">
        <v>9011795</v>
      </c>
      <c r="Q6" t="s">
        <v>370</v>
      </c>
      <c r="R6" t="s">
        <v>334</v>
      </c>
      <c r="S6" t="s">
        <v>335</v>
      </c>
      <c r="T6" s="3">
        <v>46185.6247337963</v>
      </c>
      <c r="U6" s="3"/>
      <c r="V6" s="3">
        <v>46188.6247337963</v>
      </c>
      <c r="W6" t="s">
        <v>371</v>
      </c>
      <c r="X6" t="s">
        <v>93</v>
      </c>
      <c r="Y6" t="s">
        <v>372</v>
      </c>
      <c r="Z6" t="s">
        <v>338</v>
      </c>
      <c r="AA6" t="s">
        <v>339</v>
      </c>
      <c r="AB6" t="s">
        <v>373</v>
      </c>
    </row>
    <row r="7" spans="1:28" hidden="1" x14ac:dyDescent="0.25">
      <c r="A7" t="s">
        <v>374</v>
      </c>
      <c r="B7" t="s">
        <v>328</v>
      </c>
      <c r="D7" t="s">
        <v>328</v>
      </c>
      <c r="E7" t="s">
        <v>328</v>
      </c>
      <c r="F7" t="s">
        <v>328</v>
      </c>
      <c r="G7" t="s">
        <v>328</v>
      </c>
      <c r="H7" t="s">
        <v>328</v>
      </c>
      <c r="J7">
        <v>2025</v>
      </c>
      <c r="K7" t="s">
        <v>375</v>
      </c>
      <c r="L7" t="s">
        <v>330</v>
      </c>
      <c r="M7" t="s">
        <v>376</v>
      </c>
      <c r="N7" t="s">
        <v>377</v>
      </c>
      <c r="O7">
        <v>971526</v>
      </c>
      <c r="P7">
        <v>8714400</v>
      </c>
      <c r="Q7" t="s">
        <v>378</v>
      </c>
      <c r="R7" t="s">
        <v>347</v>
      </c>
      <c r="S7" t="s">
        <v>335</v>
      </c>
      <c r="T7" s="3">
        <v>45996.663460648146</v>
      </c>
      <c r="U7" s="3"/>
      <c r="V7" s="3">
        <v>46396.663460648146</v>
      </c>
      <c r="W7" t="s">
        <v>336</v>
      </c>
      <c r="X7" t="s">
        <v>65</v>
      </c>
      <c r="Y7" t="s">
        <v>379</v>
      </c>
      <c r="Z7" t="s">
        <v>338</v>
      </c>
      <c r="AA7" t="s">
        <v>339</v>
      </c>
      <c r="AB7" t="s">
        <v>380</v>
      </c>
    </row>
    <row r="8" spans="1:28" hidden="1" x14ac:dyDescent="0.25">
      <c r="A8" t="s">
        <v>381</v>
      </c>
      <c r="B8" t="s">
        <v>328</v>
      </c>
      <c r="D8" t="s">
        <v>382</v>
      </c>
      <c r="E8" t="s">
        <v>383</v>
      </c>
      <c r="F8" t="s">
        <v>328</v>
      </c>
      <c r="G8" t="s">
        <v>328</v>
      </c>
      <c r="H8" t="s">
        <v>328</v>
      </c>
      <c r="J8">
        <v>2026</v>
      </c>
      <c r="K8" t="s">
        <v>329</v>
      </c>
      <c r="L8" t="s">
        <v>330</v>
      </c>
      <c r="M8" t="s">
        <v>384</v>
      </c>
      <c r="N8" t="s">
        <v>385</v>
      </c>
      <c r="O8">
        <v>733022</v>
      </c>
      <c r="P8">
        <v>8870961</v>
      </c>
      <c r="Q8" t="s">
        <v>386</v>
      </c>
      <c r="R8" t="s">
        <v>334</v>
      </c>
      <c r="S8" t="s">
        <v>335</v>
      </c>
      <c r="T8" s="3">
        <v>46132.324965277781</v>
      </c>
      <c r="U8" s="3"/>
      <c r="V8" s="3">
        <v>46135.324965277781</v>
      </c>
      <c r="W8" t="s">
        <v>371</v>
      </c>
      <c r="X8" t="s">
        <v>90</v>
      </c>
      <c r="Y8" t="s">
        <v>387</v>
      </c>
      <c r="Z8" t="s">
        <v>338</v>
      </c>
      <c r="AA8" t="s">
        <v>339</v>
      </c>
      <c r="AB8" t="s">
        <v>388</v>
      </c>
    </row>
    <row r="9" spans="1:28" hidden="1" x14ac:dyDescent="0.25">
      <c r="A9" t="s">
        <v>389</v>
      </c>
      <c r="B9" t="s">
        <v>328</v>
      </c>
      <c r="D9" t="s">
        <v>390</v>
      </c>
      <c r="E9" t="s">
        <v>367</v>
      </c>
      <c r="F9" t="s">
        <v>328</v>
      </c>
      <c r="G9" t="s">
        <v>328</v>
      </c>
      <c r="H9" t="s">
        <v>328</v>
      </c>
      <c r="J9">
        <v>2026</v>
      </c>
      <c r="K9" t="s">
        <v>329</v>
      </c>
      <c r="L9" t="s">
        <v>391</v>
      </c>
      <c r="M9" t="s">
        <v>392</v>
      </c>
      <c r="N9" t="s">
        <v>393</v>
      </c>
      <c r="O9">
        <v>770823</v>
      </c>
      <c r="P9">
        <v>8872358</v>
      </c>
      <c r="Q9" t="s">
        <v>394</v>
      </c>
      <c r="R9" t="s">
        <v>334</v>
      </c>
      <c r="S9" t="s">
        <v>335</v>
      </c>
      <c r="T9" s="3">
        <v>46204.506712962961</v>
      </c>
      <c r="U9" s="3"/>
      <c r="V9" s="3">
        <v>46207.506712962961</v>
      </c>
      <c r="W9" t="s">
        <v>371</v>
      </c>
      <c r="X9" t="s">
        <v>36</v>
      </c>
      <c r="Y9" t="s">
        <v>395</v>
      </c>
      <c r="Z9" t="s">
        <v>338</v>
      </c>
      <c r="AA9" t="s">
        <v>339</v>
      </c>
      <c r="AB9" t="s">
        <v>396</v>
      </c>
    </row>
    <row r="10" spans="1:28" hidden="1" x14ac:dyDescent="0.25">
      <c r="A10" t="s">
        <v>397</v>
      </c>
      <c r="B10" t="s">
        <v>328</v>
      </c>
      <c r="D10" t="s">
        <v>398</v>
      </c>
      <c r="E10" t="s">
        <v>328</v>
      </c>
      <c r="F10" t="s">
        <v>328</v>
      </c>
      <c r="G10" t="s">
        <v>328</v>
      </c>
      <c r="H10" t="s">
        <v>328</v>
      </c>
      <c r="J10">
        <v>2026</v>
      </c>
      <c r="K10" t="s">
        <v>342</v>
      </c>
      <c r="L10" t="s">
        <v>399</v>
      </c>
      <c r="M10" t="s">
        <v>400</v>
      </c>
      <c r="N10" t="s">
        <v>401</v>
      </c>
      <c r="O10">
        <v>730120</v>
      </c>
      <c r="P10">
        <v>8847453</v>
      </c>
      <c r="Q10" t="s">
        <v>402</v>
      </c>
      <c r="R10" t="s">
        <v>403</v>
      </c>
      <c r="S10" t="s">
        <v>335</v>
      </c>
      <c r="T10" s="3">
        <v>46202.722557870373</v>
      </c>
      <c r="U10" s="3"/>
      <c r="V10" s="3">
        <v>46262.722557870373</v>
      </c>
      <c r="W10" t="s">
        <v>336</v>
      </c>
      <c r="X10" t="s">
        <v>183</v>
      </c>
      <c r="Y10" t="s">
        <v>348</v>
      </c>
      <c r="Z10" t="s">
        <v>338</v>
      </c>
      <c r="AA10" t="s">
        <v>339</v>
      </c>
      <c r="AB10" t="s">
        <v>404</v>
      </c>
    </row>
    <row r="11" spans="1:28" hidden="1" x14ac:dyDescent="0.25">
      <c r="A11" t="s">
        <v>405</v>
      </c>
      <c r="B11" t="s">
        <v>328</v>
      </c>
      <c r="D11" t="s">
        <v>351</v>
      </c>
      <c r="E11" t="s">
        <v>352</v>
      </c>
      <c r="F11" t="s">
        <v>328</v>
      </c>
      <c r="G11" t="s">
        <v>328</v>
      </c>
      <c r="H11" t="s">
        <v>328</v>
      </c>
      <c r="J11">
        <v>2026</v>
      </c>
      <c r="K11" t="s">
        <v>329</v>
      </c>
      <c r="L11" t="s">
        <v>330</v>
      </c>
      <c r="M11" t="s">
        <v>406</v>
      </c>
      <c r="N11" t="s">
        <v>407</v>
      </c>
      <c r="O11">
        <v>782353</v>
      </c>
      <c r="P11">
        <v>8664418</v>
      </c>
      <c r="Q11" t="s">
        <v>408</v>
      </c>
      <c r="R11" t="s">
        <v>334</v>
      </c>
      <c r="S11" t="s">
        <v>335</v>
      </c>
      <c r="T11" s="3">
        <v>46160.578229166669</v>
      </c>
      <c r="U11" s="3"/>
      <c r="V11" s="3">
        <v>46163.578229166669</v>
      </c>
      <c r="W11" t="s">
        <v>336</v>
      </c>
      <c r="X11" t="s">
        <v>107</v>
      </c>
      <c r="Y11" t="s">
        <v>409</v>
      </c>
      <c r="Z11" t="s">
        <v>338</v>
      </c>
      <c r="AA11" t="s">
        <v>339</v>
      </c>
      <c r="AB11" t="s">
        <v>410</v>
      </c>
    </row>
    <row r="12" spans="1:28" hidden="1" x14ac:dyDescent="0.25">
      <c r="A12" t="s">
        <v>411</v>
      </c>
      <c r="B12" t="s">
        <v>328</v>
      </c>
      <c r="D12" t="s">
        <v>328</v>
      </c>
      <c r="E12" t="s">
        <v>328</v>
      </c>
      <c r="F12" t="s">
        <v>328</v>
      </c>
      <c r="G12" t="s">
        <v>328</v>
      </c>
      <c r="H12" t="s">
        <v>328</v>
      </c>
      <c r="J12">
        <v>2025</v>
      </c>
      <c r="K12" t="s">
        <v>329</v>
      </c>
      <c r="L12" t="s">
        <v>330</v>
      </c>
      <c r="M12" t="s">
        <v>412</v>
      </c>
      <c r="N12" t="s">
        <v>413</v>
      </c>
      <c r="O12">
        <v>792803</v>
      </c>
      <c r="P12">
        <v>9144437</v>
      </c>
      <c r="Q12" t="s">
        <v>414</v>
      </c>
      <c r="R12" t="s">
        <v>334</v>
      </c>
      <c r="S12" t="s">
        <v>335</v>
      </c>
      <c r="T12" s="3">
        <v>45877.702847222223</v>
      </c>
      <c r="U12" s="3"/>
      <c r="V12" s="3">
        <v>45880.702847222223</v>
      </c>
      <c r="W12" t="s">
        <v>371</v>
      </c>
      <c r="X12" t="s">
        <v>233</v>
      </c>
      <c r="Y12" t="s">
        <v>415</v>
      </c>
      <c r="Z12" t="s">
        <v>338</v>
      </c>
      <c r="AA12" t="s">
        <v>339</v>
      </c>
      <c r="AB12" t="s">
        <v>416</v>
      </c>
    </row>
    <row r="13" spans="1:28" hidden="1" x14ac:dyDescent="0.25">
      <c r="A13" t="s">
        <v>417</v>
      </c>
      <c r="B13" t="s">
        <v>328</v>
      </c>
      <c r="D13" t="s">
        <v>398</v>
      </c>
      <c r="E13" t="s">
        <v>418</v>
      </c>
      <c r="F13" t="s">
        <v>328</v>
      </c>
      <c r="G13" t="s">
        <v>328</v>
      </c>
      <c r="H13" t="s">
        <v>328</v>
      </c>
      <c r="J13">
        <v>2026</v>
      </c>
      <c r="K13" t="s">
        <v>329</v>
      </c>
      <c r="L13" t="s">
        <v>330</v>
      </c>
      <c r="M13" t="s">
        <v>419</v>
      </c>
      <c r="N13" t="s">
        <v>420</v>
      </c>
      <c r="O13">
        <v>775230</v>
      </c>
      <c r="P13">
        <v>9023715</v>
      </c>
      <c r="Q13" t="s">
        <v>421</v>
      </c>
      <c r="R13" t="s">
        <v>334</v>
      </c>
      <c r="S13" t="s">
        <v>335</v>
      </c>
      <c r="T13" s="3">
        <v>46210.648599537039</v>
      </c>
      <c r="U13" s="3"/>
      <c r="V13" s="3">
        <v>46213.648599537039</v>
      </c>
      <c r="W13" t="s">
        <v>371</v>
      </c>
      <c r="X13" t="s">
        <v>81</v>
      </c>
      <c r="Y13" t="s">
        <v>422</v>
      </c>
      <c r="Z13" t="s">
        <v>357</v>
      </c>
      <c r="AA13" t="s">
        <v>339</v>
      </c>
      <c r="AB13" t="s">
        <v>423</v>
      </c>
    </row>
    <row r="14" spans="1:28" hidden="1" x14ac:dyDescent="0.25">
      <c r="A14" t="s">
        <v>424</v>
      </c>
      <c r="B14" t="s">
        <v>328</v>
      </c>
      <c r="D14" t="s">
        <v>351</v>
      </c>
      <c r="E14" t="s">
        <v>367</v>
      </c>
      <c r="F14" t="s">
        <v>328</v>
      </c>
      <c r="G14" t="s">
        <v>328</v>
      </c>
      <c r="H14" t="s">
        <v>328</v>
      </c>
      <c r="J14">
        <v>2025</v>
      </c>
      <c r="K14" t="s">
        <v>329</v>
      </c>
      <c r="L14" t="s">
        <v>399</v>
      </c>
      <c r="M14" t="s">
        <v>425</v>
      </c>
      <c r="N14" t="s">
        <v>426</v>
      </c>
      <c r="O14">
        <v>782525</v>
      </c>
      <c r="P14">
        <v>8944001</v>
      </c>
      <c r="Q14" t="s">
        <v>427</v>
      </c>
      <c r="R14" t="s">
        <v>347</v>
      </c>
      <c r="S14" t="s">
        <v>335</v>
      </c>
      <c r="T14" s="3">
        <v>45946.701273148145</v>
      </c>
      <c r="U14" s="3"/>
      <c r="V14" s="3">
        <v>46346.701273148145</v>
      </c>
      <c r="W14" t="s">
        <v>336</v>
      </c>
      <c r="X14" t="s">
        <v>141</v>
      </c>
      <c r="Y14" t="s">
        <v>337</v>
      </c>
      <c r="Z14" t="s">
        <v>338</v>
      </c>
      <c r="AA14" t="s">
        <v>339</v>
      </c>
      <c r="AB14" t="s">
        <v>428</v>
      </c>
    </row>
    <row r="15" spans="1:28" hidden="1" x14ac:dyDescent="0.25">
      <c r="A15" t="s">
        <v>429</v>
      </c>
      <c r="B15" t="s">
        <v>328</v>
      </c>
      <c r="D15" t="s">
        <v>351</v>
      </c>
      <c r="E15" t="s">
        <v>383</v>
      </c>
      <c r="F15" t="s">
        <v>328</v>
      </c>
      <c r="G15" t="s">
        <v>328</v>
      </c>
      <c r="H15" t="s">
        <v>328</v>
      </c>
      <c r="J15">
        <v>2025</v>
      </c>
      <c r="K15" t="s">
        <v>329</v>
      </c>
      <c r="L15" t="s">
        <v>330</v>
      </c>
      <c r="M15" t="s">
        <v>430</v>
      </c>
      <c r="N15" t="s">
        <v>431</v>
      </c>
      <c r="O15">
        <v>807104</v>
      </c>
      <c r="P15">
        <v>8767918</v>
      </c>
      <c r="Q15" t="s">
        <v>432</v>
      </c>
      <c r="R15" t="s">
        <v>334</v>
      </c>
      <c r="S15" t="s">
        <v>335</v>
      </c>
      <c r="T15" s="3">
        <v>45863.592418981483</v>
      </c>
      <c r="U15" s="3"/>
      <c r="V15" s="3">
        <v>45866.592418981483</v>
      </c>
      <c r="W15" t="s">
        <v>336</v>
      </c>
      <c r="X15" t="s">
        <v>74</v>
      </c>
      <c r="Y15" t="s">
        <v>433</v>
      </c>
      <c r="Z15" t="s">
        <v>338</v>
      </c>
      <c r="AA15" t="s">
        <v>339</v>
      </c>
      <c r="AB15" t="s">
        <v>434</v>
      </c>
    </row>
    <row r="16" spans="1:28" hidden="1" x14ac:dyDescent="0.25">
      <c r="A16" t="s">
        <v>435</v>
      </c>
      <c r="B16" t="s">
        <v>328</v>
      </c>
      <c r="D16" t="s">
        <v>328</v>
      </c>
      <c r="E16" t="s">
        <v>328</v>
      </c>
      <c r="F16" t="s">
        <v>328</v>
      </c>
      <c r="G16" t="s">
        <v>328</v>
      </c>
      <c r="H16" t="s">
        <v>328</v>
      </c>
      <c r="J16">
        <v>2025</v>
      </c>
      <c r="K16" t="s">
        <v>329</v>
      </c>
      <c r="L16" t="s">
        <v>330</v>
      </c>
      <c r="M16" t="s">
        <v>436</v>
      </c>
      <c r="N16" t="s">
        <v>437</v>
      </c>
      <c r="O16">
        <v>754714</v>
      </c>
      <c r="P16">
        <v>8906531</v>
      </c>
      <c r="Q16" t="s">
        <v>438</v>
      </c>
      <c r="R16" t="s">
        <v>334</v>
      </c>
      <c r="S16" t="s">
        <v>335</v>
      </c>
      <c r="T16" s="3">
        <v>45930.615057870367</v>
      </c>
      <c r="U16" s="3"/>
      <c r="V16" s="3">
        <v>45933.615057870367</v>
      </c>
      <c r="W16" t="s">
        <v>371</v>
      </c>
      <c r="X16" t="s">
        <v>236</v>
      </c>
      <c r="Y16" t="s">
        <v>337</v>
      </c>
      <c r="Z16" t="s">
        <v>338</v>
      </c>
      <c r="AA16" t="s">
        <v>339</v>
      </c>
      <c r="AB16" t="s">
        <v>439</v>
      </c>
    </row>
    <row r="17" spans="1:28" hidden="1" x14ac:dyDescent="0.25">
      <c r="A17" t="s">
        <v>440</v>
      </c>
      <c r="B17" t="s">
        <v>328</v>
      </c>
      <c r="D17" t="s">
        <v>328</v>
      </c>
      <c r="E17" t="s">
        <v>328</v>
      </c>
      <c r="F17" t="s">
        <v>328</v>
      </c>
      <c r="G17" t="s">
        <v>328</v>
      </c>
      <c r="H17" t="s">
        <v>328</v>
      </c>
      <c r="J17">
        <v>2026</v>
      </c>
      <c r="K17" t="s">
        <v>329</v>
      </c>
      <c r="L17" t="s">
        <v>330</v>
      </c>
      <c r="M17" t="s">
        <v>361</v>
      </c>
      <c r="N17" t="s">
        <v>441</v>
      </c>
      <c r="O17">
        <v>905857</v>
      </c>
      <c r="P17">
        <v>8717852</v>
      </c>
      <c r="Q17" t="s">
        <v>442</v>
      </c>
      <c r="R17" t="s">
        <v>443</v>
      </c>
      <c r="S17" t="s">
        <v>335</v>
      </c>
      <c r="T17" s="3">
        <v>46210.719837962963</v>
      </c>
      <c r="U17" s="3"/>
      <c r="V17" s="3">
        <v>46390.719837962963</v>
      </c>
      <c r="W17" t="s">
        <v>336</v>
      </c>
      <c r="X17" t="s">
        <v>64</v>
      </c>
      <c r="Y17" t="s">
        <v>444</v>
      </c>
      <c r="Z17" t="s">
        <v>338</v>
      </c>
      <c r="AA17" t="s">
        <v>339</v>
      </c>
      <c r="AB17" t="s">
        <v>445</v>
      </c>
    </row>
    <row r="18" spans="1:28" hidden="1" x14ac:dyDescent="0.25">
      <c r="A18" t="s">
        <v>446</v>
      </c>
      <c r="B18" t="s">
        <v>328</v>
      </c>
      <c r="D18" t="s">
        <v>351</v>
      </c>
      <c r="E18" t="s">
        <v>328</v>
      </c>
      <c r="F18" t="s">
        <v>328</v>
      </c>
      <c r="G18" t="s">
        <v>328</v>
      </c>
      <c r="H18" t="s">
        <v>328</v>
      </c>
      <c r="J18">
        <v>2026</v>
      </c>
      <c r="K18" t="s">
        <v>447</v>
      </c>
      <c r="L18" t="s">
        <v>360</v>
      </c>
      <c r="M18" t="s">
        <v>361</v>
      </c>
      <c r="N18" t="s">
        <v>448</v>
      </c>
      <c r="O18">
        <v>899501</v>
      </c>
      <c r="P18">
        <v>8714782</v>
      </c>
      <c r="Q18" t="s">
        <v>449</v>
      </c>
      <c r="R18" t="s">
        <v>347</v>
      </c>
      <c r="S18" t="s">
        <v>335</v>
      </c>
      <c r="T18" s="3">
        <v>46202.737222222226</v>
      </c>
      <c r="U18" s="3"/>
      <c r="V18" s="3">
        <v>46602.737222222226</v>
      </c>
      <c r="W18" t="s">
        <v>336</v>
      </c>
      <c r="X18" t="s">
        <v>64</v>
      </c>
      <c r="Y18" t="s">
        <v>450</v>
      </c>
      <c r="Z18" t="s">
        <v>338</v>
      </c>
      <c r="AA18" t="s">
        <v>339</v>
      </c>
      <c r="AB18" t="s">
        <v>451</v>
      </c>
    </row>
    <row r="19" spans="1:28" hidden="1" x14ac:dyDescent="0.25">
      <c r="A19" t="s">
        <v>452</v>
      </c>
      <c r="B19" t="s">
        <v>328</v>
      </c>
      <c r="D19" t="s">
        <v>351</v>
      </c>
      <c r="E19" t="s">
        <v>328</v>
      </c>
      <c r="F19" t="s">
        <v>328</v>
      </c>
      <c r="G19" t="s">
        <v>328</v>
      </c>
      <c r="H19" t="s">
        <v>328</v>
      </c>
      <c r="J19">
        <v>2025</v>
      </c>
      <c r="K19" t="s">
        <v>447</v>
      </c>
      <c r="L19" t="s">
        <v>330</v>
      </c>
      <c r="M19" t="s">
        <v>453</v>
      </c>
      <c r="N19" t="s">
        <v>454</v>
      </c>
      <c r="O19">
        <v>845266</v>
      </c>
      <c r="P19">
        <v>9339297</v>
      </c>
      <c r="Q19" t="s">
        <v>455</v>
      </c>
      <c r="R19" t="s">
        <v>403</v>
      </c>
      <c r="S19" t="s">
        <v>335</v>
      </c>
      <c r="T19" s="3">
        <v>45841.594490740739</v>
      </c>
      <c r="U19" s="3"/>
      <c r="V19" s="3">
        <v>45901.594490740739</v>
      </c>
      <c r="W19" t="s">
        <v>336</v>
      </c>
      <c r="X19" t="s">
        <v>286</v>
      </c>
      <c r="Y19" t="s">
        <v>456</v>
      </c>
      <c r="Z19" t="s">
        <v>338</v>
      </c>
      <c r="AA19" t="s">
        <v>339</v>
      </c>
      <c r="AB19" t="s">
        <v>457</v>
      </c>
    </row>
    <row r="20" spans="1:28" hidden="1" x14ac:dyDescent="0.25">
      <c r="A20" t="s">
        <v>458</v>
      </c>
      <c r="B20" t="s">
        <v>328</v>
      </c>
      <c r="D20" t="s">
        <v>351</v>
      </c>
      <c r="E20" t="s">
        <v>328</v>
      </c>
      <c r="F20" t="s">
        <v>328</v>
      </c>
      <c r="G20" t="s">
        <v>328</v>
      </c>
      <c r="H20" t="s">
        <v>328</v>
      </c>
      <c r="J20">
        <v>2026</v>
      </c>
      <c r="K20" t="s">
        <v>447</v>
      </c>
      <c r="L20" t="s">
        <v>391</v>
      </c>
      <c r="M20" t="s">
        <v>392</v>
      </c>
      <c r="N20" t="s">
        <v>459</v>
      </c>
      <c r="O20">
        <v>752964</v>
      </c>
      <c r="P20">
        <v>8877090</v>
      </c>
      <c r="Q20" t="s">
        <v>460</v>
      </c>
      <c r="R20" t="s">
        <v>403</v>
      </c>
      <c r="S20" t="s">
        <v>335</v>
      </c>
      <c r="T20" s="3">
        <v>46157.600231481483</v>
      </c>
      <c r="U20" s="3"/>
      <c r="V20" s="3">
        <v>46217.600231481483</v>
      </c>
      <c r="W20" t="s">
        <v>371</v>
      </c>
      <c r="X20" t="s">
        <v>36</v>
      </c>
      <c r="Y20" t="s">
        <v>450</v>
      </c>
      <c r="Z20" t="s">
        <v>338</v>
      </c>
      <c r="AA20" t="s">
        <v>461</v>
      </c>
      <c r="AB20" t="s">
        <v>462</v>
      </c>
    </row>
    <row r="21" spans="1:28" hidden="1" x14ac:dyDescent="0.25">
      <c r="A21" t="s">
        <v>463</v>
      </c>
      <c r="B21" t="s">
        <v>328</v>
      </c>
      <c r="D21" t="s">
        <v>328</v>
      </c>
      <c r="E21" t="s">
        <v>328</v>
      </c>
      <c r="F21" t="s">
        <v>328</v>
      </c>
      <c r="G21" t="s">
        <v>328</v>
      </c>
      <c r="H21" t="s">
        <v>328</v>
      </c>
      <c r="J21">
        <v>2025</v>
      </c>
      <c r="K21" t="s">
        <v>375</v>
      </c>
      <c r="L21" t="s">
        <v>330</v>
      </c>
      <c r="M21" t="s">
        <v>464</v>
      </c>
      <c r="N21" t="s">
        <v>465</v>
      </c>
      <c r="O21">
        <v>914121</v>
      </c>
      <c r="P21">
        <v>8704596</v>
      </c>
      <c r="Q21" t="s">
        <v>466</v>
      </c>
      <c r="R21" t="s">
        <v>347</v>
      </c>
      <c r="S21" t="s">
        <v>335</v>
      </c>
      <c r="T21" s="3">
        <v>45999.467835648145</v>
      </c>
      <c r="U21" s="3"/>
      <c r="V21" s="3">
        <v>46399.467835648145</v>
      </c>
      <c r="W21" t="s">
        <v>336</v>
      </c>
      <c r="X21" t="s">
        <v>64</v>
      </c>
      <c r="Y21" t="s">
        <v>379</v>
      </c>
      <c r="Z21" t="s">
        <v>338</v>
      </c>
      <c r="AA21" t="s">
        <v>339</v>
      </c>
      <c r="AB21" t="s">
        <v>467</v>
      </c>
    </row>
    <row r="22" spans="1:28" hidden="1" x14ac:dyDescent="0.25">
      <c r="A22" t="s">
        <v>468</v>
      </c>
      <c r="B22" t="s">
        <v>328</v>
      </c>
      <c r="D22" t="s">
        <v>351</v>
      </c>
      <c r="E22" t="s">
        <v>328</v>
      </c>
      <c r="F22" t="s">
        <v>328</v>
      </c>
      <c r="G22" t="s">
        <v>328</v>
      </c>
      <c r="H22" t="s">
        <v>328</v>
      </c>
      <c r="J22">
        <v>2026</v>
      </c>
      <c r="K22" t="s">
        <v>447</v>
      </c>
      <c r="L22" t="s">
        <v>469</v>
      </c>
      <c r="M22" t="s">
        <v>470</v>
      </c>
      <c r="N22" t="s">
        <v>471</v>
      </c>
      <c r="O22">
        <v>889017</v>
      </c>
      <c r="P22">
        <v>9016857</v>
      </c>
      <c r="Q22" t="s">
        <v>472</v>
      </c>
      <c r="R22" t="s">
        <v>403</v>
      </c>
      <c r="S22" t="s">
        <v>335</v>
      </c>
      <c r="T22" s="3">
        <v>46160.366249999999</v>
      </c>
      <c r="U22" s="3"/>
      <c r="V22" s="3">
        <v>46220.366249999999</v>
      </c>
      <c r="W22" t="s">
        <v>336</v>
      </c>
      <c r="X22" t="s">
        <v>138</v>
      </c>
      <c r="Y22" t="s">
        <v>450</v>
      </c>
      <c r="Z22" t="s">
        <v>338</v>
      </c>
      <c r="AA22" t="s">
        <v>339</v>
      </c>
      <c r="AB22" t="s">
        <v>473</v>
      </c>
    </row>
    <row r="23" spans="1:28" hidden="1" x14ac:dyDescent="0.25">
      <c r="A23" t="s">
        <v>474</v>
      </c>
      <c r="B23" t="s">
        <v>328</v>
      </c>
      <c r="D23" t="s">
        <v>475</v>
      </c>
      <c r="E23" t="s">
        <v>352</v>
      </c>
      <c r="F23" t="s">
        <v>328</v>
      </c>
      <c r="G23" t="s">
        <v>328</v>
      </c>
      <c r="H23" t="s">
        <v>328</v>
      </c>
      <c r="J23">
        <v>2026</v>
      </c>
      <c r="K23" t="s">
        <v>329</v>
      </c>
      <c r="L23" t="s">
        <v>330</v>
      </c>
      <c r="M23" t="s">
        <v>476</v>
      </c>
      <c r="N23" t="s">
        <v>477</v>
      </c>
      <c r="O23">
        <v>731274</v>
      </c>
      <c r="P23">
        <v>8875436</v>
      </c>
      <c r="Q23" t="s">
        <v>478</v>
      </c>
      <c r="R23" t="s">
        <v>403</v>
      </c>
      <c r="S23" t="s">
        <v>335</v>
      </c>
      <c r="T23" s="3">
        <v>46136.678055555552</v>
      </c>
      <c r="U23" s="3"/>
      <c r="V23" s="3">
        <v>46196.678055555552</v>
      </c>
      <c r="W23" t="s">
        <v>479</v>
      </c>
      <c r="X23" t="s">
        <v>90</v>
      </c>
      <c r="Y23" t="s">
        <v>356</v>
      </c>
      <c r="Z23" t="s">
        <v>357</v>
      </c>
      <c r="AA23" t="s">
        <v>339</v>
      </c>
      <c r="AB23" t="s">
        <v>480</v>
      </c>
    </row>
    <row r="24" spans="1:28" hidden="1" x14ac:dyDescent="0.25">
      <c r="A24" t="s">
        <v>481</v>
      </c>
      <c r="B24" t="s">
        <v>328</v>
      </c>
      <c r="D24" t="s">
        <v>475</v>
      </c>
      <c r="E24" t="s">
        <v>482</v>
      </c>
      <c r="F24" t="s">
        <v>328</v>
      </c>
      <c r="G24" t="s">
        <v>328</v>
      </c>
      <c r="H24" t="s">
        <v>328</v>
      </c>
      <c r="J24">
        <v>2026</v>
      </c>
      <c r="K24" t="s">
        <v>329</v>
      </c>
      <c r="L24" t="s">
        <v>330</v>
      </c>
      <c r="M24" t="s">
        <v>483</v>
      </c>
      <c r="N24" t="s">
        <v>484</v>
      </c>
      <c r="O24">
        <v>727212</v>
      </c>
      <c r="P24">
        <v>8773164</v>
      </c>
      <c r="Q24" t="s">
        <v>485</v>
      </c>
      <c r="R24" t="s">
        <v>334</v>
      </c>
      <c r="S24" t="s">
        <v>335</v>
      </c>
      <c r="T24" s="3">
        <v>46139.616099537037</v>
      </c>
      <c r="U24" s="3"/>
      <c r="V24" s="3">
        <v>46142.616099537037</v>
      </c>
      <c r="W24" t="s">
        <v>486</v>
      </c>
      <c r="X24" t="s">
        <v>83</v>
      </c>
      <c r="Y24" t="s">
        <v>487</v>
      </c>
      <c r="Z24" t="s">
        <v>338</v>
      </c>
      <c r="AA24" t="s">
        <v>339</v>
      </c>
      <c r="AB24" t="s">
        <v>488</v>
      </c>
    </row>
    <row r="25" spans="1:28" hidden="1" x14ac:dyDescent="0.25">
      <c r="A25" t="s">
        <v>489</v>
      </c>
      <c r="B25" t="s">
        <v>328</v>
      </c>
      <c r="D25" t="s">
        <v>490</v>
      </c>
      <c r="E25" t="s">
        <v>383</v>
      </c>
      <c r="F25" t="s">
        <v>328</v>
      </c>
      <c r="G25" t="s">
        <v>328</v>
      </c>
      <c r="H25" t="s">
        <v>328</v>
      </c>
      <c r="J25">
        <v>2026</v>
      </c>
      <c r="K25" t="s">
        <v>329</v>
      </c>
      <c r="L25" t="s">
        <v>330</v>
      </c>
      <c r="M25" t="s">
        <v>491</v>
      </c>
      <c r="N25" t="s">
        <v>492</v>
      </c>
      <c r="O25">
        <v>835984</v>
      </c>
      <c r="P25">
        <v>8971402</v>
      </c>
      <c r="Q25" t="s">
        <v>493</v>
      </c>
      <c r="R25" t="s">
        <v>334</v>
      </c>
      <c r="S25" t="s">
        <v>335</v>
      </c>
      <c r="T25" s="3">
        <v>46210.644050925926</v>
      </c>
      <c r="U25" s="3"/>
      <c r="V25" s="3">
        <v>46213.644050925926</v>
      </c>
      <c r="W25" t="s">
        <v>486</v>
      </c>
      <c r="X25" t="s">
        <v>165</v>
      </c>
      <c r="Y25" t="s">
        <v>494</v>
      </c>
      <c r="Z25" t="s">
        <v>338</v>
      </c>
      <c r="AA25" t="s">
        <v>339</v>
      </c>
      <c r="AB25" t="s">
        <v>495</v>
      </c>
    </row>
    <row r="26" spans="1:28" hidden="1" x14ac:dyDescent="0.25">
      <c r="A26" t="s">
        <v>496</v>
      </c>
      <c r="B26" t="s">
        <v>328</v>
      </c>
      <c r="D26" t="s">
        <v>390</v>
      </c>
      <c r="E26" t="s">
        <v>328</v>
      </c>
      <c r="F26" t="s">
        <v>328</v>
      </c>
      <c r="G26" t="s">
        <v>328</v>
      </c>
      <c r="H26" t="s">
        <v>328</v>
      </c>
      <c r="J26">
        <v>2025</v>
      </c>
      <c r="K26" t="s">
        <v>342</v>
      </c>
      <c r="L26" t="s">
        <v>330</v>
      </c>
      <c r="M26" t="s">
        <v>497</v>
      </c>
      <c r="N26" t="s">
        <v>498</v>
      </c>
      <c r="O26">
        <v>799329</v>
      </c>
      <c r="P26">
        <v>9250367</v>
      </c>
      <c r="Q26" t="s">
        <v>499</v>
      </c>
      <c r="R26" t="s">
        <v>403</v>
      </c>
      <c r="S26" t="s">
        <v>335</v>
      </c>
      <c r="T26" s="3">
        <v>45803.620636574073</v>
      </c>
      <c r="U26" s="3"/>
      <c r="V26" s="3">
        <v>45863.620636574073</v>
      </c>
      <c r="W26" t="s">
        <v>500</v>
      </c>
      <c r="X26" t="s">
        <v>290</v>
      </c>
      <c r="Y26" t="s">
        <v>501</v>
      </c>
      <c r="Z26" t="s">
        <v>357</v>
      </c>
      <c r="AA26" t="s">
        <v>339</v>
      </c>
      <c r="AB26" t="s">
        <v>502</v>
      </c>
    </row>
    <row r="27" spans="1:28" hidden="1" x14ac:dyDescent="0.25">
      <c r="A27" t="s">
        <v>503</v>
      </c>
      <c r="B27" t="s">
        <v>328</v>
      </c>
      <c r="D27" t="s">
        <v>475</v>
      </c>
      <c r="E27" t="s">
        <v>504</v>
      </c>
      <c r="F27" t="s">
        <v>328</v>
      </c>
      <c r="G27" t="s">
        <v>328</v>
      </c>
      <c r="H27" t="s">
        <v>328</v>
      </c>
      <c r="J27">
        <v>2025</v>
      </c>
      <c r="K27" t="s">
        <v>329</v>
      </c>
      <c r="L27" t="s">
        <v>330</v>
      </c>
      <c r="M27" t="s">
        <v>505</v>
      </c>
      <c r="N27" t="s">
        <v>506</v>
      </c>
      <c r="O27">
        <v>750473</v>
      </c>
      <c r="P27">
        <v>9212030</v>
      </c>
      <c r="Q27" t="s">
        <v>507</v>
      </c>
      <c r="R27" t="s">
        <v>334</v>
      </c>
      <c r="S27" t="s">
        <v>335</v>
      </c>
      <c r="T27" s="3">
        <v>45894.367789351854</v>
      </c>
      <c r="U27" s="3"/>
      <c r="V27" s="3">
        <v>45897.367789351854</v>
      </c>
      <c r="W27" t="s">
        <v>500</v>
      </c>
      <c r="X27" t="s">
        <v>189</v>
      </c>
      <c r="Y27" t="s">
        <v>508</v>
      </c>
      <c r="Z27" t="s">
        <v>338</v>
      </c>
      <c r="AA27" t="s">
        <v>339</v>
      </c>
      <c r="AB27" t="s">
        <v>509</v>
      </c>
    </row>
    <row r="28" spans="1:28" hidden="1" x14ac:dyDescent="0.25">
      <c r="A28" t="s">
        <v>510</v>
      </c>
      <c r="B28" t="s">
        <v>328</v>
      </c>
      <c r="D28" t="s">
        <v>328</v>
      </c>
      <c r="E28" t="s">
        <v>328</v>
      </c>
      <c r="F28" t="s">
        <v>328</v>
      </c>
      <c r="G28" t="s">
        <v>328</v>
      </c>
      <c r="H28" t="s">
        <v>328</v>
      </c>
      <c r="J28">
        <v>2026</v>
      </c>
      <c r="K28" t="s">
        <v>329</v>
      </c>
      <c r="L28" t="s">
        <v>330</v>
      </c>
      <c r="M28" t="s">
        <v>511</v>
      </c>
      <c r="N28" t="s">
        <v>512</v>
      </c>
      <c r="O28">
        <v>698555</v>
      </c>
      <c r="P28">
        <v>8657414</v>
      </c>
      <c r="Q28" t="s">
        <v>513</v>
      </c>
      <c r="R28" t="s">
        <v>334</v>
      </c>
      <c r="S28" t="s">
        <v>335</v>
      </c>
      <c r="T28" s="3">
        <v>46136.36990740741</v>
      </c>
      <c r="U28" s="3"/>
      <c r="V28" s="3">
        <v>46139.36990740741</v>
      </c>
      <c r="W28" t="s">
        <v>486</v>
      </c>
      <c r="X28" t="s">
        <v>111</v>
      </c>
      <c r="Y28" t="s">
        <v>514</v>
      </c>
      <c r="Z28" t="s">
        <v>338</v>
      </c>
      <c r="AA28" t="s">
        <v>339</v>
      </c>
      <c r="AB28" t="s">
        <v>515</v>
      </c>
    </row>
    <row r="29" spans="1:28" hidden="1" x14ac:dyDescent="0.25">
      <c r="A29" t="s">
        <v>516</v>
      </c>
      <c r="B29" t="s">
        <v>328</v>
      </c>
      <c r="D29" t="s">
        <v>517</v>
      </c>
      <c r="E29" t="s">
        <v>352</v>
      </c>
      <c r="F29" t="s">
        <v>328</v>
      </c>
      <c r="G29" t="s">
        <v>328</v>
      </c>
      <c r="H29" t="s">
        <v>328</v>
      </c>
      <c r="J29">
        <v>2026</v>
      </c>
      <c r="K29" t="s">
        <v>329</v>
      </c>
      <c r="L29" t="s">
        <v>330</v>
      </c>
      <c r="M29" t="s">
        <v>518</v>
      </c>
      <c r="N29" t="s">
        <v>519</v>
      </c>
      <c r="O29">
        <v>879287</v>
      </c>
      <c r="P29">
        <v>8809524</v>
      </c>
      <c r="Q29" t="s">
        <v>520</v>
      </c>
      <c r="R29" t="s">
        <v>334</v>
      </c>
      <c r="S29" t="s">
        <v>335</v>
      </c>
      <c r="T29" s="3">
        <v>46183.466874999998</v>
      </c>
      <c r="U29" s="3"/>
      <c r="V29" s="3">
        <v>46186.466874999998</v>
      </c>
      <c r="W29" t="s">
        <v>500</v>
      </c>
      <c r="X29" t="s">
        <v>521</v>
      </c>
      <c r="Y29" t="s">
        <v>356</v>
      </c>
      <c r="Z29" t="s">
        <v>357</v>
      </c>
      <c r="AA29" t="s">
        <v>339</v>
      </c>
      <c r="AB29" t="s">
        <v>522</v>
      </c>
    </row>
    <row r="30" spans="1:28" hidden="1" x14ac:dyDescent="0.25">
      <c r="A30" t="s">
        <v>523</v>
      </c>
      <c r="B30" t="s">
        <v>328</v>
      </c>
      <c r="D30" t="s">
        <v>524</v>
      </c>
      <c r="E30" t="s">
        <v>525</v>
      </c>
      <c r="F30" t="s">
        <v>328</v>
      </c>
      <c r="G30" t="s">
        <v>328</v>
      </c>
      <c r="H30" t="s">
        <v>328</v>
      </c>
      <c r="J30">
        <v>2026</v>
      </c>
      <c r="K30" t="s">
        <v>329</v>
      </c>
      <c r="L30" t="s">
        <v>330</v>
      </c>
      <c r="M30" t="s">
        <v>526</v>
      </c>
      <c r="N30" t="s">
        <v>527</v>
      </c>
      <c r="O30">
        <v>695579</v>
      </c>
      <c r="P30">
        <v>8916959</v>
      </c>
      <c r="Q30" t="s">
        <v>528</v>
      </c>
      <c r="R30" t="s">
        <v>334</v>
      </c>
      <c r="S30" t="s">
        <v>335</v>
      </c>
      <c r="T30" s="3">
        <v>46112.401701388888</v>
      </c>
      <c r="U30" s="3"/>
      <c r="V30" s="3">
        <v>46115.401701388888</v>
      </c>
      <c r="W30" t="s">
        <v>486</v>
      </c>
      <c r="X30" t="s">
        <v>529</v>
      </c>
      <c r="Y30" t="s">
        <v>530</v>
      </c>
      <c r="Z30" t="s">
        <v>338</v>
      </c>
      <c r="AA30" t="s">
        <v>339</v>
      </c>
      <c r="AB30" t="s">
        <v>531</v>
      </c>
    </row>
    <row r="31" spans="1:28" hidden="1" x14ac:dyDescent="0.25">
      <c r="A31" t="s">
        <v>532</v>
      </c>
      <c r="B31" t="s">
        <v>328</v>
      </c>
      <c r="D31" t="s">
        <v>328</v>
      </c>
      <c r="E31" t="s">
        <v>328</v>
      </c>
      <c r="F31" t="s">
        <v>328</v>
      </c>
      <c r="G31" t="s">
        <v>328</v>
      </c>
      <c r="H31" t="s">
        <v>328</v>
      </c>
      <c r="J31">
        <v>2025</v>
      </c>
      <c r="K31" t="s">
        <v>342</v>
      </c>
      <c r="L31" t="s">
        <v>330</v>
      </c>
      <c r="M31" t="s">
        <v>533</v>
      </c>
      <c r="N31" t="s">
        <v>534</v>
      </c>
      <c r="O31">
        <v>823110</v>
      </c>
      <c r="P31">
        <v>9189383</v>
      </c>
      <c r="Q31" t="s">
        <v>535</v>
      </c>
      <c r="R31" t="s">
        <v>347</v>
      </c>
      <c r="S31" t="s">
        <v>335</v>
      </c>
      <c r="T31" s="3">
        <v>45903.724606481483</v>
      </c>
      <c r="U31" s="3"/>
      <c r="V31" s="3">
        <v>46303.724606481483</v>
      </c>
      <c r="W31" t="s">
        <v>500</v>
      </c>
      <c r="X31" t="s">
        <v>23</v>
      </c>
      <c r="Y31" t="s">
        <v>501</v>
      </c>
      <c r="Z31" t="s">
        <v>338</v>
      </c>
      <c r="AA31" t="s">
        <v>339</v>
      </c>
      <c r="AB31" t="s">
        <v>536</v>
      </c>
    </row>
    <row r="32" spans="1:28" hidden="1" x14ac:dyDescent="0.25">
      <c r="A32" t="s">
        <v>537</v>
      </c>
      <c r="B32" t="s">
        <v>328</v>
      </c>
      <c r="D32" t="s">
        <v>475</v>
      </c>
      <c r="E32" t="s">
        <v>538</v>
      </c>
      <c r="F32" t="s">
        <v>328</v>
      </c>
      <c r="G32" t="s">
        <v>328</v>
      </c>
      <c r="H32" t="s">
        <v>328</v>
      </c>
      <c r="J32">
        <v>2026</v>
      </c>
      <c r="K32" t="s">
        <v>329</v>
      </c>
      <c r="L32" t="s">
        <v>391</v>
      </c>
      <c r="M32" t="s">
        <v>539</v>
      </c>
      <c r="N32" t="s">
        <v>540</v>
      </c>
      <c r="O32">
        <v>793135</v>
      </c>
      <c r="P32">
        <v>8865229</v>
      </c>
      <c r="Q32" t="s">
        <v>541</v>
      </c>
      <c r="R32" t="s">
        <v>334</v>
      </c>
      <c r="S32" t="s">
        <v>335</v>
      </c>
      <c r="T32" s="3">
        <v>46164.597766203704</v>
      </c>
      <c r="U32" s="3"/>
      <c r="V32" s="3">
        <v>46167.597766203704</v>
      </c>
      <c r="W32" t="s">
        <v>542</v>
      </c>
      <c r="X32" t="s">
        <v>120</v>
      </c>
      <c r="Y32" t="s">
        <v>530</v>
      </c>
      <c r="Z32" t="s">
        <v>357</v>
      </c>
      <c r="AA32" t="s">
        <v>543</v>
      </c>
      <c r="AB32" t="s">
        <v>544</v>
      </c>
    </row>
    <row r="33" spans="1:28" hidden="1" x14ac:dyDescent="0.25">
      <c r="A33" t="s">
        <v>545</v>
      </c>
      <c r="B33" t="s">
        <v>328</v>
      </c>
      <c r="D33" t="s">
        <v>517</v>
      </c>
      <c r="E33" t="s">
        <v>328</v>
      </c>
      <c r="F33" t="s">
        <v>328</v>
      </c>
      <c r="G33" t="s">
        <v>328</v>
      </c>
      <c r="H33" t="s">
        <v>328</v>
      </c>
      <c r="J33">
        <v>2026</v>
      </c>
      <c r="K33" t="s">
        <v>447</v>
      </c>
      <c r="L33" t="s">
        <v>330</v>
      </c>
      <c r="M33" t="s">
        <v>511</v>
      </c>
      <c r="N33" t="s">
        <v>546</v>
      </c>
      <c r="O33">
        <v>698485</v>
      </c>
      <c r="P33">
        <v>8657287</v>
      </c>
      <c r="Q33" t="s">
        <v>547</v>
      </c>
      <c r="R33" t="s">
        <v>403</v>
      </c>
      <c r="S33" t="s">
        <v>335</v>
      </c>
      <c r="T33" s="3">
        <v>46205.745879629627</v>
      </c>
      <c r="U33" s="3"/>
      <c r="V33" s="3">
        <v>46265.745879629627</v>
      </c>
      <c r="W33" t="s">
        <v>486</v>
      </c>
      <c r="X33" t="s">
        <v>111</v>
      </c>
      <c r="Y33" t="s">
        <v>450</v>
      </c>
      <c r="Z33" t="s">
        <v>338</v>
      </c>
      <c r="AA33" t="s">
        <v>461</v>
      </c>
      <c r="AB33" t="s">
        <v>548</v>
      </c>
    </row>
    <row r="34" spans="1:28" hidden="1" x14ac:dyDescent="0.25">
      <c r="A34" t="s">
        <v>549</v>
      </c>
      <c r="B34" t="s">
        <v>328</v>
      </c>
      <c r="D34" t="s">
        <v>328</v>
      </c>
      <c r="E34" t="s">
        <v>328</v>
      </c>
      <c r="F34" t="s">
        <v>328</v>
      </c>
      <c r="G34" t="s">
        <v>328</v>
      </c>
      <c r="H34" t="s">
        <v>328</v>
      </c>
      <c r="J34">
        <v>2026</v>
      </c>
      <c r="K34" t="s">
        <v>342</v>
      </c>
      <c r="L34" t="s">
        <v>330</v>
      </c>
      <c r="M34" t="s">
        <v>430</v>
      </c>
      <c r="N34" t="s">
        <v>550</v>
      </c>
      <c r="O34">
        <v>805385</v>
      </c>
      <c r="P34">
        <v>8737798</v>
      </c>
      <c r="Q34" t="s">
        <v>551</v>
      </c>
      <c r="R34" t="s">
        <v>403</v>
      </c>
      <c r="S34" t="s">
        <v>335</v>
      </c>
      <c r="T34" s="3">
        <v>46077.477881944447</v>
      </c>
      <c r="U34" s="3"/>
      <c r="V34" s="3">
        <v>46137.477881944447</v>
      </c>
      <c r="W34" t="s">
        <v>500</v>
      </c>
      <c r="X34" t="s">
        <v>203</v>
      </c>
      <c r="Y34" t="s">
        <v>348</v>
      </c>
      <c r="Z34" t="s">
        <v>338</v>
      </c>
      <c r="AA34" t="s">
        <v>339</v>
      </c>
      <c r="AB34" t="s">
        <v>552</v>
      </c>
    </row>
    <row r="35" spans="1:28" hidden="1" x14ac:dyDescent="0.25">
      <c r="A35" t="s">
        <v>553</v>
      </c>
      <c r="B35" t="s">
        <v>328</v>
      </c>
      <c r="D35" t="s">
        <v>328</v>
      </c>
      <c r="E35" t="s">
        <v>328</v>
      </c>
      <c r="F35" t="s">
        <v>328</v>
      </c>
      <c r="G35" t="s">
        <v>328</v>
      </c>
      <c r="H35" t="s">
        <v>328</v>
      </c>
      <c r="J35">
        <v>2026</v>
      </c>
      <c r="K35" t="s">
        <v>342</v>
      </c>
      <c r="L35" t="s">
        <v>330</v>
      </c>
      <c r="M35" t="s">
        <v>518</v>
      </c>
      <c r="N35" t="s">
        <v>554</v>
      </c>
      <c r="O35">
        <v>936573</v>
      </c>
      <c r="P35">
        <v>8838426</v>
      </c>
      <c r="Q35" t="s">
        <v>555</v>
      </c>
      <c r="R35" t="s">
        <v>347</v>
      </c>
      <c r="S35" t="s">
        <v>335</v>
      </c>
      <c r="T35" s="3">
        <v>46211.437280092592</v>
      </c>
      <c r="U35" s="3"/>
      <c r="V35" s="3">
        <v>46611.437280092592</v>
      </c>
      <c r="W35" t="s">
        <v>556</v>
      </c>
      <c r="X35" t="s">
        <v>40</v>
      </c>
      <c r="Y35" t="s">
        <v>557</v>
      </c>
      <c r="Z35" t="s">
        <v>338</v>
      </c>
      <c r="AA35" t="s">
        <v>558</v>
      </c>
      <c r="AB35" t="s">
        <v>559</v>
      </c>
    </row>
    <row r="36" spans="1:28" hidden="1" x14ac:dyDescent="0.25">
      <c r="A36" t="s">
        <v>560</v>
      </c>
      <c r="B36" t="s">
        <v>328</v>
      </c>
      <c r="D36" t="s">
        <v>517</v>
      </c>
      <c r="E36" t="s">
        <v>352</v>
      </c>
      <c r="F36" t="s">
        <v>328</v>
      </c>
      <c r="G36" t="s">
        <v>328</v>
      </c>
      <c r="H36" t="s">
        <v>328</v>
      </c>
      <c r="J36">
        <v>2026</v>
      </c>
      <c r="K36" t="s">
        <v>329</v>
      </c>
      <c r="L36" t="s">
        <v>330</v>
      </c>
      <c r="M36" t="s">
        <v>561</v>
      </c>
      <c r="N36" t="s">
        <v>562</v>
      </c>
      <c r="O36">
        <v>698568</v>
      </c>
      <c r="P36">
        <v>8845185</v>
      </c>
      <c r="Q36" t="s">
        <v>563</v>
      </c>
      <c r="R36" t="s">
        <v>334</v>
      </c>
      <c r="S36" t="s">
        <v>335</v>
      </c>
      <c r="T36" s="3">
        <v>46136.679722222223</v>
      </c>
      <c r="U36" s="3"/>
      <c r="V36" s="3">
        <v>46139.679722222223</v>
      </c>
      <c r="W36" t="s">
        <v>500</v>
      </c>
      <c r="X36" t="s">
        <v>104</v>
      </c>
      <c r="Y36" t="s">
        <v>356</v>
      </c>
      <c r="Z36" t="s">
        <v>357</v>
      </c>
      <c r="AA36" t="s">
        <v>339</v>
      </c>
      <c r="AB36" t="s">
        <v>564</v>
      </c>
    </row>
    <row r="37" spans="1:28" hidden="1" x14ac:dyDescent="0.25">
      <c r="A37" t="s">
        <v>565</v>
      </c>
      <c r="B37" t="s">
        <v>328</v>
      </c>
      <c r="D37" t="s">
        <v>328</v>
      </c>
      <c r="E37" t="s">
        <v>328</v>
      </c>
      <c r="F37" t="s">
        <v>328</v>
      </c>
      <c r="G37" t="s">
        <v>328</v>
      </c>
      <c r="H37" t="s">
        <v>328</v>
      </c>
      <c r="J37">
        <v>2026</v>
      </c>
      <c r="K37" t="s">
        <v>342</v>
      </c>
      <c r="L37" t="s">
        <v>360</v>
      </c>
      <c r="M37" t="s">
        <v>566</v>
      </c>
      <c r="N37" t="s">
        <v>567</v>
      </c>
      <c r="O37">
        <v>998978</v>
      </c>
      <c r="P37">
        <v>8589651</v>
      </c>
      <c r="Q37" t="s">
        <v>568</v>
      </c>
      <c r="R37" t="s">
        <v>347</v>
      </c>
      <c r="S37" t="s">
        <v>335</v>
      </c>
      <c r="T37" s="3">
        <v>46209.725902777776</v>
      </c>
      <c r="U37" s="3"/>
      <c r="V37" s="3">
        <v>46609.725902777776</v>
      </c>
      <c r="W37" t="s">
        <v>486</v>
      </c>
      <c r="X37" t="s">
        <v>124</v>
      </c>
      <c r="Y37" t="s">
        <v>557</v>
      </c>
      <c r="Z37" t="s">
        <v>338</v>
      </c>
      <c r="AA37" t="s">
        <v>339</v>
      </c>
      <c r="AB37" t="s">
        <v>569</v>
      </c>
    </row>
    <row r="38" spans="1:28" hidden="1" x14ac:dyDescent="0.25">
      <c r="A38" t="s">
        <v>570</v>
      </c>
      <c r="B38" t="s">
        <v>328</v>
      </c>
      <c r="D38" t="s">
        <v>328</v>
      </c>
      <c r="E38" t="s">
        <v>328</v>
      </c>
      <c r="F38" t="s">
        <v>328</v>
      </c>
      <c r="G38" t="s">
        <v>328</v>
      </c>
      <c r="H38" t="s">
        <v>328</v>
      </c>
      <c r="J38">
        <v>2026</v>
      </c>
      <c r="K38" t="s">
        <v>342</v>
      </c>
      <c r="L38" t="s">
        <v>330</v>
      </c>
      <c r="M38" t="s">
        <v>571</v>
      </c>
      <c r="N38" t="s">
        <v>572</v>
      </c>
      <c r="O38">
        <v>876869</v>
      </c>
      <c r="P38">
        <v>8859703</v>
      </c>
      <c r="Q38" t="s">
        <v>573</v>
      </c>
      <c r="R38" t="s">
        <v>347</v>
      </c>
      <c r="S38" t="s">
        <v>335</v>
      </c>
      <c r="T38" s="3">
        <v>46211.438703703701</v>
      </c>
      <c r="U38" s="3"/>
      <c r="V38" s="3">
        <v>46611.438703703701</v>
      </c>
      <c r="W38" t="s">
        <v>500</v>
      </c>
      <c r="X38" t="s">
        <v>265</v>
      </c>
      <c r="Y38" t="s">
        <v>557</v>
      </c>
      <c r="Z38" t="s">
        <v>357</v>
      </c>
      <c r="AA38" t="s">
        <v>558</v>
      </c>
      <c r="AB38" t="s">
        <v>574</v>
      </c>
    </row>
    <row r="39" spans="1:28" hidden="1" x14ac:dyDescent="0.25">
      <c r="A39" t="s">
        <v>575</v>
      </c>
      <c r="B39" t="s">
        <v>328</v>
      </c>
      <c r="D39" t="s">
        <v>576</v>
      </c>
      <c r="E39" t="s">
        <v>577</v>
      </c>
      <c r="F39" t="s">
        <v>328</v>
      </c>
      <c r="G39" t="s">
        <v>328</v>
      </c>
      <c r="H39" t="s">
        <v>328</v>
      </c>
      <c r="J39">
        <v>2026</v>
      </c>
      <c r="K39" t="s">
        <v>329</v>
      </c>
      <c r="L39" t="s">
        <v>578</v>
      </c>
      <c r="M39" t="s">
        <v>518</v>
      </c>
      <c r="N39" t="s">
        <v>579</v>
      </c>
      <c r="O39">
        <v>879271</v>
      </c>
      <c r="P39">
        <v>8809603</v>
      </c>
      <c r="Q39" t="s">
        <v>580</v>
      </c>
      <c r="R39" t="s">
        <v>334</v>
      </c>
      <c r="S39" t="s">
        <v>335</v>
      </c>
      <c r="T39" s="3">
        <v>46204.741678240738</v>
      </c>
      <c r="U39" s="3"/>
      <c r="V39" s="3">
        <v>46207.741678240738</v>
      </c>
      <c r="W39" t="s">
        <v>500</v>
      </c>
      <c r="X39" t="s">
        <v>521</v>
      </c>
      <c r="Y39" t="s">
        <v>356</v>
      </c>
      <c r="Z39" t="s">
        <v>357</v>
      </c>
      <c r="AA39" t="s">
        <v>339</v>
      </c>
      <c r="AB39" t="s">
        <v>581</v>
      </c>
    </row>
    <row r="40" spans="1:28" hidden="1" x14ac:dyDescent="0.25">
      <c r="A40" t="s">
        <v>582</v>
      </c>
      <c r="B40" t="s">
        <v>328</v>
      </c>
      <c r="D40" t="s">
        <v>328</v>
      </c>
      <c r="E40" t="s">
        <v>328</v>
      </c>
      <c r="F40" t="s">
        <v>328</v>
      </c>
      <c r="G40" t="s">
        <v>328</v>
      </c>
      <c r="H40" t="s">
        <v>328</v>
      </c>
      <c r="J40">
        <v>2026</v>
      </c>
      <c r="K40" t="s">
        <v>329</v>
      </c>
      <c r="L40" t="s">
        <v>330</v>
      </c>
      <c r="M40" t="s">
        <v>583</v>
      </c>
      <c r="N40" t="s">
        <v>584</v>
      </c>
      <c r="O40">
        <v>689369</v>
      </c>
      <c r="P40">
        <v>8746092</v>
      </c>
      <c r="Q40" t="s">
        <v>585</v>
      </c>
      <c r="R40" t="s">
        <v>334</v>
      </c>
      <c r="S40" t="s">
        <v>335</v>
      </c>
      <c r="T40" s="3">
        <v>46183.659733796296</v>
      </c>
      <c r="U40" s="3"/>
      <c r="V40" s="3">
        <v>46186.659733796296</v>
      </c>
      <c r="W40" t="s">
        <v>542</v>
      </c>
      <c r="X40" t="s">
        <v>56</v>
      </c>
      <c r="Y40" t="s">
        <v>415</v>
      </c>
      <c r="Z40" t="s">
        <v>357</v>
      </c>
      <c r="AA40" t="s">
        <v>339</v>
      </c>
      <c r="AB40" t="s">
        <v>586</v>
      </c>
    </row>
    <row r="41" spans="1:28" hidden="1" x14ac:dyDescent="0.25">
      <c r="A41" t="s">
        <v>587</v>
      </c>
      <c r="B41" t="s">
        <v>328</v>
      </c>
      <c r="D41" t="s">
        <v>517</v>
      </c>
      <c r="E41" t="s">
        <v>328</v>
      </c>
      <c r="F41" t="s">
        <v>328</v>
      </c>
      <c r="G41" t="s">
        <v>328</v>
      </c>
      <c r="H41" t="s">
        <v>328</v>
      </c>
      <c r="J41">
        <v>2026</v>
      </c>
      <c r="K41" t="s">
        <v>447</v>
      </c>
      <c r="L41" t="s">
        <v>330</v>
      </c>
      <c r="M41" t="s">
        <v>588</v>
      </c>
      <c r="N41" t="s">
        <v>589</v>
      </c>
      <c r="O41">
        <v>617420</v>
      </c>
      <c r="P41">
        <v>8830790</v>
      </c>
      <c r="Q41" t="s">
        <v>590</v>
      </c>
      <c r="R41" t="s">
        <v>403</v>
      </c>
      <c r="S41" t="s">
        <v>335</v>
      </c>
      <c r="T41" s="3">
        <v>46129.383113425924</v>
      </c>
      <c r="U41" s="3"/>
      <c r="V41" s="3">
        <v>46189.383113425924</v>
      </c>
      <c r="W41" t="s">
        <v>486</v>
      </c>
      <c r="X41" t="s">
        <v>591</v>
      </c>
      <c r="Y41" t="s">
        <v>450</v>
      </c>
      <c r="Z41" t="s">
        <v>338</v>
      </c>
      <c r="AA41" t="s">
        <v>339</v>
      </c>
      <c r="AB41" t="s">
        <v>592</v>
      </c>
    </row>
    <row r="42" spans="1:28" hidden="1" x14ac:dyDescent="0.25">
      <c r="A42" t="s">
        <v>593</v>
      </c>
      <c r="B42" t="s">
        <v>328</v>
      </c>
      <c r="D42" t="s">
        <v>475</v>
      </c>
      <c r="E42" t="s">
        <v>482</v>
      </c>
      <c r="F42" t="s">
        <v>328</v>
      </c>
      <c r="G42" t="s">
        <v>328</v>
      </c>
      <c r="H42" t="s">
        <v>328</v>
      </c>
      <c r="J42">
        <v>2025</v>
      </c>
      <c r="K42" t="s">
        <v>329</v>
      </c>
      <c r="L42" t="s">
        <v>330</v>
      </c>
      <c r="M42" t="s">
        <v>594</v>
      </c>
      <c r="N42" t="s">
        <v>595</v>
      </c>
      <c r="O42">
        <v>881575</v>
      </c>
      <c r="P42">
        <v>9268477</v>
      </c>
      <c r="Q42" t="s">
        <v>596</v>
      </c>
      <c r="R42" t="s">
        <v>334</v>
      </c>
      <c r="S42" t="s">
        <v>335</v>
      </c>
      <c r="T42" s="3">
        <v>45839.596631944441</v>
      </c>
      <c r="U42" s="3"/>
      <c r="V42" s="3">
        <v>45842.596631944441</v>
      </c>
      <c r="W42" t="s">
        <v>486</v>
      </c>
      <c r="X42" t="s">
        <v>49</v>
      </c>
      <c r="Y42" t="s">
        <v>487</v>
      </c>
      <c r="Z42" t="s">
        <v>357</v>
      </c>
      <c r="AA42" t="s">
        <v>339</v>
      </c>
      <c r="AB42" t="s">
        <v>597</v>
      </c>
    </row>
    <row r="43" spans="1:28" hidden="1" x14ac:dyDescent="0.25">
      <c r="A43" t="s">
        <v>598</v>
      </c>
      <c r="B43" t="s">
        <v>328</v>
      </c>
      <c r="D43" t="s">
        <v>328</v>
      </c>
      <c r="E43" t="s">
        <v>328</v>
      </c>
      <c r="F43" t="s">
        <v>328</v>
      </c>
      <c r="G43" t="s">
        <v>328</v>
      </c>
      <c r="H43" t="s">
        <v>328</v>
      </c>
      <c r="J43">
        <v>2026</v>
      </c>
      <c r="K43" t="s">
        <v>329</v>
      </c>
      <c r="L43" t="s">
        <v>330</v>
      </c>
      <c r="M43" t="s">
        <v>599</v>
      </c>
      <c r="N43" t="s">
        <v>600</v>
      </c>
      <c r="Q43" t="s">
        <v>601</v>
      </c>
      <c r="R43" t="s">
        <v>334</v>
      </c>
      <c r="S43" t="s">
        <v>335</v>
      </c>
      <c r="T43" s="3">
        <v>46211.427233796298</v>
      </c>
      <c r="U43" s="3"/>
      <c r="V43" s="3">
        <v>46214.427233796298</v>
      </c>
      <c r="W43" t="s">
        <v>602</v>
      </c>
      <c r="X43" t="s">
        <v>328</v>
      </c>
      <c r="Y43" t="s">
        <v>603</v>
      </c>
      <c r="Z43" t="s">
        <v>328</v>
      </c>
      <c r="AA43" t="s">
        <v>339</v>
      </c>
      <c r="AB43" t="s">
        <v>604</v>
      </c>
    </row>
    <row r="44" spans="1:28" hidden="1" x14ac:dyDescent="0.25">
      <c r="A44" t="s">
        <v>605</v>
      </c>
      <c r="B44" t="s">
        <v>328</v>
      </c>
      <c r="D44" t="s">
        <v>328</v>
      </c>
      <c r="E44" t="s">
        <v>328</v>
      </c>
      <c r="F44" t="s">
        <v>328</v>
      </c>
      <c r="G44" t="s">
        <v>328</v>
      </c>
      <c r="H44" t="s">
        <v>328</v>
      </c>
      <c r="J44">
        <v>2026</v>
      </c>
      <c r="K44" t="s">
        <v>375</v>
      </c>
      <c r="L44" t="s">
        <v>330</v>
      </c>
      <c r="M44" t="s">
        <v>606</v>
      </c>
      <c r="N44" t="s">
        <v>607</v>
      </c>
      <c r="O44">
        <v>808350</v>
      </c>
      <c r="P44">
        <v>9204335</v>
      </c>
      <c r="Q44" t="s">
        <v>608</v>
      </c>
      <c r="R44" t="s">
        <v>347</v>
      </c>
      <c r="S44" t="s">
        <v>335</v>
      </c>
      <c r="T44" s="3">
        <v>46210.64199074074</v>
      </c>
      <c r="U44" s="3"/>
      <c r="V44" s="3">
        <v>46610.64199074074</v>
      </c>
      <c r="W44" t="s">
        <v>479</v>
      </c>
      <c r="X44" t="s">
        <v>23</v>
      </c>
      <c r="Y44" t="s">
        <v>379</v>
      </c>
      <c r="Z44" t="s">
        <v>357</v>
      </c>
      <c r="AA44" t="s">
        <v>339</v>
      </c>
      <c r="AB44" t="s">
        <v>609</v>
      </c>
    </row>
    <row r="45" spans="1:28" hidden="1" x14ac:dyDescent="0.25">
      <c r="A45" t="s">
        <v>610</v>
      </c>
      <c r="B45" t="s">
        <v>328</v>
      </c>
      <c r="D45" t="s">
        <v>517</v>
      </c>
      <c r="E45" t="s">
        <v>383</v>
      </c>
      <c r="F45" t="s">
        <v>328</v>
      </c>
      <c r="G45" t="s">
        <v>328</v>
      </c>
      <c r="H45" t="s">
        <v>328</v>
      </c>
      <c r="J45">
        <v>2025</v>
      </c>
      <c r="K45" t="s">
        <v>329</v>
      </c>
      <c r="L45" t="s">
        <v>330</v>
      </c>
      <c r="M45" t="s">
        <v>571</v>
      </c>
      <c r="N45" t="s">
        <v>611</v>
      </c>
      <c r="O45">
        <v>798247</v>
      </c>
      <c r="P45">
        <v>8867579</v>
      </c>
      <c r="Q45" t="s">
        <v>612</v>
      </c>
      <c r="R45" t="s">
        <v>334</v>
      </c>
      <c r="S45" t="s">
        <v>335</v>
      </c>
      <c r="T45" s="3">
        <v>45776.576388888891</v>
      </c>
      <c r="U45" s="3"/>
      <c r="V45" s="3">
        <v>45779.576388888891</v>
      </c>
      <c r="W45" t="s">
        <v>486</v>
      </c>
      <c r="X45" t="s">
        <v>120</v>
      </c>
      <c r="Y45" t="s">
        <v>613</v>
      </c>
      <c r="Z45" t="s">
        <v>338</v>
      </c>
      <c r="AA45" t="s">
        <v>339</v>
      </c>
      <c r="AB45" t="s">
        <v>614</v>
      </c>
    </row>
    <row r="46" spans="1:28" hidden="1" x14ac:dyDescent="0.25">
      <c r="A46" t="s">
        <v>615</v>
      </c>
      <c r="B46" t="s">
        <v>328</v>
      </c>
      <c r="D46" t="s">
        <v>328</v>
      </c>
      <c r="E46" t="s">
        <v>328</v>
      </c>
      <c r="F46" t="s">
        <v>328</v>
      </c>
      <c r="G46" t="s">
        <v>328</v>
      </c>
      <c r="H46" t="s">
        <v>328</v>
      </c>
      <c r="J46">
        <v>2025</v>
      </c>
      <c r="K46" t="s">
        <v>375</v>
      </c>
      <c r="L46" t="s">
        <v>330</v>
      </c>
      <c r="M46" t="s">
        <v>616</v>
      </c>
      <c r="N46" t="s">
        <v>617</v>
      </c>
      <c r="O46">
        <v>852524</v>
      </c>
      <c r="P46">
        <v>8629048</v>
      </c>
      <c r="Q46" t="s">
        <v>618</v>
      </c>
      <c r="R46" t="s">
        <v>347</v>
      </c>
      <c r="S46" t="s">
        <v>335</v>
      </c>
      <c r="T46" s="3">
        <v>45999.427245370367</v>
      </c>
      <c r="U46" s="3"/>
      <c r="V46" s="3">
        <v>46399.427245370367</v>
      </c>
      <c r="W46" t="s">
        <v>556</v>
      </c>
      <c r="X46" t="s">
        <v>106</v>
      </c>
      <c r="Y46" t="s">
        <v>379</v>
      </c>
      <c r="Z46" t="s">
        <v>338</v>
      </c>
      <c r="AA46" t="s">
        <v>339</v>
      </c>
      <c r="AB46" t="s">
        <v>619</v>
      </c>
    </row>
    <row r="47" spans="1:28" hidden="1" x14ac:dyDescent="0.25">
      <c r="A47" t="s">
        <v>620</v>
      </c>
      <c r="B47" t="s">
        <v>328</v>
      </c>
      <c r="D47" t="s">
        <v>517</v>
      </c>
      <c r="E47" t="s">
        <v>383</v>
      </c>
      <c r="F47" t="s">
        <v>328</v>
      </c>
      <c r="G47" t="s">
        <v>328</v>
      </c>
      <c r="H47" t="s">
        <v>328</v>
      </c>
      <c r="J47">
        <v>2026</v>
      </c>
      <c r="K47" t="s">
        <v>329</v>
      </c>
      <c r="L47" t="s">
        <v>330</v>
      </c>
      <c r="M47" t="s">
        <v>621</v>
      </c>
      <c r="N47" t="s">
        <v>622</v>
      </c>
      <c r="O47">
        <v>813445</v>
      </c>
      <c r="P47">
        <v>8984037</v>
      </c>
      <c r="Q47" t="s">
        <v>623</v>
      </c>
      <c r="R47" t="s">
        <v>334</v>
      </c>
      <c r="S47" t="s">
        <v>335</v>
      </c>
      <c r="T47" s="3">
        <v>46111.41306712963</v>
      </c>
      <c r="U47" s="3"/>
      <c r="V47" s="3">
        <v>46114.41306712963</v>
      </c>
      <c r="W47" t="s">
        <v>486</v>
      </c>
      <c r="X47" t="s">
        <v>165</v>
      </c>
      <c r="Y47" t="s">
        <v>508</v>
      </c>
      <c r="Z47" t="s">
        <v>338</v>
      </c>
      <c r="AA47" t="s">
        <v>339</v>
      </c>
      <c r="AB47" t="s">
        <v>624</v>
      </c>
    </row>
    <row r="48" spans="1:28" hidden="1" x14ac:dyDescent="0.25">
      <c r="A48" t="s">
        <v>625</v>
      </c>
      <c r="B48" t="s">
        <v>328</v>
      </c>
      <c r="D48" t="s">
        <v>475</v>
      </c>
      <c r="E48" t="s">
        <v>626</v>
      </c>
      <c r="F48" t="s">
        <v>328</v>
      </c>
      <c r="G48" t="s">
        <v>328</v>
      </c>
      <c r="H48" t="s">
        <v>328</v>
      </c>
      <c r="J48">
        <v>2026</v>
      </c>
      <c r="K48" t="s">
        <v>329</v>
      </c>
      <c r="L48" t="s">
        <v>330</v>
      </c>
      <c r="M48" t="s">
        <v>627</v>
      </c>
      <c r="N48" t="s">
        <v>628</v>
      </c>
      <c r="O48">
        <v>727489</v>
      </c>
      <c r="P48">
        <v>9029671</v>
      </c>
      <c r="Q48" t="s">
        <v>629</v>
      </c>
      <c r="R48" t="s">
        <v>334</v>
      </c>
      <c r="S48" t="s">
        <v>335</v>
      </c>
      <c r="T48" s="3">
        <v>46111.432384259257</v>
      </c>
      <c r="U48" s="3"/>
      <c r="V48" s="3">
        <v>46114.432384259257</v>
      </c>
      <c r="W48" t="s">
        <v>486</v>
      </c>
      <c r="X48" t="s">
        <v>80</v>
      </c>
      <c r="Y48" t="s">
        <v>422</v>
      </c>
      <c r="Z48" t="s">
        <v>357</v>
      </c>
      <c r="AA48" t="s">
        <v>339</v>
      </c>
      <c r="AB48" t="s">
        <v>630</v>
      </c>
    </row>
    <row r="49" spans="1:28" hidden="1" x14ac:dyDescent="0.25">
      <c r="A49" t="s">
        <v>631</v>
      </c>
      <c r="B49" t="s">
        <v>328</v>
      </c>
      <c r="D49" t="s">
        <v>328</v>
      </c>
      <c r="E49" t="s">
        <v>328</v>
      </c>
      <c r="F49" t="s">
        <v>328</v>
      </c>
      <c r="G49" t="s">
        <v>328</v>
      </c>
      <c r="H49" t="s">
        <v>328</v>
      </c>
      <c r="J49">
        <v>2026</v>
      </c>
      <c r="K49" t="s">
        <v>342</v>
      </c>
      <c r="L49" t="s">
        <v>330</v>
      </c>
      <c r="M49" t="s">
        <v>632</v>
      </c>
      <c r="N49" t="s">
        <v>633</v>
      </c>
      <c r="O49">
        <v>905716</v>
      </c>
      <c r="P49">
        <v>9145475</v>
      </c>
      <c r="Q49" t="s">
        <v>634</v>
      </c>
      <c r="R49" t="s">
        <v>347</v>
      </c>
      <c r="S49" t="s">
        <v>335</v>
      </c>
      <c r="T49" s="3">
        <v>46097.58016203704</v>
      </c>
      <c r="U49" s="3"/>
      <c r="V49" s="3">
        <v>46497.58016203704</v>
      </c>
      <c r="W49" t="s">
        <v>500</v>
      </c>
      <c r="X49" t="s">
        <v>38</v>
      </c>
      <c r="Y49" t="s">
        <v>348</v>
      </c>
      <c r="Z49" t="s">
        <v>357</v>
      </c>
      <c r="AA49" t="s">
        <v>339</v>
      </c>
      <c r="AB49" t="s">
        <v>635</v>
      </c>
    </row>
    <row r="50" spans="1:28" hidden="1" x14ac:dyDescent="0.25">
      <c r="A50" t="s">
        <v>636</v>
      </c>
      <c r="B50" t="s">
        <v>328</v>
      </c>
      <c r="D50" t="s">
        <v>517</v>
      </c>
      <c r="E50" t="s">
        <v>637</v>
      </c>
      <c r="F50" t="s">
        <v>328</v>
      </c>
      <c r="G50" t="s">
        <v>328</v>
      </c>
      <c r="H50" t="s">
        <v>328</v>
      </c>
      <c r="J50">
        <v>2026</v>
      </c>
      <c r="K50" t="s">
        <v>638</v>
      </c>
      <c r="L50" t="s">
        <v>330</v>
      </c>
      <c r="M50" t="s">
        <v>639</v>
      </c>
      <c r="N50" t="s">
        <v>640</v>
      </c>
      <c r="O50">
        <v>718799</v>
      </c>
      <c r="P50">
        <v>8867765</v>
      </c>
      <c r="Q50" t="s">
        <v>641</v>
      </c>
      <c r="R50" t="s">
        <v>403</v>
      </c>
      <c r="S50" t="s">
        <v>335</v>
      </c>
      <c r="T50" s="3">
        <v>46135.332002314812</v>
      </c>
      <c r="U50" s="3"/>
      <c r="V50" s="3">
        <v>46195.332002314812</v>
      </c>
      <c r="W50" t="s">
        <v>500</v>
      </c>
      <c r="X50" t="s">
        <v>90</v>
      </c>
      <c r="Y50" t="s">
        <v>642</v>
      </c>
      <c r="Z50" t="s">
        <v>338</v>
      </c>
      <c r="AA50" t="s">
        <v>339</v>
      </c>
      <c r="AB50" t="s">
        <v>643</v>
      </c>
    </row>
    <row r="51" spans="1:28" hidden="1" x14ac:dyDescent="0.25">
      <c r="A51" t="s">
        <v>644</v>
      </c>
      <c r="B51" t="s">
        <v>328</v>
      </c>
      <c r="D51" t="s">
        <v>517</v>
      </c>
      <c r="E51" t="s">
        <v>398</v>
      </c>
      <c r="F51" t="s">
        <v>328</v>
      </c>
      <c r="G51" t="s">
        <v>328</v>
      </c>
      <c r="H51" t="s">
        <v>328</v>
      </c>
      <c r="J51">
        <v>2026</v>
      </c>
      <c r="K51" t="s">
        <v>329</v>
      </c>
      <c r="L51" t="s">
        <v>330</v>
      </c>
      <c r="M51" t="s">
        <v>344</v>
      </c>
      <c r="N51" t="s">
        <v>645</v>
      </c>
      <c r="O51">
        <v>819553</v>
      </c>
      <c r="P51">
        <v>8782076</v>
      </c>
      <c r="Q51" t="s">
        <v>646</v>
      </c>
      <c r="R51" t="s">
        <v>334</v>
      </c>
      <c r="S51" t="s">
        <v>335</v>
      </c>
      <c r="T51" s="3">
        <v>46099.677141203705</v>
      </c>
      <c r="U51" s="3"/>
      <c r="V51" s="3">
        <v>46102.677141203705</v>
      </c>
      <c r="W51" t="s">
        <v>556</v>
      </c>
      <c r="X51" t="s">
        <v>180</v>
      </c>
      <c r="Y51" t="s">
        <v>613</v>
      </c>
      <c r="Z51" t="s">
        <v>338</v>
      </c>
      <c r="AA51" t="s">
        <v>339</v>
      </c>
      <c r="AB51" t="s">
        <v>647</v>
      </c>
    </row>
    <row r="52" spans="1:28" hidden="1" x14ac:dyDescent="0.25">
      <c r="A52" t="s">
        <v>648</v>
      </c>
      <c r="B52" t="s">
        <v>328</v>
      </c>
      <c r="D52" t="s">
        <v>328</v>
      </c>
      <c r="E52" t="s">
        <v>328</v>
      </c>
      <c r="F52" t="s">
        <v>328</v>
      </c>
      <c r="G52" t="s">
        <v>328</v>
      </c>
      <c r="H52" t="s">
        <v>328</v>
      </c>
      <c r="J52">
        <v>2026</v>
      </c>
      <c r="K52" t="s">
        <v>342</v>
      </c>
      <c r="L52" t="s">
        <v>391</v>
      </c>
      <c r="M52" t="s">
        <v>392</v>
      </c>
      <c r="N52" t="s">
        <v>649</v>
      </c>
      <c r="O52">
        <v>766063</v>
      </c>
      <c r="P52">
        <v>8872437</v>
      </c>
      <c r="Q52" t="s">
        <v>650</v>
      </c>
      <c r="R52" t="s">
        <v>334</v>
      </c>
      <c r="S52" t="s">
        <v>335</v>
      </c>
      <c r="T52" s="3">
        <v>46204.482905092591</v>
      </c>
      <c r="U52" s="3"/>
      <c r="V52" s="3">
        <v>46207.482905092591</v>
      </c>
      <c r="W52" t="s">
        <v>542</v>
      </c>
      <c r="X52" t="s">
        <v>36</v>
      </c>
      <c r="Y52" t="s">
        <v>348</v>
      </c>
      <c r="Z52" t="s">
        <v>338</v>
      </c>
      <c r="AA52" t="s">
        <v>339</v>
      </c>
      <c r="AB52" t="s">
        <v>651</v>
      </c>
    </row>
    <row r="53" spans="1:28" hidden="1" x14ac:dyDescent="0.25">
      <c r="A53" t="s">
        <v>652</v>
      </c>
      <c r="B53" t="s">
        <v>328</v>
      </c>
      <c r="D53" t="s">
        <v>517</v>
      </c>
      <c r="E53" t="s">
        <v>482</v>
      </c>
      <c r="F53" t="s">
        <v>328</v>
      </c>
      <c r="G53" t="s">
        <v>328</v>
      </c>
      <c r="H53" t="s">
        <v>328</v>
      </c>
      <c r="J53">
        <v>2026</v>
      </c>
      <c r="K53" t="s">
        <v>329</v>
      </c>
      <c r="L53" t="s">
        <v>330</v>
      </c>
      <c r="M53" t="s">
        <v>653</v>
      </c>
      <c r="N53" t="s">
        <v>654</v>
      </c>
      <c r="O53">
        <v>645739</v>
      </c>
      <c r="P53">
        <v>8723116</v>
      </c>
      <c r="Q53" t="s">
        <v>655</v>
      </c>
      <c r="R53" t="s">
        <v>334</v>
      </c>
      <c r="S53" t="s">
        <v>335</v>
      </c>
      <c r="T53" s="3">
        <v>46083.89261574074</v>
      </c>
      <c r="U53" s="3"/>
      <c r="V53" s="3">
        <v>46086.89261574074</v>
      </c>
      <c r="W53" t="s">
        <v>486</v>
      </c>
      <c r="X53" t="s">
        <v>211</v>
      </c>
      <c r="Y53" t="s">
        <v>656</v>
      </c>
      <c r="Z53" t="s">
        <v>338</v>
      </c>
      <c r="AA53" t="s">
        <v>339</v>
      </c>
      <c r="AB53" t="s">
        <v>657</v>
      </c>
    </row>
    <row r="54" spans="1:28" hidden="1" x14ac:dyDescent="0.25">
      <c r="A54" t="s">
        <v>658</v>
      </c>
      <c r="B54" t="s">
        <v>328</v>
      </c>
      <c r="D54" t="s">
        <v>475</v>
      </c>
      <c r="E54" t="s">
        <v>626</v>
      </c>
      <c r="F54" t="s">
        <v>328</v>
      </c>
      <c r="G54" t="s">
        <v>328</v>
      </c>
      <c r="H54" t="s">
        <v>328</v>
      </c>
      <c r="J54">
        <v>2026</v>
      </c>
      <c r="K54" t="s">
        <v>329</v>
      </c>
      <c r="L54" t="s">
        <v>343</v>
      </c>
      <c r="M54" t="s">
        <v>659</v>
      </c>
      <c r="N54" t="s">
        <v>660</v>
      </c>
      <c r="O54">
        <v>787930</v>
      </c>
      <c r="P54">
        <v>8828052</v>
      </c>
      <c r="Q54" t="s">
        <v>661</v>
      </c>
      <c r="R54" t="s">
        <v>403</v>
      </c>
      <c r="S54" t="s">
        <v>335</v>
      </c>
      <c r="T54" s="3">
        <v>46135.428518518522</v>
      </c>
      <c r="U54" s="3"/>
      <c r="V54" s="3">
        <v>46195.428518518522</v>
      </c>
      <c r="W54" t="s">
        <v>486</v>
      </c>
      <c r="X54" t="s">
        <v>36</v>
      </c>
      <c r="Y54" t="s">
        <v>662</v>
      </c>
      <c r="Z54" t="s">
        <v>338</v>
      </c>
      <c r="AA54" t="s">
        <v>339</v>
      </c>
      <c r="AB54" t="s">
        <v>298</v>
      </c>
    </row>
    <row r="55" spans="1:28" hidden="1" x14ac:dyDescent="0.25">
      <c r="A55" t="s">
        <v>663</v>
      </c>
      <c r="B55" t="s">
        <v>328</v>
      </c>
      <c r="D55" t="s">
        <v>475</v>
      </c>
      <c r="E55" t="s">
        <v>352</v>
      </c>
      <c r="F55" t="s">
        <v>328</v>
      </c>
      <c r="G55" t="s">
        <v>328</v>
      </c>
      <c r="H55" t="s">
        <v>328</v>
      </c>
      <c r="J55">
        <v>2025</v>
      </c>
      <c r="K55" t="s">
        <v>329</v>
      </c>
      <c r="L55" t="s">
        <v>330</v>
      </c>
      <c r="M55" t="s">
        <v>430</v>
      </c>
      <c r="N55" t="s">
        <v>664</v>
      </c>
      <c r="O55">
        <v>792922</v>
      </c>
      <c r="P55">
        <v>8790506</v>
      </c>
      <c r="Q55" t="s">
        <v>665</v>
      </c>
      <c r="R55" t="s">
        <v>334</v>
      </c>
      <c r="S55" t="s">
        <v>335</v>
      </c>
      <c r="T55" s="3">
        <v>45846.727106481485</v>
      </c>
      <c r="U55" s="3"/>
      <c r="V55" s="3">
        <v>45849.727106481485</v>
      </c>
      <c r="W55" t="s">
        <v>486</v>
      </c>
      <c r="X55" t="s">
        <v>36</v>
      </c>
      <c r="Y55" t="s">
        <v>530</v>
      </c>
      <c r="Z55" t="s">
        <v>338</v>
      </c>
      <c r="AA55" t="s">
        <v>339</v>
      </c>
      <c r="AB55" t="s">
        <v>666</v>
      </c>
    </row>
    <row r="56" spans="1:28" hidden="1" x14ac:dyDescent="0.25">
      <c r="A56" t="s">
        <v>667</v>
      </c>
      <c r="B56" t="s">
        <v>328</v>
      </c>
      <c r="D56" t="s">
        <v>328</v>
      </c>
      <c r="E56" t="s">
        <v>328</v>
      </c>
      <c r="F56" t="s">
        <v>328</v>
      </c>
      <c r="G56" t="s">
        <v>328</v>
      </c>
      <c r="H56" t="s">
        <v>328</v>
      </c>
      <c r="J56">
        <v>2026</v>
      </c>
      <c r="K56" t="s">
        <v>329</v>
      </c>
      <c r="L56" t="s">
        <v>330</v>
      </c>
      <c r="M56" t="s">
        <v>518</v>
      </c>
      <c r="N56" t="s">
        <v>668</v>
      </c>
      <c r="O56">
        <v>918776</v>
      </c>
      <c r="P56">
        <v>8841819</v>
      </c>
      <c r="Q56" t="s">
        <v>669</v>
      </c>
      <c r="R56" t="s">
        <v>334</v>
      </c>
      <c r="S56" t="s">
        <v>335</v>
      </c>
      <c r="T56" s="3">
        <v>46057.369456018518</v>
      </c>
      <c r="U56" s="3"/>
      <c r="V56" s="3">
        <v>46060.369456018518</v>
      </c>
      <c r="W56" t="s">
        <v>500</v>
      </c>
      <c r="X56" t="s">
        <v>521</v>
      </c>
      <c r="Y56" t="s">
        <v>337</v>
      </c>
      <c r="Z56" t="s">
        <v>338</v>
      </c>
      <c r="AA56" t="s">
        <v>339</v>
      </c>
      <c r="AB56" t="s">
        <v>670</v>
      </c>
    </row>
    <row r="57" spans="1:28" hidden="1" x14ac:dyDescent="0.25">
      <c r="A57" t="s">
        <v>671</v>
      </c>
      <c r="B57" t="s">
        <v>328</v>
      </c>
      <c r="D57" t="s">
        <v>517</v>
      </c>
      <c r="E57" t="s">
        <v>352</v>
      </c>
      <c r="F57" t="s">
        <v>328</v>
      </c>
      <c r="G57" t="s">
        <v>328</v>
      </c>
      <c r="H57" t="s">
        <v>328</v>
      </c>
      <c r="J57">
        <v>2026</v>
      </c>
      <c r="K57" t="s">
        <v>342</v>
      </c>
      <c r="L57" t="s">
        <v>330</v>
      </c>
      <c r="M57" t="s">
        <v>672</v>
      </c>
      <c r="N57" t="s">
        <v>673</v>
      </c>
      <c r="O57">
        <v>794701</v>
      </c>
      <c r="P57">
        <v>8603487</v>
      </c>
      <c r="Q57" t="s">
        <v>674</v>
      </c>
      <c r="R57" t="s">
        <v>403</v>
      </c>
      <c r="S57" t="s">
        <v>335</v>
      </c>
      <c r="T57" s="3">
        <v>46210.655405092592</v>
      </c>
      <c r="U57" s="3"/>
      <c r="V57" s="3">
        <v>46270.655405092592</v>
      </c>
      <c r="W57" t="s">
        <v>486</v>
      </c>
      <c r="X57" t="s">
        <v>192</v>
      </c>
      <c r="Y57" t="s">
        <v>557</v>
      </c>
      <c r="Z57" t="s">
        <v>338</v>
      </c>
      <c r="AA57" t="s">
        <v>339</v>
      </c>
      <c r="AB57" t="s">
        <v>675</v>
      </c>
    </row>
    <row r="58" spans="1:28" hidden="1" x14ac:dyDescent="0.25">
      <c r="A58" t="s">
        <v>676</v>
      </c>
      <c r="B58" t="s">
        <v>328</v>
      </c>
      <c r="D58" t="s">
        <v>517</v>
      </c>
      <c r="E58" t="s">
        <v>328</v>
      </c>
      <c r="F58" t="s">
        <v>328</v>
      </c>
      <c r="G58" t="s">
        <v>328</v>
      </c>
      <c r="H58" t="s">
        <v>328</v>
      </c>
      <c r="J58">
        <v>2026</v>
      </c>
      <c r="K58" t="s">
        <v>342</v>
      </c>
      <c r="L58" t="s">
        <v>330</v>
      </c>
      <c r="M58" t="s">
        <v>677</v>
      </c>
      <c r="N58" t="s">
        <v>678</v>
      </c>
      <c r="O58">
        <v>825557</v>
      </c>
      <c r="P58">
        <v>9381653</v>
      </c>
      <c r="Q58" t="s">
        <v>679</v>
      </c>
      <c r="R58" t="s">
        <v>403</v>
      </c>
      <c r="S58" t="s">
        <v>335</v>
      </c>
      <c r="T58" s="3">
        <v>46210.641493055555</v>
      </c>
      <c r="U58" s="3"/>
      <c r="V58" s="3">
        <v>46270.641493055555</v>
      </c>
      <c r="W58" t="s">
        <v>500</v>
      </c>
      <c r="X58" t="s">
        <v>206</v>
      </c>
      <c r="Y58" t="s">
        <v>501</v>
      </c>
      <c r="Z58" t="s">
        <v>338</v>
      </c>
      <c r="AA58" t="s">
        <v>339</v>
      </c>
      <c r="AB58" t="s">
        <v>680</v>
      </c>
    </row>
    <row r="59" spans="1:28" hidden="1" x14ac:dyDescent="0.25">
      <c r="A59" t="s">
        <v>681</v>
      </c>
      <c r="B59" t="s">
        <v>328</v>
      </c>
      <c r="D59" t="s">
        <v>328</v>
      </c>
      <c r="E59" t="s">
        <v>328</v>
      </c>
      <c r="F59" t="s">
        <v>328</v>
      </c>
      <c r="G59" t="s">
        <v>328</v>
      </c>
      <c r="H59" t="s">
        <v>328</v>
      </c>
      <c r="J59">
        <v>2026</v>
      </c>
      <c r="K59" t="s">
        <v>328</v>
      </c>
      <c r="L59" t="s">
        <v>330</v>
      </c>
      <c r="M59" t="s">
        <v>533</v>
      </c>
      <c r="N59" t="s">
        <v>682</v>
      </c>
      <c r="O59">
        <v>858418</v>
      </c>
      <c r="P59">
        <v>9201747</v>
      </c>
      <c r="Q59" t="s">
        <v>683</v>
      </c>
      <c r="R59" t="s">
        <v>334</v>
      </c>
      <c r="S59" t="s">
        <v>335</v>
      </c>
      <c r="T59" s="3">
        <v>46203.69122685185</v>
      </c>
      <c r="U59" s="3"/>
      <c r="V59" s="3">
        <v>46206.69122685185</v>
      </c>
      <c r="W59" t="s">
        <v>486</v>
      </c>
      <c r="X59" t="s">
        <v>101</v>
      </c>
      <c r="Y59" t="s">
        <v>684</v>
      </c>
      <c r="Z59" t="s">
        <v>357</v>
      </c>
      <c r="AA59" t="s">
        <v>339</v>
      </c>
      <c r="AB59" t="s">
        <v>685</v>
      </c>
    </row>
    <row r="60" spans="1:28" hidden="1" x14ac:dyDescent="0.25">
      <c r="A60" t="s">
        <v>686</v>
      </c>
      <c r="B60" t="s">
        <v>328</v>
      </c>
      <c r="D60" t="s">
        <v>517</v>
      </c>
      <c r="E60" t="s">
        <v>626</v>
      </c>
      <c r="F60" t="s">
        <v>328</v>
      </c>
      <c r="G60" t="s">
        <v>328</v>
      </c>
      <c r="H60" t="s">
        <v>328</v>
      </c>
      <c r="J60">
        <v>2026</v>
      </c>
      <c r="K60" t="s">
        <v>329</v>
      </c>
      <c r="L60" t="s">
        <v>343</v>
      </c>
      <c r="M60" t="s">
        <v>470</v>
      </c>
      <c r="N60" t="s">
        <v>687</v>
      </c>
      <c r="O60">
        <v>857972</v>
      </c>
      <c r="P60">
        <v>9047058</v>
      </c>
      <c r="Q60" t="s">
        <v>688</v>
      </c>
      <c r="R60" t="s">
        <v>334</v>
      </c>
      <c r="S60" t="s">
        <v>335</v>
      </c>
      <c r="T60" s="3">
        <v>46211.478425925925</v>
      </c>
      <c r="U60" s="3"/>
      <c r="V60" s="3">
        <v>46214.478425925925</v>
      </c>
      <c r="W60" t="s">
        <v>486</v>
      </c>
      <c r="X60" t="s">
        <v>689</v>
      </c>
      <c r="Y60" t="s">
        <v>690</v>
      </c>
      <c r="Z60" t="s">
        <v>338</v>
      </c>
      <c r="AA60" t="s">
        <v>691</v>
      </c>
      <c r="AB60" t="s">
        <v>692</v>
      </c>
    </row>
    <row r="61" spans="1:28" hidden="1" x14ac:dyDescent="0.25">
      <c r="A61" t="s">
        <v>693</v>
      </c>
      <c r="B61" t="s">
        <v>328</v>
      </c>
      <c r="D61" t="s">
        <v>517</v>
      </c>
      <c r="E61" t="s">
        <v>626</v>
      </c>
      <c r="F61" t="s">
        <v>328</v>
      </c>
      <c r="G61" t="s">
        <v>328</v>
      </c>
      <c r="H61" t="s">
        <v>328</v>
      </c>
      <c r="J61">
        <v>2026</v>
      </c>
      <c r="K61" t="s">
        <v>329</v>
      </c>
      <c r="L61" t="s">
        <v>343</v>
      </c>
      <c r="M61" t="s">
        <v>470</v>
      </c>
      <c r="N61" t="s">
        <v>687</v>
      </c>
      <c r="O61">
        <v>857972</v>
      </c>
      <c r="P61">
        <v>9047058</v>
      </c>
      <c r="Q61" t="s">
        <v>688</v>
      </c>
      <c r="R61" t="s">
        <v>334</v>
      </c>
      <c r="S61" t="s">
        <v>335</v>
      </c>
      <c r="T61" s="3">
        <v>46202.786145833335</v>
      </c>
      <c r="U61" s="3"/>
      <c r="V61" s="3">
        <v>46205.786145833335</v>
      </c>
      <c r="W61" t="s">
        <v>486</v>
      </c>
      <c r="X61" t="s">
        <v>689</v>
      </c>
      <c r="Y61" t="s">
        <v>690</v>
      </c>
      <c r="Z61" t="s">
        <v>338</v>
      </c>
      <c r="AA61" t="s">
        <v>691</v>
      </c>
      <c r="AB61" t="s">
        <v>694</v>
      </c>
    </row>
    <row r="62" spans="1:28" hidden="1" x14ac:dyDescent="0.25">
      <c r="A62" t="s">
        <v>695</v>
      </c>
      <c r="B62" t="s">
        <v>328</v>
      </c>
      <c r="D62" t="s">
        <v>328</v>
      </c>
      <c r="E62" t="s">
        <v>328</v>
      </c>
      <c r="F62" t="s">
        <v>328</v>
      </c>
      <c r="G62" t="s">
        <v>328</v>
      </c>
      <c r="H62" t="s">
        <v>328</v>
      </c>
      <c r="J62">
        <v>2026</v>
      </c>
      <c r="K62" t="s">
        <v>342</v>
      </c>
      <c r="L62" t="s">
        <v>330</v>
      </c>
      <c r="M62" t="s">
        <v>696</v>
      </c>
      <c r="N62" t="s">
        <v>697</v>
      </c>
      <c r="O62">
        <v>796501</v>
      </c>
      <c r="P62">
        <v>8854562</v>
      </c>
      <c r="Q62" t="s">
        <v>698</v>
      </c>
      <c r="R62" t="s">
        <v>334</v>
      </c>
      <c r="S62" t="s">
        <v>335</v>
      </c>
      <c r="T62" s="3">
        <v>46077.48709490741</v>
      </c>
      <c r="U62" s="3"/>
      <c r="V62" s="3">
        <v>46080.48709490741</v>
      </c>
      <c r="W62" t="s">
        <v>699</v>
      </c>
      <c r="X62" t="s">
        <v>120</v>
      </c>
      <c r="Y62" t="s">
        <v>348</v>
      </c>
      <c r="Z62" t="s">
        <v>357</v>
      </c>
      <c r="AA62" t="s">
        <v>339</v>
      </c>
      <c r="AB62" t="s">
        <v>700</v>
      </c>
    </row>
    <row r="63" spans="1:28" hidden="1" x14ac:dyDescent="0.25">
      <c r="A63" t="s">
        <v>701</v>
      </c>
      <c r="B63" t="s">
        <v>328</v>
      </c>
      <c r="D63" t="s">
        <v>475</v>
      </c>
      <c r="E63" t="s">
        <v>702</v>
      </c>
      <c r="F63" t="s">
        <v>328</v>
      </c>
      <c r="G63" t="s">
        <v>328</v>
      </c>
      <c r="H63" t="s">
        <v>328</v>
      </c>
      <c r="J63">
        <v>2026</v>
      </c>
      <c r="K63" t="s">
        <v>703</v>
      </c>
      <c r="L63" t="s">
        <v>704</v>
      </c>
      <c r="M63" t="s">
        <v>705</v>
      </c>
      <c r="N63" t="s">
        <v>706</v>
      </c>
      <c r="O63">
        <v>793159</v>
      </c>
      <c r="P63">
        <v>8874945</v>
      </c>
      <c r="Q63" t="s">
        <v>707</v>
      </c>
      <c r="R63" t="s">
        <v>708</v>
      </c>
      <c r="S63" t="s">
        <v>335</v>
      </c>
      <c r="T63" s="3">
        <v>46209.637962962966</v>
      </c>
      <c r="U63" s="3"/>
      <c r="V63" s="3">
        <v>46216.637962962966</v>
      </c>
      <c r="W63" t="s">
        <v>542</v>
      </c>
      <c r="X63" t="s">
        <v>120</v>
      </c>
      <c r="Y63" t="s">
        <v>709</v>
      </c>
      <c r="Z63" t="s">
        <v>357</v>
      </c>
      <c r="AA63" t="s">
        <v>710</v>
      </c>
      <c r="AB63" t="s">
        <v>711</v>
      </c>
    </row>
    <row r="64" spans="1:28" hidden="1" x14ac:dyDescent="0.25">
      <c r="A64" t="s">
        <v>712</v>
      </c>
      <c r="B64" t="s">
        <v>328</v>
      </c>
      <c r="D64" t="s">
        <v>517</v>
      </c>
      <c r="E64" t="s">
        <v>525</v>
      </c>
      <c r="F64" t="s">
        <v>328</v>
      </c>
      <c r="G64" t="s">
        <v>328</v>
      </c>
      <c r="H64" t="s">
        <v>328</v>
      </c>
      <c r="J64">
        <v>2026</v>
      </c>
      <c r="K64" t="s">
        <v>329</v>
      </c>
      <c r="L64" t="s">
        <v>391</v>
      </c>
      <c r="M64" t="s">
        <v>705</v>
      </c>
      <c r="N64" t="s">
        <v>706</v>
      </c>
      <c r="O64">
        <v>793159</v>
      </c>
      <c r="P64">
        <v>8874945</v>
      </c>
      <c r="Q64" t="s">
        <v>713</v>
      </c>
      <c r="R64" t="s">
        <v>334</v>
      </c>
      <c r="S64" t="s">
        <v>335</v>
      </c>
      <c r="T64" s="3">
        <v>46204.483981481484</v>
      </c>
      <c r="U64" s="3"/>
      <c r="V64" s="3">
        <v>46207.483981481484</v>
      </c>
      <c r="W64" t="s">
        <v>486</v>
      </c>
      <c r="X64" t="s">
        <v>120</v>
      </c>
      <c r="Y64" t="s">
        <v>530</v>
      </c>
      <c r="Z64" t="s">
        <v>357</v>
      </c>
      <c r="AA64" t="s">
        <v>339</v>
      </c>
      <c r="AB64" t="s">
        <v>714</v>
      </c>
    </row>
    <row r="65" spans="1:28" hidden="1" x14ac:dyDescent="0.25">
      <c r="A65" t="s">
        <v>715</v>
      </c>
      <c r="B65" t="s">
        <v>328</v>
      </c>
      <c r="D65" t="s">
        <v>328</v>
      </c>
      <c r="E65" t="s">
        <v>328</v>
      </c>
      <c r="F65" t="s">
        <v>328</v>
      </c>
      <c r="G65" t="s">
        <v>328</v>
      </c>
      <c r="H65" t="s">
        <v>328</v>
      </c>
      <c r="J65">
        <v>2026</v>
      </c>
      <c r="K65" t="s">
        <v>375</v>
      </c>
      <c r="L65" t="s">
        <v>330</v>
      </c>
      <c r="M65" t="s">
        <v>376</v>
      </c>
      <c r="N65" t="s">
        <v>716</v>
      </c>
      <c r="O65">
        <v>986342</v>
      </c>
      <c r="P65">
        <v>8726425</v>
      </c>
      <c r="Q65" t="s">
        <v>717</v>
      </c>
      <c r="R65" t="s">
        <v>334</v>
      </c>
      <c r="S65" t="s">
        <v>335</v>
      </c>
      <c r="T65" s="3">
        <v>46049.689664351848</v>
      </c>
      <c r="U65" s="3"/>
      <c r="V65" s="3">
        <v>46052.689664351848</v>
      </c>
      <c r="W65" t="s">
        <v>500</v>
      </c>
      <c r="X65" t="s">
        <v>65</v>
      </c>
      <c r="Y65" t="s">
        <v>379</v>
      </c>
      <c r="Z65" t="s">
        <v>338</v>
      </c>
      <c r="AA65" t="s">
        <v>339</v>
      </c>
      <c r="AB65" t="s">
        <v>718</v>
      </c>
    </row>
    <row r="66" spans="1:28" hidden="1" x14ac:dyDescent="0.25">
      <c r="A66" t="s">
        <v>719</v>
      </c>
      <c r="B66" t="s">
        <v>328</v>
      </c>
      <c r="D66" t="s">
        <v>720</v>
      </c>
      <c r="E66" t="s">
        <v>626</v>
      </c>
      <c r="F66" t="s">
        <v>328</v>
      </c>
      <c r="G66" t="s">
        <v>328</v>
      </c>
      <c r="H66" t="s">
        <v>328</v>
      </c>
      <c r="J66">
        <v>2026</v>
      </c>
      <c r="K66" t="s">
        <v>329</v>
      </c>
      <c r="L66" t="s">
        <v>343</v>
      </c>
      <c r="M66" t="s">
        <v>518</v>
      </c>
      <c r="N66" t="s">
        <v>721</v>
      </c>
      <c r="O66">
        <v>1001156</v>
      </c>
      <c r="P66">
        <v>8830620</v>
      </c>
      <c r="Q66" t="s">
        <v>722</v>
      </c>
      <c r="R66" t="s">
        <v>334</v>
      </c>
      <c r="S66" t="s">
        <v>335</v>
      </c>
      <c r="T66" s="3">
        <v>46204.498437499999</v>
      </c>
      <c r="U66" s="3"/>
      <c r="V66" s="3">
        <v>46207.498437499999</v>
      </c>
      <c r="W66" t="s">
        <v>486</v>
      </c>
      <c r="X66" t="s">
        <v>40</v>
      </c>
      <c r="Y66" t="s">
        <v>422</v>
      </c>
      <c r="Z66" t="s">
        <v>338</v>
      </c>
      <c r="AA66" t="s">
        <v>339</v>
      </c>
      <c r="AB66" t="s">
        <v>723</v>
      </c>
    </row>
    <row r="67" spans="1:28" hidden="1" x14ac:dyDescent="0.25">
      <c r="A67" t="s">
        <v>724</v>
      </c>
      <c r="B67" t="s">
        <v>328</v>
      </c>
      <c r="D67" t="s">
        <v>490</v>
      </c>
      <c r="E67" t="s">
        <v>725</v>
      </c>
      <c r="F67" t="s">
        <v>328</v>
      </c>
      <c r="G67" t="s">
        <v>328</v>
      </c>
      <c r="H67" t="s">
        <v>328</v>
      </c>
      <c r="J67">
        <v>2026</v>
      </c>
      <c r="K67" t="s">
        <v>703</v>
      </c>
      <c r="L67" t="s">
        <v>704</v>
      </c>
      <c r="M67" t="s">
        <v>726</v>
      </c>
      <c r="N67" t="s">
        <v>727</v>
      </c>
      <c r="O67">
        <v>792195</v>
      </c>
      <c r="P67">
        <v>8855224</v>
      </c>
      <c r="Q67" t="s">
        <v>728</v>
      </c>
      <c r="R67" t="s">
        <v>708</v>
      </c>
      <c r="S67" t="s">
        <v>335</v>
      </c>
      <c r="T67" s="3">
        <v>46209.633668981478</v>
      </c>
      <c r="U67" s="3"/>
      <c r="V67" s="3">
        <v>46216.633668981478</v>
      </c>
      <c r="W67" t="s">
        <v>479</v>
      </c>
      <c r="X67" t="s">
        <v>120</v>
      </c>
      <c r="Y67" t="s">
        <v>709</v>
      </c>
      <c r="Z67" t="s">
        <v>357</v>
      </c>
      <c r="AA67" t="s">
        <v>710</v>
      </c>
      <c r="AB67" t="s">
        <v>729</v>
      </c>
    </row>
    <row r="68" spans="1:28" hidden="1" x14ac:dyDescent="0.25">
      <c r="A68" t="s">
        <v>730</v>
      </c>
      <c r="B68" t="s">
        <v>328</v>
      </c>
      <c r="D68" t="s">
        <v>490</v>
      </c>
      <c r="E68" t="s">
        <v>482</v>
      </c>
      <c r="F68" t="s">
        <v>328</v>
      </c>
      <c r="G68" t="s">
        <v>328</v>
      </c>
      <c r="H68" t="s">
        <v>328</v>
      </c>
      <c r="J68">
        <v>2026</v>
      </c>
      <c r="K68" t="s">
        <v>329</v>
      </c>
      <c r="L68" t="s">
        <v>391</v>
      </c>
      <c r="M68" t="s">
        <v>726</v>
      </c>
      <c r="N68" t="s">
        <v>727</v>
      </c>
      <c r="O68">
        <v>792195</v>
      </c>
      <c r="P68">
        <v>8855224</v>
      </c>
      <c r="Q68" t="s">
        <v>731</v>
      </c>
      <c r="R68" t="s">
        <v>334</v>
      </c>
      <c r="S68" t="s">
        <v>335</v>
      </c>
      <c r="T68" s="3">
        <v>46204.481469907405</v>
      </c>
      <c r="U68" s="3"/>
      <c r="V68" s="3">
        <v>46207.481469907405</v>
      </c>
      <c r="W68" t="s">
        <v>486</v>
      </c>
      <c r="X68" t="s">
        <v>120</v>
      </c>
      <c r="Y68" t="s">
        <v>732</v>
      </c>
      <c r="Z68" t="s">
        <v>357</v>
      </c>
      <c r="AA68" t="s">
        <v>339</v>
      </c>
      <c r="AB68" t="s">
        <v>733</v>
      </c>
    </row>
    <row r="69" spans="1:28" hidden="1" x14ac:dyDescent="0.25">
      <c r="A69" t="s">
        <v>734</v>
      </c>
      <c r="B69" t="s">
        <v>328</v>
      </c>
      <c r="D69" t="s">
        <v>328</v>
      </c>
      <c r="E69" t="s">
        <v>328</v>
      </c>
      <c r="F69" t="s">
        <v>328</v>
      </c>
      <c r="G69" t="s">
        <v>328</v>
      </c>
      <c r="H69" t="s">
        <v>328</v>
      </c>
      <c r="J69">
        <v>2026</v>
      </c>
      <c r="K69" t="s">
        <v>375</v>
      </c>
      <c r="L69" t="s">
        <v>330</v>
      </c>
      <c r="M69" t="s">
        <v>406</v>
      </c>
      <c r="N69" t="s">
        <v>735</v>
      </c>
      <c r="O69">
        <v>823519</v>
      </c>
      <c r="P69">
        <v>8668465</v>
      </c>
      <c r="Q69" t="s">
        <v>736</v>
      </c>
      <c r="R69" t="s">
        <v>347</v>
      </c>
      <c r="S69" t="s">
        <v>335</v>
      </c>
      <c r="T69" s="3">
        <v>46210.660277777781</v>
      </c>
      <c r="U69" s="3"/>
      <c r="V69" s="3">
        <v>46610.660277777781</v>
      </c>
      <c r="W69" t="s">
        <v>500</v>
      </c>
      <c r="X69" t="s">
        <v>737</v>
      </c>
      <c r="Y69" t="s">
        <v>379</v>
      </c>
      <c r="Z69" t="s">
        <v>338</v>
      </c>
      <c r="AA69" t="s">
        <v>339</v>
      </c>
      <c r="AB69" t="s">
        <v>738</v>
      </c>
    </row>
    <row r="70" spans="1:28" hidden="1" x14ac:dyDescent="0.25">
      <c r="A70" t="s">
        <v>739</v>
      </c>
      <c r="B70" t="s">
        <v>328</v>
      </c>
      <c r="D70" t="s">
        <v>475</v>
      </c>
      <c r="E70" t="s">
        <v>383</v>
      </c>
      <c r="F70" t="s">
        <v>328</v>
      </c>
      <c r="G70" t="s">
        <v>328</v>
      </c>
      <c r="H70" t="s">
        <v>328</v>
      </c>
      <c r="J70">
        <v>2025</v>
      </c>
      <c r="K70" t="s">
        <v>329</v>
      </c>
      <c r="L70" t="s">
        <v>330</v>
      </c>
      <c r="M70" t="s">
        <v>518</v>
      </c>
      <c r="N70" t="s">
        <v>740</v>
      </c>
      <c r="O70">
        <v>870890</v>
      </c>
      <c r="P70">
        <v>8743808</v>
      </c>
      <c r="Q70" t="s">
        <v>741</v>
      </c>
      <c r="R70" t="s">
        <v>334</v>
      </c>
      <c r="S70" t="s">
        <v>335</v>
      </c>
      <c r="T70" s="3">
        <v>45861.443530092591</v>
      </c>
      <c r="U70" s="3"/>
      <c r="V70" s="3">
        <v>45864.443530092591</v>
      </c>
      <c r="W70" t="s">
        <v>486</v>
      </c>
      <c r="X70" t="s">
        <v>252</v>
      </c>
      <c r="Y70" t="s">
        <v>690</v>
      </c>
      <c r="Z70" t="s">
        <v>338</v>
      </c>
      <c r="AA70" t="s">
        <v>339</v>
      </c>
      <c r="AB70" t="s">
        <v>742</v>
      </c>
    </row>
    <row r="71" spans="1:28" hidden="1" x14ac:dyDescent="0.25">
      <c r="A71" t="s">
        <v>743</v>
      </c>
      <c r="B71" t="s">
        <v>328</v>
      </c>
      <c r="D71" t="s">
        <v>517</v>
      </c>
      <c r="E71" t="s">
        <v>482</v>
      </c>
      <c r="F71" t="s">
        <v>328</v>
      </c>
      <c r="G71" t="s">
        <v>328</v>
      </c>
      <c r="H71" t="s">
        <v>328</v>
      </c>
      <c r="J71">
        <v>2026</v>
      </c>
      <c r="K71" t="s">
        <v>342</v>
      </c>
      <c r="L71" t="s">
        <v>391</v>
      </c>
      <c r="M71" t="s">
        <v>571</v>
      </c>
      <c r="N71" t="s">
        <v>744</v>
      </c>
      <c r="O71">
        <v>839744</v>
      </c>
      <c r="P71">
        <v>8865329</v>
      </c>
      <c r="Q71" t="s">
        <v>745</v>
      </c>
      <c r="R71" t="s">
        <v>334</v>
      </c>
      <c r="S71" t="s">
        <v>335</v>
      </c>
      <c r="T71" s="3">
        <v>46202.78020833333</v>
      </c>
      <c r="U71" s="3"/>
      <c r="V71" s="3">
        <v>46205.78020833333</v>
      </c>
      <c r="W71" t="s">
        <v>486</v>
      </c>
      <c r="X71" t="s">
        <v>120</v>
      </c>
      <c r="Y71" t="s">
        <v>746</v>
      </c>
      <c r="Z71" t="s">
        <v>338</v>
      </c>
      <c r="AA71" t="s">
        <v>339</v>
      </c>
      <c r="AB71" t="s">
        <v>747</v>
      </c>
    </row>
    <row r="72" spans="1:28" hidden="1" x14ac:dyDescent="0.25">
      <c r="A72" t="s">
        <v>748</v>
      </c>
      <c r="B72" t="s">
        <v>328</v>
      </c>
      <c r="D72" t="s">
        <v>328</v>
      </c>
      <c r="E72" t="s">
        <v>328</v>
      </c>
      <c r="F72" t="s">
        <v>328</v>
      </c>
      <c r="G72" t="s">
        <v>328</v>
      </c>
      <c r="H72" t="s">
        <v>328</v>
      </c>
      <c r="J72">
        <v>2026</v>
      </c>
      <c r="K72" t="s">
        <v>342</v>
      </c>
      <c r="L72" t="s">
        <v>330</v>
      </c>
      <c r="M72" t="s">
        <v>749</v>
      </c>
      <c r="N72" t="s">
        <v>750</v>
      </c>
      <c r="O72">
        <v>630275</v>
      </c>
      <c r="P72">
        <v>8986227</v>
      </c>
      <c r="Q72" t="s">
        <v>751</v>
      </c>
      <c r="R72" t="s">
        <v>347</v>
      </c>
      <c r="S72" t="s">
        <v>335</v>
      </c>
      <c r="T72" s="3">
        <v>46112.456828703704</v>
      </c>
      <c r="U72" s="3"/>
      <c r="V72" s="3">
        <v>46512.456828703704</v>
      </c>
      <c r="W72" t="s">
        <v>500</v>
      </c>
      <c r="X72" t="s">
        <v>197</v>
      </c>
      <c r="Y72" t="s">
        <v>348</v>
      </c>
      <c r="Z72" t="s">
        <v>338</v>
      </c>
      <c r="AA72" t="s">
        <v>339</v>
      </c>
      <c r="AB72" t="s">
        <v>752</v>
      </c>
    </row>
    <row r="73" spans="1:28" hidden="1" x14ac:dyDescent="0.25">
      <c r="A73" t="s">
        <v>753</v>
      </c>
      <c r="B73" t="s">
        <v>328</v>
      </c>
      <c r="D73" t="s">
        <v>517</v>
      </c>
      <c r="E73" t="s">
        <v>482</v>
      </c>
      <c r="F73" t="s">
        <v>328</v>
      </c>
      <c r="G73" t="s">
        <v>328</v>
      </c>
      <c r="H73" t="s">
        <v>328</v>
      </c>
      <c r="J73">
        <v>2026</v>
      </c>
      <c r="K73" t="s">
        <v>329</v>
      </c>
      <c r="L73" t="s">
        <v>330</v>
      </c>
      <c r="M73" t="s">
        <v>754</v>
      </c>
      <c r="N73" t="s">
        <v>755</v>
      </c>
      <c r="O73">
        <v>851948</v>
      </c>
      <c r="P73">
        <v>8950905</v>
      </c>
      <c r="Q73" t="s">
        <v>756</v>
      </c>
      <c r="R73" t="s">
        <v>334</v>
      </c>
      <c r="S73" t="s">
        <v>335</v>
      </c>
      <c r="T73" s="3">
        <v>46211.425625000003</v>
      </c>
      <c r="U73" s="3"/>
      <c r="V73" s="3">
        <v>46214.425625000003</v>
      </c>
      <c r="W73" t="s">
        <v>486</v>
      </c>
      <c r="X73" t="s">
        <v>30</v>
      </c>
      <c r="Y73" t="s">
        <v>757</v>
      </c>
      <c r="Z73" t="s">
        <v>338</v>
      </c>
      <c r="AA73" t="s">
        <v>339</v>
      </c>
      <c r="AB73" t="s">
        <v>758</v>
      </c>
    </row>
    <row r="74" spans="1:28" hidden="1" x14ac:dyDescent="0.25">
      <c r="A74" t="s">
        <v>759</v>
      </c>
      <c r="B74" t="s">
        <v>328</v>
      </c>
      <c r="D74" t="s">
        <v>517</v>
      </c>
      <c r="E74" t="s">
        <v>482</v>
      </c>
      <c r="F74" t="s">
        <v>328</v>
      </c>
      <c r="G74" t="s">
        <v>328</v>
      </c>
      <c r="H74" t="s">
        <v>328</v>
      </c>
      <c r="J74">
        <v>2026</v>
      </c>
      <c r="K74" t="s">
        <v>329</v>
      </c>
      <c r="L74" t="s">
        <v>330</v>
      </c>
      <c r="M74" t="s">
        <v>518</v>
      </c>
      <c r="N74" t="s">
        <v>760</v>
      </c>
      <c r="O74">
        <v>1068871</v>
      </c>
      <c r="P74">
        <v>8855553</v>
      </c>
      <c r="Q74" t="s">
        <v>761</v>
      </c>
      <c r="R74" t="s">
        <v>334</v>
      </c>
      <c r="S74" t="s">
        <v>335</v>
      </c>
      <c r="T74" s="3">
        <v>46099.672673611109</v>
      </c>
      <c r="U74" s="3"/>
      <c r="V74" s="3">
        <v>46102.672673611109</v>
      </c>
      <c r="W74" t="s">
        <v>486</v>
      </c>
      <c r="X74" t="s">
        <v>40</v>
      </c>
      <c r="Y74" t="s">
        <v>762</v>
      </c>
      <c r="Z74" t="s">
        <v>338</v>
      </c>
      <c r="AA74" t="s">
        <v>339</v>
      </c>
      <c r="AB74" t="s">
        <v>763</v>
      </c>
    </row>
    <row r="75" spans="1:28" hidden="1" x14ac:dyDescent="0.25">
      <c r="A75" t="s">
        <v>764</v>
      </c>
      <c r="B75" t="s">
        <v>328</v>
      </c>
      <c r="D75" t="s">
        <v>328</v>
      </c>
      <c r="E75" t="s">
        <v>328</v>
      </c>
      <c r="F75" t="s">
        <v>328</v>
      </c>
      <c r="G75" t="s">
        <v>328</v>
      </c>
      <c r="H75" t="s">
        <v>328</v>
      </c>
      <c r="J75">
        <v>2026</v>
      </c>
      <c r="K75" t="s">
        <v>342</v>
      </c>
      <c r="L75" t="s">
        <v>330</v>
      </c>
      <c r="M75" t="s">
        <v>425</v>
      </c>
      <c r="N75" t="s">
        <v>765</v>
      </c>
      <c r="O75">
        <v>787602</v>
      </c>
      <c r="P75">
        <v>8929207</v>
      </c>
      <c r="Q75" t="s">
        <v>766</v>
      </c>
      <c r="R75" t="s">
        <v>347</v>
      </c>
      <c r="S75" t="s">
        <v>335</v>
      </c>
      <c r="T75" s="3">
        <v>46211.436157407406</v>
      </c>
      <c r="U75" s="3"/>
      <c r="V75" s="3">
        <v>46611.436157407406</v>
      </c>
      <c r="W75" t="s">
        <v>500</v>
      </c>
      <c r="X75" t="s">
        <v>141</v>
      </c>
      <c r="Y75" t="s">
        <v>557</v>
      </c>
      <c r="Z75" t="s">
        <v>338</v>
      </c>
      <c r="AA75" t="s">
        <v>558</v>
      </c>
      <c r="AB75" t="s">
        <v>767</v>
      </c>
    </row>
    <row r="76" spans="1:28" hidden="1" x14ac:dyDescent="0.25">
      <c r="A76" t="s">
        <v>768</v>
      </c>
      <c r="B76" t="s">
        <v>328</v>
      </c>
      <c r="D76" t="s">
        <v>328</v>
      </c>
      <c r="E76" t="s">
        <v>328</v>
      </c>
      <c r="F76" t="s">
        <v>328</v>
      </c>
      <c r="G76" t="s">
        <v>328</v>
      </c>
      <c r="H76" t="s">
        <v>328</v>
      </c>
      <c r="J76">
        <v>2026</v>
      </c>
      <c r="K76" t="s">
        <v>342</v>
      </c>
      <c r="L76" t="s">
        <v>330</v>
      </c>
      <c r="M76" t="s">
        <v>526</v>
      </c>
      <c r="N76" t="s">
        <v>769</v>
      </c>
      <c r="O76">
        <v>695371</v>
      </c>
      <c r="P76">
        <v>8916924</v>
      </c>
      <c r="Q76" t="s">
        <v>770</v>
      </c>
      <c r="R76" t="s">
        <v>347</v>
      </c>
      <c r="S76" t="s">
        <v>335</v>
      </c>
      <c r="T76" s="3">
        <v>46211.433587962965</v>
      </c>
      <c r="U76" s="3"/>
      <c r="V76" s="3">
        <v>46611.433587962965</v>
      </c>
      <c r="W76" t="s">
        <v>500</v>
      </c>
      <c r="X76" t="s">
        <v>529</v>
      </c>
      <c r="Y76" t="s">
        <v>557</v>
      </c>
      <c r="Z76" t="s">
        <v>338</v>
      </c>
      <c r="AA76" t="s">
        <v>558</v>
      </c>
      <c r="AB76" t="s">
        <v>771</v>
      </c>
    </row>
    <row r="77" spans="1:28" hidden="1" x14ac:dyDescent="0.25">
      <c r="A77" t="s">
        <v>772</v>
      </c>
      <c r="B77" t="s">
        <v>328</v>
      </c>
      <c r="D77" t="s">
        <v>328</v>
      </c>
      <c r="E77" t="s">
        <v>328</v>
      </c>
      <c r="F77" t="s">
        <v>328</v>
      </c>
      <c r="G77" t="s">
        <v>328</v>
      </c>
      <c r="H77" t="s">
        <v>328</v>
      </c>
      <c r="J77">
        <v>2025</v>
      </c>
      <c r="K77" t="s">
        <v>329</v>
      </c>
      <c r="L77" t="s">
        <v>330</v>
      </c>
      <c r="M77" t="s">
        <v>526</v>
      </c>
      <c r="N77" t="s">
        <v>773</v>
      </c>
      <c r="O77">
        <v>720258</v>
      </c>
      <c r="P77">
        <v>8893131</v>
      </c>
      <c r="Q77" t="s">
        <v>774</v>
      </c>
      <c r="R77" t="s">
        <v>334</v>
      </c>
      <c r="S77" t="s">
        <v>335</v>
      </c>
      <c r="T77" s="3">
        <v>45860.720590277779</v>
      </c>
      <c r="U77" s="3"/>
      <c r="V77" s="3">
        <v>45863.720590277779</v>
      </c>
      <c r="W77" t="s">
        <v>500</v>
      </c>
      <c r="X77" t="s">
        <v>225</v>
      </c>
      <c r="Y77" t="s">
        <v>337</v>
      </c>
      <c r="Z77" t="s">
        <v>357</v>
      </c>
      <c r="AA77" t="s">
        <v>339</v>
      </c>
      <c r="AB77" t="s">
        <v>775</v>
      </c>
    </row>
    <row r="78" spans="1:28" hidden="1" x14ac:dyDescent="0.25">
      <c r="A78" t="s">
        <v>776</v>
      </c>
      <c r="B78" t="s">
        <v>328</v>
      </c>
      <c r="D78" t="s">
        <v>517</v>
      </c>
      <c r="E78" t="s">
        <v>328</v>
      </c>
      <c r="F78" t="s">
        <v>328</v>
      </c>
      <c r="G78" t="s">
        <v>328</v>
      </c>
      <c r="H78" t="s">
        <v>328</v>
      </c>
      <c r="J78">
        <v>2026</v>
      </c>
      <c r="K78" t="s">
        <v>447</v>
      </c>
      <c r="L78" t="s">
        <v>391</v>
      </c>
      <c r="M78" t="s">
        <v>777</v>
      </c>
      <c r="N78" t="s">
        <v>778</v>
      </c>
      <c r="O78">
        <v>792261</v>
      </c>
      <c r="P78">
        <v>8868642</v>
      </c>
      <c r="Q78" t="s">
        <v>779</v>
      </c>
      <c r="R78" t="s">
        <v>403</v>
      </c>
      <c r="S78" t="s">
        <v>335</v>
      </c>
      <c r="T78" s="3">
        <v>46126.392777777779</v>
      </c>
      <c r="U78" s="3"/>
      <c r="V78" s="3">
        <v>46186.392777777779</v>
      </c>
      <c r="W78" t="s">
        <v>486</v>
      </c>
      <c r="X78" t="s">
        <v>120</v>
      </c>
      <c r="Y78" t="s">
        <v>450</v>
      </c>
      <c r="Z78" t="s">
        <v>357</v>
      </c>
      <c r="AA78" t="s">
        <v>461</v>
      </c>
      <c r="AB78" t="s">
        <v>780</v>
      </c>
    </row>
    <row r="79" spans="1:28" x14ac:dyDescent="0.25">
      <c r="T79" s="3"/>
      <c r="U79" s="3"/>
      <c r="V79" s="3"/>
    </row>
  </sheetData>
  <conditionalFormatting sqref="N1:N79">
    <cfRule type="duplicateValues" dxfId="25" priority="4"/>
  </conditionalFormatting>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2"/>
  <dimension ref="A1:K100"/>
  <sheetViews>
    <sheetView zoomScale="85" zoomScaleNormal="85" workbookViewId="0">
      <selection activeCell="C17" sqref="C17"/>
    </sheetView>
  </sheetViews>
  <sheetFormatPr defaultRowHeight="15" x14ac:dyDescent="0.25"/>
  <cols>
    <col min="1" max="1" width="11" style="2" bestFit="1" customWidth="1"/>
    <col min="2" max="2" width="11" style="2" customWidth="1"/>
    <col min="3" max="3" width="12.85546875" style="2" customWidth="1"/>
    <col min="4" max="4" width="16.28515625" style="2" customWidth="1"/>
    <col min="5" max="5" width="29.7109375" style="2" customWidth="1"/>
    <col min="6" max="6" width="14.42578125" style="2" bestFit="1" customWidth="1"/>
    <col min="7" max="7" width="21.5703125" style="2" bestFit="1" customWidth="1"/>
    <col min="8" max="8" width="29.140625" style="2" customWidth="1"/>
    <col min="9" max="9" width="25.140625" style="2" customWidth="1"/>
    <col min="10" max="10" width="11" style="2" customWidth="1"/>
    <col min="11" max="11" width="58" style="6" customWidth="1"/>
    <col min="12" max="16384" width="9.140625" style="2"/>
  </cols>
  <sheetData>
    <row r="1" spans="1:11" x14ac:dyDescent="0.25">
      <c r="A1" t="s">
        <v>0</v>
      </c>
      <c r="B1" t="s">
        <v>781</v>
      </c>
      <c r="C1" t="s">
        <v>20</v>
      </c>
      <c r="D1" t="s">
        <v>782</v>
      </c>
      <c r="E1" t="s">
        <v>783</v>
      </c>
      <c r="F1" t="s">
        <v>784</v>
      </c>
      <c r="G1" t="s">
        <v>785</v>
      </c>
      <c r="H1" t="s">
        <v>786</v>
      </c>
      <c r="I1" t="s">
        <v>3</v>
      </c>
      <c r="J1" t="s">
        <v>4</v>
      </c>
      <c r="K1" s="6" t="s">
        <v>787</v>
      </c>
    </row>
    <row r="2" spans="1:11" x14ac:dyDescent="0.25">
      <c r="A2">
        <v>7908686014</v>
      </c>
      <c r="B2" t="s">
        <v>788</v>
      </c>
      <c r="C2" t="s">
        <v>789</v>
      </c>
      <c r="D2" s="4">
        <v>631</v>
      </c>
      <c r="E2" t="s">
        <v>790</v>
      </c>
      <c r="F2" t="s">
        <v>791</v>
      </c>
      <c r="G2" t="s">
        <v>560</v>
      </c>
      <c r="H2" t="s">
        <v>104</v>
      </c>
      <c r="I2" t="s">
        <v>90</v>
      </c>
      <c r="J2" t="s">
        <v>32</v>
      </c>
      <c r="K2" s="6" t="s">
        <v>564</v>
      </c>
    </row>
    <row r="3" spans="1:11" x14ac:dyDescent="0.25">
      <c r="A3">
        <v>7900535058</v>
      </c>
      <c r="B3" t="s">
        <v>788</v>
      </c>
      <c r="C3" t="s">
        <v>792</v>
      </c>
      <c r="D3" s="4">
        <v>334</v>
      </c>
      <c r="E3" t="s">
        <v>793</v>
      </c>
      <c r="F3" t="s">
        <v>791</v>
      </c>
      <c r="G3" t="s">
        <v>503</v>
      </c>
      <c r="H3" t="s">
        <v>189</v>
      </c>
      <c r="I3" t="s">
        <v>23</v>
      </c>
      <c r="J3" t="s">
        <v>24</v>
      </c>
      <c r="K3" s="6" t="s">
        <v>509</v>
      </c>
    </row>
    <row r="4" spans="1:11" x14ac:dyDescent="0.25">
      <c r="A4">
        <v>7953610256</v>
      </c>
      <c r="B4" t="s">
        <v>788</v>
      </c>
      <c r="C4" t="s">
        <v>794</v>
      </c>
      <c r="D4" s="4">
        <v>142</v>
      </c>
      <c r="E4" t="s">
        <v>795</v>
      </c>
      <c r="F4" t="s">
        <v>791</v>
      </c>
      <c r="G4" t="s">
        <v>759</v>
      </c>
      <c r="H4" t="s">
        <v>40</v>
      </c>
      <c r="I4" t="s">
        <v>41</v>
      </c>
      <c r="J4" t="s">
        <v>32</v>
      </c>
      <c r="K4" s="6" t="s">
        <v>763</v>
      </c>
    </row>
    <row r="5" spans="1:11" x14ac:dyDescent="0.25">
      <c r="A5">
        <v>7942485096</v>
      </c>
      <c r="B5" t="s">
        <v>788</v>
      </c>
      <c r="C5" t="s">
        <v>789</v>
      </c>
      <c r="D5" s="4">
        <v>481</v>
      </c>
      <c r="E5" t="s">
        <v>796</v>
      </c>
      <c r="F5" t="s">
        <v>791</v>
      </c>
      <c r="G5" t="s">
        <v>739</v>
      </c>
      <c r="H5" t="s">
        <v>252</v>
      </c>
      <c r="I5" t="s">
        <v>41</v>
      </c>
      <c r="J5" t="s">
        <v>32</v>
      </c>
      <c r="K5" s="6" t="s">
        <v>742</v>
      </c>
    </row>
    <row r="6" spans="1:11" x14ac:dyDescent="0.25">
      <c r="A6">
        <v>5858783119</v>
      </c>
      <c r="B6" t="s">
        <v>797</v>
      </c>
      <c r="C6" t="s">
        <v>328</v>
      </c>
      <c r="D6" s="4">
        <v>471</v>
      </c>
      <c r="E6" t="s">
        <v>798</v>
      </c>
      <c r="F6" t="s">
        <v>791</v>
      </c>
      <c r="G6" t="s">
        <v>452</v>
      </c>
      <c r="H6" t="s">
        <v>286</v>
      </c>
      <c r="I6" t="s">
        <v>50</v>
      </c>
      <c r="J6" t="s">
        <v>24</v>
      </c>
      <c r="K6" s="6" t="s">
        <v>457</v>
      </c>
    </row>
    <row r="7" spans="1:11" x14ac:dyDescent="0.25">
      <c r="A7" s="7">
        <v>7900230155</v>
      </c>
      <c r="B7" s="7" t="s">
        <v>788</v>
      </c>
      <c r="C7" t="s">
        <v>789</v>
      </c>
      <c r="D7" s="4">
        <v>466</v>
      </c>
      <c r="E7" t="s">
        <v>799</v>
      </c>
      <c r="F7" t="s">
        <v>800</v>
      </c>
      <c r="G7" s="7" t="s">
        <v>801</v>
      </c>
      <c r="H7" t="s">
        <v>133</v>
      </c>
      <c r="I7" t="s">
        <v>87</v>
      </c>
      <c r="J7" t="s">
        <v>24</v>
      </c>
      <c r="K7" s="8" t="e">
        <v>#N/A</v>
      </c>
    </row>
    <row r="8" spans="1:11" x14ac:dyDescent="0.25">
      <c r="A8">
        <v>5853360007</v>
      </c>
      <c r="B8" t="s">
        <v>797</v>
      </c>
      <c r="C8" t="s">
        <v>802</v>
      </c>
      <c r="D8" s="4">
        <v>435</v>
      </c>
      <c r="E8" t="s">
        <v>803</v>
      </c>
      <c r="F8" t="s">
        <v>804</v>
      </c>
      <c r="G8" t="s">
        <v>424</v>
      </c>
      <c r="H8" t="s">
        <v>141</v>
      </c>
      <c r="I8" t="s">
        <v>141</v>
      </c>
      <c r="J8" t="s">
        <v>32</v>
      </c>
      <c r="K8" s="6" t="s">
        <v>428</v>
      </c>
    </row>
    <row r="9" spans="1:11" x14ac:dyDescent="0.25">
      <c r="A9">
        <v>7900453110</v>
      </c>
      <c r="B9" t="s">
        <v>788</v>
      </c>
      <c r="C9" t="s">
        <v>789</v>
      </c>
      <c r="D9" s="4">
        <v>442</v>
      </c>
      <c r="E9" t="s">
        <v>805</v>
      </c>
      <c r="F9" t="s">
        <v>791</v>
      </c>
      <c r="G9" t="s">
        <v>481</v>
      </c>
      <c r="H9" t="s">
        <v>83</v>
      </c>
      <c r="I9" t="s">
        <v>36</v>
      </c>
      <c r="J9" t="s">
        <v>32</v>
      </c>
      <c r="K9" s="6" t="s">
        <v>488</v>
      </c>
    </row>
    <row r="10" spans="1:11" x14ac:dyDescent="0.25">
      <c r="A10">
        <v>7923927122</v>
      </c>
      <c r="B10" t="s">
        <v>788</v>
      </c>
      <c r="C10" t="s">
        <v>789</v>
      </c>
      <c r="D10" s="4">
        <v>437</v>
      </c>
      <c r="E10" t="s">
        <v>806</v>
      </c>
      <c r="F10" t="s">
        <v>791</v>
      </c>
      <c r="G10" t="s">
        <v>610</v>
      </c>
      <c r="H10" t="s">
        <v>120</v>
      </c>
      <c r="I10" t="s">
        <v>120</v>
      </c>
      <c r="J10" t="s">
        <v>32</v>
      </c>
      <c r="K10" s="6" t="s">
        <v>614</v>
      </c>
    </row>
    <row r="11" spans="1:11" x14ac:dyDescent="0.25">
      <c r="A11">
        <v>7900117013</v>
      </c>
      <c r="B11" t="s">
        <v>788</v>
      </c>
      <c r="C11" t="s">
        <v>792</v>
      </c>
      <c r="D11" s="4">
        <v>371</v>
      </c>
      <c r="E11" t="s">
        <v>790</v>
      </c>
      <c r="F11" t="s">
        <v>791</v>
      </c>
      <c r="G11" t="s">
        <v>474</v>
      </c>
      <c r="H11" t="s">
        <v>90</v>
      </c>
      <c r="I11" t="s">
        <v>90</v>
      </c>
      <c r="J11" t="s">
        <v>32</v>
      </c>
      <c r="K11" s="6" t="s">
        <v>480</v>
      </c>
    </row>
    <row r="12" spans="1:11" x14ac:dyDescent="0.25">
      <c r="A12">
        <v>7922995039</v>
      </c>
      <c r="B12" t="s">
        <v>788</v>
      </c>
      <c r="C12" t="s">
        <v>802</v>
      </c>
      <c r="D12" s="4">
        <v>405</v>
      </c>
      <c r="E12" t="s">
        <v>807</v>
      </c>
      <c r="F12" t="s">
        <v>800</v>
      </c>
      <c r="G12" t="s">
        <v>808</v>
      </c>
      <c r="H12" t="s">
        <v>206</v>
      </c>
      <c r="I12" t="s">
        <v>61</v>
      </c>
      <c r="J12" t="s">
        <v>24</v>
      </c>
      <c r="K12" s="2" t="e">
        <v>#N/A</v>
      </c>
    </row>
    <row r="13" spans="1:11" x14ac:dyDescent="0.25">
      <c r="A13">
        <v>7900532053</v>
      </c>
      <c r="B13" t="s">
        <v>788</v>
      </c>
      <c r="C13" t="s">
        <v>789</v>
      </c>
      <c r="D13" s="4">
        <v>408</v>
      </c>
      <c r="E13" t="s">
        <v>809</v>
      </c>
      <c r="F13" t="s">
        <v>791</v>
      </c>
      <c r="G13" t="s">
        <v>496</v>
      </c>
      <c r="H13" t="s">
        <v>290</v>
      </c>
      <c r="I13" t="s">
        <v>50</v>
      </c>
      <c r="J13" t="s">
        <v>24</v>
      </c>
      <c r="K13" s="6" t="s">
        <v>502</v>
      </c>
    </row>
    <row r="14" spans="1:11" x14ac:dyDescent="0.25">
      <c r="A14">
        <v>7920024127</v>
      </c>
      <c r="B14" t="s">
        <v>788</v>
      </c>
      <c r="C14" t="s">
        <v>802</v>
      </c>
      <c r="D14" s="4">
        <v>401</v>
      </c>
      <c r="E14" t="s">
        <v>810</v>
      </c>
      <c r="F14" t="s">
        <v>791</v>
      </c>
      <c r="G14" t="s">
        <v>593</v>
      </c>
      <c r="H14" t="s">
        <v>49</v>
      </c>
      <c r="I14" t="s">
        <v>50</v>
      </c>
      <c r="J14" t="s">
        <v>24</v>
      </c>
      <c r="K14" s="6" t="s">
        <v>597</v>
      </c>
    </row>
    <row r="15" spans="1:11" x14ac:dyDescent="0.25">
      <c r="A15">
        <v>7928564039</v>
      </c>
      <c r="B15" t="s">
        <v>788</v>
      </c>
      <c r="C15" t="s">
        <v>789</v>
      </c>
      <c r="D15" s="4">
        <v>405</v>
      </c>
      <c r="E15" t="s">
        <v>799</v>
      </c>
      <c r="F15" t="s">
        <v>791</v>
      </c>
      <c r="G15" t="s">
        <v>676</v>
      </c>
      <c r="H15" t="s">
        <v>206</v>
      </c>
      <c r="I15" t="s">
        <v>61</v>
      </c>
      <c r="J15" t="s">
        <v>24</v>
      </c>
      <c r="K15" s="6" t="s">
        <v>680</v>
      </c>
    </row>
    <row r="16" spans="1:11" x14ac:dyDescent="0.25">
      <c r="A16">
        <v>7957126085</v>
      </c>
      <c r="B16" t="s">
        <v>788</v>
      </c>
      <c r="C16" t="s">
        <v>789</v>
      </c>
      <c r="D16" s="4">
        <v>398</v>
      </c>
      <c r="E16" t="s">
        <v>796</v>
      </c>
      <c r="F16" t="s">
        <v>791</v>
      </c>
      <c r="G16" t="s">
        <v>772</v>
      </c>
      <c r="H16" t="s">
        <v>225</v>
      </c>
      <c r="I16" t="s">
        <v>90</v>
      </c>
      <c r="J16" t="s">
        <v>32</v>
      </c>
      <c r="K16" s="6" t="s">
        <v>775</v>
      </c>
    </row>
    <row r="17" spans="1:11" x14ac:dyDescent="0.25">
      <c r="A17">
        <v>5856156091</v>
      </c>
      <c r="B17" t="s">
        <v>797</v>
      </c>
      <c r="C17" t="s">
        <v>328</v>
      </c>
      <c r="D17" s="4">
        <v>387</v>
      </c>
      <c r="E17" t="s">
        <v>811</v>
      </c>
      <c r="F17" t="s">
        <v>812</v>
      </c>
      <c r="G17" t="s">
        <v>446</v>
      </c>
      <c r="H17" t="s">
        <v>64</v>
      </c>
      <c r="I17" t="s">
        <v>65</v>
      </c>
      <c r="J17" t="s">
        <v>58</v>
      </c>
      <c r="K17" s="6" t="s">
        <v>451</v>
      </c>
    </row>
    <row r="18" spans="1:11" x14ac:dyDescent="0.25">
      <c r="A18">
        <v>5854566043</v>
      </c>
      <c r="B18" t="s">
        <v>797</v>
      </c>
      <c r="C18" t="s">
        <v>792</v>
      </c>
      <c r="D18" s="4">
        <v>350</v>
      </c>
      <c r="E18" t="s">
        <v>813</v>
      </c>
      <c r="F18" t="s">
        <v>791</v>
      </c>
      <c r="G18" t="s">
        <v>429</v>
      </c>
      <c r="H18" t="s">
        <v>74</v>
      </c>
      <c r="I18" t="s">
        <v>36</v>
      </c>
      <c r="J18" t="s">
        <v>32</v>
      </c>
      <c r="K18" s="6" t="s">
        <v>434</v>
      </c>
    </row>
    <row r="19" spans="1:11" x14ac:dyDescent="0.25">
      <c r="A19">
        <v>7927446001</v>
      </c>
      <c r="B19" t="s">
        <v>788</v>
      </c>
      <c r="C19" t="s">
        <v>789</v>
      </c>
      <c r="D19" s="4">
        <v>377</v>
      </c>
      <c r="E19" t="s">
        <v>814</v>
      </c>
      <c r="F19" t="s">
        <v>791</v>
      </c>
      <c r="G19" t="s">
        <v>663</v>
      </c>
      <c r="H19" t="s">
        <v>36</v>
      </c>
      <c r="I19" t="s">
        <v>36</v>
      </c>
      <c r="J19" t="s">
        <v>32</v>
      </c>
      <c r="K19" s="6" t="s">
        <v>666</v>
      </c>
    </row>
    <row r="20" spans="1:11" x14ac:dyDescent="0.25">
      <c r="A20">
        <v>7930428001</v>
      </c>
      <c r="B20" t="s">
        <v>788</v>
      </c>
      <c r="C20" t="s">
        <v>789</v>
      </c>
      <c r="D20" s="4">
        <v>372</v>
      </c>
      <c r="E20" t="s">
        <v>815</v>
      </c>
      <c r="F20" t="s">
        <v>816</v>
      </c>
      <c r="G20" t="s">
        <v>817</v>
      </c>
      <c r="H20" t="s">
        <v>36</v>
      </c>
      <c r="I20" t="s">
        <v>36</v>
      </c>
      <c r="J20" t="s">
        <v>32</v>
      </c>
      <c r="K20" s="2" t="e">
        <v>#N/A</v>
      </c>
    </row>
    <row r="21" spans="1:11" x14ac:dyDescent="0.25">
      <c r="A21">
        <v>7928241200</v>
      </c>
      <c r="B21" t="s">
        <v>788</v>
      </c>
      <c r="C21" t="s">
        <v>789</v>
      </c>
      <c r="D21" s="4">
        <v>369</v>
      </c>
      <c r="E21" t="s">
        <v>799</v>
      </c>
      <c r="F21" t="s">
        <v>791</v>
      </c>
      <c r="G21" t="s">
        <v>671</v>
      </c>
      <c r="H21" t="s">
        <v>192</v>
      </c>
      <c r="I21" t="s">
        <v>107</v>
      </c>
      <c r="J21" t="s">
        <v>58</v>
      </c>
      <c r="K21" s="6" t="s">
        <v>675</v>
      </c>
    </row>
    <row r="22" spans="1:11" x14ac:dyDescent="0.25">
      <c r="A22">
        <v>5800371025</v>
      </c>
      <c r="B22" t="s">
        <v>797</v>
      </c>
      <c r="C22" t="s">
        <v>792</v>
      </c>
      <c r="D22" s="4">
        <v>319</v>
      </c>
      <c r="E22" t="s">
        <v>818</v>
      </c>
      <c r="F22" t="s">
        <v>791</v>
      </c>
      <c r="G22" t="s">
        <v>350</v>
      </c>
      <c r="H22" t="s">
        <v>86</v>
      </c>
      <c r="I22" t="s">
        <v>87</v>
      </c>
      <c r="J22" t="s">
        <v>24</v>
      </c>
      <c r="K22" s="6" t="s">
        <v>358</v>
      </c>
    </row>
    <row r="23" spans="1:11" x14ac:dyDescent="0.25">
      <c r="A23">
        <v>7955520116</v>
      </c>
      <c r="B23" t="s">
        <v>788</v>
      </c>
      <c r="C23" t="s">
        <v>789</v>
      </c>
      <c r="D23" s="4">
        <v>362</v>
      </c>
      <c r="E23" t="s">
        <v>815</v>
      </c>
      <c r="F23" t="s">
        <v>816</v>
      </c>
      <c r="G23" t="s">
        <v>819</v>
      </c>
      <c r="H23" t="s">
        <v>117</v>
      </c>
      <c r="I23" t="s">
        <v>65</v>
      </c>
      <c r="J23" t="s">
        <v>58</v>
      </c>
      <c r="K23" s="2" t="e">
        <v>#N/A</v>
      </c>
    </row>
    <row r="24" spans="1:11" x14ac:dyDescent="0.25">
      <c r="A24">
        <v>5844630060</v>
      </c>
      <c r="B24" t="s">
        <v>797</v>
      </c>
      <c r="C24" t="s">
        <v>802</v>
      </c>
      <c r="D24" s="4">
        <v>336</v>
      </c>
      <c r="E24" t="s">
        <v>820</v>
      </c>
      <c r="F24" t="s">
        <v>791</v>
      </c>
      <c r="G24" t="s">
        <v>411</v>
      </c>
      <c r="H24" t="s">
        <v>233</v>
      </c>
      <c r="I24" t="s">
        <v>87</v>
      </c>
      <c r="J24" t="s">
        <v>24</v>
      </c>
      <c r="K24" s="6" t="s">
        <v>416</v>
      </c>
    </row>
    <row r="25" spans="1:11" x14ac:dyDescent="0.25">
      <c r="A25">
        <v>7908705049</v>
      </c>
      <c r="B25" t="s">
        <v>788</v>
      </c>
      <c r="C25" t="s">
        <v>789</v>
      </c>
      <c r="D25" s="4">
        <v>357</v>
      </c>
      <c r="E25" t="s">
        <v>821</v>
      </c>
      <c r="F25" t="s">
        <v>812</v>
      </c>
      <c r="G25" t="s">
        <v>565</v>
      </c>
      <c r="H25" t="s">
        <v>124</v>
      </c>
      <c r="I25" t="s">
        <v>65</v>
      </c>
      <c r="J25" t="s">
        <v>58</v>
      </c>
      <c r="K25" s="6" t="s">
        <v>569</v>
      </c>
    </row>
    <row r="26" spans="1:11" x14ac:dyDescent="0.25">
      <c r="A26">
        <v>5800438116</v>
      </c>
      <c r="B26" t="s">
        <v>797</v>
      </c>
      <c r="C26" t="s">
        <v>789</v>
      </c>
      <c r="D26" s="4">
        <v>355</v>
      </c>
      <c r="E26" t="s">
        <v>822</v>
      </c>
      <c r="F26" t="s">
        <v>812</v>
      </c>
      <c r="G26" t="s">
        <v>359</v>
      </c>
      <c r="H26" t="s">
        <v>117</v>
      </c>
      <c r="I26" t="s">
        <v>65</v>
      </c>
      <c r="J26" t="s">
        <v>58</v>
      </c>
      <c r="K26" s="6" t="s">
        <v>364</v>
      </c>
    </row>
    <row r="27" spans="1:11" x14ac:dyDescent="0.25">
      <c r="A27">
        <v>5856070091</v>
      </c>
      <c r="B27" t="s">
        <v>797</v>
      </c>
      <c r="C27" t="s">
        <v>328</v>
      </c>
      <c r="D27" s="4">
        <v>355</v>
      </c>
      <c r="E27" t="s">
        <v>799</v>
      </c>
      <c r="F27" t="s">
        <v>791</v>
      </c>
      <c r="G27" t="s">
        <v>440</v>
      </c>
      <c r="H27" t="s">
        <v>64</v>
      </c>
      <c r="I27" t="s">
        <v>65</v>
      </c>
      <c r="J27" t="s">
        <v>58</v>
      </c>
      <c r="K27" s="6" t="s">
        <v>445</v>
      </c>
    </row>
    <row r="28" spans="1:11" x14ac:dyDescent="0.25">
      <c r="A28">
        <v>5850308009</v>
      </c>
      <c r="B28" t="s">
        <v>797</v>
      </c>
      <c r="C28" t="s">
        <v>789</v>
      </c>
      <c r="D28" s="4">
        <v>327</v>
      </c>
      <c r="E28" t="s">
        <v>799</v>
      </c>
      <c r="F28" t="s">
        <v>791</v>
      </c>
      <c r="G28" t="s">
        <v>417</v>
      </c>
      <c r="H28" t="s">
        <v>81</v>
      </c>
      <c r="I28" t="s">
        <v>81</v>
      </c>
      <c r="J28" t="s">
        <v>24</v>
      </c>
      <c r="K28" s="6" t="s">
        <v>423</v>
      </c>
    </row>
    <row r="29" spans="1:11" x14ac:dyDescent="0.25">
      <c r="A29">
        <v>5827102054</v>
      </c>
      <c r="B29" t="s">
        <v>797</v>
      </c>
      <c r="C29" t="s">
        <v>789</v>
      </c>
      <c r="D29" s="4">
        <v>315</v>
      </c>
      <c r="E29" t="s">
        <v>811</v>
      </c>
      <c r="F29" t="s">
        <v>804</v>
      </c>
      <c r="G29" t="s">
        <v>397</v>
      </c>
      <c r="H29" t="s">
        <v>183</v>
      </c>
      <c r="I29" t="s">
        <v>90</v>
      </c>
      <c r="J29" t="s">
        <v>32</v>
      </c>
      <c r="K29" s="6" t="s">
        <v>404</v>
      </c>
    </row>
    <row r="30" spans="1:11" x14ac:dyDescent="0.25">
      <c r="A30">
        <v>7903112004</v>
      </c>
      <c r="B30" t="s">
        <v>788</v>
      </c>
      <c r="C30" t="s">
        <v>802</v>
      </c>
      <c r="D30" s="4">
        <v>308</v>
      </c>
      <c r="E30" t="s">
        <v>823</v>
      </c>
      <c r="F30" t="s">
        <v>791</v>
      </c>
      <c r="G30" t="s">
        <v>532</v>
      </c>
      <c r="H30" t="s">
        <v>23</v>
      </c>
      <c r="I30" t="s">
        <v>23</v>
      </c>
      <c r="J30" t="s">
        <v>24</v>
      </c>
      <c r="K30" s="6" t="s">
        <v>536</v>
      </c>
    </row>
    <row r="31" spans="1:11" x14ac:dyDescent="0.25">
      <c r="A31">
        <v>5803327001</v>
      </c>
      <c r="B31" t="s">
        <v>797</v>
      </c>
      <c r="C31" t="s">
        <v>789</v>
      </c>
      <c r="D31" s="4">
        <v>307</v>
      </c>
      <c r="E31" t="s">
        <v>822</v>
      </c>
      <c r="F31" t="s">
        <v>804</v>
      </c>
      <c r="G31" t="s">
        <v>389</v>
      </c>
      <c r="H31" t="s">
        <v>36</v>
      </c>
      <c r="I31" t="s">
        <v>36</v>
      </c>
      <c r="J31" t="s">
        <v>32</v>
      </c>
      <c r="K31" s="6" t="s">
        <v>396</v>
      </c>
    </row>
    <row r="32" spans="1:11" x14ac:dyDescent="0.25">
      <c r="A32">
        <v>5855411017</v>
      </c>
      <c r="B32" t="s">
        <v>797</v>
      </c>
      <c r="C32" t="s">
        <v>789</v>
      </c>
      <c r="D32" s="4">
        <v>308</v>
      </c>
      <c r="E32" t="s">
        <v>824</v>
      </c>
      <c r="F32" t="s">
        <v>791</v>
      </c>
      <c r="G32" t="s">
        <v>435</v>
      </c>
      <c r="H32" t="s">
        <v>236</v>
      </c>
      <c r="I32" t="s">
        <v>141</v>
      </c>
      <c r="J32" t="s">
        <v>32</v>
      </c>
      <c r="K32" s="6" t="s">
        <v>439</v>
      </c>
    </row>
    <row r="33" spans="1:11" x14ac:dyDescent="0.25">
      <c r="A33">
        <v>7933766059</v>
      </c>
      <c r="B33" t="s">
        <v>788</v>
      </c>
      <c r="C33" t="s">
        <v>802</v>
      </c>
      <c r="D33" s="4">
        <v>273</v>
      </c>
      <c r="E33" t="s">
        <v>822</v>
      </c>
      <c r="F33" t="s">
        <v>804</v>
      </c>
      <c r="G33" t="s">
        <v>730</v>
      </c>
      <c r="H33" t="s">
        <v>120</v>
      </c>
      <c r="I33" t="s">
        <v>31</v>
      </c>
      <c r="J33" t="s">
        <v>32</v>
      </c>
      <c r="K33" s="6" t="s">
        <v>733</v>
      </c>
    </row>
    <row r="34" spans="1:11" x14ac:dyDescent="0.25">
      <c r="A34">
        <v>7931610122</v>
      </c>
      <c r="B34" t="s">
        <v>788</v>
      </c>
      <c r="C34" t="s">
        <v>802</v>
      </c>
      <c r="D34" s="4">
        <v>271</v>
      </c>
      <c r="E34" t="s">
        <v>822</v>
      </c>
      <c r="F34" t="s">
        <v>804</v>
      </c>
      <c r="G34" t="s">
        <v>712</v>
      </c>
      <c r="H34" t="s">
        <v>120</v>
      </c>
      <c r="I34" t="s">
        <v>120</v>
      </c>
      <c r="J34" t="s">
        <v>32</v>
      </c>
      <c r="K34" s="6" t="s">
        <v>714</v>
      </c>
    </row>
    <row r="35" spans="1:11" x14ac:dyDescent="0.25">
      <c r="A35">
        <v>7900573047</v>
      </c>
      <c r="B35" t="s">
        <v>788</v>
      </c>
      <c r="C35" t="s">
        <v>789</v>
      </c>
      <c r="D35" s="4">
        <v>272</v>
      </c>
      <c r="E35" t="s">
        <v>825</v>
      </c>
      <c r="F35" t="s">
        <v>791</v>
      </c>
      <c r="G35" t="s">
        <v>510</v>
      </c>
      <c r="H35" t="s">
        <v>111</v>
      </c>
      <c r="I35" t="s">
        <v>112</v>
      </c>
      <c r="J35" t="s">
        <v>58</v>
      </c>
      <c r="K35" s="6" t="s">
        <v>515</v>
      </c>
    </row>
    <row r="36" spans="1:11" x14ac:dyDescent="0.25">
      <c r="A36">
        <v>7947203070</v>
      </c>
      <c r="B36" t="s">
        <v>788</v>
      </c>
      <c r="C36" t="s">
        <v>802</v>
      </c>
      <c r="D36" s="4">
        <v>227</v>
      </c>
      <c r="E36" t="s">
        <v>799</v>
      </c>
      <c r="F36" t="s">
        <v>791</v>
      </c>
      <c r="G36" t="s">
        <v>753</v>
      </c>
      <c r="H36" t="s">
        <v>30</v>
      </c>
      <c r="I36" t="s">
        <v>120</v>
      </c>
      <c r="J36" t="s">
        <v>32</v>
      </c>
      <c r="K36" s="6" t="s">
        <v>758</v>
      </c>
    </row>
    <row r="37" spans="1:11" x14ac:dyDescent="0.25">
      <c r="A37">
        <v>7938137007</v>
      </c>
      <c r="B37" t="s">
        <v>788</v>
      </c>
      <c r="C37" t="s">
        <v>792</v>
      </c>
      <c r="D37" s="4">
        <v>194</v>
      </c>
      <c r="E37" t="s">
        <v>826</v>
      </c>
      <c r="F37" t="s">
        <v>816</v>
      </c>
      <c r="G37" t="s">
        <v>827</v>
      </c>
      <c r="H37" t="s">
        <v>141</v>
      </c>
      <c r="I37" t="s">
        <v>141</v>
      </c>
      <c r="J37" t="s">
        <v>32</v>
      </c>
      <c r="K37" s="2" t="e">
        <v>#N/A</v>
      </c>
    </row>
    <row r="38" spans="1:11" x14ac:dyDescent="0.25">
      <c r="A38">
        <v>7925087021</v>
      </c>
      <c r="B38" t="s">
        <v>788</v>
      </c>
      <c r="C38" t="s">
        <v>802</v>
      </c>
      <c r="D38" s="4">
        <v>212</v>
      </c>
      <c r="E38" t="s">
        <v>828</v>
      </c>
      <c r="F38" t="s">
        <v>791</v>
      </c>
      <c r="G38" t="s">
        <v>615</v>
      </c>
      <c r="H38" t="s">
        <v>106</v>
      </c>
      <c r="I38" t="s">
        <v>107</v>
      </c>
      <c r="J38" t="s">
        <v>58</v>
      </c>
      <c r="K38" s="6" t="s">
        <v>619</v>
      </c>
    </row>
    <row r="39" spans="1:11" x14ac:dyDescent="0.25">
      <c r="A39">
        <v>5800961074</v>
      </c>
      <c r="B39" t="s">
        <v>797</v>
      </c>
      <c r="C39" t="s">
        <v>789</v>
      </c>
      <c r="D39" s="4">
        <v>215</v>
      </c>
      <c r="E39" t="s">
        <v>829</v>
      </c>
      <c r="F39" t="s">
        <v>791</v>
      </c>
      <c r="G39" t="s">
        <v>374</v>
      </c>
      <c r="H39" t="s">
        <v>65</v>
      </c>
      <c r="I39" t="s">
        <v>65</v>
      </c>
      <c r="J39" t="s">
        <v>58</v>
      </c>
      <c r="K39" s="6" t="s">
        <v>380</v>
      </c>
    </row>
    <row r="40" spans="1:11" x14ac:dyDescent="0.25">
      <c r="A40">
        <v>7927713200</v>
      </c>
      <c r="B40" t="s">
        <v>788</v>
      </c>
      <c r="C40" t="s">
        <v>789</v>
      </c>
      <c r="D40" s="4">
        <v>219</v>
      </c>
      <c r="E40" t="s">
        <v>815</v>
      </c>
      <c r="F40" t="s">
        <v>816</v>
      </c>
      <c r="G40" t="s">
        <v>830</v>
      </c>
      <c r="H40" t="s">
        <v>192</v>
      </c>
      <c r="I40" t="s">
        <v>107</v>
      </c>
      <c r="J40" t="s">
        <v>58</v>
      </c>
      <c r="K40" s="2" t="e">
        <v>#N/A</v>
      </c>
    </row>
    <row r="41" spans="1:11" x14ac:dyDescent="0.25">
      <c r="A41">
        <v>7937102148</v>
      </c>
      <c r="B41" t="s">
        <v>788</v>
      </c>
      <c r="C41" t="s">
        <v>802</v>
      </c>
      <c r="D41" s="4">
        <v>202</v>
      </c>
      <c r="E41" t="s">
        <v>799</v>
      </c>
      <c r="F41" t="s">
        <v>791</v>
      </c>
      <c r="G41" t="s">
        <v>734</v>
      </c>
      <c r="H41" t="s">
        <v>194</v>
      </c>
      <c r="I41" t="s">
        <v>107</v>
      </c>
      <c r="J41" t="s">
        <v>58</v>
      </c>
      <c r="K41" s="6" t="s">
        <v>738</v>
      </c>
    </row>
    <row r="42" spans="1:11" x14ac:dyDescent="0.25">
      <c r="A42">
        <v>5862236091</v>
      </c>
      <c r="B42" t="s">
        <v>797</v>
      </c>
      <c r="C42" t="s">
        <v>328</v>
      </c>
      <c r="D42" s="4">
        <v>212</v>
      </c>
      <c r="E42" t="s">
        <v>828</v>
      </c>
      <c r="F42" t="s">
        <v>791</v>
      </c>
      <c r="G42" t="s">
        <v>463</v>
      </c>
      <c r="H42" t="s">
        <v>64</v>
      </c>
      <c r="I42" t="s">
        <v>65</v>
      </c>
      <c r="J42" t="s">
        <v>58</v>
      </c>
      <c r="K42" s="6" t="s">
        <v>467</v>
      </c>
    </row>
    <row r="43" spans="1:11" x14ac:dyDescent="0.25">
      <c r="A43">
        <v>5840227063</v>
      </c>
      <c r="B43" t="s">
        <v>797</v>
      </c>
      <c r="C43" t="s">
        <v>792</v>
      </c>
      <c r="D43" s="4">
        <v>166</v>
      </c>
      <c r="E43" t="s">
        <v>831</v>
      </c>
      <c r="F43" t="s">
        <v>816</v>
      </c>
      <c r="G43" t="s">
        <v>832</v>
      </c>
      <c r="H43" t="s">
        <v>159</v>
      </c>
      <c r="I43" t="s">
        <v>87</v>
      </c>
      <c r="J43" t="s">
        <v>24</v>
      </c>
      <c r="K43" s="2" t="e">
        <v>#N/A</v>
      </c>
    </row>
    <row r="44" spans="1:11" x14ac:dyDescent="0.25">
      <c r="A44">
        <v>7901110084</v>
      </c>
      <c r="B44" t="s">
        <v>788</v>
      </c>
      <c r="C44" t="s">
        <v>789</v>
      </c>
      <c r="D44" s="4">
        <v>203</v>
      </c>
      <c r="E44" t="s">
        <v>833</v>
      </c>
      <c r="F44" t="s">
        <v>791</v>
      </c>
      <c r="G44" t="s">
        <v>523</v>
      </c>
      <c r="H44" t="s">
        <v>150</v>
      </c>
      <c r="I44" t="s">
        <v>150</v>
      </c>
      <c r="J44" t="s">
        <v>32</v>
      </c>
      <c r="K44" s="6" t="s">
        <v>531</v>
      </c>
    </row>
    <row r="45" spans="1:11" x14ac:dyDescent="0.25">
      <c r="A45">
        <v>7931608059</v>
      </c>
      <c r="B45" t="s">
        <v>788</v>
      </c>
      <c r="C45" t="s">
        <v>792</v>
      </c>
      <c r="D45" s="4">
        <v>161</v>
      </c>
      <c r="E45" t="s">
        <v>834</v>
      </c>
      <c r="F45" t="s">
        <v>791</v>
      </c>
      <c r="G45" t="s">
        <v>695</v>
      </c>
      <c r="H45" t="s">
        <v>120</v>
      </c>
      <c r="I45" t="s">
        <v>31</v>
      </c>
      <c r="J45" t="s">
        <v>32</v>
      </c>
      <c r="K45" s="6" t="s">
        <v>700</v>
      </c>
    </row>
    <row r="46" spans="1:11" x14ac:dyDescent="0.25">
      <c r="A46">
        <v>5820790038</v>
      </c>
      <c r="B46" t="s">
        <v>797</v>
      </c>
      <c r="C46" t="s">
        <v>794</v>
      </c>
      <c r="D46" s="4">
        <v>11</v>
      </c>
      <c r="E46" t="s">
        <v>835</v>
      </c>
      <c r="F46" t="s">
        <v>800</v>
      </c>
      <c r="G46" t="s">
        <v>836</v>
      </c>
      <c r="H46" t="s">
        <v>297</v>
      </c>
      <c r="I46" t="s">
        <v>65</v>
      </c>
      <c r="J46" t="s">
        <v>58</v>
      </c>
      <c r="K46" s="2" t="e">
        <v>#N/A</v>
      </c>
    </row>
    <row r="47" spans="1:11" x14ac:dyDescent="0.25">
      <c r="A47">
        <v>7927646026</v>
      </c>
      <c r="B47" t="s">
        <v>788</v>
      </c>
      <c r="C47" t="s">
        <v>802</v>
      </c>
      <c r="D47" s="4">
        <v>180</v>
      </c>
      <c r="E47" t="s">
        <v>837</v>
      </c>
      <c r="F47" t="s">
        <v>791</v>
      </c>
      <c r="G47" t="s">
        <v>667</v>
      </c>
      <c r="H47" t="s">
        <v>41</v>
      </c>
      <c r="I47" t="s">
        <v>41</v>
      </c>
      <c r="J47" t="s">
        <v>32</v>
      </c>
      <c r="K47" s="6" t="s">
        <v>670</v>
      </c>
    </row>
    <row r="48" spans="1:11" x14ac:dyDescent="0.25">
      <c r="A48">
        <v>7927169001</v>
      </c>
      <c r="B48" t="s">
        <v>788</v>
      </c>
      <c r="C48" t="s">
        <v>789</v>
      </c>
      <c r="D48" s="4">
        <v>173</v>
      </c>
      <c r="E48" t="s">
        <v>822</v>
      </c>
      <c r="F48" t="s">
        <v>804</v>
      </c>
      <c r="G48" t="s">
        <v>648</v>
      </c>
      <c r="H48" t="s">
        <v>36</v>
      </c>
      <c r="I48" t="s">
        <v>36</v>
      </c>
      <c r="J48" t="s">
        <v>32</v>
      </c>
      <c r="K48" s="6" t="s">
        <v>651</v>
      </c>
    </row>
    <row r="49" spans="1:11" x14ac:dyDescent="0.25">
      <c r="A49">
        <v>7908708116</v>
      </c>
      <c r="B49" t="s">
        <v>788</v>
      </c>
      <c r="C49" t="s">
        <v>789</v>
      </c>
      <c r="D49" s="4">
        <v>167</v>
      </c>
      <c r="E49" t="s">
        <v>815</v>
      </c>
      <c r="F49" t="s">
        <v>816</v>
      </c>
      <c r="G49" t="s">
        <v>838</v>
      </c>
      <c r="H49" t="s">
        <v>117</v>
      </c>
      <c r="I49" t="s">
        <v>65</v>
      </c>
      <c r="J49" t="s">
        <v>58</v>
      </c>
      <c r="K49" s="2" t="e">
        <v>#N/A</v>
      </c>
    </row>
    <row r="50" spans="1:11" x14ac:dyDescent="0.25">
      <c r="A50">
        <v>7908249152</v>
      </c>
      <c r="B50" t="s">
        <v>788</v>
      </c>
      <c r="C50" t="s">
        <v>789</v>
      </c>
      <c r="D50" s="4">
        <v>167</v>
      </c>
      <c r="E50" t="s">
        <v>834</v>
      </c>
      <c r="F50" t="s">
        <v>791</v>
      </c>
      <c r="G50" t="s">
        <v>549</v>
      </c>
      <c r="H50" t="s">
        <v>203</v>
      </c>
      <c r="I50" t="s">
        <v>36</v>
      </c>
      <c r="J50" t="s">
        <v>32</v>
      </c>
      <c r="K50" s="6" t="s">
        <v>552</v>
      </c>
    </row>
    <row r="51" spans="1:11" x14ac:dyDescent="0.25">
      <c r="A51">
        <v>7933585074</v>
      </c>
      <c r="B51" t="s">
        <v>788</v>
      </c>
      <c r="C51" t="s">
        <v>789</v>
      </c>
      <c r="D51" s="4">
        <v>162</v>
      </c>
      <c r="E51" t="s">
        <v>839</v>
      </c>
      <c r="F51" t="s">
        <v>791</v>
      </c>
      <c r="G51" t="s">
        <v>715</v>
      </c>
      <c r="H51" t="s">
        <v>65</v>
      </c>
      <c r="I51" t="s">
        <v>65</v>
      </c>
      <c r="J51" t="s">
        <v>58</v>
      </c>
      <c r="K51" s="6" t="s">
        <v>718</v>
      </c>
    </row>
    <row r="52" spans="1:11" x14ac:dyDescent="0.25">
      <c r="A52">
        <v>7954668084</v>
      </c>
      <c r="B52" t="s">
        <v>788</v>
      </c>
      <c r="C52" t="s">
        <v>789</v>
      </c>
      <c r="D52" s="4">
        <v>155</v>
      </c>
      <c r="E52" t="s">
        <v>831</v>
      </c>
      <c r="F52" t="s">
        <v>816</v>
      </c>
      <c r="G52" t="s">
        <v>840</v>
      </c>
      <c r="H52" t="s">
        <v>150</v>
      </c>
      <c r="I52" t="s">
        <v>150</v>
      </c>
      <c r="J52" t="s">
        <v>32</v>
      </c>
      <c r="K52" s="2" t="e">
        <v>#N/A</v>
      </c>
    </row>
    <row r="53" spans="1:11" x14ac:dyDescent="0.25">
      <c r="A53">
        <v>7925744087</v>
      </c>
      <c r="B53" t="s">
        <v>788</v>
      </c>
      <c r="C53" t="s">
        <v>789</v>
      </c>
      <c r="D53" s="4">
        <v>149</v>
      </c>
      <c r="E53" t="s">
        <v>841</v>
      </c>
      <c r="F53" t="s">
        <v>791</v>
      </c>
      <c r="G53" t="s">
        <v>625</v>
      </c>
      <c r="H53" t="s">
        <v>80</v>
      </c>
      <c r="I53" t="s">
        <v>81</v>
      </c>
      <c r="J53" t="s">
        <v>24</v>
      </c>
      <c r="K53" s="6" t="s">
        <v>630</v>
      </c>
    </row>
    <row r="54" spans="1:11" x14ac:dyDescent="0.25">
      <c r="A54">
        <v>5865120195</v>
      </c>
      <c r="B54" t="s">
        <v>797</v>
      </c>
      <c r="C54" t="s">
        <v>328</v>
      </c>
      <c r="D54" s="4">
        <v>147</v>
      </c>
      <c r="E54" t="s">
        <v>842</v>
      </c>
      <c r="F54" t="s">
        <v>843</v>
      </c>
      <c r="G54" t="s">
        <v>468</v>
      </c>
      <c r="H54" t="s">
        <v>138</v>
      </c>
      <c r="I54" t="s">
        <v>81</v>
      </c>
      <c r="J54" t="s">
        <v>24</v>
      </c>
      <c r="K54" s="6" t="s">
        <v>473</v>
      </c>
    </row>
    <row r="55" spans="1:11" x14ac:dyDescent="0.25">
      <c r="A55">
        <v>7921202014</v>
      </c>
      <c r="B55" t="s">
        <v>788</v>
      </c>
      <c r="C55" t="s">
        <v>789</v>
      </c>
      <c r="D55" s="4">
        <v>143</v>
      </c>
      <c r="E55" t="s">
        <v>799</v>
      </c>
      <c r="F55" t="s">
        <v>791</v>
      </c>
      <c r="G55" t="s">
        <v>598</v>
      </c>
      <c r="H55" t="s">
        <v>104</v>
      </c>
      <c r="I55" t="s">
        <v>90</v>
      </c>
      <c r="J55" t="s">
        <v>32</v>
      </c>
      <c r="K55" s="6" t="s">
        <v>604</v>
      </c>
    </row>
    <row r="56" spans="1:11" x14ac:dyDescent="0.25">
      <c r="A56">
        <v>7926442035</v>
      </c>
      <c r="B56" t="s">
        <v>788</v>
      </c>
      <c r="C56" t="s">
        <v>789</v>
      </c>
      <c r="D56" s="4">
        <v>140</v>
      </c>
      <c r="E56" t="s">
        <v>795</v>
      </c>
      <c r="F56" t="s">
        <v>791</v>
      </c>
      <c r="G56" t="s">
        <v>644</v>
      </c>
      <c r="H56" t="s">
        <v>180</v>
      </c>
      <c r="I56" t="s">
        <v>41</v>
      </c>
      <c r="J56" t="s">
        <v>32</v>
      </c>
      <c r="K56" s="6" t="s">
        <v>647</v>
      </c>
    </row>
    <row r="57" spans="1:11" x14ac:dyDescent="0.25">
      <c r="A57">
        <v>7927396052</v>
      </c>
      <c r="B57" t="s">
        <v>788</v>
      </c>
      <c r="C57" t="s">
        <v>789</v>
      </c>
      <c r="D57" s="4">
        <v>141</v>
      </c>
      <c r="E57" t="s">
        <v>844</v>
      </c>
      <c r="F57" t="s">
        <v>791</v>
      </c>
      <c r="G57" t="s">
        <v>652</v>
      </c>
      <c r="H57" t="s">
        <v>211</v>
      </c>
      <c r="I57" t="s">
        <v>112</v>
      </c>
      <c r="J57" t="s">
        <v>58</v>
      </c>
      <c r="K57" s="6" t="s">
        <v>657</v>
      </c>
    </row>
    <row r="58" spans="1:11" x14ac:dyDescent="0.25">
      <c r="A58">
        <v>7923673004</v>
      </c>
      <c r="B58" t="s">
        <v>788</v>
      </c>
      <c r="C58" t="s">
        <v>792</v>
      </c>
      <c r="D58" s="4">
        <v>104</v>
      </c>
      <c r="E58" t="s">
        <v>799</v>
      </c>
      <c r="F58" t="s">
        <v>791</v>
      </c>
      <c r="G58" t="s">
        <v>605</v>
      </c>
      <c r="H58" t="s">
        <v>23</v>
      </c>
      <c r="I58" t="s">
        <v>23</v>
      </c>
      <c r="J58" t="s">
        <v>24</v>
      </c>
      <c r="K58" s="6" t="s">
        <v>609</v>
      </c>
    </row>
    <row r="59" spans="1:11" x14ac:dyDescent="0.25">
      <c r="A59">
        <v>7919270014</v>
      </c>
      <c r="B59" t="s">
        <v>788</v>
      </c>
      <c r="C59" t="s">
        <v>789</v>
      </c>
      <c r="D59" s="4">
        <v>133</v>
      </c>
      <c r="E59" t="s">
        <v>845</v>
      </c>
      <c r="F59" t="s">
        <v>791</v>
      </c>
      <c r="G59" t="s">
        <v>587</v>
      </c>
      <c r="H59" t="s">
        <v>104</v>
      </c>
      <c r="I59" t="s">
        <v>90</v>
      </c>
      <c r="J59" t="s">
        <v>32</v>
      </c>
      <c r="K59" s="6" t="s">
        <v>592</v>
      </c>
    </row>
    <row r="60" spans="1:11" x14ac:dyDescent="0.25">
      <c r="A60">
        <v>5801866013</v>
      </c>
      <c r="B60" t="s">
        <v>797</v>
      </c>
      <c r="C60" t="s">
        <v>789</v>
      </c>
      <c r="D60" s="4">
        <v>128</v>
      </c>
      <c r="E60" t="s">
        <v>846</v>
      </c>
      <c r="F60" t="s">
        <v>791</v>
      </c>
      <c r="G60" t="s">
        <v>381</v>
      </c>
      <c r="H60" t="s">
        <v>90</v>
      </c>
      <c r="I60" t="s">
        <v>90</v>
      </c>
      <c r="J60" t="s">
        <v>32</v>
      </c>
      <c r="K60" s="6" t="s">
        <v>388</v>
      </c>
    </row>
    <row r="61" spans="1:11" x14ac:dyDescent="0.25">
      <c r="A61">
        <v>7925871077</v>
      </c>
      <c r="B61" t="s">
        <v>788</v>
      </c>
      <c r="C61" t="s">
        <v>802</v>
      </c>
      <c r="D61" s="4">
        <v>114</v>
      </c>
      <c r="E61" t="s">
        <v>847</v>
      </c>
      <c r="F61" t="s">
        <v>791</v>
      </c>
      <c r="G61" t="s">
        <v>631</v>
      </c>
      <c r="H61" t="s">
        <v>38</v>
      </c>
      <c r="I61" t="s">
        <v>87</v>
      </c>
      <c r="J61" t="s">
        <v>24</v>
      </c>
      <c r="K61" s="6" t="s">
        <v>635</v>
      </c>
    </row>
    <row r="62" spans="1:11" x14ac:dyDescent="0.25">
      <c r="A62">
        <v>5851753086</v>
      </c>
      <c r="B62" t="s">
        <v>797</v>
      </c>
      <c r="C62" t="s">
        <v>792</v>
      </c>
      <c r="D62" s="4">
        <v>66</v>
      </c>
      <c r="E62" t="s">
        <v>848</v>
      </c>
      <c r="F62" t="s">
        <v>816</v>
      </c>
      <c r="G62" t="s">
        <v>849</v>
      </c>
      <c r="H62" t="s">
        <v>163</v>
      </c>
      <c r="I62" t="s">
        <v>150</v>
      </c>
      <c r="J62" t="s">
        <v>32</v>
      </c>
      <c r="K62" s="2" t="e">
        <v>#N/A</v>
      </c>
    </row>
    <row r="63" spans="1:11" x14ac:dyDescent="0.25">
      <c r="A63">
        <v>7936038076</v>
      </c>
      <c r="B63" t="s">
        <v>788</v>
      </c>
      <c r="C63" t="s">
        <v>789</v>
      </c>
      <c r="D63" s="4">
        <v>128</v>
      </c>
      <c r="E63" t="s">
        <v>815</v>
      </c>
      <c r="F63" t="s">
        <v>816</v>
      </c>
      <c r="G63" t="s">
        <v>850</v>
      </c>
      <c r="H63" t="s">
        <v>56</v>
      </c>
      <c r="I63" t="s">
        <v>57</v>
      </c>
      <c r="J63" t="s">
        <v>58</v>
      </c>
      <c r="K63" s="2" t="e">
        <v>#N/A</v>
      </c>
    </row>
    <row r="64" spans="1:11" x14ac:dyDescent="0.25">
      <c r="A64">
        <v>7944559149</v>
      </c>
      <c r="B64" t="s">
        <v>788</v>
      </c>
      <c r="C64" t="s">
        <v>802</v>
      </c>
      <c r="D64" s="4">
        <v>113</v>
      </c>
      <c r="E64" t="s">
        <v>833</v>
      </c>
      <c r="F64" t="s">
        <v>791</v>
      </c>
      <c r="G64" t="s">
        <v>748</v>
      </c>
      <c r="H64" t="s">
        <v>197</v>
      </c>
      <c r="I64" t="s">
        <v>150</v>
      </c>
      <c r="J64" t="s">
        <v>32</v>
      </c>
      <c r="K64" s="6" t="s">
        <v>752</v>
      </c>
    </row>
    <row r="65" spans="1:11" x14ac:dyDescent="0.25">
      <c r="A65">
        <v>7926089013</v>
      </c>
      <c r="B65" t="s">
        <v>788</v>
      </c>
      <c r="C65" t="s">
        <v>802</v>
      </c>
      <c r="D65" s="4">
        <v>103</v>
      </c>
      <c r="E65" t="s">
        <v>851</v>
      </c>
      <c r="F65" t="s">
        <v>791</v>
      </c>
      <c r="G65" t="s">
        <v>636</v>
      </c>
      <c r="H65" t="s">
        <v>90</v>
      </c>
      <c r="I65" t="s">
        <v>90</v>
      </c>
      <c r="J65" t="s">
        <v>32</v>
      </c>
      <c r="K65" s="6" t="s">
        <v>643</v>
      </c>
    </row>
    <row r="66" spans="1:11" x14ac:dyDescent="0.25">
      <c r="A66">
        <v>5836786094</v>
      </c>
      <c r="B66" t="s">
        <v>797</v>
      </c>
      <c r="C66" t="s">
        <v>792</v>
      </c>
      <c r="D66" s="4">
        <v>83</v>
      </c>
      <c r="E66" t="s">
        <v>842</v>
      </c>
      <c r="F66" t="s">
        <v>791</v>
      </c>
      <c r="G66" t="s">
        <v>405</v>
      </c>
      <c r="H66" t="s">
        <v>107</v>
      </c>
      <c r="I66" t="s">
        <v>107</v>
      </c>
      <c r="J66" t="s">
        <v>58</v>
      </c>
      <c r="K66" s="6" t="s">
        <v>410</v>
      </c>
    </row>
    <row r="67" spans="1:11" x14ac:dyDescent="0.25">
      <c r="A67">
        <v>7925733015</v>
      </c>
      <c r="B67" t="s">
        <v>788</v>
      </c>
      <c r="C67" t="s">
        <v>789</v>
      </c>
      <c r="D67" s="4">
        <v>117</v>
      </c>
      <c r="E67" t="s">
        <v>841</v>
      </c>
      <c r="F67" t="s">
        <v>791</v>
      </c>
      <c r="G67" t="s">
        <v>620</v>
      </c>
      <c r="H67" t="s">
        <v>165</v>
      </c>
      <c r="I67" t="s">
        <v>81</v>
      </c>
      <c r="J67" t="s">
        <v>24</v>
      </c>
      <c r="K67" s="6" t="s">
        <v>624</v>
      </c>
    </row>
    <row r="68" spans="1:11" x14ac:dyDescent="0.25">
      <c r="A68">
        <v>7900525015</v>
      </c>
      <c r="B68" t="s">
        <v>788</v>
      </c>
      <c r="C68" t="s">
        <v>802</v>
      </c>
      <c r="D68" s="4">
        <v>86</v>
      </c>
      <c r="E68" t="s">
        <v>799</v>
      </c>
      <c r="F68" t="s">
        <v>791</v>
      </c>
      <c r="G68" t="s">
        <v>489</v>
      </c>
      <c r="H68" t="s">
        <v>165</v>
      </c>
      <c r="I68" t="s">
        <v>81</v>
      </c>
      <c r="J68" t="s">
        <v>24</v>
      </c>
      <c r="K68" s="6" t="s">
        <v>495</v>
      </c>
    </row>
    <row r="69" spans="1:11" x14ac:dyDescent="0.25">
      <c r="A69">
        <v>5800291035</v>
      </c>
      <c r="B69" t="s">
        <v>797</v>
      </c>
      <c r="C69" t="s">
        <v>789</v>
      </c>
      <c r="D69" s="4">
        <v>106</v>
      </c>
      <c r="E69" t="s">
        <v>833</v>
      </c>
      <c r="F69" t="s">
        <v>804</v>
      </c>
      <c r="G69" t="s">
        <v>341</v>
      </c>
      <c r="H69" t="s">
        <v>180</v>
      </c>
      <c r="I69" t="s">
        <v>41</v>
      </c>
      <c r="J69" t="s">
        <v>32</v>
      </c>
      <c r="K69" s="6" t="s">
        <v>349</v>
      </c>
    </row>
    <row r="70" spans="1:11" x14ac:dyDescent="0.25">
      <c r="A70">
        <v>7929376022</v>
      </c>
      <c r="B70" t="s">
        <v>788</v>
      </c>
      <c r="C70" t="s">
        <v>789</v>
      </c>
      <c r="D70" s="4">
        <v>105</v>
      </c>
      <c r="E70" t="s">
        <v>822</v>
      </c>
      <c r="F70" t="s">
        <v>791</v>
      </c>
      <c r="G70" t="s">
        <v>681</v>
      </c>
      <c r="H70" t="s">
        <v>101</v>
      </c>
      <c r="I70" t="s">
        <v>23</v>
      </c>
      <c r="J70" t="s">
        <v>24</v>
      </c>
      <c r="K70" s="6" t="s">
        <v>685</v>
      </c>
    </row>
    <row r="71" spans="1:11" x14ac:dyDescent="0.25">
      <c r="A71">
        <v>5800090147</v>
      </c>
      <c r="B71" t="s">
        <v>797</v>
      </c>
      <c r="C71" t="s">
        <v>789</v>
      </c>
      <c r="D71" s="4">
        <v>97</v>
      </c>
      <c r="E71" t="s">
        <v>852</v>
      </c>
      <c r="F71" t="s">
        <v>791</v>
      </c>
      <c r="G71" t="s">
        <v>327</v>
      </c>
      <c r="H71" t="s">
        <v>157</v>
      </c>
      <c r="I71" t="s">
        <v>65</v>
      </c>
      <c r="J71" t="s">
        <v>58</v>
      </c>
      <c r="K71" s="6" t="s">
        <v>340</v>
      </c>
    </row>
    <row r="72" spans="1:11" x14ac:dyDescent="0.25">
      <c r="A72">
        <v>7927413001</v>
      </c>
      <c r="B72" t="s">
        <v>788</v>
      </c>
      <c r="C72" t="s">
        <v>789</v>
      </c>
      <c r="D72" s="4">
        <v>100</v>
      </c>
      <c r="E72" t="s">
        <v>851</v>
      </c>
      <c r="F72" t="s">
        <v>804</v>
      </c>
      <c r="G72" t="s">
        <v>658</v>
      </c>
      <c r="H72" t="s">
        <v>36</v>
      </c>
      <c r="I72" t="s">
        <v>36</v>
      </c>
      <c r="J72" t="s">
        <v>32</v>
      </c>
      <c r="K72" s="6" t="s">
        <v>298</v>
      </c>
    </row>
    <row r="73" spans="1:11" x14ac:dyDescent="0.25">
      <c r="A73">
        <v>7933726256</v>
      </c>
      <c r="B73" t="s">
        <v>788</v>
      </c>
      <c r="C73" t="s">
        <v>789</v>
      </c>
      <c r="D73" s="4">
        <v>95</v>
      </c>
      <c r="E73" t="s">
        <v>822</v>
      </c>
      <c r="F73" t="s">
        <v>804</v>
      </c>
      <c r="G73" t="s">
        <v>719</v>
      </c>
      <c r="H73" t="s">
        <v>40</v>
      </c>
      <c r="I73" t="s">
        <v>41</v>
      </c>
      <c r="J73" t="s">
        <v>32</v>
      </c>
      <c r="K73" s="6" t="s">
        <v>723</v>
      </c>
    </row>
    <row r="74" spans="1:11" x14ac:dyDescent="0.25">
      <c r="A74" s="7">
        <v>5846328094</v>
      </c>
      <c r="B74" s="7" t="s">
        <v>797</v>
      </c>
      <c r="C74" t="s">
        <v>792</v>
      </c>
      <c r="D74" s="4">
        <v>55</v>
      </c>
      <c r="E74" t="s">
        <v>811</v>
      </c>
      <c r="F74" t="s">
        <v>800</v>
      </c>
      <c r="G74" s="7" t="s">
        <v>853</v>
      </c>
      <c r="H74" t="s">
        <v>107</v>
      </c>
      <c r="I74" t="s">
        <v>107</v>
      </c>
      <c r="J74" t="s">
        <v>58</v>
      </c>
      <c r="K74" s="8" t="e">
        <v>#N/A</v>
      </c>
    </row>
    <row r="75" spans="1:11" x14ac:dyDescent="0.25">
      <c r="A75">
        <v>7900594026</v>
      </c>
      <c r="B75" t="s">
        <v>788</v>
      </c>
      <c r="C75" t="s">
        <v>802</v>
      </c>
      <c r="D75" s="4">
        <v>76</v>
      </c>
      <c r="E75" t="s">
        <v>854</v>
      </c>
      <c r="F75" t="s">
        <v>791</v>
      </c>
      <c r="G75" t="s">
        <v>516</v>
      </c>
      <c r="H75" t="s">
        <v>41</v>
      </c>
      <c r="I75" t="s">
        <v>41</v>
      </c>
      <c r="J75" t="s">
        <v>32</v>
      </c>
      <c r="K75" s="6" t="s">
        <v>522</v>
      </c>
    </row>
    <row r="76" spans="1:11" x14ac:dyDescent="0.25">
      <c r="A76">
        <v>7913662076</v>
      </c>
      <c r="B76" t="s">
        <v>788</v>
      </c>
      <c r="C76" t="s">
        <v>792</v>
      </c>
      <c r="D76" s="4">
        <v>30</v>
      </c>
      <c r="E76" t="s">
        <v>855</v>
      </c>
      <c r="F76" t="s">
        <v>791</v>
      </c>
      <c r="G76" t="s">
        <v>582</v>
      </c>
      <c r="H76" t="s">
        <v>56</v>
      </c>
      <c r="I76" t="s">
        <v>57</v>
      </c>
      <c r="J76" t="s">
        <v>58</v>
      </c>
      <c r="K76" s="6" t="s">
        <v>586</v>
      </c>
    </row>
    <row r="77" spans="1:11" x14ac:dyDescent="0.25">
      <c r="A77">
        <v>5800859011</v>
      </c>
      <c r="B77" t="s">
        <v>797</v>
      </c>
      <c r="C77" t="s">
        <v>802</v>
      </c>
      <c r="D77" s="4">
        <v>42</v>
      </c>
      <c r="E77" t="s">
        <v>856</v>
      </c>
      <c r="F77" t="s">
        <v>791</v>
      </c>
      <c r="G77" t="s">
        <v>365</v>
      </c>
      <c r="H77" t="s">
        <v>93</v>
      </c>
      <c r="I77" t="s">
        <v>81</v>
      </c>
      <c r="J77" t="s">
        <v>24</v>
      </c>
      <c r="K77" s="6" t="s">
        <v>373</v>
      </c>
    </row>
    <row r="78" spans="1:11" x14ac:dyDescent="0.25">
      <c r="A78">
        <v>7942572059</v>
      </c>
      <c r="B78" t="s">
        <v>788</v>
      </c>
      <c r="C78" t="s">
        <v>802</v>
      </c>
      <c r="D78" s="4">
        <v>57</v>
      </c>
      <c r="E78" t="s">
        <v>811</v>
      </c>
      <c r="F78" t="s">
        <v>804</v>
      </c>
      <c r="G78" t="s">
        <v>743</v>
      </c>
      <c r="H78" t="s">
        <v>120</v>
      </c>
      <c r="I78" t="s">
        <v>31</v>
      </c>
      <c r="J78" t="s">
        <v>32</v>
      </c>
      <c r="K78" s="6" t="s">
        <v>747</v>
      </c>
    </row>
    <row r="79" spans="1:11" x14ac:dyDescent="0.25">
      <c r="A79">
        <v>7957021094</v>
      </c>
      <c r="B79" t="s">
        <v>788</v>
      </c>
      <c r="C79" t="s">
        <v>789</v>
      </c>
      <c r="D79" s="4">
        <v>49</v>
      </c>
      <c r="E79" t="s">
        <v>857</v>
      </c>
      <c r="F79" t="s">
        <v>816</v>
      </c>
      <c r="G79" t="s">
        <v>858</v>
      </c>
      <c r="H79" t="s">
        <v>107</v>
      </c>
      <c r="I79" t="s">
        <v>107</v>
      </c>
      <c r="J79" t="s">
        <v>58</v>
      </c>
      <c r="K79" s="2" t="e">
        <v>#N/A</v>
      </c>
    </row>
    <row r="80" spans="1:11" x14ac:dyDescent="0.25">
      <c r="A80">
        <v>5839141113</v>
      </c>
      <c r="B80" t="s">
        <v>797</v>
      </c>
      <c r="C80" t="s">
        <v>792</v>
      </c>
      <c r="D80" s="4">
        <v>1</v>
      </c>
      <c r="E80" t="s">
        <v>859</v>
      </c>
      <c r="F80" t="s">
        <v>816</v>
      </c>
      <c r="G80" t="s">
        <v>860</v>
      </c>
      <c r="H80" t="s">
        <v>861</v>
      </c>
      <c r="I80" t="s">
        <v>81</v>
      </c>
      <c r="J80" t="s">
        <v>24</v>
      </c>
      <c r="K80" s="2" t="e">
        <v>#N/A</v>
      </c>
    </row>
    <row r="81" spans="1:11" x14ac:dyDescent="0.25">
      <c r="A81">
        <v>7943790134</v>
      </c>
      <c r="B81" t="s">
        <v>788</v>
      </c>
      <c r="C81" t="s">
        <v>802</v>
      </c>
      <c r="D81" s="4">
        <v>28</v>
      </c>
      <c r="E81" t="s">
        <v>862</v>
      </c>
      <c r="F81" t="s">
        <v>816</v>
      </c>
      <c r="G81" t="s">
        <v>863</v>
      </c>
      <c r="H81" t="s">
        <v>60</v>
      </c>
      <c r="I81" t="s">
        <v>61</v>
      </c>
      <c r="J81" t="s">
        <v>24</v>
      </c>
      <c r="K81" s="2" t="e">
        <v>#N/A</v>
      </c>
    </row>
    <row r="82" spans="1:11" x14ac:dyDescent="0.25">
      <c r="A82">
        <v>7953570026</v>
      </c>
      <c r="B82" t="s">
        <v>788</v>
      </c>
      <c r="C82" t="s">
        <v>789</v>
      </c>
      <c r="D82" s="4">
        <v>32</v>
      </c>
      <c r="E82" t="s">
        <v>864</v>
      </c>
      <c r="F82" t="s">
        <v>816</v>
      </c>
      <c r="G82" t="s">
        <v>865</v>
      </c>
      <c r="H82" t="s">
        <v>41</v>
      </c>
      <c r="I82" t="s">
        <v>41</v>
      </c>
      <c r="J82" t="s">
        <v>32</v>
      </c>
      <c r="K82" s="2" t="e">
        <v>#N/A</v>
      </c>
    </row>
    <row r="83" spans="1:11" x14ac:dyDescent="0.25">
      <c r="A83">
        <v>7925713040</v>
      </c>
      <c r="B83" t="s">
        <v>788</v>
      </c>
      <c r="C83" t="s">
        <v>789</v>
      </c>
      <c r="D83" s="4">
        <v>28</v>
      </c>
      <c r="E83" t="s">
        <v>866</v>
      </c>
      <c r="F83" t="s">
        <v>816</v>
      </c>
      <c r="G83" t="s">
        <v>867</v>
      </c>
      <c r="H83" t="s">
        <v>170</v>
      </c>
      <c r="I83" t="s">
        <v>23</v>
      </c>
      <c r="J83" t="s">
        <v>24</v>
      </c>
      <c r="K83" s="2" t="e">
        <v>#N/A</v>
      </c>
    </row>
    <row r="84" spans="1:11" x14ac:dyDescent="0.25">
      <c r="A84">
        <v>7949648145</v>
      </c>
      <c r="B84" t="s">
        <v>788</v>
      </c>
      <c r="C84" t="s">
        <v>789</v>
      </c>
      <c r="D84" s="4">
        <v>25</v>
      </c>
      <c r="E84" t="s">
        <v>868</v>
      </c>
      <c r="F84" t="s">
        <v>816</v>
      </c>
      <c r="G84" t="s">
        <v>869</v>
      </c>
      <c r="H84" t="s">
        <v>296</v>
      </c>
      <c r="I84" t="s">
        <v>61</v>
      </c>
      <c r="J84" t="s">
        <v>24</v>
      </c>
      <c r="K84" s="2" t="e">
        <v>#N/A</v>
      </c>
    </row>
    <row r="85" spans="1:11" x14ac:dyDescent="0.25">
      <c r="A85">
        <v>7908300096</v>
      </c>
      <c r="B85" t="s">
        <v>788</v>
      </c>
      <c r="C85" t="s">
        <v>802</v>
      </c>
      <c r="D85" s="4">
        <v>20</v>
      </c>
      <c r="E85" t="s">
        <v>870</v>
      </c>
      <c r="F85" t="s">
        <v>816</v>
      </c>
      <c r="G85" t="s">
        <v>871</v>
      </c>
      <c r="H85" t="s">
        <v>252</v>
      </c>
      <c r="I85" t="s">
        <v>41</v>
      </c>
      <c r="J85" t="s">
        <v>32</v>
      </c>
      <c r="K85" s="2" t="e">
        <v>#N/A</v>
      </c>
    </row>
    <row r="86" spans="1:11" x14ac:dyDescent="0.25">
      <c r="A86">
        <v>7953211079</v>
      </c>
      <c r="B86" t="s">
        <v>788</v>
      </c>
      <c r="C86" t="s">
        <v>802</v>
      </c>
      <c r="D86" s="4">
        <v>20</v>
      </c>
      <c r="E86" t="s">
        <v>831</v>
      </c>
      <c r="F86" t="s">
        <v>816</v>
      </c>
      <c r="G86" t="s">
        <v>872</v>
      </c>
      <c r="H86" t="s">
        <v>295</v>
      </c>
      <c r="I86" t="s">
        <v>81</v>
      </c>
      <c r="J86" t="s">
        <v>24</v>
      </c>
      <c r="K86" s="2" t="e">
        <v>#N/A</v>
      </c>
    </row>
    <row r="87" spans="1:11" x14ac:dyDescent="0.25">
      <c r="A87">
        <v>7902098003</v>
      </c>
      <c r="B87" t="s">
        <v>788</v>
      </c>
      <c r="C87" t="s">
        <v>789</v>
      </c>
      <c r="D87" s="4">
        <v>23</v>
      </c>
      <c r="E87" t="s">
        <v>873</v>
      </c>
      <c r="F87" t="s">
        <v>816</v>
      </c>
      <c r="G87" t="s">
        <v>874</v>
      </c>
      <c r="H87" t="s">
        <v>57</v>
      </c>
      <c r="I87" t="s">
        <v>57</v>
      </c>
      <c r="J87" t="s">
        <v>58</v>
      </c>
      <c r="K87" s="2" t="e">
        <v>#N/A</v>
      </c>
    </row>
    <row r="88" spans="1:11" x14ac:dyDescent="0.25">
      <c r="A88">
        <v>7911120026</v>
      </c>
      <c r="B88" t="s">
        <v>788</v>
      </c>
      <c r="C88" t="s">
        <v>802</v>
      </c>
      <c r="D88" s="4">
        <v>7</v>
      </c>
      <c r="E88" t="s">
        <v>875</v>
      </c>
      <c r="F88" t="s">
        <v>804</v>
      </c>
      <c r="G88" t="s">
        <v>575</v>
      </c>
      <c r="H88" t="s">
        <v>41</v>
      </c>
      <c r="I88" t="s">
        <v>41</v>
      </c>
      <c r="J88" t="s">
        <v>32</v>
      </c>
      <c r="K88" s="6" t="s">
        <v>581</v>
      </c>
    </row>
    <row r="89" spans="1:11" x14ac:dyDescent="0.25">
      <c r="A89">
        <v>7930359149</v>
      </c>
      <c r="B89" t="s">
        <v>788</v>
      </c>
      <c r="C89" t="s">
        <v>789</v>
      </c>
      <c r="D89" s="4">
        <v>14</v>
      </c>
      <c r="E89" t="s">
        <v>876</v>
      </c>
      <c r="F89" t="s">
        <v>816</v>
      </c>
      <c r="G89" t="s">
        <v>877</v>
      </c>
      <c r="H89" t="s">
        <v>197</v>
      </c>
      <c r="I89" t="s">
        <v>150</v>
      </c>
      <c r="J89" t="s">
        <v>32</v>
      </c>
      <c r="K89" s="2" t="e">
        <v>#N/A</v>
      </c>
    </row>
    <row r="90" spans="1:11" x14ac:dyDescent="0.25">
      <c r="A90">
        <v>7934697002</v>
      </c>
      <c r="B90" t="s">
        <v>788</v>
      </c>
      <c r="C90" t="s">
        <v>789</v>
      </c>
      <c r="D90" s="4">
        <v>12</v>
      </c>
      <c r="E90" t="s">
        <v>878</v>
      </c>
      <c r="F90" t="s">
        <v>816</v>
      </c>
      <c r="G90" t="s">
        <v>879</v>
      </c>
      <c r="H90" t="s">
        <v>50</v>
      </c>
      <c r="I90" t="s">
        <v>50</v>
      </c>
      <c r="J90" t="s">
        <v>24</v>
      </c>
      <c r="K90" s="2" t="e">
        <v>#N/A</v>
      </c>
    </row>
    <row r="91" spans="1:11" x14ac:dyDescent="0.25">
      <c r="A91">
        <v>7948412064</v>
      </c>
      <c r="B91" t="s">
        <v>788</v>
      </c>
      <c r="C91" t="s">
        <v>789</v>
      </c>
      <c r="D91" s="4">
        <v>9</v>
      </c>
      <c r="E91" t="s">
        <v>815</v>
      </c>
      <c r="F91" t="s">
        <v>816</v>
      </c>
      <c r="G91" t="s">
        <v>880</v>
      </c>
      <c r="H91" t="s">
        <v>294</v>
      </c>
      <c r="I91" t="s">
        <v>81</v>
      </c>
      <c r="J91" t="s">
        <v>24</v>
      </c>
      <c r="K91" s="2" t="e">
        <v>#N/A</v>
      </c>
    </row>
    <row r="92" spans="1:11" x14ac:dyDescent="0.25">
      <c r="A92">
        <v>7955832052</v>
      </c>
      <c r="B92" t="s">
        <v>788</v>
      </c>
      <c r="C92" t="s">
        <v>789</v>
      </c>
      <c r="D92" s="4">
        <v>4</v>
      </c>
      <c r="E92" t="s">
        <v>881</v>
      </c>
      <c r="F92" t="s">
        <v>816</v>
      </c>
      <c r="G92" t="s">
        <v>882</v>
      </c>
      <c r="H92" t="s">
        <v>211</v>
      </c>
      <c r="I92" t="s">
        <v>112</v>
      </c>
      <c r="J92" t="s">
        <v>58</v>
      </c>
      <c r="K92" s="2" t="e">
        <v>#N/A</v>
      </c>
    </row>
    <row r="95" spans="1:11" x14ac:dyDescent="0.25">
      <c r="A95" s="2">
        <v>5858783119</v>
      </c>
    </row>
    <row r="96" spans="1:11" x14ac:dyDescent="0.25">
      <c r="A96" s="2">
        <v>5800371025</v>
      </c>
    </row>
    <row r="97" spans="1:1" x14ac:dyDescent="0.25">
      <c r="A97" s="2">
        <v>5856070091</v>
      </c>
    </row>
    <row r="98" spans="1:1" x14ac:dyDescent="0.25">
      <c r="A98" s="2">
        <v>5800961074</v>
      </c>
    </row>
    <row r="99" spans="1:1" x14ac:dyDescent="0.25">
      <c r="A99" s="2">
        <v>5836786094</v>
      </c>
    </row>
    <row r="100" spans="1:1" x14ac:dyDescent="0.25">
      <c r="A100" s="2">
        <v>5800090147</v>
      </c>
    </row>
  </sheetData>
  <conditionalFormatting sqref="A1:A1048576">
    <cfRule type="duplicateValues" dxfId="24"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21301-3BEE-4772-B617-5CC7B11EE83C}">
  <dimension ref="A1:L33"/>
  <sheetViews>
    <sheetView workbookViewId="0">
      <selection activeCell="L18" sqref="L18"/>
    </sheetView>
  </sheetViews>
  <sheetFormatPr defaultRowHeight="15" x14ac:dyDescent="0.25"/>
  <cols>
    <col min="1" max="1" width="11" customWidth="1"/>
    <col min="2" max="2" width="11" bestFit="1" customWidth="1"/>
    <col min="3" max="3" width="12.85546875" hidden="1" customWidth="1"/>
    <col min="4" max="4" width="9.28515625" hidden="1" customWidth="1"/>
    <col min="5" max="5" width="21.5703125" hidden="1" customWidth="1"/>
    <col min="6" max="6" width="255.7109375" hidden="1" customWidth="1"/>
    <col min="7" max="7" width="14.42578125" hidden="1" customWidth="1"/>
    <col min="8" max="8" width="22.7109375" hidden="1" customWidth="1"/>
    <col min="9" max="9" width="12.85546875" hidden="1" customWidth="1"/>
    <col min="10" max="10" width="34.28515625" hidden="1" customWidth="1"/>
    <col min="11" max="11" width="59.42578125" customWidth="1"/>
    <col min="12" max="12" width="15.85546875" customWidth="1"/>
  </cols>
  <sheetData>
    <row r="1" spans="1:12" x14ac:dyDescent="0.25">
      <c r="A1" s="9" t="s">
        <v>883</v>
      </c>
    </row>
    <row r="3" spans="1:12" x14ac:dyDescent="0.25">
      <c r="A3" t="s">
        <v>4</v>
      </c>
      <c r="B3" t="s">
        <v>0</v>
      </c>
      <c r="C3" t="s">
        <v>20</v>
      </c>
      <c r="D3" t="s">
        <v>781</v>
      </c>
      <c r="E3" t="s">
        <v>785</v>
      </c>
      <c r="F3" t="s">
        <v>884</v>
      </c>
      <c r="G3" t="s">
        <v>784</v>
      </c>
      <c r="H3" t="s">
        <v>885</v>
      </c>
      <c r="I3" t="s">
        <v>886</v>
      </c>
      <c r="J3" t="s">
        <v>7</v>
      </c>
      <c r="K3" t="s">
        <v>887</v>
      </c>
      <c r="L3" t="s">
        <v>888</v>
      </c>
    </row>
    <row r="4" spans="1:12" x14ac:dyDescent="0.25">
      <c r="A4" t="s">
        <v>32</v>
      </c>
      <c r="B4">
        <v>7953610256</v>
      </c>
      <c r="C4" t="s">
        <v>43</v>
      </c>
      <c r="D4" t="s">
        <v>788</v>
      </c>
      <c r="E4" t="s">
        <v>759</v>
      </c>
      <c r="F4" t="s">
        <v>763</v>
      </c>
      <c r="G4" t="s">
        <v>791</v>
      </c>
      <c r="H4" t="s">
        <v>889</v>
      </c>
      <c r="I4" t="s">
        <v>889</v>
      </c>
      <c r="K4" t="s">
        <v>890</v>
      </c>
      <c r="L4">
        <v>51360.82</v>
      </c>
    </row>
    <row r="5" spans="1:12" x14ac:dyDescent="0.25">
      <c r="A5" t="s">
        <v>32</v>
      </c>
      <c r="B5">
        <v>7926089013</v>
      </c>
      <c r="C5" t="s">
        <v>43</v>
      </c>
      <c r="D5" t="s">
        <v>788</v>
      </c>
      <c r="E5" t="s">
        <v>636</v>
      </c>
      <c r="F5" t="s">
        <v>643</v>
      </c>
      <c r="G5" t="s">
        <v>791</v>
      </c>
      <c r="H5" t="s">
        <v>889</v>
      </c>
      <c r="I5" t="s">
        <v>889</v>
      </c>
      <c r="K5" t="s">
        <v>891</v>
      </c>
      <c r="L5">
        <v>51360.82</v>
      </c>
    </row>
    <row r="6" spans="1:12" x14ac:dyDescent="0.25">
      <c r="A6" t="s">
        <v>24</v>
      </c>
      <c r="B6">
        <v>7920024127</v>
      </c>
      <c r="C6" t="s">
        <v>43</v>
      </c>
      <c r="D6" t="s">
        <v>788</v>
      </c>
      <c r="E6" t="s">
        <v>593</v>
      </c>
      <c r="F6" t="s">
        <v>597</v>
      </c>
      <c r="G6" t="s">
        <v>791</v>
      </c>
      <c r="H6" t="s">
        <v>892</v>
      </c>
      <c r="I6" t="s">
        <v>892</v>
      </c>
      <c r="K6" t="s">
        <v>893</v>
      </c>
      <c r="L6">
        <v>90191.97</v>
      </c>
    </row>
    <row r="7" spans="1:12" x14ac:dyDescent="0.25">
      <c r="A7" t="s">
        <v>24</v>
      </c>
      <c r="B7">
        <v>7903112004</v>
      </c>
      <c r="C7" t="s">
        <v>43</v>
      </c>
      <c r="D7" t="s">
        <v>788</v>
      </c>
      <c r="E7" t="s">
        <v>532</v>
      </c>
      <c r="F7" t="s">
        <v>536</v>
      </c>
      <c r="G7" t="s">
        <v>791</v>
      </c>
      <c r="H7" t="s">
        <v>892</v>
      </c>
      <c r="I7" t="s">
        <v>892</v>
      </c>
      <c r="K7" t="s">
        <v>894</v>
      </c>
      <c r="L7">
        <v>51304.06</v>
      </c>
    </row>
    <row r="8" spans="1:12" x14ac:dyDescent="0.25">
      <c r="A8" t="s">
        <v>32</v>
      </c>
      <c r="B8">
        <v>7927646026</v>
      </c>
      <c r="C8" t="s">
        <v>43</v>
      </c>
      <c r="D8" t="s">
        <v>788</v>
      </c>
      <c r="E8" t="s">
        <v>667</v>
      </c>
      <c r="F8" t="s">
        <v>670</v>
      </c>
      <c r="G8" t="s">
        <v>791</v>
      </c>
      <c r="H8" t="s">
        <v>889</v>
      </c>
      <c r="I8" t="s">
        <v>889</v>
      </c>
      <c r="K8" t="s">
        <v>54</v>
      </c>
      <c r="L8">
        <v>51360.82</v>
      </c>
    </row>
    <row r="9" spans="1:12" x14ac:dyDescent="0.25">
      <c r="A9" t="s">
        <v>58</v>
      </c>
      <c r="B9">
        <v>7913662076</v>
      </c>
      <c r="C9" t="s">
        <v>231</v>
      </c>
      <c r="D9" t="s">
        <v>788</v>
      </c>
      <c r="E9" t="s">
        <v>582</v>
      </c>
      <c r="F9" t="s">
        <v>586</v>
      </c>
      <c r="G9" t="s">
        <v>791</v>
      </c>
      <c r="H9" t="s">
        <v>889</v>
      </c>
      <c r="I9" t="s">
        <v>889</v>
      </c>
      <c r="K9" t="s">
        <v>129</v>
      </c>
      <c r="L9">
        <v>33539.089999999997</v>
      </c>
    </row>
    <row r="10" spans="1:12" x14ac:dyDescent="0.25">
      <c r="A10" t="s">
        <v>32</v>
      </c>
      <c r="B10">
        <v>7942485096</v>
      </c>
      <c r="C10" t="s">
        <v>231</v>
      </c>
      <c r="D10" t="s">
        <v>788</v>
      </c>
      <c r="E10" t="s">
        <v>739</v>
      </c>
      <c r="F10" t="s">
        <v>742</v>
      </c>
      <c r="G10" t="s">
        <v>791</v>
      </c>
      <c r="H10" t="s">
        <v>889</v>
      </c>
      <c r="I10" t="s">
        <v>889</v>
      </c>
      <c r="K10" t="s">
        <v>891</v>
      </c>
      <c r="L10">
        <v>51360.82</v>
      </c>
    </row>
    <row r="11" spans="1:12" x14ac:dyDescent="0.25">
      <c r="A11" t="s">
        <v>32</v>
      </c>
      <c r="B11">
        <v>7923927122</v>
      </c>
      <c r="C11" t="s">
        <v>231</v>
      </c>
      <c r="D11" t="s">
        <v>788</v>
      </c>
      <c r="E11" t="s">
        <v>610</v>
      </c>
      <c r="F11" t="s">
        <v>614</v>
      </c>
      <c r="G11" t="s">
        <v>791</v>
      </c>
      <c r="H11" t="s">
        <v>889</v>
      </c>
      <c r="I11" t="s">
        <v>889</v>
      </c>
      <c r="K11" t="s">
        <v>891</v>
      </c>
      <c r="L11">
        <v>51360.82</v>
      </c>
    </row>
    <row r="12" spans="1:12" x14ac:dyDescent="0.25">
      <c r="A12" t="s">
        <v>32</v>
      </c>
      <c r="B12">
        <v>7919270014</v>
      </c>
      <c r="C12" t="s">
        <v>231</v>
      </c>
      <c r="D12" t="s">
        <v>788</v>
      </c>
      <c r="E12" t="s">
        <v>587</v>
      </c>
      <c r="F12" t="s">
        <v>592</v>
      </c>
      <c r="G12" t="s">
        <v>791</v>
      </c>
      <c r="H12" t="s">
        <v>892</v>
      </c>
      <c r="I12" t="s">
        <v>892</v>
      </c>
      <c r="K12" t="s">
        <v>895</v>
      </c>
      <c r="L12">
        <v>89455.54</v>
      </c>
    </row>
    <row r="13" spans="1:12" x14ac:dyDescent="0.25">
      <c r="A13" t="s">
        <v>32</v>
      </c>
      <c r="B13">
        <v>7927446001</v>
      </c>
      <c r="C13" t="s">
        <v>231</v>
      </c>
      <c r="D13" t="s">
        <v>788</v>
      </c>
      <c r="E13" t="s">
        <v>663</v>
      </c>
      <c r="F13" t="s">
        <v>666</v>
      </c>
      <c r="G13" t="s">
        <v>791</v>
      </c>
      <c r="H13" t="s">
        <v>889</v>
      </c>
      <c r="I13" t="s">
        <v>889</v>
      </c>
      <c r="K13" t="s">
        <v>896</v>
      </c>
      <c r="L13">
        <v>89455.54</v>
      </c>
    </row>
    <row r="14" spans="1:12" x14ac:dyDescent="0.25">
      <c r="A14" t="s">
        <v>58</v>
      </c>
      <c r="B14">
        <v>7928241200</v>
      </c>
      <c r="C14" t="s">
        <v>231</v>
      </c>
      <c r="D14" t="s">
        <v>788</v>
      </c>
      <c r="E14" t="s">
        <v>671</v>
      </c>
      <c r="F14" t="s">
        <v>675</v>
      </c>
      <c r="G14" t="s">
        <v>791</v>
      </c>
      <c r="H14" t="s">
        <v>892</v>
      </c>
      <c r="I14" t="s">
        <v>892</v>
      </c>
      <c r="K14" t="s">
        <v>891</v>
      </c>
      <c r="L14">
        <v>51360.82</v>
      </c>
    </row>
    <row r="15" spans="1:12" x14ac:dyDescent="0.25">
      <c r="A15" t="s">
        <v>32</v>
      </c>
      <c r="B15">
        <v>7926442035</v>
      </c>
      <c r="C15" t="s">
        <v>231</v>
      </c>
      <c r="D15" t="s">
        <v>788</v>
      </c>
      <c r="E15" t="s">
        <v>644</v>
      </c>
      <c r="F15" t="s">
        <v>647</v>
      </c>
      <c r="G15" t="s">
        <v>791</v>
      </c>
      <c r="H15" t="s">
        <v>889</v>
      </c>
      <c r="I15" t="s">
        <v>889</v>
      </c>
      <c r="K15" t="s">
        <v>129</v>
      </c>
      <c r="L15">
        <v>51360.82</v>
      </c>
    </row>
    <row r="16" spans="1:12" x14ac:dyDescent="0.25">
      <c r="A16" t="s">
        <v>32</v>
      </c>
      <c r="B16">
        <v>7921202014</v>
      </c>
      <c r="C16" t="s">
        <v>231</v>
      </c>
      <c r="D16" t="s">
        <v>788</v>
      </c>
      <c r="E16" t="s">
        <v>598</v>
      </c>
      <c r="F16" t="s">
        <v>604</v>
      </c>
      <c r="G16" t="s">
        <v>791</v>
      </c>
      <c r="H16" t="s">
        <v>889</v>
      </c>
      <c r="I16" t="s">
        <v>889</v>
      </c>
      <c r="K16" t="s">
        <v>897</v>
      </c>
      <c r="L16">
        <v>35000</v>
      </c>
    </row>
    <row r="17" spans="1:12" x14ac:dyDescent="0.25">
      <c r="A17" t="s">
        <v>32</v>
      </c>
      <c r="B17">
        <v>7901110084</v>
      </c>
      <c r="C17" t="s">
        <v>231</v>
      </c>
      <c r="D17" t="s">
        <v>788</v>
      </c>
      <c r="E17" t="s">
        <v>523</v>
      </c>
      <c r="F17" t="s">
        <v>531</v>
      </c>
      <c r="G17" t="s">
        <v>791</v>
      </c>
      <c r="H17" t="s">
        <v>889</v>
      </c>
      <c r="I17" t="s">
        <v>889</v>
      </c>
      <c r="K17" t="s">
        <v>891</v>
      </c>
      <c r="L17">
        <v>51360.82</v>
      </c>
    </row>
    <row r="18" spans="1:12" x14ac:dyDescent="0.25">
      <c r="A18" t="s">
        <v>24</v>
      </c>
      <c r="B18">
        <v>7900535058</v>
      </c>
      <c r="C18" t="s">
        <v>155</v>
      </c>
      <c r="D18" t="s">
        <v>788</v>
      </c>
      <c r="E18" t="s">
        <v>503</v>
      </c>
      <c r="F18" t="s">
        <v>509</v>
      </c>
      <c r="G18" t="s">
        <v>791</v>
      </c>
      <c r="H18" t="s">
        <v>889</v>
      </c>
      <c r="I18" t="s">
        <v>889</v>
      </c>
      <c r="K18" t="s">
        <v>898</v>
      </c>
      <c r="L18">
        <v>89455.54</v>
      </c>
    </row>
    <row r="19" spans="1:12" x14ac:dyDescent="0.25">
      <c r="A19" t="s">
        <v>24</v>
      </c>
      <c r="B19">
        <v>7900525015</v>
      </c>
      <c r="C19" t="s">
        <v>155</v>
      </c>
      <c r="D19" t="s">
        <v>788</v>
      </c>
      <c r="E19" t="s">
        <v>489</v>
      </c>
      <c r="F19" t="s">
        <v>495</v>
      </c>
      <c r="G19" t="s">
        <v>791</v>
      </c>
      <c r="H19" t="s">
        <v>889</v>
      </c>
      <c r="I19" t="s">
        <v>889</v>
      </c>
      <c r="K19" t="s">
        <v>891</v>
      </c>
      <c r="L19">
        <v>51360.82</v>
      </c>
    </row>
    <row r="20" spans="1:12" x14ac:dyDescent="0.25">
      <c r="A20" t="s">
        <v>24</v>
      </c>
      <c r="B20">
        <v>7925733015</v>
      </c>
      <c r="C20" t="s">
        <v>155</v>
      </c>
      <c r="D20" t="s">
        <v>788</v>
      </c>
      <c r="E20" t="s">
        <v>620</v>
      </c>
      <c r="F20" t="s">
        <v>624</v>
      </c>
      <c r="G20" t="s">
        <v>791</v>
      </c>
      <c r="H20" t="s">
        <v>889</v>
      </c>
      <c r="I20" t="s">
        <v>889</v>
      </c>
      <c r="K20" t="s">
        <v>891</v>
      </c>
      <c r="L20">
        <v>51360.82</v>
      </c>
    </row>
    <row r="21" spans="1:12" x14ac:dyDescent="0.25">
      <c r="A21" t="s">
        <v>24</v>
      </c>
      <c r="B21">
        <v>7928564039</v>
      </c>
      <c r="C21" t="s">
        <v>155</v>
      </c>
      <c r="D21" t="s">
        <v>788</v>
      </c>
      <c r="E21" t="s">
        <v>676</v>
      </c>
      <c r="F21" t="s">
        <v>680</v>
      </c>
      <c r="G21" t="s">
        <v>791</v>
      </c>
      <c r="H21" t="s">
        <v>889</v>
      </c>
      <c r="I21" t="s">
        <v>889</v>
      </c>
      <c r="K21" t="s">
        <v>899</v>
      </c>
      <c r="L21">
        <v>89455.54</v>
      </c>
    </row>
    <row r="22" spans="1:12" x14ac:dyDescent="0.25">
      <c r="A22" t="s">
        <v>32</v>
      </c>
      <c r="B22">
        <v>7944559149</v>
      </c>
      <c r="C22" t="s">
        <v>155</v>
      </c>
      <c r="D22" t="s">
        <v>788</v>
      </c>
      <c r="E22" t="s">
        <v>748</v>
      </c>
      <c r="F22" t="s">
        <v>752</v>
      </c>
      <c r="G22" t="s">
        <v>791</v>
      </c>
      <c r="H22" t="s">
        <v>889</v>
      </c>
      <c r="I22" t="s">
        <v>889</v>
      </c>
      <c r="K22" t="s">
        <v>178</v>
      </c>
      <c r="L22">
        <v>51304.06</v>
      </c>
    </row>
    <row r="23" spans="1:12" x14ac:dyDescent="0.25">
      <c r="A23" t="s">
        <v>58</v>
      </c>
      <c r="B23">
        <v>7927396052</v>
      </c>
      <c r="C23" t="s">
        <v>155</v>
      </c>
      <c r="D23" t="s">
        <v>788</v>
      </c>
      <c r="E23" t="s">
        <v>652</v>
      </c>
      <c r="F23" t="s">
        <v>657</v>
      </c>
      <c r="G23" t="s">
        <v>791</v>
      </c>
      <c r="H23" t="s">
        <v>889</v>
      </c>
      <c r="I23" t="s">
        <v>889</v>
      </c>
      <c r="K23" t="s">
        <v>891</v>
      </c>
      <c r="L23">
        <v>51360.82</v>
      </c>
    </row>
    <row r="24" spans="1:12" x14ac:dyDescent="0.25">
      <c r="A24" t="s">
        <v>58</v>
      </c>
      <c r="B24">
        <v>7933585074</v>
      </c>
      <c r="C24" t="s">
        <v>155</v>
      </c>
      <c r="D24" t="s">
        <v>788</v>
      </c>
      <c r="E24" t="s">
        <v>715</v>
      </c>
      <c r="F24" t="s">
        <v>718</v>
      </c>
      <c r="G24" t="s">
        <v>791</v>
      </c>
      <c r="H24" t="s">
        <v>889</v>
      </c>
      <c r="I24" t="s">
        <v>889</v>
      </c>
      <c r="K24" t="s">
        <v>891</v>
      </c>
      <c r="L24">
        <v>51360.82</v>
      </c>
    </row>
    <row r="25" spans="1:12" x14ac:dyDescent="0.25">
      <c r="A25" t="s">
        <v>32</v>
      </c>
      <c r="B25">
        <v>7908249152</v>
      </c>
      <c r="C25" t="s">
        <v>155</v>
      </c>
      <c r="D25" t="s">
        <v>788</v>
      </c>
      <c r="E25" t="s">
        <v>549</v>
      </c>
      <c r="F25" t="s">
        <v>552</v>
      </c>
      <c r="G25" t="s">
        <v>791</v>
      </c>
      <c r="H25" t="s">
        <v>889</v>
      </c>
      <c r="I25" t="s">
        <v>889</v>
      </c>
      <c r="K25" t="s">
        <v>900</v>
      </c>
      <c r="L25">
        <v>89455.54</v>
      </c>
    </row>
    <row r="26" spans="1:12" x14ac:dyDescent="0.25">
      <c r="A26" t="s">
        <v>58</v>
      </c>
      <c r="B26">
        <v>7937102148</v>
      </c>
      <c r="C26" t="s">
        <v>155</v>
      </c>
      <c r="D26" t="s">
        <v>788</v>
      </c>
      <c r="E26" t="s">
        <v>734</v>
      </c>
      <c r="F26" t="s">
        <v>738</v>
      </c>
      <c r="G26" t="s">
        <v>791</v>
      </c>
      <c r="H26" t="s">
        <v>889</v>
      </c>
      <c r="I26" t="s">
        <v>889</v>
      </c>
      <c r="K26" t="s">
        <v>891</v>
      </c>
      <c r="L26">
        <v>51360.82</v>
      </c>
    </row>
    <row r="27" spans="1:12" x14ac:dyDescent="0.25">
      <c r="A27" t="s">
        <v>32</v>
      </c>
      <c r="B27">
        <v>7927413001</v>
      </c>
      <c r="C27" t="s">
        <v>26</v>
      </c>
      <c r="D27" t="s">
        <v>788</v>
      </c>
      <c r="E27" t="s">
        <v>658</v>
      </c>
      <c r="F27" t="s">
        <v>298</v>
      </c>
      <c r="G27" t="s">
        <v>804</v>
      </c>
      <c r="H27" t="s">
        <v>889</v>
      </c>
      <c r="I27" t="s">
        <v>889</v>
      </c>
      <c r="J27" t="s">
        <v>901</v>
      </c>
      <c r="K27" t="s">
        <v>178</v>
      </c>
      <c r="L27">
        <v>89455.54</v>
      </c>
    </row>
    <row r="28" spans="1:12" x14ac:dyDescent="0.25">
      <c r="A28" t="s">
        <v>24</v>
      </c>
      <c r="B28">
        <v>7929376022</v>
      </c>
      <c r="C28" t="s">
        <v>26</v>
      </c>
      <c r="D28" t="s">
        <v>788</v>
      </c>
      <c r="E28" t="s">
        <v>681</v>
      </c>
      <c r="F28" t="s">
        <v>685</v>
      </c>
      <c r="G28" t="s">
        <v>791</v>
      </c>
      <c r="H28" t="s">
        <v>889</v>
      </c>
      <c r="I28" t="s">
        <v>889</v>
      </c>
      <c r="K28" t="s">
        <v>902</v>
      </c>
      <c r="L28">
        <v>51304.06</v>
      </c>
    </row>
    <row r="29" spans="1:12" x14ac:dyDescent="0.25">
      <c r="A29" t="s">
        <v>24</v>
      </c>
      <c r="B29">
        <v>7925871077</v>
      </c>
      <c r="C29" t="s">
        <v>26</v>
      </c>
      <c r="D29" t="s">
        <v>788</v>
      </c>
      <c r="E29" t="s">
        <v>631</v>
      </c>
      <c r="F29" t="s">
        <v>635</v>
      </c>
      <c r="G29" t="s">
        <v>791</v>
      </c>
      <c r="H29" t="s">
        <v>892</v>
      </c>
      <c r="I29" t="s">
        <v>892</v>
      </c>
      <c r="K29" t="s">
        <v>891</v>
      </c>
      <c r="L29">
        <v>51360.82</v>
      </c>
    </row>
    <row r="30" spans="1:12" x14ac:dyDescent="0.25">
      <c r="A30" t="s">
        <v>24</v>
      </c>
      <c r="B30">
        <v>7923673004</v>
      </c>
      <c r="C30" t="s">
        <v>26</v>
      </c>
      <c r="D30" t="s">
        <v>788</v>
      </c>
      <c r="E30" t="s">
        <v>605</v>
      </c>
      <c r="F30" t="s">
        <v>609</v>
      </c>
      <c r="G30" t="s">
        <v>791</v>
      </c>
      <c r="H30" t="s">
        <v>889</v>
      </c>
      <c r="I30" t="s">
        <v>889</v>
      </c>
      <c r="K30" t="s">
        <v>178</v>
      </c>
      <c r="L30">
        <v>35000</v>
      </c>
    </row>
    <row r="31" spans="1:12" x14ac:dyDescent="0.25">
      <c r="A31" t="s">
        <v>24</v>
      </c>
      <c r="B31">
        <v>7925744087</v>
      </c>
      <c r="C31" t="s">
        <v>26</v>
      </c>
      <c r="D31" t="s">
        <v>788</v>
      </c>
      <c r="E31" t="s">
        <v>625</v>
      </c>
      <c r="F31" t="s">
        <v>630</v>
      </c>
      <c r="G31" t="s">
        <v>791</v>
      </c>
      <c r="H31" t="s">
        <v>889</v>
      </c>
      <c r="I31" t="s">
        <v>889</v>
      </c>
      <c r="K31" t="s">
        <v>903</v>
      </c>
      <c r="L31">
        <v>51360.82</v>
      </c>
    </row>
    <row r="32" spans="1:12" x14ac:dyDescent="0.25">
      <c r="A32" t="s">
        <v>32</v>
      </c>
      <c r="B32">
        <v>7931608059</v>
      </c>
      <c r="C32" t="s">
        <v>26</v>
      </c>
      <c r="D32" t="s">
        <v>788</v>
      </c>
      <c r="E32" t="s">
        <v>695</v>
      </c>
      <c r="F32" t="s">
        <v>700</v>
      </c>
      <c r="G32" t="s">
        <v>791</v>
      </c>
      <c r="H32" t="s">
        <v>889</v>
      </c>
      <c r="I32" t="s">
        <v>889</v>
      </c>
      <c r="K32" t="s">
        <v>904</v>
      </c>
      <c r="L32">
        <v>47414.74</v>
      </c>
    </row>
    <row r="33" spans="1:12" x14ac:dyDescent="0.25">
      <c r="A33" t="s">
        <v>32</v>
      </c>
      <c r="B33">
        <v>7947203070</v>
      </c>
      <c r="C33" t="s">
        <v>26</v>
      </c>
      <c r="D33" t="s">
        <v>788</v>
      </c>
      <c r="E33" t="s">
        <v>753</v>
      </c>
      <c r="F33" t="s">
        <v>758</v>
      </c>
      <c r="G33" t="s">
        <v>791</v>
      </c>
      <c r="H33" t="s">
        <v>889</v>
      </c>
      <c r="I33" t="s">
        <v>889</v>
      </c>
      <c r="K33" t="s">
        <v>905</v>
      </c>
      <c r="L33">
        <v>89455.54</v>
      </c>
    </row>
  </sheetData>
  <pageMargins left="0.511811024" right="0.511811024" top="0.78740157499999996" bottom="0.78740157499999996" header="0.31496062000000002" footer="0.31496062000000002"/>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6C454-3367-44DD-9E89-A3BD6DF966CA}">
  <sheetPr codeName="Planilha3"/>
  <dimension ref="A2:N80"/>
  <sheetViews>
    <sheetView showGridLines="0" topLeftCell="A52" workbookViewId="0">
      <selection activeCell="B73" sqref="B73"/>
    </sheetView>
  </sheetViews>
  <sheetFormatPr defaultRowHeight="15" x14ac:dyDescent="0.25"/>
  <cols>
    <col min="1" max="1" width="18" bestFit="1" customWidth="1"/>
    <col min="2" max="2" width="15.140625" bestFit="1" customWidth="1"/>
    <col min="3" max="3" width="18.140625" bestFit="1" customWidth="1"/>
    <col min="4" max="5" width="21.85546875" bestFit="1" customWidth="1"/>
    <col min="7" max="7" width="15.42578125" bestFit="1" customWidth="1"/>
    <col min="8" max="9" width="14.42578125" bestFit="1" customWidth="1"/>
    <col min="12" max="14" width="14.28515625" bestFit="1" customWidth="1"/>
  </cols>
  <sheetData>
    <row r="2" spans="1:14" x14ac:dyDescent="0.25">
      <c r="L2" s="107" t="s">
        <v>906</v>
      </c>
      <c r="M2" s="108"/>
      <c r="N2" s="109"/>
    </row>
    <row r="3" spans="1:14" x14ac:dyDescent="0.25">
      <c r="A3" s="15" t="s">
        <v>781</v>
      </c>
      <c r="B3" s="15" t="s">
        <v>20</v>
      </c>
      <c r="C3" s="15" t="s">
        <v>886</v>
      </c>
      <c r="D3" t="s">
        <v>907</v>
      </c>
      <c r="E3" t="s">
        <v>908</v>
      </c>
      <c r="L3" s="21"/>
      <c r="M3" s="23" t="s">
        <v>788</v>
      </c>
      <c r="N3" s="23" t="s">
        <v>797</v>
      </c>
    </row>
    <row r="4" spans="1:14" x14ac:dyDescent="0.25">
      <c r="A4" t="s">
        <v>788</v>
      </c>
      <c r="B4" t="s">
        <v>43</v>
      </c>
      <c r="C4" t="s">
        <v>892</v>
      </c>
      <c r="D4">
        <v>2</v>
      </c>
      <c r="E4" s="14">
        <v>141496.03</v>
      </c>
      <c r="L4" s="21" t="s">
        <v>909</v>
      </c>
      <c r="M4" s="22">
        <v>419035</v>
      </c>
      <c r="N4" s="22">
        <v>498815</v>
      </c>
    </row>
    <row r="5" spans="1:14" x14ac:dyDescent="0.25">
      <c r="C5" t="s">
        <v>889</v>
      </c>
      <c r="D5">
        <v>3</v>
      </c>
      <c r="E5" s="14">
        <v>154082.46</v>
      </c>
      <c r="L5" s="23" t="s">
        <v>910</v>
      </c>
      <c r="M5" s="24"/>
      <c r="N5" s="24"/>
    </row>
    <row r="6" spans="1:14" x14ac:dyDescent="0.25">
      <c r="C6" t="s">
        <v>911</v>
      </c>
      <c r="D6">
        <v>1</v>
      </c>
      <c r="E6" s="14">
        <v>66619.48</v>
      </c>
    </row>
    <row r="7" spans="1:14" x14ac:dyDescent="0.25">
      <c r="C7" t="s">
        <v>912</v>
      </c>
      <c r="D7">
        <v>2</v>
      </c>
      <c r="E7" s="14">
        <v>117980.29999999999</v>
      </c>
    </row>
    <row r="8" spans="1:14" x14ac:dyDescent="0.25">
      <c r="B8" t="s">
        <v>231</v>
      </c>
      <c r="C8" t="s">
        <v>892</v>
      </c>
      <c r="D8">
        <v>2</v>
      </c>
      <c r="E8" s="14">
        <v>140816.35999999999</v>
      </c>
      <c r="F8" s="2" t="s">
        <v>1</v>
      </c>
      <c r="G8" t="s">
        <v>913</v>
      </c>
    </row>
    <row r="9" spans="1:14" x14ac:dyDescent="0.25">
      <c r="C9" t="s">
        <v>889</v>
      </c>
      <c r="D9">
        <v>7</v>
      </c>
      <c r="E9" s="14">
        <v>363437.91000000003</v>
      </c>
      <c r="F9" s="2" t="s">
        <v>788</v>
      </c>
      <c r="G9" s="10">
        <v>57865.69</v>
      </c>
      <c r="H9" s="10"/>
    </row>
    <row r="10" spans="1:14" x14ac:dyDescent="0.25">
      <c r="B10" t="s">
        <v>155</v>
      </c>
      <c r="C10" t="s">
        <v>889</v>
      </c>
      <c r="D10">
        <v>9</v>
      </c>
      <c r="E10" s="14">
        <v>576474.77999999991</v>
      </c>
      <c r="F10" s="2" t="s">
        <v>797</v>
      </c>
      <c r="G10" s="10">
        <v>154648.07999999999</v>
      </c>
      <c r="H10" s="10"/>
    </row>
    <row r="11" spans="1:14" x14ac:dyDescent="0.25">
      <c r="C11" t="s">
        <v>911</v>
      </c>
      <c r="D11">
        <v>1</v>
      </c>
      <c r="E11" s="14">
        <v>15000</v>
      </c>
    </row>
    <row r="12" spans="1:14" x14ac:dyDescent="0.25">
      <c r="C12" t="s">
        <v>912</v>
      </c>
      <c r="D12">
        <v>1</v>
      </c>
      <c r="E12" s="14">
        <v>51304.06</v>
      </c>
    </row>
    <row r="13" spans="1:14" x14ac:dyDescent="0.25">
      <c r="B13" t="s">
        <v>26</v>
      </c>
      <c r="C13" t="s">
        <v>892</v>
      </c>
      <c r="D13">
        <v>1</v>
      </c>
      <c r="E13" s="14">
        <v>51360.82</v>
      </c>
    </row>
    <row r="14" spans="1:14" x14ac:dyDescent="0.25">
      <c r="C14" t="s">
        <v>889</v>
      </c>
      <c r="D14">
        <v>6</v>
      </c>
      <c r="E14" s="14">
        <v>363990.7</v>
      </c>
    </row>
    <row r="15" spans="1:14" x14ac:dyDescent="0.25">
      <c r="C15" t="s">
        <v>911</v>
      </c>
      <c r="D15">
        <v>5</v>
      </c>
      <c r="E15" s="14">
        <v>234889.68</v>
      </c>
    </row>
    <row r="16" spans="1:14" x14ac:dyDescent="0.25">
      <c r="C16" t="s">
        <v>912</v>
      </c>
      <c r="D16">
        <v>3</v>
      </c>
      <c r="E16" s="14">
        <v>207435.83999999997</v>
      </c>
    </row>
    <row r="17" spans="1:9" x14ac:dyDescent="0.25">
      <c r="B17" t="s">
        <v>914</v>
      </c>
      <c r="C17" t="s">
        <v>892</v>
      </c>
      <c r="D17">
        <v>1</v>
      </c>
      <c r="E17" s="14">
        <v>104067.62</v>
      </c>
      <c r="F17" s="20" t="s">
        <v>1</v>
      </c>
      <c r="G17" s="20" t="s">
        <v>816</v>
      </c>
      <c r="H17" s="20" t="s">
        <v>915</v>
      </c>
      <c r="I17" s="20" t="s">
        <v>909</v>
      </c>
    </row>
    <row r="18" spans="1:9" x14ac:dyDescent="0.25">
      <c r="C18" t="s">
        <v>911</v>
      </c>
      <c r="D18">
        <v>1</v>
      </c>
      <c r="E18" s="14">
        <v>15000</v>
      </c>
      <c r="F18" s="20" t="s">
        <v>797</v>
      </c>
      <c r="G18" s="20">
        <v>4</v>
      </c>
      <c r="H18" s="20">
        <v>1</v>
      </c>
      <c r="I18" s="25">
        <f>(G18+H18)*G10</f>
        <v>773240.39999999991</v>
      </c>
    </row>
    <row r="19" spans="1:9" x14ac:dyDescent="0.25">
      <c r="A19" t="s">
        <v>797</v>
      </c>
      <c r="B19" t="s">
        <v>43</v>
      </c>
      <c r="C19" t="s">
        <v>889</v>
      </c>
      <c r="D19">
        <v>1</v>
      </c>
      <c r="E19" s="14">
        <v>109925.12</v>
      </c>
      <c r="F19" s="20" t="s">
        <v>788</v>
      </c>
      <c r="G19" s="20">
        <v>19</v>
      </c>
      <c r="H19" s="20">
        <v>2</v>
      </c>
      <c r="I19" s="25">
        <f>(G19+H19)*G9</f>
        <v>1215179.49</v>
      </c>
    </row>
    <row r="20" spans="1:9" x14ac:dyDescent="0.25">
      <c r="C20" t="s">
        <v>911</v>
      </c>
      <c r="D20">
        <v>2</v>
      </c>
      <c r="E20" s="14">
        <v>30000</v>
      </c>
      <c r="F20" s="2"/>
      <c r="G20" s="16"/>
      <c r="H20" s="16"/>
    </row>
    <row r="21" spans="1:9" x14ac:dyDescent="0.25">
      <c r="C21" t="s">
        <v>912</v>
      </c>
      <c r="D21">
        <v>1</v>
      </c>
      <c r="E21" s="14">
        <v>79018.759999999995</v>
      </c>
    </row>
    <row r="22" spans="1:9" x14ac:dyDescent="0.25">
      <c r="B22" t="s">
        <v>231</v>
      </c>
      <c r="C22" t="s">
        <v>889</v>
      </c>
      <c r="D22">
        <v>2</v>
      </c>
      <c r="E22" s="14">
        <v>714479.63</v>
      </c>
    </row>
    <row r="23" spans="1:9" x14ac:dyDescent="0.25">
      <c r="C23" t="s">
        <v>911</v>
      </c>
      <c r="D23">
        <v>1</v>
      </c>
      <c r="E23" s="14">
        <v>460999.9</v>
      </c>
    </row>
    <row r="24" spans="1:9" x14ac:dyDescent="0.25">
      <c r="C24" t="s">
        <v>912</v>
      </c>
      <c r="D24">
        <v>3</v>
      </c>
      <c r="E24" s="14">
        <v>349158.12</v>
      </c>
    </row>
    <row r="25" spans="1:9" x14ac:dyDescent="0.25">
      <c r="B25" t="s">
        <v>155</v>
      </c>
      <c r="C25" t="s">
        <v>889</v>
      </c>
      <c r="D25">
        <v>2</v>
      </c>
      <c r="E25" s="14">
        <v>391518.64</v>
      </c>
    </row>
    <row r="26" spans="1:9" x14ac:dyDescent="0.25">
      <c r="C26" t="s">
        <v>911</v>
      </c>
      <c r="D26">
        <v>3</v>
      </c>
      <c r="E26" s="14">
        <v>215758.5</v>
      </c>
    </row>
    <row r="27" spans="1:9" x14ac:dyDescent="0.25">
      <c r="C27" t="s">
        <v>912</v>
      </c>
      <c r="D27">
        <v>1</v>
      </c>
      <c r="E27" s="14">
        <v>29445.39</v>
      </c>
    </row>
    <row r="28" spans="1:9" x14ac:dyDescent="0.25">
      <c r="B28" t="s">
        <v>26</v>
      </c>
      <c r="C28" t="s">
        <v>889</v>
      </c>
      <c r="D28">
        <v>1</v>
      </c>
      <c r="E28" s="14">
        <v>460999.9</v>
      </c>
    </row>
    <row r="29" spans="1:9" x14ac:dyDescent="0.25">
      <c r="C29" t="s">
        <v>912</v>
      </c>
      <c r="D29">
        <v>2</v>
      </c>
      <c r="E29" s="14">
        <v>236657.69</v>
      </c>
    </row>
    <row r="30" spans="1:9" x14ac:dyDescent="0.25">
      <c r="A30" t="s">
        <v>916</v>
      </c>
      <c r="D30">
        <v>64</v>
      </c>
      <c r="E30" s="14">
        <v>5681917.6900000013</v>
      </c>
    </row>
    <row r="32" spans="1:9" x14ac:dyDescent="0.25">
      <c r="A32" s="110" t="s">
        <v>917</v>
      </c>
      <c r="B32" s="110"/>
      <c r="C32" s="110"/>
      <c r="D32" s="110"/>
    </row>
    <row r="33" spans="1:9" x14ac:dyDescent="0.25">
      <c r="A33" s="15" t="s">
        <v>886</v>
      </c>
      <c r="B33" t="s">
        <v>918</v>
      </c>
    </row>
    <row r="35" spans="1:9" x14ac:dyDescent="0.25">
      <c r="A35" s="15" t="s">
        <v>781</v>
      </c>
      <c r="B35" s="15" t="s">
        <v>20</v>
      </c>
      <c r="C35" t="s">
        <v>907</v>
      </c>
      <c r="D35" t="s">
        <v>908</v>
      </c>
    </row>
    <row r="36" spans="1:9" x14ac:dyDescent="0.25">
      <c r="A36" t="s">
        <v>788</v>
      </c>
      <c r="B36" t="s">
        <v>43</v>
      </c>
      <c r="C36">
        <v>8</v>
      </c>
      <c r="D36" s="14">
        <v>480178.27</v>
      </c>
    </row>
    <row r="37" spans="1:9" x14ac:dyDescent="0.25">
      <c r="B37" t="s">
        <v>231</v>
      </c>
      <c r="C37">
        <v>9</v>
      </c>
      <c r="D37" s="14">
        <v>504254.27</v>
      </c>
    </row>
    <row r="38" spans="1:9" x14ac:dyDescent="0.25">
      <c r="B38" t="s">
        <v>155</v>
      </c>
      <c r="C38">
        <v>11</v>
      </c>
      <c r="D38" s="14">
        <v>642778.83999999985</v>
      </c>
    </row>
    <row r="39" spans="1:9" x14ac:dyDescent="0.25">
      <c r="B39" t="s">
        <v>26</v>
      </c>
      <c r="C39">
        <v>15</v>
      </c>
      <c r="D39" s="14">
        <v>857677.03999999992</v>
      </c>
    </row>
    <row r="40" spans="1:9" x14ac:dyDescent="0.25">
      <c r="B40" t="s">
        <v>914</v>
      </c>
      <c r="C40">
        <v>2</v>
      </c>
      <c r="D40" s="14">
        <v>119067.62</v>
      </c>
    </row>
    <row r="41" spans="1:9" x14ac:dyDescent="0.25">
      <c r="A41" t="s">
        <v>797</v>
      </c>
      <c r="B41" t="s">
        <v>43</v>
      </c>
      <c r="C41">
        <v>5</v>
      </c>
      <c r="D41" s="14">
        <v>233943.88</v>
      </c>
    </row>
    <row r="42" spans="1:9" x14ac:dyDescent="0.25">
      <c r="B42" t="s">
        <v>231</v>
      </c>
      <c r="C42">
        <v>6</v>
      </c>
      <c r="D42" s="14">
        <v>1524637.65</v>
      </c>
    </row>
    <row r="43" spans="1:9" x14ac:dyDescent="0.25">
      <c r="B43" t="s">
        <v>155</v>
      </c>
      <c r="C43">
        <v>6</v>
      </c>
      <c r="D43" s="14">
        <v>636722.53</v>
      </c>
    </row>
    <row r="44" spans="1:9" x14ac:dyDescent="0.25">
      <c r="B44" t="s">
        <v>26</v>
      </c>
      <c r="C44">
        <v>3</v>
      </c>
      <c r="D44" s="14">
        <v>697657.59</v>
      </c>
    </row>
    <row r="45" spans="1:9" x14ac:dyDescent="0.25">
      <c r="A45" t="s">
        <v>916</v>
      </c>
      <c r="C45">
        <v>65</v>
      </c>
      <c r="D45" s="14">
        <v>5696917.6900000004</v>
      </c>
    </row>
    <row r="46" spans="1:9" x14ac:dyDescent="0.25">
      <c r="G46" s="107" t="s">
        <v>906</v>
      </c>
      <c r="H46" s="108"/>
      <c r="I46" s="109"/>
    </row>
    <row r="47" spans="1:9" x14ac:dyDescent="0.25">
      <c r="G47" s="21"/>
      <c r="H47" s="23" t="s">
        <v>788</v>
      </c>
      <c r="I47" s="23" t="s">
        <v>797</v>
      </c>
    </row>
    <row r="48" spans="1:9" x14ac:dyDescent="0.25">
      <c r="A48" s="110" t="s">
        <v>919</v>
      </c>
      <c r="B48" s="110"/>
      <c r="C48" s="110"/>
      <c r="D48" s="110"/>
      <c r="G48" s="21" t="s">
        <v>909</v>
      </c>
      <c r="H48" s="22">
        <v>419035</v>
      </c>
      <c r="I48" s="22">
        <v>498815</v>
      </c>
    </row>
    <row r="49" spans="1:4" x14ac:dyDescent="0.25">
      <c r="A49" s="15" t="s">
        <v>886</v>
      </c>
      <c r="B49" t="s">
        <v>920</v>
      </c>
    </row>
    <row r="51" spans="1:4" x14ac:dyDescent="0.25">
      <c r="A51" s="15" t="s">
        <v>781</v>
      </c>
      <c r="B51" s="15" t="s">
        <v>20</v>
      </c>
      <c r="C51" t="s">
        <v>907</v>
      </c>
      <c r="D51" t="s">
        <v>908</v>
      </c>
    </row>
    <row r="52" spans="1:4" x14ac:dyDescent="0.25">
      <c r="A52" t="s">
        <v>788</v>
      </c>
      <c r="B52" t="s">
        <v>43</v>
      </c>
      <c r="C52">
        <v>3</v>
      </c>
      <c r="D52" s="14">
        <v>184599.77999999997</v>
      </c>
    </row>
    <row r="53" spans="1:4" x14ac:dyDescent="0.25">
      <c r="B53" t="s">
        <v>155</v>
      </c>
      <c r="C53">
        <v>2</v>
      </c>
      <c r="D53" s="14">
        <v>66304.06</v>
      </c>
    </row>
    <row r="54" spans="1:4" x14ac:dyDescent="0.25">
      <c r="B54" t="s">
        <v>26</v>
      </c>
      <c r="C54">
        <v>8</v>
      </c>
      <c r="D54" s="14">
        <v>442325.52</v>
      </c>
    </row>
    <row r="55" spans="1:4" x14ac:dyDescent="0.25">
      <c r="B55" t="s">
        <v>914</v>
      </c>
      <c r="C55">
        <v>1</v>
      </c>
      <c r="D55" s="14">
        <v>15000</v>
      </c>
    </row>
    <row r="56" spans="1:4" x14ac:dyDescent="0.25">
      <c r="A56" t="s">
        <v>921</v>
      </c>
      <c r="C56">
        <v>14</v>
      </c>
      <c r="D56" s="14">
        <v>708229.36</v>
      </c>
    </row>
    <row r="57" spans="1:4" x14ac:dyDescent="0.25">
      <c r="A57" t="s">
        <v>797</v>
      </c>
      <c r="B57" t="s">
        <v>43</v>
      </c>
      <c r="C57">
        <v>4</v>
      </c>
      <c r="D57" s="14">
        <v>124018.76</v>
      </c>
    </row>
    <row r="58" spans="1:4" x14ac:dyDescent="0.25">
      <c r="B58" t="s">
        <v>231</v>
      </c>
      <c r="C58">
        <v>4</v>
      </c>
      <c r="D58" s="14">
        <v>810158.0199999999</v>
      </c>
    </row>
    <row r="59" spans="1:4" x14ac:dyDescent="0.25">
      <c r="B59" t="s">
        <v>155</v>
      </c>
      <c r="C59">
        <v>4</v>
      </c>
      <c r="D59" s="14">
        <v>245203.89</v>
      </c>
    </row>
    <row r="60" spans="1:4" x14ac:dyDescent="0.25">
      <c r="B60" t="s">
        <v>26</v>
      </c>
      <c r="C60">
        <v>2</v>
      </c>
      <c r="D60" s="14">
        <v>236657.69</v>
      </c>
    </row>
    <row r="61" spans="1:4" x14ac:dyDescent="0.25">
      <c r="A61" t="s">
        <v>922</v>
      </c>
      <c r="C61">
        <v>14</v>
      </c>
      <c r="D61" s="14">
        <v>1416038.3599999996</v>
      </c>
    </row>
    <row r="62" spans="1:4" x14ac:dyDescent="0.25">
      <c r="A62" t="s">
        <v>916</v>
      </c>
      <c r="C62">
        <v>28</v>
      </c>
      <c r="D62" s="14">
        <v>2124267.7199999997</v>
      </c>
    </row>
    <row r="64" spans="1:4" x14ac:dyDescent="0.25">
      <c r="A64" s="110" t="s">
        <v>923</v>
      </c>
      <c r="B64" s="110"/>
      <c r="C64" s="110"/>
      <c r="D64" s="110"/>
    </row>
    <row r="66" spans="1:5" x14ac:dyDescent="0.25">
      <c r="A66" s="15" t="s">
        <v>886</v>
      </c>
      <c r="B66" t="s">
        <v>920</v>
      </c>
    </row>
    <row r="67" spans="1:5" x14ac:dyDescent="0.25">
      <c r="A67" s="15" t="s">
        <v>7</v>
      </c>
      <c r="B67" t="s">
        <v>920</v>
      </c>
    </row>
    <row r="69" spans="1:5" x14ac:dyDescent="0.25">
      <c r="A69" s="15" t="s">
        <v>781</v>
      </c>
      <c r="B69" s="15" t="s">
        <v>20</v>
      </c>
      <c r="C69" t="s">
        <v>907</v>
      </c>
      <c r="D69" t="s">
        <v>908</v>
      </c>
    </row>
    <row r="70" spans="1:5" x14ac:dyDescent="0.25">
      <c r="A70" t="s">
        <v>788</v>
      </c>
      <c r="B70" s="7" t="s">
        <v>43</v>
      </c>
      <c r="C70" s="7">
        <v>5</v>
      </c>
      <c r="D70" s="43">
        <v>295578.49</v>
      </c>
    </row>
    <row r="71" spans="1:5" x14ac:dyDescent="0.25">
      <c r="B71" t="s">
        <v>231</v>
      </c>
      <c r="C71" s="44">
        <v>9</v>
      </c>
      <c r="D71" s="14">
        <v>504254.27</v>
      </c>
    </row>
    <row r="72" spans="1:5" x14ac:dyDescent="0.25">
      <c r="B72" t="s">
        <v>155</v>
      </c>
      <c r="C72" s="7">
        <v>9</v>
      </c>
      <c r="D72" s="14">
        <v>576474.77999999991</v>
      </c>
      <c r="E72" t="s">
        <v>924</v>
      </c>
    </row>
    <row r="73" spans="1:5" x14ac:dyDescent="0.25">
      <c r="B73" s="7" t="s">
        <v>26</v>
      </c>
      <c r="C73" s="7">
        <v>6</v>
      </c>
      <c r="D73" s="43">
        <v>325895.98</v>
      </c>
      <c r="E73" t="s">
        <v>293</v>
      </c>
    </row>
    <row r="74" spans="1:5" x14ac:dyDescent="0.25">
      <c r="A74" t="s">
        <v>921</v>
      </c>
      <c r="C74">
        <v>29</v>
      </c>
      <c r="D74" s="14">
        <v>1702203.5200000003</v>
      </c>
    </row>
    <row r="75" spans="1:5" x14ac:dyDescent="0.25">
      <c r="A75" t="s">
        <v>797</v>
      </c>
      <c r="B75" s="7" t="s">
        <v>43</v>
      </c>
      <c r="C75" s="7">
        <v>1</v>
      </c>
      <c r="D75" s="43">
        <v>109925.12</v>
      </c>
    </row>
    <row r="76" spans="1:5" x14ac:dyDescent="0.25">
      <c r="B76" t="s">
        <v>231</v>
      </c>
      <c r="C76">
        <v>2</v>
      </c>
      <c r="D76" s="14">
        <v>714479.63</v>
      </c>
    </row>
    <row r="77" spans="1:5" x14ac:dyDescent="0.25">
      <c r="B77" t="s">
        <v>155</v>
      </c>
      <c r="C77">
        <v>2</v>
      </c>
      <c r="D77" s="14">
        <v>391518.64</v>
      </c>
    </row>
    <row r="78" spans="1:5" x14ac:dyDescent="0.25">
      <c r="B78" s="7" t="s">
        <v>26</v>
      </c>
      <c r="C78" s="7">
        <v>1</v>
      </c>
      <c r="D78" s="43">
        <v>460999.9</v>
      </c>
    </row>
    <row r="79" spans="1:5" x14ac:dyDescent="0.25">
      <c r="A79" t="s">
        <v>922</v>
      </c>
      <c r="C79">
        <v>6</v>
      </c>
      <c r="D79" s="14">
        <v>1676923.29</v>
      </c>
    </row>
    <row r="80" spans="1:5" x14ac:dyDescent="0.25">
      <c r="A80" t="s">
        <v>916</v>
      </c>
      <c r="C80">
        <v>35</v>
      </c>
      <c r="D80" s="14">
        <v>3379126.81</v>
      </c>
    </row>
  </sheetData>
  <mergeCells count="5">
    <mergeCell ref="L2:N2"/>
    <mergeCell ref="A32:D32"/>
    <mergeCell ref="A48:D48"/>
    <mergeCell ref="A64:D64"/>
    <mergeCell ref="G46:I46"/>
  </mergeCell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4A0E2-F208-4F96-B49B-1F442E8BC809}">
  <dimension ref="A3:E16"/>
  <sheetViews>
    <sheetView workbookViewId="0">
      <selection activeCell="C4" sqref="A4:C5"/>
    </sheetView>
  </sheetViews>
  <sheetFormatPr defaultRowHeight="15" x14ac:dyDescent="0.25"/>
  <cols>
    <col min="1" max="1" width="18" bestFit="1" customWidth="1"/>
    <col min="2" max="2" width="12.85546875" bestFit="1" customWidth="1"/>
    <col min="3" max="3" width="22.7109375" bestFit="1" customWidth="1"/>
    <col min="4" max="4" width="18.140625" bestFit="1" customWidth="1"/>
    <col min="5" max="5" width="21.85546875" bestFit="1" customWidth="1"/>
    <col min="6" max="6" width="22.7109375" customWidth="1"/>
    <col min="7" max="7" width="10.7109375" customWidth="1"/>
  </cols>
  <sheetData>
    <row r="3" spans="1:5" x14ac:dyDescent="0.25">
      <c r="A3" s="15" t="s">
        <v>781</v>
      </c>
      <c r="B3" s="15" t="s">
        <v>20</v>
      </c>
      <c r="C3" s="15" t="s">
        <v>885</v>
      </c>
      <c r="D3" t="s">
        <v>907</v>
      </c>
      <c r="E3" t="s">
        <v>908</v>
      </c>
    </row>
    <row r="4" spans="1:5" x14ac:dyDescent="0.25">
      <c r="A4" t="s">
        <v>788</v>
      </c>
      <c r="B4" t="s">
        <v>69</v>
      </c>
      <c r="C4" t="s">
        <v>892</v>
      </c>
      <c r="D4">
        <v>1</v>
      </c>
      <c r="E4" s="26">
        <v>104067.62</v>
      </c>
    </row>
    <row r="5" spans="1:5" x14ac:dyDescent="0.25">
      <c r="B5" t="s">
        <v>43</v>
      </c>
      <c r="C5" t="s">
        <v>892</v>
      </c>
      <c r="D5">
        <v>2</v>
      </c>
      <c r="E5" s="26">
        <v>141496.03</v>
      </c>
    </row>
    <row r="6" spans="1:5" x14ac:dyDescent="0.25">
      <c r="C6" t="s">
        <v>889</v>
      </c>
      <c r="D6">
        <v>3</v>
      </c>
      <c r="E6" s="26">
        <v>154082.46</v>
      </c>
    </row>
    <row r="7" spans="1:5" x14ac:dyDescent="0.25">
      <c r="C7" t="s">
        <v>911</v>
      </c>
      <c r="D7">
        <v>3</v>
      </c>
      <c r="E7" s="26">
        <v>184599.78</v>
      </c>
    </row>
    <row r="8" spans="1:5" x14ac:dyDescent="0.25">
      <c r="B8" t="s">
        <v>26</v>
      </c>
      <c r="C8" t="s">
        <v>892</v>
      </c>
      <c r="D8">
        <v>1</v>
      </c>
      <c r="E8" s="26">
        <v>51360.82</v>
      </c>
    </row>
    <row r="9" spans="1:5" x14ac:dyDescent="0.25">
      <c r="C9" t="s">
        <v>889</v>
      </c>
      <c r="D9">
        <v>6</v>
      </c>
      <c r="E9" s="26">
        <v>363990.7</v>
      </c>
    </row>
    <row r="10" spans="1:5" x14ac:dyDescent="0.25">
      <c r="C10" t="s">
        <v>911</v>
      </c>
      <c r="D10">
        <v>8</v>
      </c>
      <c r="E10" s="26">
        <v>442325.52</v>
      </c>
    </row>
    <row r="11" spans="1:5" x14ac:dyDescent="0.25">
      <c r="A11" t="s">
        <v>797</v>
      </c>
      <c r="B11" t="s">
        <v>43</v>
      </c>
      <c r="C11" t="s">
        <v>925</v>
      </c>
      <c r="D11">
        <v>1</v>
      </c>
      <c r="E11" s="26">
        <v>15000</v>
      </c>
    </row>
    <row r="12" spans="1:5" x14ac:dyDescent="0.25">
      <c r="C12" t="s">
        <v>889</v>
      </c>
      <c r="D12">
        <v>1</v>
      </c>
      <c r="E12" s="26">
        <v>109925.12</v>
      </c>
    </row>
    <row r="13" spans="1:5" x14ac:dyDescent="0.25">
      <c r="C13" t="s">
        <v>911</v>
      </c>
      <c r="D13">
        <v>3</v>
      </c>
      <c r="E13" s="26">
        <v>109018.76</v>
      </c>
    </row>
    <row r="14" spans="1:5" x14ac:dyDescent="0.25">
      <c r="B14" t="s">
        <v>26</v>
      </c>
      <c r="C14" t="s">
        <v>889</v>
      </c>
      <c r="D14">
        <v>1</v>
      </c>
      <c r="E14" s="26">
        <v>460999.9</v>
      </c>
    </row>
    <row r="15" spans="1:5" x14ac:dyDescent="0.25">
      <c r="C15" t="s">
        <v>911</v>
      </c>
      <c r="D15">
        <v>2</v>
      </c>
      <c r="E15" s="26">
        <v>236657.69</v>
      </c>
    </row>
    <row r="16" spans="1:5" x14ac:dyDescent="0.25">
      <c r="A16" t="s">
        <v>916</v>
      </c>
      <c r="D16">
        <v>32</v>
      </c>
      <c r="E16" s="26">
        <v>2373524.4</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D95D8-D9FC-4DB9-BA3E-ED7A39E45C36}">
  <sheetPr codeName="Planilha4"/>
  <dimension ref="A1:O154"/>
  <sheetViews>
    <sheetView topLeftCell="B1" zoomScaleNormal="100" workbookViewId="0">
      <selection activeCell="J10" sqref="C9:J10"/>
    </sheetView>
  </sheetViews>
  <sheetFormatPr defaultRowHeight="15" x14ac:dyDescent="0.25"/>
  <cols>
    <col min="1" max="1" width="12" customWidth="1"/>
    <col min="2" max="4" width="13.85546875" customWidth="1"/>
    <col min="5" max="5" width="9.85546875" customWidth="1"/>
    <col min="6" max="6" width="21.5703125" bestFit="1" customWidth="1"/>
    <col min="7" max="7" width="40.5703125" customWidth="1"/>
    <col min="8" max="8" width="13.5703125" customWidth="1"/>
    <col min="9" max="10" width="18.5703125" customWidth="1"/>
    <col min="11" max="11" width="6.7109375" customWidth="1"/>
    <col min="12" max="12" width="41" customWidth="1"/>
    <col min="13" max="13" width="20.28515625" style="13" customWidth="1"/>
    <col min="15" max="15" width="14.28515625" bestFit="1" customWidth="1"/>
  </cols>
  <sheetData>
    <row r="1" spans="1:14" x14ac:dyDescent="0.25">
      <c r="A1" s="9" t="s">
        <v>4</v>
      </c>
      <c r="B1" s="9" t="s">
        <v>0</v>
      </c>
      <c r="C1" s="9" t="s">
        <v>926</v>
      </c>
      <c r="D1" s="9" t="s">
        <v>20</v>
      </c>
      <c r="E1" s="9" t="s">
        <v>781</v>
      </c>
      <c r="F1" s="9" t="s">
        <v>785</v>
      </c>
      <c r="G1" s="9" t="s">
        <v>884</v>
      </c>
      <c r="H1" s="9" t="s">
        <v>784</v>
      </c>
      <c r="I1" s="9" t="s">
        <v>885</v>
      </c>
      <c r="J1" s="9" t="s">
        <v>886</v>
      </c>
      <c r="K1" s="9" t="s">
        <v>7</v>
      </c>
      <c r="L1" s="9" t="s">
        <v>887</v>
      </c>
      <c r="M1" s="12" t="s">
        <v>888</v>
      </c>
      <c r="N1" s="9" t="s">
        <v>927</v>
      </c>
    </row>
    <row r="2" spans="1:14" x14ac:dyDescent="0.25">
      <c r="A2" t="s">
        <v>32</v>
      </c>
      <c r="B2">
        <v>7908686014</v>
      </c>
      <c r="C2" t="str">
        <f>_xlfn.XLOOKUP(B2,'Ajustes Reguladores de Tensão'!A:A,'Ajustes Reguladores de Tensão'!D:D,_xlfn.XLOOKUP(B2,'Ajustes RL Poste'!A:A,'Ajustes RL Poste'!K:K))</f>
        <v>NOJA RC10</v>
      </c>
      <c r="D2" t="str">
        <f>_xlfn.XLOOKUP(B2,'[2]Criticidade por Equipamento'!$A:$A,'[2]Criticidade por Equipamento'!$W:$W)</f>
        <v>24/07 PARECER COCM: EQUIPAMENTO FOI SUBSTITUIDO OBRA 021260042510/07 PARECER COEP: EQUIPAMENTO ENTREGUE AOS COCM´S FAVOR INFORMAR PRAZO DE SUBSTUIÇÃO PARA O DMSL E REPASSAR DEPOIS PARA PROTEÇÃO REALIZAR OS AJUSTES E DESCREVER NA SS O SERVIÇO REALIZADO06/07 PARECER COEP: PREVISÃO DE ENTREGA DE ACORDO COM CALENDÁRIO LOGISITCO NOVO 06/07NOTA DMSL: Favor substituir o tanque, ele não está efetuando os comandos enviados. Não substituir o controle pois o mesmo funciona como repetidor de outros equipamentos.Segue nota para verificar falha de fechamento religador 7908686014- Pium .OBS: equipamento não fechou local e remoto , fica sinalizando no painel para verificar alarmes !</v>
      </c>
      <c r="E2" t="s">
        <v>788</v>
      </c>
      <c r="F2" t="s">
        <v>560</v>
      </c>
      <c r="G2" t="s">
        <v>564</v>
      </c>
      <c r="H2" t="s">
        <v>791</v>
      </c>
      <c r="I2" t="s">
        <v>911</v>
      </c>
      <c r="J2" t="s">
        <v>912</v>
      </c>
      <c r="L2" t="str">
        <f>VLOOKUP(B2,$F$76:$G$140,2,0)</f>
        <v>Tanque (não substituir controle)</v>
      </c>
      <c r="M2" s="13">
        <f>VLOOKUP(B2,Custos!A:B,2,0)</f>
        <v>51360.82</v>
      </c>
      <c r="N2" t="str">
        <f>_xlfn.XLOOKUP(B2,'1007ALLan'!A:A,'1007ALLan'!F:F)</f>
        <v>ETO-PROT 00159/2026</v>
      </c>
    </row>
    <row r="3" spans="1:14" x14ac:dyDescent="0.25">
      <c r="A3" t="s">
        <v>24</v>
      </c>
      <c r="B3">
        <v>7900535058</v>
      </c>
      <c r="C3" t="str">
        <f>_xlfn.XLOOKUP(B3,'Ajustes Reguladores de Tensão'!A:A,'Ajustes Reguladores de Tensão'!D:D,_xlfn.XLOOKUP(B3,'Ajustes RL Poste'!A:A,'Ajustes RL Poste'!K:K))</f>
        <v>COOPER F6</v>
      </c>
      <c r="D3" t="str">
        <f>_xlfn.XLOOKUP(B3,'[2]Criticidade por Equipamento'!$A:$A,'[2]Criticidade por Equipamento'!$W:$W)</f>
        <v>PARECER COEP: EQUIPAMENTO SELECIONADO PARA COMPRAPARECER DMSL:  Equipamento 7900535058 encontra-se com o relé danificado, firmware corrompido, o mesmo não inicia. Devido ao fato de não possuirmos mais peças de reposição para religador cooper, se faz necessário a  substituição de todo conjunto por um Noja RC10.envar equipe para verificar rlo 7900535058 foi feito primeiro ataque com equipe 040op36 o mesmo esta com RELE TRAVADO E FICOU FORA DE OPERAÇÃO, ATENDE RDR DE SANTA FÉ SAIDA DA CIDADEEQUIPE INFORMOU ABELHAS NA CAIXA DO PAINEL DE COMANDO</v>
      </c>
      <c r="E3" t="s">
        <v>788</v>
      </c>
      <c r="F3" t="s">
        <v>503</v>
      </c>
      <c r="G3" t="s">
        <v>509</v>
      </c>
      <c r="H3" t="s">
        <v>791</v>
      </c>
      <c r="I3" t="s">
        <v>889</v>
      </c>
      <c r="J3" t="s">
        <v>889</v>
      </c>
      <c r="L3" t="str">
        <f t="shared" ref="L3:L66" si="0">VLOOKUP(B3,$F$76:$G$140,2,0)</f>
        <v>Religador completo (Cooper→NOJA RC10)</v>
      </c>
      <c r="M3" s="13">
        <f>VLOOKUP(B3,Custos!A:B,2,0)</f>
        <v>89455.54</v>
      </c>
      <c r="N3" t="str">
        <f>_xlfn.XLOOKUP(B3,'1007ALLan'!A:A,'1007ALLan'!F:F)</f>
        <v>ETO-COEP 00173/2025</v>
      </c>
    </row>
    <row r="4" spans="1:14" x14ac:dyDescent="0.25">
      <c r="A4" t="s">
        <v>32</v>
      </c>
      <c r="B4">
        <v>7953610256</v>
      </c>
      <c r="C4" t="str">
        <f>_xlfn.XLOOKUP(B4,'Ajustes Reguladores de Tensão'!A:A,'Ajustes Reguladores de Tensão'!D:D,_xlfn.XLOOKUP(B4,'Ajustes RL Poste'!A:A,'Ajustes RL Poste'!K:K))</f>
        <v>NOJA RC10</v>
      </c>
      <c r="D4" t="str">
        <f>_xlfn.XLOOKUP(B4,'[2]Criticidade por Equipamento'!$A:$A,'[2]Criticidade por Equipamento'!$W:$W)</f>
        <v>24/07/2026 - PARECE COCM: EQUIPAMENTO SUBSTIUIDO NA OS:ETO-RD-PO 2020/202614/07/2026 - PARECER COEP: REALOCAR TANQUE 34,5 SOBRESSALENTE DE PARAÍSO PARA ATENDER  PARECER DMSL: Data: 10/03/2026,Serviço Executado: Foi substituído o relé do equipamento, o mesmo estava danificado. Trocado o DPS, o mesmo estava queimado devido ao tanque estar furado. O equipamento ficou em bypass.Equipamento ficou em operação? NãoPendência? Sim, substituir a parte ativa com cordão umbilical.Equipe: Carliel e João VitorSEGUE SS PARA REGULARIZAR AUTOMAÇÃO DO RL 7953610256 NA INTERLIGAÇÃO COM A COELBA (CHAPADA DA MANGABEIRA) - EQUIPE INFOMOU CURTO INTERNO NO GABINETE DJ AC NÃO FECHA</v>
      </c>
      <c r="E4" t="s">
        <v>788</v>
      </c>
      <c r="F4" t="s">
        <v>759</v>
      </c>
      <c r="G4" t="s">
        <v>763</v>
      </c>
      <c r="H4" t="s">
        <v>791</v>
      </c>
      <c r="I4" t="s">
        <v>889</v>
      </c>
      <c r="J4" t="s">
        <v>889</v>
      </c>
      <c r="L4" t="str">
        <f t="shared" si="0"/>
        <v>Tanque + cordão umbilical</v>
      </c>
      <c r="M4" s="13">
        <f>VLOOKUP(B4,Custos!A:B,2,0)</f>
        <v>51360.82</v>
      </c>
      <c r="N4" t="str">
        <f>_xlfn.XLOOKUP(B4,'1007ALLan'!A:A,'1007ALLan'!F:F)</f>
        <v>ETO-PROT 00157/2026</v>
      </c>
    </row>
    <row r="5" spans="1:14" x14ac:dyDescent="0.25">
      <c r="A5" t="s">
        <v>32</v>
      </c>
      <c r="B5">
        <v>7942485096</v>
      </c>
      <c r="C5" t="str">
        <f>_xlfn.XLOOKUP(B5,'Ajustes Reguladores de Tensão'!A:A,'Ajustes Reguladores de Tensão'!D:D,_xlfn.XLOOKUP(B5,'Ajustes RL Poste'!A:A,'Ajustes RL Poste'!K:K))</f>
        <v>NOJA RC10</v>
      </c>
      <c r="D5" t="str">
        <f>_xlfn.XLOOKUP(B5,'[2]Criticidade por Equipamento'!$A:$A,'[2]Criticidade por Equipamento'!$W:$W)</f>
        <v>30/06 PARECER COEP: EQUIPAMENTO SELECIONADO PARA COMPRARELIGADOR COM DEFEITO 7942485096, ESTA DANDO PASSAGEM ESTANDO ABERTO. NÃO ACEITA COMANDOS. FICOU BY PASSADO EM CAMPO PARA MANUTENÇÃO.PARECER DMSL: Ao testar o tanque, foi constatado que o mesmo está danificado e precisa ser substituído.Substituir somente o tanque. Deixar claro na nota para o dcmd substituir somente o tanque. Não tem necessidade de substituir o controle.</v>
      </c>
      <c r="E5" t="s">
        <v>788</v>
      </c>
      <c r="F5" t="s">
        <v>739</v>
      </c>
      <c r="G5" t="s">
        <v>742</v>
      </c>
      <c r="H5" t="s">
        <v>791</v>
      </c>
      <c r="I5" t="s">
        <v>889</v>
      </c>
      <c r="J5" t="s">
        <v>889</v>
      </c>
      <c r="L5" t="str">
        <f t="shared" si="0"/>
        <v>Tanque (parte ativa)</v>
      </c>
      <c r="M5" s="13">
        <f>VLOOKUP(B5,Custos!A:B,2,0)</f>
        <v>51360.82</v>
      </c>
      <c r="N5" t="str">
        <f>_xlfn.XLOOKUP(B5,'1007ALLan'!A:A,'1007ALLan'!F:F)</f>
        <v>ETO-COEP 00158/2025</v>
      </c>
    </row>
    <row r="6" spans="1:14" x14ac:dyDescent="0.25">
      <c r="A6" t="s">
        <v>24</v>
      </c>
      <c r="B6">
        <v>5858783119</v>
      </c>
      <c r="C6" t="str">
        <f>_xlfn.XLOOKUP(B6,'Ajustes Reguladores de Tensão'!A:A,'Ajustes Reguladores de Tensão'!D:D,_xlfn.XLOOKUP(B6,'Ajustes RL Poste'!A:A,'Ajustes RL Poste'!K:K))</f>
        <v>ITB</v>
      </c>
      <c r="D6" t="str">
        <f>_xlfn.XLOOKUP(B6,'[2]Criticidade por Equipamento'!$A:$A,'[2]Criticidade por Equipamento'!$W:$W)</f>
        <v>PARECER DMSL 31/07/2026: RT 5858783119 SE ECONTRA NA MESMA SITUAÇÃO INFORMADA NO DIA 16/06/2026. FAVOR, REGULARIZAR A SITUAÇÃO DO EQUIPAMENTO, SUBSTITUINDO OS 3 TANQUES E  INSTALAR NOVOS PARA-RAIOS.27/07/2026 PARECER COEP: FIZEMOS UMA VISITA AO EQUIPAMENTO , EQUIPAMENTO SE ENCONTRA EM OPERAÇÃO E SEM SINAL DE AVARIA FAVOR AVALIAR PARECER DMSL A SS FOTOS COM O LUANDERSSON OU JOAO ANTONIO LAGARES 20/07 PARECER COEP: EQUIPAMENTO SELECIONADO PARA COMPRA , DEVIDO AO ERRO NA INSTALAÇÃO E O FURTOPARECER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v>
      </c>
      <c r="E6" t="s">
        <v>797</v>
      </c>
      <c r="F6" t="s">
        <v>452</v>
      </c>
      <c r="G6" t="s">
        <v>457</v>
      </c>
      <c r="H6" t="s">
        <v>791</v>
      </c>
      <c r="I6" t="s">
        <v>889</v>
      </c>
      <c r="J6" t="s">
        <v>889</v>
      </c>
      <c r="K6" t="s">
        <v>928</v>
      </c>
      <c r="L6" t="str">
        <f t="shared" si="0"/>
        <v>3 células (óleo furtado)</v>
      </c>
      <c r="M6" s="13">
        <f>VLOOKUP(B6,Custos!A:B,2,0)</f>
        <v>460999.9</v>
      </c>
      <c r="N6" t="str">
        <f>_xlfn.XLOOKUP(B6,'1007ALLan'!A:A,'1007ALLan'!F:F)</f>
        <v>ETO-COEP 00164/2026</v>
      </c>
    </row>
    <row r="7" spans="1:14" x14ac:dyDescent="0.25">
      <c r="A7" t="s">
        <v>32</v>
      </c>
      <c r="B7">
        <v>5853360007</v>
      </c>
      <c r="C7" t="str">
        <f>_xlfn.XLOOKUP(B7,'Ajustes Reguladores de Tensão'!A:A,'Ajustes Reguladores de Tensão'!D:D,_xlfn.XLOOKUP(B7,'Ajustes RL Poste'!A:A,'Ajustes RL Poste'!K:K))</f>
        <v>ITB</v>
      </c>
      <c r="D7" t="str">
        <f>_xlfn.XLOOKUP(B7,'[2]Criticidade por Equipamento'!$A:$A,'[2]Criticidade por Equipamento'!$W:$W)</f>
        <v>REALIZAR TESTES NO EQUIPAMENTO E CONFERIR MEDIÇÕES DA MALHA DE ATERRAMENTO. ESTANDO OK, COMISSIONAR EQUIPAMENTO E COLOCA-LO EM OPERAÇÃO.AJUSTES DISPONIVEIS NO APP DA PROTEÇÃdmsl : N° do Equipamento:*RT 5853360007 MIRACEMASID: 2493/2025Data: 13/05/2025Serviço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7a.Equipamento ficou em operação?: Não Equipe: Benvindo e Jardel</v>
      </c>
      <c r="E7" t="s">
        <v>797</v>
      </c>
      <c r="F7" t="s">
        <v>424</v>
      </c>
      <c r="G7" t="s">
        <v>428</v>
      </c>
      <c r="H7" t="s">
        <v>804</v>
      </c>
      <c r="I7" t="s">
        <v>911</v>
      </c>
      <c r="J7" t="s">
        <v>911</v>
      </c>
      <c r="K7" t="s">
        <v>929</v>
      </c>
      <c r="L7" t="e">
        <f t="shared" si="0"/>
        <v>#N/A</v>
      </c>
      <c r="M7" s="13">
        <v>15000</v>
      </c>
      <c r="N7" t="str">
        <f>_xlfn.XLOOKUP(B7,'1007ALLan'!A:A,'1007ALLan'!F:F)</f>
        <v>ETO-RD-PS 00323/2025</v>
      </c>
    </row>
    <row r="8" spans="1:14" x14ac:dyDescent="0.25">
      <c r="A8" t="s">
        <v>32</v>
      </c>
      <c r="B8">
        <v>7900453110</v>
      </c>
      <c r="C8" t="str">
        <f>_xlfn.XLOOKUP(B8,'Ajustes Reguladores de Tensão'!A:A,'Ajustes Reguladores de Tensão'!D:D,_xlfn.XLOOKUP(B8,'Ajustes RL Poste'!A:A,'Ajustes RL Poste'!K:K))</f>
        <v>COOPER F6</v>
      </c>
      <c r="D8" t="str">
        <f>_xlfn.XLOOKUP(B8,'[2]Criticidade por Equipamento'!$A:$A,'[2]Criticidade por Equipamento'!$W:$W)</f>
        <v>10/07/2026 EQUIPAMENTO SELECIONADO PARA COMPRA PARTE ATIVA30/06.PARECER COEP: ALINHADO COM O ALLAN REMANEJAMOS PARTE ATIVA PARA ATENDER 7933726256PARECER COEP: Aproveitar controle cooper se possível em outro local, previsão de chegada do material dia 01/07 para substituiçãoFavor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completo.Equipamento ficou em operação?: _SIM_a pedido do COS ficou em operação, a operação está ciente da necessidade de substituir.Pendência: Sim, será necessário substituir o equipamento.</v>
      </c>
      <c r="E8" t="s">
        <v>788</v>
      </c>
      <c r="F8" t="s">
        <v>481</v>
      </c>
      <c r="G8" t="s">
        <v>488</v>
      </c>
      <c r="H8" t="s">
        <v>791</v>
      </c>
      <c r="I8" t="s">
        <v>911</v>
      </c>
      <c r="J8" t="s">
        <v>912</v>
      </c>
      <c r="L8" t="str">
        <f t="shared" si="0"/>
        <v>Religador completo</v>
      </c>
      <c r="M8" s="13">
        <f>VLOOKUP(B8,Custos!A:B,2,0)</f>
        <v>89455.54</v>
      </c>
      <c r="N8" t="str">
        <f>_xlfn.XLOOKUP(B8,'1007ALLan'!A:A,'1007ALLan'!F:F)</f>
        <v>ETO-COEP 00087/2026</v>
      </c>
    </row>
    <row r="9" spans="1:14" x14ac:dyDescent="0.25">
      <c r="A9" t="s">
        <v>32</v>
      </c>
      <c r="B9">
        <v>7923927122</v>
      </c>
      <c r="C9" t="str">
        <f>_xlfn.XLOOKUP(B9,'Ajustes Reguladores de Tensão'!A:A,'Ajustes Reguladores de Tensão'!D:D,_xlfn.XLOOKUP(B9,'Ajustes RL Poste'!A:A,'Ajustes RL Poste'!K:K))</f>
        <v>NOJA RC10</v>
      </c>
      <c r="D9" t="str">
        <f>_xlfn.XLOOKUP(B9,'[2]Criticidade por Equipamento'!$A:$A,'[2]Criticidade por Equipamento'!$W:$W)</f>
        <v>PARECER DMSL 16/07: Nota solicitada ao DMSL com a informação de que o tanque precisa ser substituído. Estou encaminhando a nota para a área responsável.Segue nota para envia manutenção substituir tanque do RL-7923927122 em curto, Anomalia identificada desarme das LD, s Palmas / Aparecida e Palmas Taquaruçu, Acesso livre, Tensão 34,5kv, Local RL de Interligação entre 424R / 414R.</v>
      </c>
      <c r="E9" t="s">
        <v>788</v>
      </c>
      <c r="F9" t="s">
        <v>610</v>
      </c>
      <c r="G9" t="s">
        <v>614</v>
      </c>
      <c r="H9" t="s">
        <v>791</v>
      </c>
      <c r="I9" t="s">
        <v>889</v>
      </c>
      <c r="J9" t="s">
        <v>889</v>
      </c>
      <c r="L9" t="str">
        <f t="shared" si="0"/>
        <v>Tanque (parte ativa)</v>
      </c>
      <c r="M9" s="13">
        <f>VLOOKUP(B9,Custos!A:B,2,0)</f>
        <v>51360.82</v>
      </c>
      <c r="N9" t="str">
        <f>_xlfn.XLOOKUP(B9,'1007ALLan'!A:A,'1007ALLan'!F:F)</f>
        <v>ETO-COEP 00148/2026</v>
      </c>
    </row>
    <row r="10" spans="1:14" x14ac:dyDescent="0.25">
      <c r="A10" t="s">
        <v>32</v>
      </c>
      <c r="B10">
        <v>7900117013</v>
      </c>
      <c r="C10" t="str">
        <f>_xlfn.XLOOKUP(B10,'Ajustes Reguladores de Tensão'!A:A,'Ajustes Reguladores de Tensão'!D:D,_xlfn.XLOOKUP(B10,'Ajustes RL Poste'!A:A,'Ajustes RL Poste'!K:K))</f>
        <v>COOPER F6</v>
      </c>
      <c r="D10" t="str">
        <f>_xlfn.XLOOKUP(B10,'[2]Criticidade por Equipamento'!$A:$A,'[2]Criticidade por Equipamento'!$W:$W)</f>
        <v>15/07 PARECER COCM: EQUIPAMENTO FOI SUBSTITUÍDO OBRA 021260042210/07 PARECER COEP: EQUIPAMENTO ENTREGUE AOS COCM´S FAVOR INFORMAR PRAZO DE SUBSTUIÇÃO PARA O DMSL E REPASSAR DEPOIS PARA PROTEÇÃO REALIZAR OS AJUSTES E DESCREVER NA SS O SERVIÇO REALIZADOPARECER COEP: PREVISÃO DE ENTREGA AOS COCM'S 01/07Segue nota para correção de anomalia e provável substituição de religador , religador 7900117013 -RDU - Paraiso .OBS: equipe DMSL Elisfran estava atualizando firmware no equipamento  , porém relé parou de funcionar devido essa atualização , sendo necessário sua substituição .em campo o modelo e   cooper Form6 , segundo tecnico deve ser substituído por um Noja .Repassado para o COEP para aquisição do equipamento e posterior repasse para o COCM.</v>
      </c>
      <c r="E10" t="s">
        <v>788</v>
      </c>
      <c r="F10" t="s">
        <v>474</v>
      </c>
      <c r="G10" t="s">
        <v>480</v>
      </c>
      <c r="H10" t="s">
        <v>791</v>
      </c>
      <c r="I10" t="s">
        <v>911</v>
      </c>
      <c r="J10" t="s">
        <v>912</v>
      </c>
      <c r="L10" t="str">
        <f t="shared" si="0"/>
        <v>Religador completo (Cooper F6→NOJA)</v>
      </c>
      <c r="M10" s="13">
        <f>VLOOKUP(B10,Custos!A:B,2,0)</f>
        <v>66619.48</v>
      </c>
      <c r="N10" t="str">
        <f>_xlfn.XLOOKUP(B10,'1007ALLan'!A:A,'1007ALLan'!F:F)</f>
        <v>ETO-PROT 00154/2026</v>
      </c>
    </row>
    <row r="11" spans="1:14" x14ac:dyDescent="0.25">
      <c r="A11" t="s">
        <v>24</v>
      </c>
      <c r="B11">
        <v>7900532053</v>
      </c>
      <c r="C11" t="e">
        <f>_xlfn.XLOOKUP(B11,'Ajustes Reguladores de Tensão'!A:A,'Ajustes Reguladores de Tensão'!D:D,_xlfn.XLOOKUP(B11,'Ajustes RL Poste'!A:A,'Ajustes RL Poste'!K:K))</f>
        <v>#N/A</v>
      </c>
      <c r="E11" t="s">
        <v>788</v>
      </c>
      <c r="F11" t="s">
        <v>496</v>
      </c>
      <c r="G11" t="s">
        <v>502</v>
      </c>
      <c r="H11" t="s">
        <v>791</v>
      </c>
      <c r="I11" t="s">
        <v>892</v>
      </c>
      <c r="J11" t="s">
        <v>892</v>
      </c>
      <c r="L11" t="str">
        <f t="shared" si="0"/>
        <v>Religador completo + rádio GE</v>
      </c>
      <c r="M11" s="13">
        <f>VLOOKUP(B11,Custos!A:B,2,0)</f>
        <v>104067.62</v>
      </c>
      <c r="N11" t="str">
        <f>_xlfn.XLOOKUP(B11,'1007ALLan'!A:A,'1007ALLan'!F:F)</f>
        <v>CONCLUÍDA</v>
      </c>
    </row>
    <row r="12" spans="1:14" x14ac:dyDescent="0.25">
      <c r="A12" t="s">
        <v>24</v>
      </c>
      <c r="B12">
        <v>7920024127</v>
      </c>
      <c r="C12" t="str">
        <f>_xlfn.XLOOKUP(B12,'Ajustes Reguladores de Tensão'!A:A,'Ajustes Reguladores de Tensão'!D:D,_xlfn.XLOOKUP(B12,'Ajustes RL Poste'!A:A,'Ajustes RL Poste'!K:K))</f>
        <v>SCHNEIDER ADVC</v>
      </c>
      <c r="D12" t="str">
        <f>_xlfn.XLOOKUP(B12,'[2]Criticidade por Equipamento'!$A:$A,'[2]Criticidade por Equipamento'!$W:$W)</f>
        <v>30/06 PARECER COEP: AGUARDANDO O RETORNO DO DMSL , PARA ENTENDER SE O PROBLEMA É NA COMUNICAÇÃO OU PARTE ATIVA, JÁ QUE O EQUIPAMENTO EM QUESTÃO SEGUE COMUNICANDOPARECER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quebrado.RL 7920024127 está desarmando em campo e no SCADA continua fechado, só sinaliza aberto no SCADA quando a equipe faz o resert no equipamento em campo.</v>
      </c>
      <c r="E12" t="s">
        <v>788</v>
      </c>
      <c r="F12" t="s">
        <v>593</v>
      </c>
      <c r="G12" t="s">
        <v>597</v>
      </c>
      <c r="H12" t="s">
        <v>791</v>
      </c>
      <c r="I12" t="s">
        <v>892</v>
      </c>
      <c r="J12" t="s">
        <v>892</v>
      </c>
      <c r="L12" t="str">
        <f t="shared" si="0"/>
        <v>Religador completo (→NOJA) + chave faca fase A</v>
      </c>
      <c r="M12" s="13">
        <f>VLOOKUP(B12,Custos!A:B,2,0)</f>
        <v>90191.97</v>
      </c>
      <c r="N12" t="str">
        <f>_xlfn.XLOOKUP(B12,'1007ALLan'!A:A,'1007ALLan'!F:F)</f>
        <v>ETO-COEP 00120/2025</v>
      </c>
    </row>
    <row r="13" spans="1:14" x14ac:dyDescent="0.25">
      <c r="A13" t="s">
        <v>24</v>
      </c>
      <c r="B13">
        <v>7928564039</v>
      </c>
      <c r="C13" t="str">
        <f>_xlfn.XLOOKUP(B13,'Ajustes Reguladores de Tensão'!A:A,'Ajustes Reguladores de Tensão'!D:D,_xlfn.XLOOKUP(B13,'Ajustes RL Poste'!A:A,'Ajustes RL Poste'!K:K))</f>
        <v>NOJA RC10</v>
      </c>
      <c r="D13" t="str">
        <f>_xlfn.XLOOKUP(B13,'[2]Criticidade por Equipamento'!$A:$A,'[2]Criticidade por Equipamento'!$W:$W)</f>
        <v>PARECER COEP: EQUIPAMENTO SELECIONADO PARA COMPRATroca do sistema de comunicação do equipamentoDMSL 28/07/2025: Equipamento com tanque, modulo e rele com defeito, solicitar troca do equipamento ao DCMD.Fotos vão ser enviadas por e-mail</v>
      </c>
      <c r="E13" t="s">
        <v>788</v>
      </c>
      <c r="F13" t="s">
        <v>676</v>
      </c>
      <c r="G13" t="s">
        <v>680</v>
      </c>
      <c r="H13" t="s">
        <v>791</v>
      </c>
      <c r="I13" t="s">
        <v>889</v>
      </c>
      <c r="J13" t="s">
        <v>889</v>
      </c>
      <c r="L13" t="str">
        <f t="shared" si="0"/>
        <v>Religador completo (tanque+módulo+relé)</v>
      </c>
      <c r="M13" s="13">
        <f>VLOOKUP(B13,Custos!A:B,2,0)</f>
        <v>89455.54</v>
      </c>
      <c r="N13" t="str">
        <f>_xlfn.XLOOKUP(B13,'1007ALLan'!A:A,'1007ALLan'!F:F)</f>
        <v>ETO-COEP 00123/2026</v>
      </c>
    </row>
    <row r="14" spans="1:14" x14ac:dyDescent="0.25">
      <c r="A14" t="s">
        <v>32</v>
      </c>
      <c r="B14">
        <v>7957126085</v>
      </c>
      <c r="C14" t="str">
        <f>_xlfn.XLOOKUP(B14,'Ajustes Reguladores de Tensão'!A:A,'Ajustes Reguladores de Tensão'!D:D,_xlfn.XLOOKUP(B14,'Ajustes RL Poste'!A:A,'Ajustes RL Poste'!K:K))</f>
        <v>NOJA RC10</v>
      </c>
      <c r="D14" t="str">
        <f>_xlfn.XLOOKUP(B14,'[2]Criticidade por Equipamento'!$A:$A,'[2]Criticidade por Equipamento'!$W:$W)</f>
        <v/>
      </c>
      <c r="E14" t="s">
        <v>788</v>
      </c>
      <c r="F14" t="s">
        <v>772</v>
      </c>
      <c r="G14" t="s">
        <v>775</v>
      </c>
      <c r="H14" t="s">
        <v>791</v>
      </c>
      <c r="I14" t="s">
        <v>911</v>
      </c>
      <c r="J14" t="s">
        <v>912</v>
      </c>
      <c r="L14" t="str">
        <f t="shared" si="0"/>
        <v>Controle completo + cabo BT</v>
      </c>
      <c r="M14" s="13">
        <f>VLOOKUP(B14,Custos!A:B,2,0)</f>
        <v>51304.06</v>
      </c>
      <c r="N14" t="str">
        <f>_xlfn.XLOOKUP(B14,'1007ALLan'!A:A,'1007ALLan'!F:F)</f>
        <v>CONCLUÍDA</v>
      </c>
    </row>
    <row r="15" spans="1:14" x14ac:dyDescent="0.25">
      <c r="A15" t="s">
        <v>58</v>
      </c>
      <c r="B15" s="7">
        <v>5856156091</v>
      </c>
      <c r="C15" t="str">
        <f>_xlfn.XLOOKUP(B15,'Ajustes Reguladores de Tensão'!A:A,'Ajustes Reguladores de Tensão'!D:D,_xlfn.XLOOKUP(B15,'Ajustes RL Poste'!A:A,'Ajustes RL Poste'!K:K))</f>
        <v>ITB</v>
      </c>
      <c r="D15" t="str">
        <f>_xlfn.XLOOKUP(B15,'[2]Criticidade por Equipamento'!$A:$A,'[2]Criticidade por Equipamento'!$W:$W)</f>
        <v>27/07/2026 PARECER COEP: EQUIPAMENTO SELECIONADO PARA COMPRA, PORÉM PODEMOS DESATIVAR DE ACORDO COM A ASPODCMD 26.03.2026. SS REPASSADA PARA COEP PROVIDENCIAR MATERIAL. NÃO TEMOS O MATERIAL EM ESTOQUE PARA SUBSTITUIÇÃO. COEP: Equipamento fornecido ao COCM-S para regularização.PARECER COEP: EQUIPAMENTOS JÁ FORNECIDOS PARA OS COCM'S PARA REGULARIZAÇÃOPARECER DA PROTEÇÃO:EQUIPAMENTOS FURTADOS. PARA AQUISIÇÃO DAS CELULAS DE REPOSIÇÃO, FAVOR CONSULTAR OS DADOS DE PLACA EM ANEXO.PARECER DA PROTEÇÃO:COMISISONAR RT 5856156091 LD DIANOPOLIS A NATIVIDADE. NECESSARIO REALIZAR MEDIÇÕES DA RESISTENCIA DA MALHA DE ATERRAMENTO.AJUSTES DISPONIVEIS NO APP DA PROTEÇÃO.RELIGADOR N° 5856156091 INSTALADO NA OBRA 0502400526 GENTILEZA, REALIZAR O COMISSIONAMENTO. LAUDO EM ANEXO. COORD EO: 899501, 8714782</v>
      </c>
      <c r="E15" t="s">
        <v>797</v>
      </c>
      <c r="F15" t="s">
        <v>446</v>
      </c>
      <c r="G15" t="s">
        <v>451</v>
      </c>
      <c r="H15" t="s">
        <v>812</v>
      </c>
      <c r="I15" t="s">
        <v>911</v>
      </c>
      <c r="J15" t="s">
        <v>911</v>
      </c>
      <c r="L15" t="e">
        <f t="shared" si="0"/>
        <v>#N/A</v>
      </c>
      <c r="M15" s="13">
        <v>460999.9</v>
      </c>
      <c r="N15" t="str">
        <f>_xlfn.XLOOKUP(B15,'1007ALLan'!A:A,'1007ALLan'!F:F)</f>
        <v>ETO-COEP 00160/2026</v>
      </c>
    </row>
    <row r="16" spans="1:14" x14ac:dyDescent="0.25">
      <c r="A16" t="s">
        <v>32</v>
      </c>
      <c r="B16">
        <v>5854566043</v>
      </c>
      <c r="C16" t="str">
        <f>_xlfn.XLOOKUP(B16,'Ajustes Reguladores de Tensão'!A:A,'Ajustes Reguladores de Tensão'!D:D,_xlfn.XLOOKUP(B16,'Ajustes RL Poste'!A:A,'Ajustes RL Poste'!K:K))</f>
        <v>ITB</v>
      </c>
      <c r="D16" t="str">
        <f>_xlfn.XLOOKUP(B16,'[2]Criticidade por Equipamento'!$A:$A,'[2]Criticidade por Equipamento'!$W:$W)</f>
        <v>24/07/2026 - PARECE COCM: EQUIPAMENTO SUBSTITUIDO NA OBRA 0312600352 OS: ETO-RD-PO 1873/202622/07/2026 PARECER COEP: EQUIPAMENTO ENTREGUE AOS COCM´SPRAZO DE 7 DIAS CONTANDO O SLA.PARECER COEP: EQUIPAMENTO ENTREGUE AOS COCM´S FAVOR SUSBSTTUIR , E AGUARDO O PRAZO DE PREVISÃO DE SUBSTIUIÇÃOboa noite,segue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v>
      </c>
      <c r="E16" t="s">
        <v>797</v>
      </c>
      <c r="F16" t="s">
        <v>429</v>
      </c>
      <c r="G16" t="s">
        <v>434</v>
      </c>
      <c r="H16" t="s">
        <v>791</v>
      </c>
      <c r="I16" t="s">
        <v>911</v>
      </c>
      <c r="J16" t="s">
        <v>912</v>
      </c>
      <c r="L16" t="str">
        <f t="shared" si="0"/>
        <v>Célula fase B</v>
      </c>
      <c r="M16" s="13">
        <f>VLOOKUP(B16,Custos!A:B,2,0)</f>
        <v>207212.3</v>
      </c>
      <c r="N16" t="str">
        <f>_xlfn.XLOOKUP(B16,'1007ALLan'!A:A,'1007ALLan'!F:F)</f>
        <v>ETO-PROT 00158/2026</v>
      </c>
    </row>
    <row r="17" spans="1:15" x14ac:dyDescent="0.25">
      <c r="A17" t="s">
        <v>32</v>
      </c>
      <c r="B17">
        <v>7927446001</v>
      </c>
      <c r="C17" t="str">
        <f>_xlfn.XLOOKUP(B17,'Ajustes Reguladores de Tensão'!A:A,'Ajustes Reguladores de Tensão'!D:D,_xlfn.XLOOKUP(B17,'Ajustes RL Poste'!A:A,'Ajustes RL Poste'!K:K))</f>
        <v>TAVRIDA</v>
      </c>
      <c r="D17" t="str">
        <f>_xlfn.XLOOKUP(B17,'[2]Criticidade por Equipamento'!$A:$A,'[2]Criticidade por Equipamento'!$W:$W)</f>
        <v>30/06 PARECER COEP: EQUIPAMENTO COMPLETOSegue para verificação RL sem comunicação feito primeiro ataque sem sucesso.PARECER DMSL:Data:* _08/07/2025Serviço Executado: Placa de alimentação danificada, devido a curto, não temos material sobressalente para manutenção! Favor substituir o equipamento completo.Obs.: O rádio ficou dentro do controle, favor orientar a equipe que for substituir colocar dentro do controle novo.Equipamento ficou em operação?: Não Pendência: Sim, substituir equipamento completo.</v>
      </c>
      <c r="E17" t="s">
        <v>788</v>
      </c>
      <c r="F17" t="s">
        <v>663</v>
      </c>
      <c r="G17" t="s">
        <v>666</v>
      </c>
      <c r="H17" t="s">
        <v>791</v>
      </c>
      <c r="I17" t="s">
        <v>889</v>
      </c>
      <c r="J17" t="s">
        <v>889</v>
      </c>
      <c r="L17" t="str">
        <f t="shared" si="0"/>
        <v>Religador completo (Tavrida s/ sobressalente)</v>
      </c>
      <c r="M17" s="13">
        <f>VLOOKUP(B17,Custos!A:B,2,0)</f>
        <v>89455.54</v>
      </c>
      <c r="N17" t="str">
        <f>_xlfn.XLOOKUP(B17,'1007ALLan'!A:A,'1007ALLan'!F:F)</f>
        <v>ETO-COEP 00143/2025</v>
      </c>
    </row>
    <row r="18" spans="1:15" x14ac:dyDescent="0.25">
      <c r="A18" t="s">
        <v>58</v>
      </c>
      <c r="B18">
        <v>7928241200</v>
      </c>
      <c r="C18" t="str">
        <f>_xlfn.XLOOKUP(B18,'Ajustes Reguladores de Tensão'!A:A,'Ajustes Reguladores de Tensão'!D:D,_xlfn.XLOOKUP(B18,'Ajustes RL Poste'!A:A,'Ajustes RL Poste'!K:K))</f>
        <v>NOJA RC10</v>
      </c>
      <c r="D18" t="str">
        <f>_xlfn.XLOOKUP(B18,'[2]Criticidade por Equipamento'!$A:$A,'[2]Criticidade por Equipamento'!$W:$W)</f>
        <v>PARECER COEP: EQUIPAMENTO SELECIONADO  PARA COMPRAPARECER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v>
      </c>
      <c r="E18" t="s">
        <v>788</v>
      </c>
      <c r="F18" t="s">
        <v>671</v>
      </c>
      <c r="G18" t="s">
        <v>675</v>
      </c>
      <c r="H18" t="s">
        <v>791</v>
      </c>
      <c r="I18" t="s">
        <v>892</v>
      </c>
      <c r="J18" t="s">
        <v>892</v>
      </c>
      <c r="L18" t="str">
        <f t="shared" si="0"/>
        <v>Tanque (parte ativa)</v>
      </c>
      <c r="M18" s="13">
        <f>VLOOKUP(B18,Custos!A:B,2,0)</f>
        <v>51360.82</v>
      </c>
      <c r="N18" t="str">
        <f>_xlfn.XLOOKUP(B18,'1007ALLan'!A:A,'1007ALLan'!F:F)</f>
        <v>ETO-COEP 00128/2026</v>
      </c>
    </row>
    <row r="19" spans="1:15" x14ac:dyDescent="0.25">
      <c r="A19" t="s">
        <v>24</v>
      </c>
      <c r="B19">
        <v>5800371025</v>
      </c>
      <c r="C19" t="str">
        <f>_xlfn.XLOOKUP(B19,'Ajustes Reguladores de Tensão'!A:A,'Ajustes Reguladores de Tensão'!D:D,_xlfn.XLOOKUP(B19,'Ajustes RL Poste'!A:A,'Ajustes RL Poste'!K:K))</f>
        <v>TOSHIBA</v>
      </c>
      <c r="D19" t="str">
        <f>_xlfn.XLOOKUP(B19,'[2]Criticidade por Equipamento'!$A:$A,'[2]Criticidade por Equipamento'!$W:$W)</f>
        <v>16/07/2026 PARECER COEP: ALINHADO COM O KELLITON REALIZAR SUBSTITUIÇÃO DO CONTROLE DE TUPIRAMA, ALINHADO COM O JEAN QUE OS CABOS COMPATIBILIZADORES VÃO CHEGAR 16/08 , ATÉ ESSA DATA MANTER ESSA SS E CONTROLE RUA, DEPOIS REPASSAR PARA O DMSLPARECER COEP: AVALIAR COM O LEANDRO, PROVAVELMENTE SÓ COMPRAPARECER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etc.Segue nota para veriifcar falha em regulador de tensão N: 5800371025 dentro S/E Arapoema , equipamento esta com 2 reles com falha  marca toshiba .Parecer DCMD: foi substituido célula 30/07/2026. o mesmo está liberado para ser colocado em operação</v>
      </c>
      <c r="E19" t="s">
        <v>797</v>
      </c>
      <c r="F19" t="s">
        <v>350</v>
      </c>
      <c r="G19" t="s">
        <v>358</v>
      </c>
      <c r="H19" t="s">
        <v>791</v>
      </c>
      <c r="I19" t="s">
        <v>889</v>
      </c>
      <c r="J19" t="s">
        <v>889</v>
      </c>
      <c r="L19" t="str">
        <f t="shared" si="0"/>
        <v>Controle RUA + kit comunicação + 3 células</v>
      </c>
      <c r="M19" s="13">
        <v>109925.12</v>
      </c>
      <c r="N19" t="str">
        <f>_xlfn.XLOOKUP(B19,'1007ALLan'!A:A,'1007ALLan'!F:F)</f>
        <v>ETO-TELE 01040/2026</v>
      </c>
      <c r="O19" s="14"/>
    </row>
    <row r="20" spans="1:15" x14ac:dyDescent="0.25">
      <c r="A20" t="s">
        <v>24</v>
      </c>
      <c r="B20" s="7">
        <v>5844630060</v>
      </c>
      <c r="C20" t="str">
        <f>_xlfn.XLOOKUP(B20,'Ajustes Reguladores de Tensão'!A:A,'Ajustes Reguladores de Tensão'!D:D,_xlfn.XLOOKUP(B20,'Ajustes RL Poste'!A:A,'Ajustes RL Poste'!K:K))</f>
        <v>ITB</v>
      </c>
      <c r="D20" t="str">
        <f>_xlfn.XLOOKUP(B20,'[2]Criticidade por Equipamento'!$A:$A,'[2]Criticidade por Equipamento'!$W:$W)</f>
        <v>Segue nota para verificar falha em comandos via supervisório e constantes travamento no regulador de tensão 5844630060 - rural- Nova Olinda .Foi executado comandos no relé via supervisório, porém sem sucesso , em campo o equipamento está com a fase B travada no -16 .Obs: equipamento ficou fora de operação bay passado , favor agilizar atendimento !</v>
      </c>
      <c r="E20" t="s">
        <v>797</v>
      </c>
      <c r="F20" t="s">
        <v>411</v>
      </c>
      <c r="G20" t="s">
        <v>416</v>
      </c>
      <c r="H20" t="s">
        <v>791</v>
      </c>
      <c r="I20" t="s">
        <v>911</v>
      </c>
      <c r="J20" t="s">
        <v>912</v>
      </c>
      <c r="L20" t="str">
        <f t="shared" si="0"/>
        <v>Célula fase A</v>
      </c>
      <c r="M20" s="13">
        <f>VLOOKUP(B20,Custos!A:B,2,0)</f>
        <v>112500.43</v>
      </c>
      <c r="N20" t="str">
        <f>_xlfn.XLOOKUP(B20,'1007ALLan'!A:A,'1007ALLan'!F:F)</f>
        <v>ETO-TELE 01102/2026</v>
      </c>
    </row>
    <row r="21" spans="1:15" x14ac:dyDescent="0.25">
      <c r="A21" t="s">
        <v>58</v>
      </c>
      <c r="B21">
        <v>7908705049</v>
      </c>
      <c r="C21" t="str">
        <f>_xlfn.XLOOKUP(B21,'Ajustes Reguladores de Tensão'!A:A,'Ajustes Reguladores de Tensão'!D:D,_xlfn.XLOOKUP(B21,'Ajustes RL Poste'!A:A,'Ajustes RL Poste'!K:K))</f>
        <v>COOPER F6</v>
      </c>
      <c r="D21" t="str">
        <f>_xlfn.XLOOKUP(B21,'[2]Criticidade por Equipamento'!$A:$A,'[2]Criticidade por Equipamento'!$W:$W)</f>
        <v>EQUIPAMENTO ENTREGUE, SOLICITO PREVISÃO PARA SUBSTITUIÇÃO:PARECER COEP: PREVISÃO DE ENTREGA AOS COCM'S 01/07Manutenção no RL 7908705049PARECER DMSL(28/08/2025): Equipe foi fazer manutenção no RL e constatou que o tanque e o relé do mesmo se encontra queimado, providenciar substituição.PARECER COCMS 30/04/2026CRIADO OBRA 0512600135 PARA REQUISIÇÃO MATERIAL</v>
      </c>
      <c r="E21" t="s">
        <v>788</v>
      </c>
      <c r="F21" t="s">
        <v>565</v>
      </c>
      <c r="G21" t="s">
        <v>569</v>
      </c>
      <c r="H21" t="s">
        <v>812</v>
      </c>
      <c r="I21" t="s">
        <v>911</v>
      </c>
      <c r="J21" t="s">
        <v>911</v>
      </c>
      <c r="L21" t="str">
        <f t="shared" si="0"/>
        <v>Religador completo</v>
      </c>
      <c r="M21" s="13">
        <f>VLOOKUP(B21,Custos!A:B,2,0)</f>
        <v>66619.48</v>
      </c>
      <c r="N21" t="str">
        <f>_xlfn.XLOOKUP(B21,'1007ALLan'!A:A,'1007ALLan'!F:F)</f>
        <v>ETO-RD-DP 00409/2026</v>
      </c>
    </row>
    <row r="22" spans="1:15" x14ac:dyDescent="0.25">
      <c r="A22" t="s">
        <v>58</v>
      </c>
      <c r="B22">
        <v>5800438116</v>
      </c>
      <c r="C22" t="str">
        <f>_xlfn.XLOOKUP(B22,'Ajustes Reguladores de Tensão'!A:A,'Ajustes Reguladores de Tensão'!D:D,_xlfn.XLOOKUP(B22,'Ajustes RL Poste'!A:A,'Ajustes RL Poste'!K:K))</f>
        <v>TOSHIBA</v>
      </c>
      <c r="D22" t="str">
        <f>_xlfn.XLOOKUP(B22,'[2]Criticidade por Equipamento'!$A:$A,'[2]Criticidade por Equipamento'!$W:$W)</f>
        <v/>
      </c>
      <c r="E22" t="s">
        <v>797</v>
      </c>
      <c r="F22" t="s">
        <v>359</v>
      </c>
      <c r="G22" t="s">
        <v>364</v>
      </c>
      <c r="H22" t="s">
        <v>812</v>
      </c>
      <c r="I22" t="s">
        <v>911</v>
      </c>
      <c r="J22" t="s">
        <v>911</v>
      </c>
      <c r="L22" t="str">
        <f t="shared" si="0"/>
        <v>Células fases B e C — REAPROVEITAMENTO (eq. retirado de obra)</v>
      </c>
      <c r="M22" s="13">
        <v>195758.5</v>
      </c>
      <c r="N22" t="str">
        <f>_xlfn.XLOOKUP(B22,'1007ALLan'!A:A,'1007ALLan'!F:F)</f>
        <v>CONCLUÍDA</v>
      </c>
    </row>
    <row r="23" spans="1:15" x14ac:dyDescent="0.25">
      <c r="A23" t="s">
        <v>58</v>
      </c>
      <c r="B23">
        <v>5856070091</v>
      </c>
      <c r="C23" t="str">
        <f>_xlfn.XLOOKUP(B23,'Ajustes Reguladores de Tensão'!A:A,'Ajustes Reguladores de Tensão'!D:D,_xlfn.XLOOKUP(B23,'Ajustes RL Poste'!A:A,'Ajustes RL Poste'!K:K))</f>
        <v>ITB</v>
      </c>
      <c r="D23" t="str">
        <f>_xlfn.XLOOKUP(B23,'[2]Criticidade por Equipamento'!$A:$A,'[2]Criticidade por Equipamento'!$W:$W)</f>
        <v>PARECER DMSL: não foi regularizado a instalação do equipamento, nota repassada conforme alinhado com o supervisor.____________________________________________COCMS 26.03.26. SS REPASSADA PARA COEP PROVIDENCIAR MATERIAL. NÃO TEMOS AS PÇ EM ESTOQUE PARA FAZER A SUBSTITUIÇÃO. Solicitação de serviço para reposição de equipamentos furtados .COEP: Equipamento fornecido ao COCM-S para regularização.COCMS: Equipamento substituido conforme solicitado. Gentileza comissionar.PARECER DA PROTEÇÃO:SEGUE NOTA REPASSADA PARA DMSL COMISSIONAR.ENG° IRLLEY CASTELO BRANCOPARECER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v>
      </c>
      <c r="E23" t="s">
        <v>797</v>
      </c>
      <c r="F23" t="s">
        <v>440</v>
      </c>
      <c r="G23" t="s">
        <v>445</v>
      </c>
      <c r="H23" t="s">
        <v>791</v>
      </c>
      <c r="I23" t="s">
        <v>889</v>
      </c>
      <c r="J23" t="s">
        <v>889</v>
      </c>
      <c r="K23" t="s">
        <v>928</v>
      </c>
      <c r="L23" t="str">
        <f t="shared" si="0"/>
        <v>3 células furtadas</v>
      </c>
      <c r="M23" s="13">
        <f>VLOOKUP(B23,Custos!A:B,2,0)</f>
        <v>460999.9</v>
      </c>
      <c r="N23" t="str">
        <f>_xlfn.XLOOKUP(B23,'1007ALLan'!A:A,'1007ALLan'!F:F)</f>
        <v>ETO-RD-DP 00479/2026</v>
      </c>
    </row>
    <row r="24" spans="1:15" x14ac:dyDescent="0.25">
      <c r="A24" t="s">
        <v>24</v>
      </c>
      <c r="B24">
        <v>5850308009</v>
      </c>
      <c r="C24" t="str">
        <f>_xlfn.XLOOKUP(B24,'Ajustes Reguladores de Tensão'!A:A,'Ajustes Reguladores de Tensão'!D:D,_xlfn.XLOOKUP(B24,'Ajustes RL Poste'!A:A,'Ajustes RL Poste'!K:K))</f>
        <v>ITB</v>
      </c>
      <c r="D24" t="str">
        <f>_xlfn.XLOOKUP(B24,'[2]Criticidade por Equipamento'!$A:$A,'[2]Criticidade por Equipamento'!$W:$W)</f>
        <v/>
      </c>
      <c r="E24" t="s">
        <v>797</v>
      </c>
      <c r="F24" t="s">
        <v>417</v>
      </c>
      <c r="G24" t="s">
        <v>423</v>
      </c>
      <c r="H24" t="s">
        <v>791</v>
      </c>
      <c r="I24" t="s">
        <v>911</v>
      </c>
      <c r="J24" t="s">
        <v>912</v>
      </c>
      <c r="L24" t="str">
        <f t="shared" si="0"/>
        <v>Controle c/ nobreak</v>
      </c>
      <c r="M24" s="13">
        <f>VLOOKUP(B24,Custos!A:B,2,0)</f>
        <v>29445.39</v>
      </c>
      <c r="N24" t="str">
        <f>_xlfn.XLOOKUP(B24,'1007ALLan'!A:A,'1007ALLan'!F:F)</f>
        <v>CONCLUÍDA</v>
      </c>
    </row>
    <row r="25" spans="1:15" x14ac:dyDescent="0.25">
      <c r="A25" t="s">
        <v>32</v>
      </c>
      <c r="B25">
        <v>5827102054</v>
      </c>
      <c r="C25" t="str">
        <f>_xlfn.XLOOKUP(B25,'Ajustes Reguladores de Tensão'!A:A,'Ajustes Reguladores de Tensão'!D:D,_xlfn.XLOOKUP(B25,'Ajustes RL Poste'!A:A,'Ajustes RL Poste'!K:K))</f>
        <v>TOSHIBA</v>
      </c>
      <c r="D25" t="str">
        <f>_xlfn.XLOOKUP(B25,'[2]Criticidade por Equipamento'!$A:$A,'[2]Criticidade por Equipamento'!$W:$W)</f>
        <v>PARECER COCM: FOI SUBSTITUÍDO OS EQUIPAMENTO FEITO A MELHORIA DO ATERRAMENTO ATENDIDO PELA OBRA N-0212600609PARECER COEP:NÃO É POSSÍVEL RETORNAR COM O CONTROLE COMPLETO , MAS DARIA PARA FAZER A MELHORIA NA MALHA DE ATERRAMENTO , ENCAMINHANDO PARA OS COCM'S PARA REALIZAREM A MELHORIAparecer DMSL: :Nobreack com defeito, rele queimado, cabo de comunicação entre o rádio e o rele danificado, malha de aterramento está com a resistência alta!Feito reparo no cabo, substituído nobreack, e rele. Se possível retornar com controle completo pq o q está em campo teve infiltração de água, abrir chamado no scada para atualizar base do equipamento pois o mesmo está com a base antiga, fazer correção da malha de aterramento.Equipamento ficou em operação?: Não Pendência: sim, levar controle novo, fazer correção da malha de terra, levar suporte para fixar antena. OBS</v>
      </c>
      <c r="E25" t="s">
        <v>797</v>
      </c>
      <c r="F25" t="s">
        <v>397</v>
      </c>
      <c r="G25" t="s">
        <v>404</v>
      </c>
      <c r="H25" t="s">
        <v>804</v>
      </c>
      <c r="I25" t="s">
        <v>911</v>
      </c>
      <c r="J25" t="s">
        <v>911</v>
      </c>
      <c r="L25" t="str">
        <f t="shared" si="0"/>
        <v>Repasse COCM — tentar vedação do controle; cancelar obra</v>
      </c>
      <c r="M25" s="13">
        <f>VLOOKUP(B25,Custos!A:B,2,0)</f>
        <v>0</v>
      </c>
      <c r="N25" t="str">
        <f>_xlfn.XLOOKUP(B25,'1007ALLan'!A:A,'1007ALLan'!F:F)</f>
        <v>ETO-PROT 00164/2026</v>
      </c>
    </row>
    <row r="26" spans="1:15" x14ac:dyDescent="0.25">
      <c r="A26" t="s">
        <v>24</v>
      </c>
      <c r="B26">
        <v>7903112004</v>
      </c>
      <c r="C26" t="str">
        <f>_xlfn.XLOOKUP(B26,'Ajustes Reguladores de Tensão'!A:A,'Ajustes Reguladores de Tensão'!D:D,_xlfn.XLOOKUP(B26,'Ajustes RL Poste'!A:A,'Ajustes RL Poste'!K:K))</f>
        <v>COOPER F6</v>
      </c>
      <c r="D26" t="str">
        <f>_xlfn.XLOOKUP(B26,'[2]Criticidade por Equipamento'!$A:$A,'[2]Criticidade por Equipamento'!$W:$W)</f>
        <v>20/07 PARECER COEP: EQUIPAMENTO SELECIONADO PARA COMPRAApós testes no RLG 7903112004 foi constatado defeito no mesmo e como se trata de um modelo COOPER FORM6 que está obsoleto e não possuímos peças sobressalentes, faz-se necessária substituição completa por modelo NOJA RC10.</v>
      </c>
      <c r="E26" t="s">
        <v>788</v>
      </c>
      <c r="F26" t="s">
        <v>532</v>
      </c>
      <c r="G26" t="s">
        <v>536</v>
      </c>
      <c r="H26" t="s">
        <v>791</v>
      </c>
      <c r="I26" t="s">
        <v>892</v>
      </c>
      <c r="J26" t="s">
        <v>892</v>
      </c>
      <c r="L26" t="str">
        <f t="shared" si="0"/>
        <v>Controle NOJA (tanque cooper reaproveitado do 7900018004)</v>
      </c>
      <c r="M26" s="13">
        <f>VLOOKUP(B26,Custos!A:B,2,0)</f>
        <v>51304.06</v>
      </c>
      <c r="N26" t="str">
        <f>_xlfn.XLOOKUP(B26,'1007ALLan'!A:A,'1007ALLan'!F:F)</f>
        <v>ETO-COEP 00184/2025</v>
      </c>
    </row>
    <row r="27" spans="1:15" x14ac:dyDescent="0.25">
      <c r="A27" t="s">
        <v>32</v>
      </c>
      <c r="B27">
        <v>5803327001</v>
      </c>
      <c r="C27" t="str">
        <f>_xlfn.XLOOKUP(B27,'Ajustes Reguladores de Tensão'!A:A,'Ajustes Reguladores de Tensão'!D:D,_xlfn.XLOOKUP(B27,'Ajustes RL Poste'!A:A,'Ajustes RL Poste'!K:K))</f>
        <v>TOSHIBA</v>
      </c>
      <c r="D27" t="str">
        <f>_xlfn.XLOOKUP(B27,'[2]Criticidade por Equipamento'!$A:$A,'[2]Criticidade por Equipamento'!$W:$W)</f>
        <v>01/07 PARECER COEP: FOI CONFIRMADO COM A OPERAÇÃO QUE O EQUIPAMENTO SEGUIU O FLUXO INTEIRO DE COMISSIONAMENTO, PROTEÇÃO, FAVOR EXPLICAR O QUE FOI REALIZADO E SE EQUIPAMENTO ESTÁ OPERANDO, SENÃO ESTIVER EXPLICAR O QUE FOI FEITO NELE30/06PARECER COEP: REPASSAR DIRETAMENTE PARA OS COCM'SRegulador 5803327001 fora de operação, by passado em campo com painel de comunicação com cabos desconectados tensão 13.8.parecer DMSL: Feedback Equip. EspeciaisRT 5803327001RELÉ RUASid: 4844Data: 19/09/2025Serviço realizado:*Equipamento foi remanejado, 7 km da sua localização sentido Palmas necessário comissionamento completo*Equipamento com um dos cabos umbilicais danificado.* aterramento bucha FC não esta interligada corretamente * para-raios estão no mesmo aterramento da bucha FC.* Tranques  muito alto e próximo da rede  não permitindo o comissionamento com segurança.* Controle alto  demais tem que baixar Equipamento ficou em operação?: nãoPendência: sim, precisa comissionar completoOBS</v>
      </c>
      <c r="E27" t="s">
        <v>797</v>
      </c>
      <c r="F27" t="s">
        <v>389</v>
      </c>
      <c r="G27" t="s">
        <v>396</v>
      </c>
      <c r="H27" t="s">
        <v>804</v>
      </c>
      <c r="I27" t="s">
        <v>911</v>
      </c>
      <c r="J27" t="s">
        <v>911</v>
      </c>
      <c r="L27" t="e">
        <f t="shared" si="0"/>
        <v>#N/A</v>
      </c>
      <c r="M27" s="13">
        <v>15000</v>
      </c>
      <c r="N27" t="str">
        <f>_xlfn.XLOOKUP(B27,'1007ALLan'!A:A,'1007ALLan'!F:F)</f>
        <v>ETO-COEP 00149/2026</v>
      </c>
    </row>
    <row r="28" spans="1:15" x14ac:dyDescent="0.25">
      <c r="A28" t="s">
        <v>32</v>
      </c>
      <c r="B28">
        <v>5855411017</v>
      </c>
      <c r="C28" t="str">
        <f>_xlfn.XLOOKUP(B28,'Ajustes Reguladores de Tensão'!A:A,'Ajustes Reguladores de Tensão'!D:D,_xlfn.XLOOKUP(B28,'Ajustes RL Poste'!A:A,'Ajustes RL Poste'!K:K))</f>
        <v>ROMAGNOLE</v>
      </c>
      <c r="D28" t="str">
        <f>_xlfn.XLOOKUP(B28,'[2]Criticidade por Equipamento'!$A:$A,'[2]Criticidade por Equipamento'!$W:$W)</f>
        <v>20/07 PARECER COCM: NÃO RECEBEMOS MATERIAL10/07 PARECER COEP: EQUIPAMENTO ENTREGUE AOS COCM´S FAVOR INFORMAR PRAZO DE SUBSTUIÇÃO PARA O DMSL E REPASSAR DEPOIS PARA PROTEÇÃO REALIZAR OS AJUSTES E DESCREVER NA SS O SERVIÇO REALIZADOPARECER COEP: EQUIPAMENTO EM ROTA DE ENTREGASEM COMUNICAÇÃO, FALHA DE ALIMENTAÇÃO - REALIZADO PRIMEIRO ATAQUE SEM SUCESSO.PARECER DMSL: 17/09/2025 Equipamento ficou em operação? Não Pendência: sim. Equipamento ficou Bay passado levar controle  COMPLETO para trocar. ellisfran</v>
      </c>
      <c r="E28" t="s">
        <v>797</v>
      </c>
      <c r="F28" t="s">
        <v>435</v>
      </c>
      <c r="G28" t="s">
        <v>439</v>
      </c>
      <c r="H28" t="s">
        <v>791</v>
      </c>
      <c r="I28" t="s">
        <v>911</v>
      </c>
      <c r="J28" t="s">
        <v>912</v>
      </c>
      <c r="L28" t="str">
        <f t="shared" si="0"/>
        <v>Controle c/ nobreak</v>
      </c>
      <c r="M28" s="13">
        <f>VLOOKUP(B28,Custos!A:B,2,0)</f>
        <v>29445.39</v>
      </c>
      <c r="N28" t="str">
        <f>_xlfn.XLOOKUP(B28,'1007ALLan'!A:A,'1007ALLan'!F:F)</f>
        <v>ETO-COEP 00156/2026</v>
      </c>
    </row>
    <row r="29" spans="1:15" x14ac:dyDescent="0.25">
      <c r="A29" t="s">
        <v>32</v>
      </c>
      <c r="B29">
        <v>7933766059</v>
      </c>
      <c r="C29" t="str">
        <f>_xlfn.XLOOKUP(B29,'Ajustes Reguladores de Tensão'!A:A,'Ajustes Reguladores de Tensão'!D:D,_xlfn.XLOOKUP(B29,'Ajustes RL Poste'!A:A,'Ajustes RL Poste'!K:K))</f>
        <v>NOJA RC10</v>
      </c>
      <c r="D29" t="str">
        <f>_xlfn.XLOOKUP(B29,'[2]Criticidade por Equipamento'!$A:$A,'[2]Criticidade por Equipamento'!$W:$W)</f>
        <v/>
      </c>
      <c r="E29" t="s">
        <v>788</v>
      </c>
      <c r="F29" t="s">
        <v>730</v>
      </c>
      <c r="G29" t="s">
        <v>733</v>
      </c>
      <c r="H29" t="s">
        <v>804</v>
      </c>
      <c r="I29" t="s">
        <v>911</v>
      </c>
      <c r="J29" t="s">
        <v>911</v>
      </c>
      <c r="L29" t="str">
        <f t="shared" si="0"/>
        <v>Tanque (parte ativa)</v>
      </c>
      <c r="M29" s="13">
        <f>VLOOKUP(B29,Custos!A:B,2,0)</f>
        <v>32802.660000000003</v>
      </c>
      <c r="N29" t="str">
        <f>_xlfn.XLOOKUP(B29,'1007ALLan'!A:A,'1007ALLan'!F:F)</f>
        <v>CONCLUÍDA</v>
      </c>
    </row>
    <row r="30" spans="1:15" x14ac:dyDescent="0.25">
      <c r="A30" t="s">
        <v>32</v>
      </c>
      <c r="B30">
        <v>7931610122</v>
      </c>
      <c r="C30" t="str">
        <f>_xlfn.XLOOKUP(B30,'Ajustes Reguladores de Tensão'!A:A,'Ajustes Reguladores de Tensão'!D:D,_xlfn.XLOOKUP(B30,'Ajustes RL Poste'!A:A,'Ajustes RL Poste'!K:K))</f>
        <v>NOJA RC10</v>
      </c>
      <c r="D30" t="str">
        <f>_xlfn.XLOOKUP(B30,'[2]Criticidade por Equipamento'!$A:$A,'[2]Criticidade por Equipamento'!$W:$W)</f>
        <v/>
      </c>
      <c r="E30" t="s">
        <v>788</v>
      </c>
      <c r="F30" t="s">
        <v>712</v>
      </c>
      <c r="G30" t="s">
        <v>714</v>
      </c>
      <c r="H30" t="s">
        <v>804</v>
      </c>
      <c r="I30" t="s">
        <v>911</v>
      </c>
      <c r="J30" t="s">
        <v>911</v>
      </c>
      <c r="L30" t="str">
        <f t="shared" si="0"/>
        <v>Tanque + antena</v>
      </c>
      <c r="M30" s="13">
        <f>VLOOKUP(B30,Custos!A:B,2,0)</f>
        <v>32802.660000000003</v>
      </c>
      <c r="N30" t="str">
        <f>_xlfn.XLOOKUP(B30,'1007ALLan'!A:A,'1007ALLan'!F:F)</f>
        <v>CONCLUÍDA</v>
      </c>
    </row>
    <row r="31" spans="1:15" x14ac:dyDescent="0.25">
      <c r="A31" t="s">
        <v>58</v>
      </c>
      <c r="B31">
        <v>7900573047</v>
      </c>
      <c r="C31" t="str">
        <f>_xlfn.XLOOKUP(B31,'Ajustes Reguladores de Tensão'!A:A,'Ajustes Reguladores de Tensão'!D:D,_xlfn.XLOOKUP(B31,'Ajustes RL Poste'!A:A,'Ajustes RL Poste'!K:K))</f>
        <v>COOPER F6</v>
      </c>
      <c r="D31" t="str">
        <f>_xlfn.XLOOKUP(B31,'[2]Criticidade por Equipamento'!$A:$A,'[2]Criticidade por Equipamento'!$W:$W)</f>
        <v>10/07 PARECER COEP: EQUIPAMENTO ENTREGUE AOS COCM´S FAVOR INFORMAR PRAZO DE SUBSTUIÇÃO PARA O DMSL E REPASSAR DEPOIS PARA PROTEÇÃO REALIZAR OS AJUSTES E DESCREVER NA SS O SERVIÇO REALIZADOPARECER COEP: AGUARDANDO COCM'S GERAREM AS OBRAS PARA PODER ENTREGAR MATERIALFavor providenciar manutenção no RL 7900573047, o mesmo estar em curto conforme fotos anexadas. Equipamento ficou bay passado em campo.PARECER DMSL: Equipe: FABIO AP./JOÃO MARCOSData Executada: 15/10/2025Serviço Executado:Foi constatado que o equipamento esta queimado na parte ativa placa, tanque e relé. Por favor fazer a substituição pelo Noja RC10.</v>
      </c>
      <c r="E31" t="s">
        <v>788</v>
      </c>
      <c r="F31" t="s">
        <v>510</v>
      </c>
      <c r="G31" t="s">
        <v>515</v>
      </c>
      <c r="H31" t="s">
        <v>791</v>
      </c>
      <c r="I31" t="s">
        <v>911</v>
      </c>
      <c r="J31" t="s">
        <v>912</v>
      </c>
      <c r="L31" t="str">
        <f t="shared" si="0"/>
        <v>Religador completo (→NOJA RC10)</v>
      </c>
      <c r="M31" s="13">
        <f>VLOOKUP(B31,Custos!A:B,2,0)</f>
        <v>66619.48</v>
      </c>
      <c r="N31" t="str">
        <f>_xlfn.XLOOKUP(B31,'1007ALLan'!A:A,'1007ALLan'!F:F)</f>
        <v>ETO-PROT 00153/2026</v>
      </c>
    </row>
    <row r="32" spans="1:15" x14ac:dyDescent="0.25">
      <c r="A32" t="s">
        <v>32</v>
      </c>
      <c r="B32">
        <v>7947203070</v>
      </c>
      <c r="C32" t="str">
        <f>_xlfn.XLOOKUP(B32,'Ajustes Reguladores de Tensão'!A:A,'Ajustes Reguladores de Tensão'!D:D,_xlfn.XLOOKUP(B32,'Ajustes RL Poste'!A:A,'Ajustes RL Poste'!K:K))</f>
        <v>TAVRIDA</v>
      </c>
      <c r="D32" t="str">
        <f>_xlfn.XLOOKUP(B32,'[2]Criticidade por Equipamento'!$A:$A,'[2]Criticidade por Equipamento'!$W:$W)</f>
        <v>13/07 PARECER COEP: SELECIONADO PARA COMPRA CONTROLE favor verificar RL 7947203070, sem comunicaçao, feito 1° ataque pela equipe 070OP01 e nao retornou a comunicaçao , linformaçao no Scada de bateria.PARECER DMSL: Foi feito análise técnica, a placa do equipamento está queimada nessesario subistituir o equipamento completo -Carliel e Benvindo-05/02</v>
      </c>
      <c r="E32" t="s">
        <v>788</v>
      </c>
      <c r="F32" t="s">
        <v>753</v>
      </c>
      <c r="G32" t="s">
        <v>758</v>
      </c>
      <c r="H32" t="s">
        <v>791</v>
      </c>
      <c r="I32" t="s">
        <v>889</v>
      </c>
      <c r="J32" t="s">
        <v>889</v>
      </c>
      <c r="L32" t="str">
        <f t="shared" si="0"/>
        <v>Religador completo (parte ativa + tanque) — decisão COEP 08/07</v>
      </c>
      <c r="M32" s="13">
        <f>VLOOKUP(B32,Custos!A:B,2,0)</f>
        <v>89455.54</v>
      </c>
      <c r="N32" t="str">
        <f>_xlfn.XLOOKUP(B32,'1007ALLan'!A:A,'1007ALLan'!F:F)</f>
        <v>ETO-COEP 00131/2026</v>
      </c>
    </row>
    <row r="33" spans="1:14" x14ac:dyDescent="0.25">
      <c r="A33" t="s">
        <v>58</v>
      </c>
      <c r="B33">
        <v>7925087021</v>
      </c>
      <c r="C33" t="str">
        <f>_xlfn.XLOOKUP(B33,'Ajustes Reguladores de Tensão'!A:A,'Ajustes Reguladores de Tensão'!D:D,_xlfn.XLOOKUP(B33,'Ajustes RL Poste'!A:A,'Ajustes RL Poste'!K:K))</f>
        <v>NOJA RC10</v>
      </c>
      <c r="D33" t="str">
        <f>_xlfn.XLOOKUP(B33,'[2]Criticidade por Equipamento'!$A:$A,'[2]Criticidade por Equipamento'!$W:$W)</f>
        <v>10/07 PARECER COEP: EQUIPAMENTO ENTREGUE AOS COCM´S FAVOR INFORMAR PRAZO DE SUBSTUIÇÃO PARA O DMSL E REPASSAR DEPOIS PARA PROTEÇÃO REALIZAR OS AJUSTES E DESCREVER NA SS O SERVIÇO REALIZADOPARECER COEP: EM ROTA DE ENTREGA, VERIFICAR PREVISÃO DE CHEGADARealizar a substituição do tanque do equipamento.</v>
      </c>
      <c r="E33" t="s">
        <v>788</v>
      </c>
      <c r="F33" t="s">
        <v>615</v>
      </c>
      <c r="G33" t="s">
        <v>619</v>
      </c>
      <c r="H33" t="s">
        <v>791</v>
      </c>
      <c r="I33" t="s">
        <v>911</v>
      </c>
      <c r="J33" t="s">
        <v>912</v>
      </c>
      <c r="L33" t="str">
        <f t="shared" si="0"/>
        <v>Tanque (parte ativa)</v>
      </c>
      <c r="M33" s="13">
        <f>VLOOKUP(B33,Custos!A:B,2,0)</f>
        <v>51360.82</v>
      </c>
      <c r="N33" t="str">
        <f>_xlfn.XLOOKUP(B33,'1007ALLan'!A:A,'1007ALLan'!F:F)</f>
        <v>ETO-PROT 00152/2026</v>
      </c>
    </row>
    <row r="34" spans="1:14" x14ac:dyDescent="0.25">
      <c r="A34" t="s">
        <v>58</v>
      </c>
      <c r="B34">
        <v>5800961074</v>
      </c>
      <c r="C34" t="str">
        <f>_xlfn.XLOOKUP(B34,'Ajustes Reguladores de Tensão'!A:A,'Ajustes Reguladores de Tensão'!D:D,_xlfn.XLOOKUP(B34,'Ajustes RL Poste'!A:A,'Ajustes RL Poste'!K:K))</f>
        <v>ITB</v>
      </c>
      <c r="D34" t="str">
        <f>_xlfn.XLOOKUP(B34,'[2]Criticidade por Equipamento'!$A:$A,'[2]Criticidade por Equipamento'!$W:$W)</f>
        <v>PARECER COEP: EQUIPAMENTO SELECIONADO PARA COMPRASubstituir as 3 células- Melhoria na malha de aterramento - Melhoria no circuito de aterramento qua aterra as células.- Substituir conectores paralelos</v>
      </c>
      <c r="E34" t="s">
        <v>797</v>
      </c>
      <c r="F34" t="s">
        <v>374</v>
      </c>
      <c r="G34" t="s">
        <v>380</v>
      </c>
      <c r="H34" t="s">
        <v>791</v>
      </c>
      <c r="I34" t="s">
        <v>889</v>
      </c>
      <c r="J34" t="s">
        <v>889</v>
      </c>
      <c r="L34" t="str">
        <f t="shared" si="0"/>
        <v>3 células</v>
      </c>
      <c r="M34" s="13">
        <f>VLOOKUP(B34,Custos!A:B,2,0)</f>
        <v>253479.73</v>
      </c>
      <c r="N34" t="str">
        <f>_xlfn.XLOOKUP(B34,'1007ALLan'!A:A,'1007ALLan'!F:F)</f>
        <v>ETO-COEP 00221/2025</v>
      </c>
    </row>
    <row r="35" spans="1:14" x14ac:dyDescent="0.25">
      <c r="A35" t="s">
        <v>58</v>
      </c>
      <c r="B35">
        <v>7937102148</v>
      </c>
      <c r="C35" t="str">
        <f>_xlfn.XLOOKUP(B35,'Ajustes Reguladores de Tensão'!A:A,'Ajustes Reguladores de Tensão'!D:D,_xlfn.XLOOKUP(B35,'Ajustes RL Poste'!A:A,'Ajustes RL Poste'!K:K))</f>
        <v>NOJA RC10</v>
      </c>
      <c r="D35" t="str">
        <f>_xlfn.XLOOKUP(B35,'[2]Criticidade por Equipamento'!$A:$A,'[2]Criticidade por Equipamento'!$W:$W)</f>
        <v>PARECER COEP: REAVALIAR DISPONIBILIDADE DO EQUIPAMENTO NO SCADA ASSIM COMO , FORNECER MODELO DO EQUIPAMENTO E FAIXA DE TENSÃO PARA COMPRA / AQUISIÇÃOTanque com defeito, realizar substituição do tanque.</v>
      </c>
      <c r="E35" t="s">
        <v>788</v>
      </c>
      <c r="F35" t="s">
        <v>734</v>
      </c>
      <c r="G35" t="s">
        <v>738</v>
      </c>
      <c r="H35" t="s">
        <v>791</v>
      </c>
      <c r="I35" t="s">
        <v>889</v>
      </c>
      <c r="J35" t="s">
        <v>889</v>
      </c>
      <c r="L35" t="str">
        <f t="shared" si="0"/>
        <v>Tanque (parte ativa)</v>
      </c>
      <c r="M35" s="13">
        <f>VLOOKUP(B35,Custos!A:B,2,0)</f>
        <v>51360.82</v>
      </c>
      <c r="N35" t="str">
        <f>_xlfn.XLOOKUP(B35,'1007ALLan'!A:A,'1007ALLan'!F:F)</f>
        <v>ETO-COEP 00129/2026</v>
      </c>
    </row>
    <row r="36" spans="1:14" x14ac:dyDescent="0.25">
      <c r="A36" t="s">
        <v>58</v>
      </c>
      <c r="B36">
        <v>5862236091</v>
      </c>
      <c r="C36" t="str">
        <f>_xlfn.XLOOKUP(B36,'Ajustes Reguladores de Tensão'!A:A,'Ajustes Reguladores de Tensão'!D:D,_xlfn.XLOOKUP(B36,'Ajustes RL Poste'!A:A,'Ajustes RL Poste'!K:K))</f>
        <v>ITB</v>
      </c>
      <c r="D36" t="str">
        <f>_xlfn.XLOOKUP(B36,'[2]Criticidade por Equipamento'!$A:$A,'[2]Criticidade por Equipamento'!$W:$W)</f>
        <v>27/07 PARECER COEP: PEÇAS REDIRECIONADAS 5856070091 PRIORIDADE MAIOR20/07 PARECER COEP: EQUIPAMENTO ENTREGUE , FAVOR EDITAR A SS COM A DATA PREVISTA DE SUBSTITUIÇÃO NO PARECER DOS COCM´S Realizar substituição da FASE B.Célula da fase B estava com a tampa do contador de tape aberta, pegou chuva e molhou os contatos danificando a peça toda.</v>
      </c>
      <c r="E36" t="s">
        <v>797</v>
      </c>
      <c r="F36" t="s">
        <v>463</v>
      </c>
      <c r="G36" t="s">
        <v>467</v>
      </c>
      <c r="H36" t="s">
        <v>791</v>
      </c>
      <c r="I36" t="s">
        <v>911</v>
      </c>
      <c r="J36" t="s">
        <v>912</v>
      </c>
      <c r="L36" t="str">
        <f t="shared" si="0"/>
        <v>Célula fase B</v>
      </c>
      <c r="M36" s="13">
        <f>VLOOKUP(B36,Custos!A:B,2,0)</f>
        <v>207212.3</v>
      </c>
      <c r="N36" t="str">
        <f>_xlfn.XLOOKUP(B36,'1007ALLan'!A:A,'1007ALLan'!F:F)</f>
        <v>ETO-COEP 00158/2026</v>
      </c>
    </row>
    <row r="37" spans="1:14" x14ac:dyDescent="0.25">
      <c r="A37" t="s">
        <v>32</v>
      </c>
      <c r="B37">
        <v>7901110084</v>
      </c>
      <c r="C37" t="str">
        <f>_xlfn.XLOOKUP(B37,'Ajustes Reguladores de Tensão'!A:A,'Ajustes Reguladores de Tensão'!D:D,_xlfn.XLOOKUP(B37,'Ajustes RL Poste'!A:A,'Ajustes RL Poste'!K:K))</f>
        <v>NOJA RC10</v>
      </c>
      <c r="D37" t="str">
        <f>_xlfn.XLOOKUP(B37,'[2]Criticidade por Equipamento'!$A:$A,'[2]Criticidade por Equipamento'!$W:$W)</f>
        <v>PARECER COEP: EQUIPAMENTO SELECIONADO PARA COMPRAPARECER DMSL: Serviço Executado: Foi feito análise técnica, testes funcionais e identificado que a parte ativa do equipamento está com defeito. Necessário substituir a parte ativa.FICOU EM OPERAÇÃO? Não- EQUIPE: Carliel e BenvindoSegue SS para verificaçao Rl esta danificado dando passagem de tensão mesmo aberto Sim, quando retornar trazer uma fonte pois a mesma foi removida.</v>
      </c>
      <c r="E37" t="s">
        <v>788</v>
      </c>
      <c r="F37" t="s">
        <v>523</v>
      </c>
      <c r="G37" t="s">
        <v>531</v>
      </c>
      <c r="H37" t="s">
        <v>791</v>
      </c>
      <c r="I37" t="s">
        <v>889</v>
      </c>
      <c r="J37" t="s">
        <v>889</v>
      </c>
      <c r="L37" t="str">
        <f t="shared" si="0"/>
        <v>Tanque (parte ativa)</v>
      </c>
      <c r="M37" s="13">
        <f>VLOOKUP(B37,Custos!A:B,2,0)</f>
        <v>51360.82</v>
      </c>
      <c r="N37" t="str">
        <f>_xlfn.XLOOKUP(B37,'1007ALLan'!A:A,'1007ALLan'!F:F)</f>
        <v>ETO-COEP 00061/2026</v>
      </c>
    </row>
    <row r="38" spans="1:14" x14ac:dyDescent="0.25">
      <c r="A38" t="s">
        <v>32</v>
      </c>
      <c r="B38">
        <v>7931608059</v>
      </c>
      <c r="C38" t="str">
        <f>_xlfn.XLOOKUP(B38,'Ajustes Reguladores de Tensão'!A:A,'Ajustes Reguladores de Tensão'!D:D,_xlfn.XLOOKUP(B38,'Ajustes RL Poste'!A:A,'Ajustes RL Poste'!K:K))</f>
        <v>NOJA RC10</v>
      </c>
      <c r="D38" t="str">
        <f>_xlfn.XLOOKUP(B38,'[2]Criticidade por Equipamento'!$A:$A,'[2]Criticidade por Equipamento'!$W:$W)</f>
        <v>PARECER COEP: EQUIPAMENTO SELECIONADO PARA COMPRADMSL:Serviço Executado: Foi feita uma análise técnica no equipamento, devido à falta de comunicação. Também foi identificado que o tanque do equipamento está danificado, sendo assim,  necessário substituir o tanque e o rádio do equipamento, que está queimado, sendo necessário substituir também.</v>
      </c>
      <c r="E38" t="s">
        <v>788</v>
      </c>
      <c r="F38" t="s">
        <v>695</v>
      </c>
      <c r="G38" t="s">
        <v>700</v>
      </c>
      <c r="H38" t="s">
        <v>791</v>
      </c>
      <c r="I38" t="s">
        <v>889</v>
      </c>
      <c r="J38" t="s">
        <v>889</v>
      </c>
      <c r="L38" t="str">
        <f t="shared" si="0"/>
        <v>Tanque + rádio GE</v>
      </c>
      <c r="M38" s="13">
        <f>VLOOKUP(B38,Custos!A:B,2,0)</f>
        <v>47414.74</v>
      </c>
      <c r="N38" t="str">
        <f>_xlfn.XLOOKUP(B38,'1007ALLan'!A:A,'1007ALLan'!F:F)</f>
        <v>ETO-COEP 00040/2026</v>
      </c>
    </row>
    <row r="39" spans="1:14" x14ac:dyDescent="0.25">
      <c r="A39" t="s">
        <v>32</v>
      </c>
      <c r="B39" s="7">
        <v>7927646026</v>
      </c>
      <c r="C39" t="str">
        <f>_xlfn.XLOOKUP(B39,'Ajustes Reguladores de Tensão'!A:A,'Ajustes Reguladores de Tensão'!D:D,_xlfn.XLOOKUP(B39,'Ajustes RL Poste'!A:A,'Ajustes RL Poste'!K:K))</f>
        <v>NOJA RC10</v>
      </c>
      <c r="D39" t="str">
        <f>_xlfn.XLOOKUP(B39,'[2]Criticidade por Equipamento'!$A:$A,'[2]Criticidade por Equipamento'!$W:$W)</f>
        <v>PARECER COEP: EQUIPAMENTO SELECIONADO PARA COMPRARELIGADOR BY PASSADO POR DEFEITO, NECESSÁRIO AVALIAÇÃO DO PROBLEMA.parecer dmsl:O religador apresenta defeito no tanque, sendo necessário substituir o tanque o mesmo está tirando a linha, e troca os  isoladores. Quando retornar, trazer uma fonte para o equipamento, a mesma foi removida.FICOU EM OPERAÇÃO? NãoPENDÊNCIA: Sim, aguardando peças para substituição.</v>
      </c>
      <c r="E39" t="s">
        <v>788</v>
      </c>
      <c r="F39" t="s">
        <v>667</v>
      </c>
      <c r="G39" t="s">
        <v>670</v>
      </c>
      <c r="H39" t="s">
        <v>791</v>
      </c>
      <c r="I39" t="s">
        <v>889</v>
      </c>
      <c r="J39" t="s">
        <v>889</v>
      </c>
      <c r="L39" t="str">
        <f t="shared" si="0"/>
        <v>Tanque + isoladores</v>
      </c>
      <c r="M39" s="13">
        <f>VLOOKUP(B39,Custos!A:B,2,0)</f>
        <v>51360.82</v>
      </c>
      <c r="N39" t="str">
        <f>_xlfn.XLOOKUP(B39,'1007ALLan'!A:A,'1007ALLan'!F:F)</f>
        <v>ETO-COEP 00029/2026</v>
      </c>
    </row>
    <row r="40" spans="1:14" x14ac:dyDescent="0.25">
      <c r="A40" t="s">
        <v>32</v>
      </c>
      <c r="B40" s="7">
        <v>7927169001</v>
      </c>
      <c r="C40" t="str">
        <f>_xlfn.XLOOKUP(B40,'Ajustes Reguladores de Tensão'!A:A,'Ajustes Reguladores de Tensão'!D:D,_xlfn.XLOOKUP(B40,'Ajustes RL Poste'!A:A,'Ajustes RL Poste'!K:K))</f>
        <v>NOJA RC10</v>
      </c>
      <c r="D40" t="str">
        <f>_xlfn.XLOOKUP(B40,'[2]Criticidade por Equipamento'!$A:$A,'[2]Criticidade por Equipamento'!$W:$W)</f>
        <v>PARECER COEP: EQUIPAMENTO ENTREGUE, SEGUE SS PARA O COCM´S , PARA REALIZAR O ATENDIMENTO,FAVOR ADICIONAR O PARECER PARA MANDAR PARA PROTEÇÃOSS ANTIGA: 1500/2025 PARECER DMSL: Serviço Executado: Foi verificado que o tanque do equipamento está danificado, sendo necessário substituir o tanque do equipamento.Equipamento ficou em operação?: NãoPendência: Sim, instalar fonte, disjuntor e DPS, e substituir o tanque.***** Parecer COCM******Subsituido Tranque do RL pela Ordem de Serviço DLP-MPPA01 247/2026 RELATORIO EM ANEXO DA O.S EXECUTORA</v>
      </c>
      <c r="E40" t="s">
        <v>788</v>
      </c>
      <c r="F40" t="s">
        <v>648</v>
      </c>
      <c r="G40" t="s">
        <v>651</v>
      </c>
      <c r="H40" t="s">
        <v>804</v>
      </c>
      <c r="I40" t="s">
        <v>911</v>
      </c>
      <c r="J40" t="s">
        <v>911</v>
      </c>
      <c r="L40" t="str">
        <f t="shared" si="0"/>
        <v>Religador completo — EM DÚVIDA (obras=completo x v1.5=tanque)</v>
      </c>
      <c r="M40" s="13">
        <f>VLOOKUP(B40,Custos!A:B,2,0)</f>
        <v>66619.48</v>
      </c>
      <c r="N40" t="str">
        <f>_xlfn.XLOOKUP(B40,'1007ALLan'!A:A,'1007ALLan'!F:F)</f>
        <v>ETO-PROT 00156/2026</v>
      </c>
    </row>
    <row r="41" spans="1:14" x14ac:dyDescent="0.25">
      <c r="A41" t="s">
        <v>32</v>
      </c>
      <c r="B41">
        <v>7908249152</v>
      </c>
      <c r="C41" t="str">
        <f>_xlfn.XLOOKUP(B41,'Ajustes Reguladores de Tensão'!A:A,'Ajustes Reguladores de Tensão'!D:D,_xlfn.XLOOKUP(B41,'Ajustes RL Poste'!A:A,'Ajustes RL Poste'!K:K))</f>
        <v>COOPER F6</v>
      </c>
      <c r="D41" t="str">
        <f>_xlfn.XLOOKUP(B41,'[2]Criticidade por Equipamento'!$A:$A,'[2]Criticidade por Equipamento'!$W:$W)</f>
        <v>14/07/2026 PARECER COEP: EQUIPAMENTO SELECIONADO PARA COMPRADMSL:Serviço Executado: Houve um curto no equipamento danificando a parte ativa, será necessário fazer a substituição do equipamento completo ( parte ativa e controle) colocar o um cabo pp novo do trafo até o Dj pois o mesmo está sem condições de uso. Obs:. Foi retirado rádio e rele Equipamento ficou em operação?: Não Pendência: Sim, substituir o equipamento completo.</v>
      </c>
      <c r="E41" t="s">
        <v>788</v>
      </c>
      <c r="F41" t="s">
        <v>549</v>
      </c>
      <c r="G41" t="s">
        <v>552</v>
      </c>
      <c r="H41" t="s">
        <v>791</v>
      </c>
      <c r="I41" t="s">
        <v>889</v>
      </c>
      <c r="J41" t="s">
        <v>889</v>
      </c>
      <c r="L41" t="str">
        <f t="shared" si="0"/>
        <v>Religador completo (parte ativa+controle)</v>
      </c>
      <c r="M41" s="13">
        <f>VLOOKUP(B41,Custos!A:B,2,0)</f>
        <v>89455.54</v>
      </c>
      <c r="N41" t="str">
        <f>_xlfn.XLOOKUP(B41,'1007ALLan'!A:A,'1007ALLan'!F:F)</f>
        <v>ETO-COEP 00038/2026</v>
      </c>
    </row>
    <row r="42" spans="1:14" x14ac:dyDescent="0.25">
      <c r="A42" t="s">
        <v>58</v>
      </c>
      <c r="B42">
        <v>7933585074</v>
      </c>
      <c r="C42" t="str">
        <f>_xlfn.XLOOKUP(B42,'Ajustes Reguladores de Tensão'!A:A,'Ajustes Reguladores de Tensão'!D:D,_xlfn.XLOOKUP(B42,'Ajustes RL Poste'!A:A,'Ajustes RL Poste'!K:K))</f>
        <v>NOJA RC10</v>
      </c>
      <c r="D42" t="str">
        <f>_xlfn.XLOOKUP(B42,'[2]Criticidade por Equipamento'!$A:$A,'[2]Criticidade por Equipamento'!$W:$W)</f>
        <v>30/06 PARECER COEP: EQUIPAMENTO SELECIONADO PARA COMPRAREALIZAR SUBSTITUIÇÃO DO TANQUE, O MESMO ESTÁ COM DEFEITO.</v>
      </c>
      <c r="E42" t="s">
        <v>788</v>
      </c>
      <c r="F42" t="s">
        <v>715</v>
      </c>
      <c r="G42" t="s">
        <v>718</v>
      </c>
      <c r="H42" t="s">
        <v>791</v>
      </c>
      <c r="I42" t="s">
        <v>889</v>
      </c>
      <c r="J42" t="s">
        <v>889</v>
      </c>
      <c r="L42" t="str">
        <f t="shared" si="0"/>
        <v>Tanque (parte ativa)</v>
      </c>
      <c r="M42" s="13">
        <f>VLOOKUP(B42,Custos!A:B,2,0)</f>
        <v>51360.82</v>
      </c>
      <c r="N42" t="str">
        <f>_xlfn.XLOOKUP(B42,'1007ALLan'!A:A,'1007ALLan'!F:F)</f>
        <v>ETO-COEP 00024/2026</v>
      </c>
    </row>
    <row r="43" spans="1:14" x14ac:dyDescent="0.25">
      <c r="A43" t="s">
        <v>24</v>
      </c>
      <c r="B43">
        <v>7925744087</v>
      </c>
      <c r="C43" t="str">
        <f>_xlfn.XLOOKUP(B43,'Ajustes Reguladores de Tensão'!A:A,'Ajustes Reguladores de Tensão'!D:D,_xlfn.XLOOKUP(B43,'Ajustes RL Poste'!A:A,'Ajustes RL Poste'!K:K))</f>
        <v>NOJA RC10</v>
      </c>
      <c r="D43" t="str">
        <f>_xlfn.XLOOKUP(B43,'[2]Criticidade por Equipamento'!$A:$A,'[2]Criticidade por Equipamento'!$W:$W)</f>
        <v>PARECER COEP: EQUIPAMENTO SELECIONADO PARA COMPRAPARECER DMSL: FEEDBACK EQUIP. ESPECIAISNº DO EQUIPAMENTO:  7925744087TIPO EQUIPAMENTO: Noja RC 10TIPO DE COMUNICAÇÃO: Radio GE IPDATA DA MANUTENÇÃO: 19/02/2026SID: 735/2026 DESCRIÇÃO: foi identificado água dentro da parte interna do tanque e cabo umbilical encharcado de água foi passado essas informações para COS.FICOU EM OPERAÇÃO?: Não PENDÊNCIA: Sim substituir tanque e cabo umbilicalDADOS DIVERGENTES DA PROGRAMAÇÃO: NãoBATERIA SUBSTITUÍDA?: Não DATA DA BATERIA: 07/05/2025TIPO DE BATERIA: Lítio EQUIPE: Edeglan e Janio-------------------------------------------------------------------------------------------------RELIGADOR SEM COMUNICAÇÃO, APOS PRIMEIRO ATAQUE RETORNA E FICAR INDEFINIDO.</v>
      </c>
      <c r="E43" t="s">
        <v>788</v>
      </c>
      <c r="F43" t="s">
        <v>625</v>
      </c>
      <c r="G43" t="s">
        <v>630</v>
      </c>
      <c r="H43" t="s">
        <v>791</v>
      </c>
      <c r="I43" t="s">
        <v>889</v>
      </c>
      <c r="J43" t="s">
        <v>889</v>
      </c>
      <c r="L43" t="str">
        <f t="shared" si="0"/>
        <v>Tanque + cabo umbilical</v>
      </c>
      <c r="M43" s="13">
        <f>VLOOKUP(B43,Custos!A:B,2,0)</f>
        <v>51360.82</v>
      </c>
      <c r="N43" t="str">
        <f>_xlfn.XLOOKUP(B43,'1007ALLan'!A:A,'1007ALLan'!F:F)</f>
        <v>ETO-COEP 00059/2026</v>
      </c>
    </row>
    <row r="44" spans="1:14" x14ac:dyDescent="0.25">
      <c r="A44" t="s">
        <v>24</v>
      </c>
      <c r="B44" s="19">
        <v>5865120195</v>
      </c>
      <c r="C44" t="str">
        <f>_xlfn.XLOOKUP(B44,'Ajustes Reguladores de Tensão'!A:A,'Ajustes Reguladores de Tensão'!D:D,_xlfn.XLOOKUP(B44,'Ajustes RL Poste'!A:A,'Ajustes RL Poste'!K:K))</f>
        <v>ITB</v>
      </c>
      <c r="D44" t="str">
        <f>_xlfn.XLOOKUP(B44,'[2]Criticidade por Equipamento'!$A:$A,'[2]Criticidade por Equipamento'!$W:$W)</f>
        <v>PARECER DMSL:PENDÊNCIA: Realizar melhoria no aterramento por ser tratar de um terreno muito arenoso, e há pendências por parte do time da proteção, os ajustes do RT não estão disponíveis para inserção no referido equipamento.DATA DA MANUTENÇÃO: 12/03/202EQUIPE: Brunno e Edeglan.***********************PARECER DA PROTEÇÃO - 17/08/2026:FAVOR COMISSIONAR REGULADOR 5865120195 – LD Santa Maria Ramal Centenário e Recursolândia – 34,5kV. AJUSTE REALIZADO, DISPONÍVEL NO APP DA PROTEÇÃO.*********************** INSTALADO NA OBRA 0702400720 GENTILEZA, REALIZAR O COMISSIONAMENTO.LAUDO EM ANEXO.COORD EO: 889017, 901685708-07-2026 PARECER: FOI FEITO A MELHORIA NO REGULADOR CONFORME FOTOS EM ANEXO.</v>
      </c>
      <c r="E44" t="s">
        <v>797</v>
      </c>
      <c r="F44" t="s">
        <v>468</v>
      </c>
      <c r="G44" t="s">
        <v>473</v>
      </c>
      <c r="H44" t="s">
        <v>843</v>
      </c>
      <c r="I44" t="s">
        <v>925</v>
      </c>
      <c r="J44" t="s">
        <v>925</v>
      </c>
      <c r="L44" t="e">
        <f t="shared" si="0"/>
        <v>#N/A</v>
      </c>
      <c r="M44" s="13">
        <v>15000</v>
      </c>
      <c r="N44" t="str">
        <f>_xlfn.XLOOKUP(B44,'1007ALLan'!A:A,'1007ALLan'!F:F)</f>
        <v>ETO-TELE 01132/2026</v>
      </c>
    </row>
    <row r="45" spans="1:14" x14ac:dyDescent="0.25">
      <c r="A45" t="s">
        <v>32</v>
      </c>
      <c r="B45" s="7">
        <v>7921202014</v>
      </c>
      <c r="C45" t="str">
        <f>_xlfn.XLOOKUP(B45,'Ajustes Reguladores de Tensão'!A:A,'Ajustes Reguladores de Tensão'!D:D,_xlfn.XLOOKUP(B45,'Ajustes RL Poste'!A:A,'Ajustes RL Poste'!K:K))</f>
        <v>NOJA RC10</v>
      </c>
      <c r="D45" t="str">
        <f>_xlfn.XLOOKUP(B45,'[2]Criticidade por Equipamento'!$A:$A,'[2]Criticidade por Equipamento'!$W:$W)</f>
        <v>PARECER COEP: EQUIPAMENTO SELECIONADO PARA COMPRA , DEVERIA SER SUBSTITUIDO PARTE ATIVAPARECER DMSL: Serviço Executado: _ indentificado o problema na parte ativa será  necessário fazer a substituição da mesmo, feito a medição do aterramento. Preciso substituir para raio da fase c.Equipamento ficou em operação?: _NAOPendência: _SimBateria(s) substituída(s)? _NãoData Fabricação/Instalação da(s) bateria(s):_Equipe: _Benvindo e kaique----------------------------------------------------------------------------------RL com defeito no rele, fica só reiniciando ficou By passado OS atendimento primeiro ataque 106530226</v>
      </c>
      <c r="E45" t="s">
        <v>788</v>
      </c>
      <c r="F45" t="s">
        <v>598</v>
      </c>
      <c r="G45" t="s">
        <v>604</v>
      </c>
      <c r="H45" t="s">
        <v>791</v>
      </c>
      <c r="I45" t="s">
        <v>889</v>
      </c>
      <c r="J45" t="s">
        <v>889</v>
      </c>
      <c r="L45" t="e">
        <f t="shared" si="0"/>
        <v>#N/A</v>
      </c>
      <c r="M45" s="13">
        <v>35000</v>
      </c>
      <c r="N45" t="str">
        <f>_xlfn.XLOOKUP(B45,'1007ALLan'!A:A,'1007ALLan'!F:F)</f>
        <v>ETO-COEP 00132/2026</v>
      </c>
    </row>
    <row r="46" spans="1:14" x14ac:dyDescent="0.25">
      <c r="A46" t="s">
        <v>32</v>
      </c>
      <c r="B46">
        <v>7926442035</v>
      </c>
      <c r="C46" t="str">
        <f>_xlfn.XLOOKUP(B46,'Ajustes Reguladores de Tensão'!A:A,'Ajustes Reguladores de Tensão'!D:D,_xlfn.XLOOKUP(B46,'Ajustes RL Poste'!A:A,'Ajustes RL Poste'!K:K))</f>
        <v>NOJA RC10</v>
      </c>
      <c r="D46" t="str">
        <f>_xlfn.XLOOKUP(B46,'[2]Criticidade por Equipamento'!$A:$A,'[2]Criticidade por Equipamento'!$W:$W)</f>
        <v>PARECER COEP: EQUIPAMENTO SELECIONADO PARA COMPRAPARECER DMSL: Data: 12/03/2026 Serviço Executado:- Análise técnica constatou:- Parte ativa do equipamento danificada: necessita substituição- Trafo danificado: foi feitos testes nas buchas secundárias o mesmo não chega tensão    - Vazamento de óleo    - Necessita substituiçãoEquipamento ficou em operação? NãoPendências:- Solicitar limpeza de faixa para acesso ao equipamento- Trocar parte ativa do equipamento- Substituir o trafoEquipe: Carliel e João VitorSegue nota para envia equipe verificar falha de comunicação e automação no RL-7926442035 feito primeiro ataque com equipe 035OP02, porém sem sucesso. </v>
      </c>
      <c r="E46" t="s">
        <v>788</v>
      </c>
      <c r="F46" t="s">
        <v>644</v>
      </c>
      <c r="G46" t="s">
        <v>647</v>
      </c>
      <c r="H46" t="s">
        <v>791</v>
      </c>
      <c r="I46" t="s">
        <v>889</v>
      </c>
      <c r="J46" t="s">
        <v>889</v>
      </c>
      <c r="L46" t="str">
        <f t="shared" si="0"/>
        <v>Tanque + trafo (trafo s/ premissa)</v>
      </c>
      <c r="M46" s="13">
        <f>VLOOKUP(B46,Custos!A:B,2,0)</f>
        <v>51360.82</v>
      </c>
      <c r="N46" t="str">
        <f>_xlfn.XLOOKUP(B46,'1007ALLan'!A:A,'1007ALLan'!F:F)</f>
        <v>ETO-COEP 00051/2026</v>
      </c>
    </row>
    <row r="47" spans="1:14" x14ac:dyDescent="0.25">
      <c r="A47" t="s">
        <v>58</v>
      </c>
      <c r="B47">
        <v>7927396052</v>
      </c>
      <c r="C47" t="str">
        <f>_xlfn.XLOOKUP(B47,'Ajustes Reguladores de Tensão'!A:A,'Ajustes Reguladores de Tensão'!D:D,_xlfn.XLOOKUP(B47,'Ajustes RL Poste'!A:A,'Ajustes RL Poste'!K:K))</f>
        <v>NOJA RC10</v>
      </c>
      <c r="D47" t="str">
        <f>_xlfn.XLOOKUP(B47,'[2]Criticidade por Equipamento'!$A:$A,'[2]Criticidade por Equipamento'!$W:$W)</f>
        <v>PARECER COEP: EQUIPAMENTO SELECIONADO PARA COMPRAreligador foi bay passado devido mesmo esta saindo fumaca do painel e sem comunicação 7927396052.PARECER DMSL: Após testes, equipe DMSL constatou que apenas o tanque do RLG 7927396052 encontra-se queimado. Favor, substituir parte ativa do equipamento.NS Tanque: 0320123040198</v>
      </c>
      <c r="E47" t="s">
        <v>788</v>
      </c>
      <c r="F47" t="s">
        <v>652</v>
      </c>
      <c r="G47" t="s">
        <v>657</v>
      </c>
      <c r="H47" t="s">
        <v>791</v>
      </c>
      <c r="I47" t="s">
        <v>889</v>
      </c>
      <c r="J47" t="s">
        <v>889</v>
      </c>
      <c r="L47" t="str">
        <f t="shared" si="0"/>
        <v>Tanque (parte ativa)</v>
      </c>
      <c r="M47" s="13">
        <f>VLOOKUP(B47,Custos!A:B,2,0)</f>
        <v>51360.82</v>
      </c>
      <c r="N47" t="str">
        <f>_xlfn.XLOOKUP(B47,'1007ALLan'!A:A,'1007ALLan'!F:F)</f>
        <v>ETO-COEP 00045/2026</v>
      </c>
    </row>
    <row r="48" spans="1:14" x14ac:dyDescent="0.25">
      <c r="A48" t="s">
        <v>24</v>
      </c>
      <c r="B48" s="7">
        <v>7923673004</v>
      </c>
      <c r="C48" t="str">
        <f>_xlfn.XLOOKUP(B48,'Ajustes Reguladores de Tensão'!A:A,'Ajustes Reguladores de Tensão'!D:D,_xlfn.XLOOKUP(B48,'Ajustes RL Poste'!A:A,'Ajustes RL Poste'!K:K))</f>
        <v>ARTECHE P500</v>
      </c>
      <c r="D48" t="str">
        <f>_xlfn.XLOOKUP(B48,'[2]Criticidade por Equipamento'!$A:$A,'[2]Criticidade por Equipamento'!$W:$W)</f>
        <v>PARECER COEP: Verificar Disponibilidade de equipamento no Scada e enviar modelo e tensão para a compra.RELIGADOR COM RELÉ DANIFICADO, REALIZAR SUBSTITUIÇÃO</v>
      </c>
      <c r="E48" t="s">
        <v>788</v>
      </c>
      <c r="F48" t="s">
        <v>605</v>
      </c>
      <c r="G48" t="s">
        <v>609</v>
      </c>
      <c r="H48" t="s">
        <v>791</v>
      </c>
      <c r="I48" t="s">
        <v>889</v>
      </c>
      <c r="J48" t="s">
        <v>889</v>
      </c>
      <c r="L48" t="str">
        <f t="shared" si="0"/>
        <v>Relé prot. 50/51 — MANDAR O RELÉ (decisão gestor 08/07)</v>
      </c>
      <c r="M48" s="13">
        <v>35000</v>
      </c>
      <c r="N48" t="str">
        <f>_xlfn.XLOOKUP(B48,'1007ALLan'!A:A,'1007ALLan'!F:F)</f>
        <v>ETO-COEP 00124/2026</v>
      </c>
    </row>
    <row r="49" spans="1:14" x14ac:dyDescent="0.25">
      <c r="A49" t="s">
        <v>32</v>
      </c>
      <c r="B49">
        <v>7919270014</v>
      </c>
      <c r="C49" t="str">
        <f>_xlfn.XLOOKUP(B49,'Ajustes Reguladores de Tensão'!A:A,'Ajustes Reguladores de Tensão'!D:D,_xlfn.XLOOKUP(B49,'Ajustes RL Poste'!A:A,'Ajustes RL Poste'!K:K))</f>
        <v>COOPER F6</v>
      </c>
      <c r="D49" t="str">
        <f>_xlfn.XLOOKUP(B49,'[2]Criticidade por Equipamento'!$A:$A,'[2]Criticidade por Equipamento'!$W:$W)</f>
        <v>27/07/2026 PARECER COEP: EM PROCESSO DE AQUISIÇÃO , COMPLETOPARECER COEP: AGUARDANDO RETORNO DO DMSL, EQUIPAMENTO FOI INSTALADO NOVO NA OBRA 0212501060, ENTENDER O PORQUE NÃO FOI REALIZADO COMISSIONAMENTOPARECER DMSL: Substituir Equipamento completo problema na placa de alimentação e na parte ativa, falta colocar placa de identificação correta na topologia, baixar o controle.Equipamento ficou em operação?: naoPendência: simBateria(s) substituída(s)? NÃOEquipe: Kaique/ Benvindo13/07/2026 PARECER COEP: SUBSTITUIÇÃO REALZIADA , FAVOR COMISSIONARPARECER DMSL (22/07/26): Solicito que o laudo de substituição seja anexado, e a SS seja repassada para proteção atribuir a ordem de ajuste, antes de repassar para ETO-TELE.----------------------------------------------PARECER DA PROTEÇÃO: Prosseguir com o comissionamento. Ajustes de religador permanecem os mesmos, disponíveis no APP da Proteção.********************************RELIGADOR N°7919270014 REMANEJADO NA OBRA 0212501060 GENTILEZA, REALIZAR O COMISSIONAMENTO. LAUDO EM ANEXO. COORD EO: 617422, 8830787</v>
      </c>
      <c r="E49" t="s">
        <v>788</v>
      </c>
      <c r="F49" t="s">
        <v>587</v>
      </c>
      <c r="G49" t="s">
        <v>592</v>
      </c>
      <c r="H49" t="s">
        <v>791</v>
      </c>
      <c r="I49" t="s">
        <v>892</v>
      </c>
      <c r="J49" t="s">
        <v>892</v>
      </c>
      <c r="L49" t="str">
        <f t="shared" si="0"/>
        <v>Religador completo (placa+parte ativa)</v>
      </c>
      <c r="M49" s="13">
        <f>VLOOKUP(B49,Custos!A:B,2,0)</f>
        <v>89455.54</v>
      </c>
      <c r="N49" t="str">
        <f>_xlfn.XLOOKUP(B49,'1007ALLan'!A:A,'1007ALLan'!F:F)</f>
        <v>ETO-COEP 00159/2026</v>
      </c>
    </row>
    <row r="50" spans="1:14" x14ac:dyDescent="0.25">
      <c r="A50" t="s">
        <v>32</v>
      </c>
      <c r="B50">
        <v>5801866013</v>
      </c>
      <c r="C50" t="str">
        <f>_xlfn.XLOOKUP(B50,'Ajustes Reguladores de Tensão'!A:A,'Ajustes Reguladores de Tensão'!D:D,_xlfn.XLOOKUP(B50,'Ajustes RL Poste'!A:A,'Ajustes RL Poste'!K:K))</f>
        <v>TOSHIBA//ROMAGNOLE/TOSHIBA</v>
      </c>
      <c r="D50" t="str">
        <f>_xlfn.XLOOKUP(B50,'[2]Criticidade por Equipamento'!$A:$A,'[2]Criticidade por Equipamento'!$W:$W)</f>
        <v>15/07 PARECER COCM, FOI ATENDIDA PELA OS ETO-RD-PS 1616/2026 OBRA-021260053910/07 PARECER COEP: EQUIPAMENTO ENTREGUE AOS COCM´S FAVOR INFORMAR PRAZO DE SUBSTUIÇÃO PARA O DMSL E REPASSAR DEPOIS PARA PROTEÇÃO REALIZAR OS AJUSTES E DESCREVER NA SS O SERVIÇO REALIZADOPARECER COEP: EM PROCESSO DE ENTREGAPARECER DMSL: RT 5801866013Serviço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BR.Obs.: Será necessário baixar todo o banco pelo menos um metro, as buchas estão muito próximas a parte energizada não oferecem segurança para equipe no momento do ensaio elétrico.Equipamento ficou em operação?: Não Possui nobreak: SimPossui antena: SimPossui rádio:SimPendência: SimData da bateria:  Equipe: Benvindo e Kaique._______________________________________________RT 5801866013BY PASSADO DEVIDO DEFEITO EM CELULA BEMVINDO ESTEVE NO LOCAL JUNTO AO COD .NECESSARIO TRATATIVA PARA MESMA .FASE DANIFICADO C</v>
      </c>
      <c r="E50" t="s">
        <v>797</v>
      </c>
      <c r="F50" t="s">
        <v>381</v>
      </c>
      <c r="G50" t="s">
        <v>388</v>
      </c>
      <c r="H50" t="s">
        <v>791</v>
      </c>
      <c r="I50" t="s">
        <v>911</v>
      </c>
      <c r="J50" t="s">
        <v>912</v>
      </c>
      <c r="L50" t="str">
        <f t="shared" si="0"/>
        <v>Célula fase C</v>
      </c>
      <c r="M50" s="13">
        <f>VLOOKUP(B50,Custos!A:B,2,0)</f>
        <v>79018.759999999995</v>
      </c>
      <c r="N50" t="str">
        <f>_xlfn.XLOOKUP(B50,'1007ALLan'!A:A,'1007ALLan'!F:F)</f>
        <v>ETO-PROT 00151/2026</v>
      </c>
    </row>
    <row r="51" spans="1:14" x14ac:dyDescent="0.25">
      <c r="A51" t="s">
        <v>24</v>
      </c>
      <c r="B51">
        <v>7925871077</v>
      </c>
      <c r="C51" t="str">
        <f>_xlfn.XLOOKUP(B51,'Ajustes Reguladores de Tensão'!A:A,'Ajustes Reguladores de Tensão'!D:D,_xlfn.XLOOKUP(B51,'Ajustes RL Poste'!A:A,'Ajustes RL Poste'!K:K))</f>
        <v>NOJA RC10</v>
      </c>
      <c r="D51" t="str">
        <f>_xlfn.XLOOKUP(B51,'[2]Criticidade por Equipamento'!$A:$A,'[2]Criticidade por Equipamento'!$W:$W)</f>
        <v>27/07 PARECER COEP: EM PROCESSO DE AQUISIÇÃOPARECER DMSL: A PEDIDO DA PCM DO NORTE LARA SOARES REALIZEI A CRIAÇÃO DESSA SS, EM RAZAO DA ANTIGAETO-TELE 337/2026 QUE FOI BAIXADA POR ENGANO DE TAL FORMA SEGUE A MESMA PARA REALIZAR AS TRATATIVAS. PENDENCIA: Religador continua by passado, equipamento está com defeito na parte ativa</v>
      </c>
      <c r="E51" t="s">
        <v>788</v>
      </c>
      <c r="F51" t="s">
        <v>631</v>
      </c>
      <c r="G51" t="s">
        <v>635</v>
      </c>
      <c r="H51" t="s">
        <v>791</v>
      </c>
      <c r="I51" t="s">
        <v>892</v>
      </c>
      <c r="J51" t="s">
        <v>892</v>
      </c>
      <c r="L51" t="str">
        <f t="shared" si="0"/>
        <v>Tanque (parte ativa)</v>
      </c>
      <c r="M51" s="13">
        <f>VLOOKUP(B51,Custos!A:B,2,0)</f>
        <v>51360.82</v>
      </c>
      <c r="N51" t="str">
        <f>_xlfn.XLOOKUP(B51,'1007ALLan'!A:A,'1007ALLan'!F:F)</f>
        <v>ETO-COEP 00048/2026</v>
      </c>
    </row>
    <row r="52" spans="1:14" x14ac:dyDescent="0.25">
      <c r="A52" t="s">
        <v>32</v>
      </c>
      <c r="B52">
        <v>7944559149</v>
      </c>
      <c r="C52" t="str">
        <f>_xlfn.XLOOKUP(B52,'Ajustes Reguladores de Tensão'!A:A,'Ajustes Reguladores de Tensão'!D:D,_xlfn.XLOOKUP(B52,'Ajustes RL Poste'!A:A,'Ajustes RL Poste'!K:K))</f>
        <v>NOJA RC10</v>
      </c>
      <c r="D52" t="str">
        <f>_xlfn.XLOOKUP(B52,'[2]Criticidade por Equipamento'!$A:$A,'[2]Criticidade por Equipamento'!$W:$W)</f>
        <v>14/07/2026 PARECER COEP: EQUIPAMENTO SELECIONADO PARA COMPRA Equipamento ficou em operação?: NãoPendência: Sim será necessário substituir a placaServiço Executado:  curto na placa foi tentando recuperar a mesma porém não teve sucesso!Bateria(s)substituída(s)? NÃOEquipe: Kaique e benvido</v>
      </c>
      <c r="E52" t="s">
        <v>788</v>
      </c>
      <c r="F52" t="s">
        <v>748</v>
      </c>
      <c r="G52" t="s">
        <v>752</v>
      </c>
      <c r="H52" t="s">
        <v>791</v>
      </c>
      <c r="I52" t="s">
        <v>889</v>
      </c>
      <c r="J52" t="s">
        <v>889</v>
      </c>
      <c r="L52" t="str">
        <f t="shared" si="0"/>
        <v>Placa =&gt; tratada como Controle completo</v>
      </c>
      <c r="M52" s="13">
        <f>VLOOKUP(B52,Custos!A:B,2,0)</f>
        <v>51304.06</v>
      </c>
      <c r="N52" t="str">
        <f>_xlfn.XLOOKUP(B52,'1007ALLan'!A:A,'1007ALLan'!F:F)</f>
        <v>ETO-COEP 00063/2026</v>
      </c>
    </row>
    <row r="53" spans="1:14" x14ac:dyDescent="0.25">
      <c r="A53" t="s">
        <v>32</v>
      </c>
      <c r="B53">
        <v>7926089013</v>
      </c>
      <c r="C53" t="str">
        <f>_xlfn.XLOOKUP(B53,'Ajustes Reguladores de Tensão'!A:A,'Ajustes Reguladores de Tensão'!D:D,_xlfn.XLOOKUP(B53,'Ajustes RL Poste'!A:A,'Ajustes RL Poste'!K:K))</f>
        <v>NOJA RC10</v>
      </c>
      <c r="D53" t="str">
        <f>_xlfn.XLOOKUP(B53,'[2]Criticidade por Equipamento'!$A:$A,'[2]Criticidade por Equipamento'!$W:$W)</f>
        <v>PARECER COEP: EQUIPAMENTO SELECIONADO PARA COMPRAPARECER DMSL: Feedback Equip. EspeciaisRLG 7926089013,RELÉ NOJA RC10SID 1805/2026DATA 15/04/2026Serviço Executado: Favor realizar a troca da parte ativa do equipamento --reprogramar para atualizar a base juntamente com escada Equipamento ficou em operação: Não Pendência: sim atualizar a base e  subistituir o tanque Bateria(s) substituída(s)? Não Data de Fabricação/Instalação da(s) bateria(s): Equipe: Carliel e João Vitor Fernando e Elson---------------------------------------------------------------------------------ATUALIZAR AJUSTES DO RL 7926089013 LD PARAISO I  A  PIUM. IMPLEMENTAÇÃO DA FUNÇÃO 27, SUBTENSÃO.AJUSTES DISPONIVEIS NO APP DA PROTEÇÃO.</v>
      </c>
      <c r="E53" t="s">
        <v>788</v>
      </c>
      <c r="F53" t="s">
        <v>636</v>
      </c>
      <c r="G53" t="s">
        <v>643</v>
      </c>
      <c r="H53" t="s">
        <v>791</v>
      </c>
      <c r="I53" t="s">
        <v>889</v>
      </c>
      <c r="J53" t="s">
        <v>889</v>
      </c>
      <c r="L53" t="str">
        <f t="shared" si="0"/>
        <v>Tanque (parte ativa)</v>
      </c>
      <c r="M53" s="13">
        <f>VLOOKUP(B53,Custos!A:B,2,0)</f>
        <v>51360.82</v>
      </c>
      <c r="N53" t="str">
        <f>_xlfn.XLOOKUP(B53,'1007ALLan'!A:A,'1007ALLan'!F:F)</f>
        <v>ETO-COEP 00078/2026</v>
      </c>
    </row>
    <row r="54" spans="1:14" x14ac:dyDescent="0.25">
      <c r="A54" t="s">
        <v>58</v>
      </c>
      <c r="B54">
        <v>5836786094</v>
      </c>
      <c r="C54" t="str">
        <f>_xlfn.XLOOKUP(B54,'Ajustes Reguladores de Tensão'!A:A,'Ajustes Reguladores de Tensão'!D:D,_xlfn.XLOOKUP(B54,'Ajustes RL Poste'!A:A,'Ajustes RL Poste'!K:K))</f>
        <v>ITB</v>
      </c>
      <c r="D54" t="str">
        <f>_xlfn.XLOOKUP(B54,'[2]Criticidade por Equipamento'!$A:$A,'[2]Criticidade por Equipamento'!$W:$W)</f>
        <v>24/07 PARECER COEP:EQUIPAMENTO EM LOGISTICA DE ENTREGA Favor levar outro regulador de tensão, pois o mesmo foi furtado em campo.</v>
      </c>
      <c r="E54" t="s">
        <v>797</v>
      </c>
      <c r="F54" t="s">
        <v>405</v>
      </c>
      <c r="G54" t="s">
        <v>410</v>
      </c>
      <c r="H54" t="s">
        <v>791</v>
      </c>
      <c r="I54" t="s">
        <v>889</v>
      </c>
      <c r="J54" t="s">
        <v>889</v>
      </c>
      <c r="K54" t="s">
        <v>928</v>
      </c>
      <c r="L54" t="str">
        <f t="shared" si="0"/>
        <v>3 células (equipamento furtado)</v>
      </c>
      <c r="M54" s="13">
        <f>VLOOKUP(B54,Custos!A:B,2,0)</f>
        <v>253479.73</v>
      </c>
      <c r="N54" t="str">
        <f>_xlfn.XLOOKUP(B54,'1007ALLan'!A:A,'1007ALLan'!F:F)</f>
        <v>ETO-COEP 00095/2026</v>
      </c>
    </row>
    <row r="55" spans="1:14" x14ac:dyDescent="0.25">
      <c r="A55" t="s">
        <v>24</v>
      </c>
      <c r="B55">
        <v>7925733015</v>
      </c>
      <c r="C55" t="str">
        <f>_xlfn.XLOOKUP(B55,'Ajustes Reguladores de Tensão'!A:A,'Ajustes Reguladores de Tensão'!D:D,_xlfn.XLOOKUP(B55,'Ajustes RL Poste'!A:A,'Ajustes RL Poste'!K:K))</f>
        <v>NOJA RC10</v>
      </c>
      <c r="D55" t="str">
        <f>_xlfn.XLOOKUP(B55,'[2]Criticidade por Equipamento'!$A:$A,'[2]Criticidade por Equipamento'!$W:$W)</f>
        <v>PARECER COEP: EQUIPAMENTO SELECIONADO PARA COMPRAPARECER DMSL: FEEDBACK EQUIP. ESPECIAISNº DO EQUIPAMENTO: 7925733015TIPO EQUIPAMENTO: Noja RC10TIPO DE COMUNICAÇÃO: Rádio GEDATA DA MANUTENÇÃO: 24/03/2026SID: 1475/2026DESCRIÇÃO: Tanque do equipamento em CurtoFICOU EM OPERAÇÃO?: Não PENDÊNCIA: Sim, repassar a nota para DCMD substituir tanque.DADOS DIVERGENTES DA PROGRAMAÇÃO: NãoBATERIA SUBSTITUÍDA?: Não TIPO DE BATERIA: Lítio EQUIPE: Edicleber e Jhonata(DEOP)------------------------------------------------------------------------------------------------------religador 7925733015 com defeito, equipe fez abertura da chave de saida do mesmo e ele não aceita fehcamento devido provavel curto-circuito interno, enviar equipe para verificar o mesmo ficou by-pass fechado</v>
      </c>
      <c r="E55" t="s">
        <v>788</v>
      </c>
      <c r="F55" t="s">
        <v>620</v>
      </c>
      <c r="G55" t="s">
        <v>624</v>
      </c>
      <c r="H55" t="s">
        <v>791</v>
      </c>
      <c r="I55" t="s">
        <v>889</v>
      </c>
      <c r="J55" t="s">
        <v>889</v>
      </c>
      <c r="L55" t="str">
        <f t="shared" si="0"/>
        <v>Tanque (parte ativa)</v>
      </c>
      <c r="M55" s="13">
        <f>VLOOKUP(B55,Custos!A:B,2,0)</f>
        <v>51360.82</v>
      </c>
      <c r="N55" t="str">
        <f>_xlfn.XLOOKUP(B55,'1007ALLan'!A:A,'1007ALLan'!F:F)</f>
        <v>ETO-COEP 00058/2026</v>
      </c>
    </row>
    <row r="56" spans="1:14" x14ac:dyDescent="0.25">
      <c r="A56" t="s">
        <v>24</v>
      </c>
      <c r="B56">
        <v>7900525015</v>
      </c>
      <c r="C56" t="str">
        <f>_xlfn.XLOOKUP(B56,'Ajustes Reguladores de Tensão'!A:A,'Ajustes Reguladores de Tensão'!D:D,_xlfn.XLOOKUP(B56,'Ajustes RL Poste'!A:A,'Ajustes RL Poste'!K:K))</f>
        <v>COOPER F6</v>
      </c>
      <c r="D56" t="str">
        <f>_xlfn.XLOOKUP(B56,'[2]Criticidade por Equipamento'!$A:$A,'[2]Criticidade por Equipamento'!$W:$W)</f>
        <v>PARECER COEP: É PARA REALIZAR A SUBSTITUIÇÃO DO RELIGADOR OU DAS BUCHAS, CASO SEJA BUCHAS , REPASSAR PARA OS COCM'S , CASO NÃO SEJA ESPECIFIQUE O MODELO , E A TENSÃO, FICO NO AGUARDO DO RETORNONota para manutenção substituir religador 7900525015 que está com as buchas de entrada danificadas fase A estourada e bc danificadas Local LD Pedro Afonso A Chaparral</v>
      </c>
      <c r="E56" t="s">
        <v>788</v>
      </c>
      <c r="F56" t="s">
        <v>489</v>
      </c>
      <c r="G56" t="s">
        <v>495</v>
      </c>
      <c r="H56" t="s">
        <v>791</v>
      </c>
      <c r="I56" t="s">
        <v>889</v>
      </c>
      <c r="J56" t="s">
        <v>889</v>
      </c>
      <c r="L56" t="str">
        <f t="shared" si="0"/>
        <v>Buchas — aguardando definição (COCM?)</v>
      </c>
      <c r="M56" s="13">
        <v>51360.82</v>
      </c>
      <c r="N56" t="str">
        <f>_xlfn.XLOOKUP(B56,'1007ALLan'!A:A,'1007ALLan'!F:F)</f>
        <v>ETO-COEP 00125/2026</v>
      </c>
    </row>
    <row r="57" spans="1:14" x14ac:dyDescent="0.25">
      <c r="A57" t="s">
        <v>32</v>
      </c>
      <c r="B57">
        <v>5800291035</v>
      </c>
      <c r="C57" t="str">
        <f>_xlfn.XLOOKUP(B57,'Ajustes Reguladores de Tensão'!A:A,'Ajustes Reguladores de Tensão'!D:D,_xlfn.XLOOKUP(B57,'Ajustes RL Poste'!A:A,'Ajustes RL Poste'!K:K))</f>
        <v>TOSHIBA</v>
      </c>
      <c r="D57" t="str">
        <f>_xlfn.XLOOKUP(B57,'[2]Criticidade por Equipamento'!$A:$A,'[2]Criticidade por Equipamento'!$W:$W)</f>
        <v>PARECER DMSL: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rua.Obs.: Fizeram melhoria na malha de terra, mas não está dentro do aceitável! As outras pendências continuam, favor corrigir. Equipamento ficou em operação?: Não  - Equipe: Benvindo e Kaique- SS ANTIGA ETO-TELE 358/2026</v>
      </c>
      <c r="E57" t="s">
        <v>797</v>
      </c>
      <c r="F57" t="s">
        <v>341</v>
      </c>
      <c r="G57" t="s">
        <v>349</v>
      </c>
      <c r="H57" t="s">
        <v>804</v>
      </c>
      <c r="I57" t="s">
        <v>911</v>
      </c>
      <c r="J57" t="s">
        <v>911</v>
      </c>
      <c r="L57" t="e">
        <f t="shared" si="0"/>
        <v>#N/A</v>
      </c>
      <c r="M57" s="13">
        <v>20000</v>
      </c>
      <c r="N57" t="str">
        <f>_xlfn.XLOOKUP(B57,'1007ALLan'!A:A,'1007ALLan'!F:F)</f>
        <v>CONCLUÍDA</v>
      </c>
    </row>
    <row r="58" spans="1:14" x14ac:dyDescent="0.25">
      <c r="A58" t="s">
        <v>24</v>
      </c>
      <c r="B58">
        <v>7929376022</v>
      </c>
      <c r="C58" t="str">
        <f>_xlfn.XLOOKUP(B58,'Ajustes Reguladores de Tensão'!A:A,'Ajustes Reguladores de Tensão'!D:D,_xlfn.XLOOKUP(B58,'Ajustes RL Poste'!A:A,'Ajustes RL Poste'!K:K))</f>
        <v>NOJA RC10</v>
      </c>
      <c r="D58" t="str">
        <f>_xlfn.XLOOKUP(B58,'[2]Criticidade por Equipamento'!$A:$A,'[2]Criticidade por Equipamento'!$W:$W)</f>
        <v>13/08/2026 PARECER COEP: EQUIPAMENTO FOI TROCADO A PEÇA , CONFIRMAMOS COM O LEONARDO DE ARAGUAÍNA , LAUDO EM ANEXO , FAVOR REALIZAR COMISSIONAMENTOPARECER COEP: PROBLEMA NO ENVIO COCM'S CONTROLE ENVIADO FOI O NOJA , DEVIDO A FALTA DO MODELO NA SS (GRAVE)PARECER DMSL: *FEEDBACK EQUIP. ESPECIAIS**Nº DO EQUIPAMENTO:* 7929376022 *DATA DA MANUTENÇÃO:* 02/04/2026*SID:* 1677/2026*DESCRIÇÃO:* Trocar controle completo*PENDÊNCIA:* Sim.*DADOS DIVERGENTES DA PROGRAMAÇÃO:* Não*BATERIA SUBSTITUÍDA?:* Não*EQUIPE:* Adeilton e Edicleber __________________________________________________________POR GENTILEZA ATENDER SOLICITAÇÃO PRIMEIRO ATAQUE IDENTIFICOU QUE RELE ESTA EM CURTO NOTA ABERTA 224/2026 FOI BAIXADA POREM NÃO FOI CORRIGIDO PROBLEMA EM CAMPO.</v>
      </c>
      <c r="E58" t="s">
        <v>788</v>
      </c>
      <c r="F58" t="s">
        <v>681</v>
      </c>
      <c r="G58" t="s">
        <v>685</v>
      </c>
      <c r="H58" t="s">
        <v>791</v>
      </c>
      <c r="I58" t="s">
        <v>889</v>
      </c>
      <c r="J58" t="s">
        <v>889</v>
      </c>
      <c r="L58" t="str">
        <f t="shared" si="0"/>
        <v>Controle completo</v>
      </c>
      <c r="M58" s="13">
        <f>VLOOKUP(B58,Custos!A:B,2,0)</f>
        <v>51304.06</v>
      </c>
      <c r="N58" t="str">
        <f>_xlfn.XLOOKUP(B58,'1007ALLan'!A:A,'1007ALLan'!F:F)</f>
        <v>ETO-TELE 01107/2026</v>
      </c>
    </row>
    <row r="59" spans="1:14" x14ac:dyDescent="0.25">
      <c r="A59" t="s">
        <v>58</v>
      </c>
      <c r="B59">
        <v>5800090147</v>
      </c>
      <c r="C59" t="str">
        <f>_xlfn.XLOOKUP(B59,'Ajustes Reguladores de Tensão'!A:A,'Ajustes Reguladores de Tensão'!D:D,_xlfn.XLOOKUP(B59,'Ajustes RL Poste'!A:A,'Ajustes RL Poste'!K:K))</f>
        <v>ITB</v>
      </c>
      <c r="D59" t="str">
        <f>_xlfn.XLOOKUP(B59,'[2]Criticidade por Equipamento'!$A:$A,'[2]Criticidade por Equipamento'!$W:$W)</f>
        <v/>
      </c>
      <c r="E59" t="s">
        <v>797</v>
      </c>
      <c r="F59" t="s">
        <v>327</v>
      </c>
      <c r="G59" t="s">
        <v>340</v>
      </c>
      <c r="H59" t="s">
        <v>791</v>
      </c>
      <c r="I59" t="s">
        <v>889</v>
      </c>
      <c r="J59" t="s">
        <v>889</v>
      </c>
      <c r="L59" t="str">
        <f t="shared" si="0"/>
        <v>Célula fase C (microswitch)</v>
      </c>
      <c r="M59" s="13">
        <f>VLOOKUP(B59,Custos!A:B,2,0)</f>
        <v>138038.91</v>
      </c>
      <c r="N59" t="str">
        <f>_xlfn.XLOOKUP(B59,'1007ALLan'!A:A,'1007ALLan'!F:F)</f>
        <v>CONCLUÍDA</v>
      </c>
    </row>
    <row r="60" spans="1:14" x14ac:dyDescent="0.25">
      <c r="A60" t="s">
        <v>32</v>
      </c>
      <c r="B60" s="7">
        <v>7927413001</v>
      </c>
      <c r="C60" t="str">
        <f>_xlfn.XLOOKUP(B60,'Ajustes Reguladores de Tensão'!A:A,'Ajustes Reguladores de Tensão'!D:D,_xlfn.XLOOKUP(B60,'Ajustes RL Poste'!A:A,'Ajustes RL Poste'!K:K))</f>
        <v>NOJA RC10</v>
      </c>
      <c r="D60" t="str">
        <f>_xlfn.XLOOKUP(B60,'[2]Criticidade por Equipamento'!$A:$A,'[2]Criticidade por Equipamento'!$W:$W)</f>
        <v>22/07/2026 EQUIPAMENTO SLEECIONADO PARA COMPRAPARECER DMSL: *Segue feedback**Equipamento:* RLG 7927413001  *RELÉ TAVRIDA*Data:* 16/04/2026*SID:* 1817/2026*Serviço executado:* Placa de alimentação do equipamento com defeito, VERIFICAR SE É POSSIVEL  substituir o equipamento completo.*Equipamento ficou em operação?*_Não*Pendência:*_Sim*Bateria(s) substituída(s)?*_Nao *Equipe:* Benvindo e Kaique-------------------------------------------------------------------------------------------------Religador 7927413001 sem comunicação foi realizado primeiro ataque porem a comunicação não retornou. Favor enviar equipe para devidas trattivas</v>
      </c>
      <c r="E60" t="s">
        <v>788</v>
      </c>
      <c r="F60" t="s">
        <v>658</v>
      </c>
      <c r="G60" t="s">
        <v>298</v>
      </c>
      <c r="H60" t="s">
        <v>804</v>
      </c>
      <c r="I60" t="s">
        <v>889</v>
      </c>
      <c r="J60" t="s">
        <v>889</v>
      </c>
      <c r="K60" t="s">
        <v>901</v>
      </c>
      <c r="L60" t="e">
        <f t="shared" si="0"/>
        <v>#N/A</v>
      </c>
      <c r="M60" s="13">
        <v>89455.54</v>
      </c>
      <c r="N60" t="str">
        <f>_xlfn.XLOOKUP(B60,'1007ALLan'!A:A,'1007ALLan'!F:F)</f>
        <v>ETO-COEP 00141/2026</v>
      </c>
    </row>
    <row r="61" spans="1:14" x14ac:dyDescent="0.25">
      <c r="A61" t="s">
        <v>32</v>
      </c>
      <c r="B61">
        <v>7933726256</v>
      </c>
      <c r="C61" t="str">
        <f>_xlfn.XLOOKUP(B61,'Ajustes Reguladores de Tensão'!A:A,'Ajustes Reguladores de Tensão'!D:D,_xlfn.XLOOKUP(B61,'Ajustes RL Poste'!A:A,'Ajustes RL Poste'!K:K))</f>
        <v>NOJA RC10</v>
      </c>
      <c r="D61" t="str">
        <f>_xlfn.XLOOKUP(B61,'[2]Criticidade por Equipamento'!$A:$A,'[2]Criticidade por Equipamento'!$W:$W)</f>
        <v>17/08/2026 PARECER DA PROTEÇÃO:NOTA REPASSADA PARA DMSL COMISSIONARENG° IRLLEY CASTELO BRANCO07/07 Equipamento foi substituido na OS: ETO-RD-PO 1859/2026 OBRA 031260035101/07 PARECER COEP: REDIRECIONADO PARA O POSTO DO COCM´S EQUIPAMENTO CHEGOU NO LOCAL, FAVOR ENTRAR EM CONTATO COM O DMSL, DEVIDO A URGÊNCIA DO EQUIPAMENTO EM OPERAÇÃO.30/06 PARECER COEP: DEVIDO A ALINHAMENTO COM COI UTILIZAREMOS PARTE ATIVA QUE ORIGINALMENTE FOI ENCOMENDADA PARA 7933726256PARECER DMSL: N° do Equipamento: _RLG 7933726256 MateirosTipo de Equipamento: _RLG NOJA RC 10 REL IIData: _06/05/2026SID: _2288/2026-Serviço Executado: _Equipamento com defeito na parte ativa, será necessário fazer a substituição da parte ativa e fazer melhoria na malha de terra!Equipamento ficou em operação?: _NaoPendência: _SimBateria(s) substituída(s)? NÃOData Fabricação/Instalação da(s) bateria(s):_06/2025Equipe: _Benvindo e Almir-------------------------------------------------------------------------------Religador 7933726256, sem comunicação apos primeiroa ataque não retornou as comunicação.</v>
      </c>
      <c r="E61" t="s">
        <v>788</v>
      </c>
      <c r="F61" t="s">
        <v>719</v>
      </c>
      <c r="G61" t="s">
        <v>723</v>
      </c>
      <c r="H61" t="s">
        <v>804</v>
      </c>
      <c r="I61" t="s">
        <v>911</v>
      </c>
      <c r="J61" t="s">
        <v>911</v>
      </c>
      <c r="L61" t="str">
        <f t="shared" si="0"/>
        <v>Tanque REAPROVEITADO (redirecionado de Santa Rita/7900453110)</v>
      </c>
      <c r="M61" s="13">
        <f>VLOOKUP(B61,Custos!A:B,2,0)</f>
        <v>13209.34</v>
      </c>
      <c r="N61" t="str">
        <f>_xlfn.XLOOKUP(B61,'1007ALLan'!A:A,'1007ALLan'!F:F)</f>
        <v>ETO-SE-PCM 00092/2026</v>
      </c>
    </row>
    <row r="62" spans="1:14" x14ac:dyDescent="0.25">
      <c r="A62" t="s">
        <v>32</v>
      </c>
      <c r="B62">
        <v>7900594026</v>
      </c>
      <c r="C62" t="str">
        <f>_xlfn.XLOOKUP(B62,'Ajustes Reguladores de Tensão'!A:A,'Ajustes Reguladores de Tensão'!D:D,_xlfn.XLOOKUP(B62,'Ajustes RL Poste'!A:A,'Ajustes RL Poste'!K:K))</f>
        <v>COOPER F6</v>
      </c>
      <c r="D62" t="str">
        <f>_xlfn.XLOOKUP(B62,'[2]Criticidade por Equipamento'!$A:$A,'[2]Criticidade por Equipamento'!$W:$W)</f>
        <v>PARECER DA PROTEÇÃO:16/07/2026 AJUSTES DISPONIBILIZADOS NO APP DA PROTEÇÃO15/07/2026 EQUIPAMENTO SUBSTITUIDO NA OS ETO-RD-PO 1860 OBRA 031260035414/07/2026 PARECER COCM/ COEP: DE ACORDO COM O EDSON CURCINO FOI FEITA S SUBSTITUIÇÃO DO EQUIPAMENTO , SEGUE PARA PROTEÇÃO ELABORAR AJUSTE10/07 PARECER COEP: EQUIPAMENTO DESLOCADO QUE ESTAVA EM GUARAÍ FOI ALINHADO COM O VALMOR QUE SERIA SUBSTITUIDO DIA 07/07/2026 , FAVOR PASSAR PARA PROTEÇÃO 7900594026PARECER COEP: AGUARDANDO COCM'S PARA ABRIR REQUISIÇÃOPARECER DMSL 10/06/2026: Tem uma nota aberta para esse equipamento solicitando a substituição desde 20/10/2025, como a nota não foi atendida estamos repassando para área responsável. Nota em aberto repassada ETO-COEP 210/2025.Segue nota para verificar intermitência de comunicação nos religadores 7908301026 , 7911120026, 7947959026 , 7908692026, 7900594026 rural- Ponte Alta .</v>
      </c>
      <c r="E62" t="s">
        <v>788</v>
      </c>
      <c r="F62" t="s">
        <v>516</v>
      </c>
      <c r="G62" t="s">
        <v>522</v>
      </c>
      <c r="H62" t="s">
        <v>791</v>
      </c>
      <c r="I62" t="s">
        <v>911</v>
      </c>
      <c r="J62" t="s">
        <v>911</v>
      </c>
      <c r="L62" t="str">
        <f t="shared" si="0"/>
        <v>Religador completo (COOPER F6)</v>
      </c>
      <c r="M62" s="13">
        <f>VLOOKUP(B62,Custos!A:B,2,0)</f>
        <v>89455.54</v>
      </c>
      <c r="N62" t="str">
        <f>_xlfn.XLOOKUP(B62,'1007ALLan'!A:A,'1007ALLan'!F:F)</f>
        <v>ETO-SE-PA 00107/2026</v>
      </c>
    </row>
    <row r="63" spans="1:14" x14ac:dyDescent="0.25">
      <c r="A63" t="s">
        <v>58</v>
      </c>
      <c r="B63">
        <v>7913662076</v>
      </c>
      <c r="C63" t="str">
        <f>_xlfn.XLOOKUP(B63,'Ajustes Reguladores de Tensão'!A:A,'Ajustes Reguladores de Tensão'!D:D,_xlfn.XLOOKUP(B63,'Ajustes RL Poste'!A:A,'Ajustes RL Poste'!K:K))</f>
        <v>NOJA RC10</v>
      </c>
      <c r="D63" t="str">
        <f>_xlfn.XLOOKUP(B63,'[2]Criticidade por Equipamento'!$A:$A,'[2]Criticidade por Equipamento'!$W:$W)</f>
        <v>27/07 PARECER COEP: TANQUE DANIFICADO DA 13,5Aberto nota para substituir tanque danificado e chave de entrada fase B danificadaPARECER DMSL: Foi confirmado pela equipe DMSL o defeito do tanque, favor seguir com a substituição e correção da chave de entrada fase B danificada.</v>
      </c>
      <c r="E63" t="s">
        <v>788</v>
      </c>
      <c r="F63" t="s">
        <v>582</v>
      </c>
      <c r="G63" t="s">
        <v>586</v>
      </c>
      <c r="H63" t="s">
        <v>791</v>
      </c>
      <c r="I63" t="s">
        <v>889</v>
      </c>
      <c r="J63" t="s">
        <v>889</v>
      </c>
      <c r="L63" t="str">
        <f t="shared" si="0"/>
        <v>Tanque + chave entrada fase B</v>
      </c>
      <c r="M63" s="13">
        <f>VLOOKUP(B63,Custos!A:B,2,0)</f>
        <v>33539.089999999997</v>
      </c>
      <c r="N63" t="str">
        <f>_xlfn.XLOOKUP(B63,'1007ALLan'!A:A,'1007ALLan'!F:F)</f>
        <v>ETO-COEP 00114/2026</v>
      </c>
    </row>
    <row r="64" spans="1:14" x14ac:dyDescent="0.25">
      <c r="A64" t="s">
        <v>24</v>
      </c>
      <c r="B64">
        <v>5800859011</v>
      </c>
      <c r="C64" t="str">
        <f>_xlfn.XLOOKUP(B64,'Ajustes Reguladores de Tensão'!A:A,'Ajustes Reguladores de Tensão'!D:D,_xlfn.XLOOKUP(B64,'Ajustes RL Poste'!A:A,'Ajustes RL Poste'!K:K))</f>
        <v>ITB</v>
      </c>
      <c r="D64" t="str">
        <f>_xlfn.XLOOKUP(B64,'[2]Criticidade por Equipamento'!$A:$A,'[2]Criticidade por Equipamento'!$W:$W)</f>
        <v/>
      </c>
      <c r="E64" t="s">
        <v>797</v>
      </c>
      <c r="F64" t="s">
        <v>365</v>
      </c>
      <c r="G64" t="s">
        <v>373</v>
      </c>
      <c r="H64" t="s">
        <v>791</v>
      </c>
      <c r="I64" t="s">
        <v>911</v>
      </c>
      <c r="J64" t="s">
        <v>912</v>
      </c>
      <c r="L64" t="str">
        <f t="shared" si="0"/>
        <v>Controle c/ nobreak (retrofit RUA)</v>
      </c>
      <c r="M64" s="13">
        <f>VLOOKUP(B64,Custos!A:B,2,0)</f>
        <v>29445.39</v>
      </c>
      <c r="N64" t="str">
        <f>_xlfn.XLOOKUP(B64,'1007ALLan'!A:A,'1007ALLan'!F:F)</f>
        <v>CONCLUÍDA</v>
      </c>
    </row>
    <row r="65" spans="1:14" x14ac:dyDescent="0.25">
      <c r="A65" t="s">
        <v>32</v>
      </c>
      <c r="B65">
        <v>7942572059</v>
      </c>
      <c r="C65" t="str">
        <f>_xlfn.XLOOKUP(B65,'Ajustes Reguladores de Tensão'!A:A,'Ajustes Reguladores de Tensão'!D:D,_xlfn.XLOOKUP(B65,'Ajustes RL Poste'!A:A,'Ajustes RL Poste'!K:K))</f>
        <v>NOJA RC10</v>
      </c>
      <c r="D65" t="str">
        <f>_xlfn.XLOOKUP(B65,'[2]Criticidade por Equipamento'!$A:$A,'[2]Criticidade por Equipamento'!$W:$W)</f>
        <v>PARECER COEP: EQUIPAMENTO COM MELHORIA DE ATERRAMENTO É COM A ETO-RD-PA , NÃO PASSA PELO FLUXO DE AQUISIÇÃO DO COEP, FAVOR REALIZAR MELHORIA DE ATERRAMENTO ETO-RD-PAPARECER DMSL 19/05/2026: É necessário fazer melhorias na malha de aterramento.segue nota para RL 794252059 o mesmo esta sem comunicaçao, foi feito primeiro ataque, porem a comunicaçao nao voltou, obs ramal do marasca.**** Parcecer do COCM CENTRO-****FEITO A MALHAR DE ATERRAMENTO ATENDIDA PELA ORDEM DE SERVIÇO DLP-MLPA02 91/2026 COM RELATORIO EM ANEXO A O.S</v>
      </c>
      <c r="E65" t="s">
        <v>788</v>
      </c>
      <c r="F65" t="s">
        <v>743</v>
      </c>
      <c r="G65" t="s">
        <v>747</v>
      </c>
      <c r="H65" t="s">
        <v>804</v>
      </c>
      <c r="I65" t="s">
        <v>911</v>
      </c>
      <c r="J65" t="s">
        <v>911</v>
      </c>
      <c r="L65" t="e">
        <f t="shared" si="0"/>
        <v>#N/A</v>
      </c>
      <c r="M65" s="13">
        <v>15000</v>
      </c>
      <c r="N65" t="str">
        <f>_xlfn.XLOOKUP(B65,'1007ALLan'!A:A,'1007ALLan'!F:F)</f>
        <v>ETO-PROT 00155/2026</v>
      </c>
    </row>
    <row r="66" spans="1:14" x14ac:dyDescent="0.25">
      <c r="A66" t="s">
        <v>32</v>
      </c>
      <c r="B66">
        <v>7911120026</v>
      </c>
      <c r="C66" t="str">
        <f>_xlfn.XLOOKUP(B66,'Ajustes Reguladores de Tensão'!A:A,'Ajustes Reguladores de Tensão'!D:D,_xlfn.XLOOKUP(B66,'Ajustes RL Poste'!A:A,'Ajustes RL Poste'!K:K))</f>
        <v>COOPER F6</v>
      </c>
      <c r="E66" t="s">
        <v>788</v>
      </c>
      <c r="F66" t="s">
        <v>575</v>
      </c>
      <c r="G66" t="s">
        <v>581</v>
      </c>
      <c r="H66" t="s">
        <v>804</v>
      </c>
      <c r="I66" t="s">
        <v>911</v>
      </c>
      <c r="J66" t="s">
        <v>911</v>
      </c>
      <c r="L66" t="e">
        <f t="shared" si="0"/>
        <v>#N/A</v>
      </c>
      <c r="M66" s="13">
        <v>15000</v>
      </c>
      <c r="N66" t="str">
        <f>_xlfn.XLOOKUP(B66,'1007ALLan'!A:A,'1007ALLan'!F:F)</f>
        <v>CONCLUÍDA</v>
      </c>
    </row>
    <row r="68" spans="1:14" x14ac:dyDescent="0.25">
      <c r="B68" t="s">
        <v>562</v>
      </c>
    </row>
    <row r="69" spans="1:14" x14ac:dyDescent="0.25">
      <c r="B69" t="s">
        <v>506</v>
      </c>
    </row>
    <row r="70" spans="1:14" x14ac:dyDescent="0.25">
      <c r="B70" t="s">
        <v>760</v>
      </c>
    </row>
    <row r="71" spans="1:14" x14ac:dyDescent="0.25">
      <c r="B71" t="s">
        <v>740</v>
      </c>
    </row>
    <row r="72" spans="1:14" x14ac:dyDescent="0.25">
      <c r="B72" t="s">
        <v>454</v>
      </c>
    </row>
    <row r="73" spans="1:14" x14ac:dyDescent="0.25">
      <c r="B73" t="s">
        <v>930</v>
      </c>
    </row>
    <row r="74" spans="1:14" x14ac:dyDescent="0.25">
      <c r="B74" t="s">
        <v>426</v>
      </c>
    </row>
    <row r="75" spans="1:14" x14ac:dyDescent="0.25">
      <c r="B75" t="s">
        <v>484</v>
      </c>
    </row>
    <row r="76" spans="1:14" x14ac:dyDescent="0.25">
      <c r="B76" t="s">
        <v>611</v>
      </c>
      <c r="F76" s="1">
        <v>7957126085</v>
      </c>
      <c r="G76" s="1" t="s">
        <v>931</v>
      </c>
    </row>
    <row r="77" spans="1:14" x14ac:dyDescent="0.25">
      <c r="B77" t="s">
        <v>477</v>
      </c>
      <c r="F77" s="1">
        <v>7953610256</v>
      </c>
      <c r="G77" s="1" t="s">
        <v>890</v>
      </c>
    </row>
    <row r="78" spans="1:14" x14ac:dyDescent="0.25">
      <c r="B78" t="s">
        <v>932</v>
      </c>
      <c r="F78" s="1">
        <v>7944559149</v>
      </c>
      <c r="G78" s="1" t="s">
        <v>933</v>
      </c>
    </row>
    <row r="79" spans="1:14" x14ac:dyDescent="0.25">
      <c r="B79" t="s">
        <v>498</v>
      </c>
      <c r="F79" s="1">
        <v>7942485096</v>
      </c>
      <c r="G79" s="1" t="s">
        <v>891</v>
      </c>
    </row>
    <row r="80" spans="1:14" x14ac:dyDescent="0.25">
      <c r="B80" t="s">
        <v>595</v>
      </c>
      <c r="F80" s="1">
        <v>7937102148</v>
      </c>
      <c r="G80" s="1" t="s">
        <v>891</v>
      </c>
    </row>
    <row r="81" spans="2:7" x14ac:dyDescent="0.25">
      <c r="B81" t="s">
        <v>678</v>
      </c>
      <c r="F81" s="1">
        <v>7933585074</v>
      </c>
      <c r="G81" s="1" t="s">
        <v>891</v>
      </c>
    </row>
    <row r="82" spans="2:7" x14ac:dyDescent="0.25">
      <c r="B82" t="s">
        <v>773</v>
      </c>
      <c r="F82" s="1">
        <v>7931608059</v>
      </c>
      <c r="G82" s="1" t="s">
        <v>904</v>
      </c>
    </row>
    <row r="83" spans="2:7" x14ac:dyDescent="0.25">
      <c r="B83" t="s">
        <v>448</v>
      </c>
      <c r="F83" s="1">
        <v>7931219078</v>
      </c>
      <c r="G83" s="1" t="s">
        <v>934</v>
      </c>
    </row>
    <row r="84" spans="2:7" x14ac:dyDescent="0.25">
      <c r="B84" t="s">
        <v>431</v>
      </c>
      <c r="F84" s="1">
        <v>7929376022</v>
      </c>
      <c r="G84" s="1" t="s">
        <v>902</v>
      </c>
    </row>
    <row r="85" spans="2:7" x14ac:dyDescent="0.25">
      <c r="B85" t="s">
        <v>664</v>
      </c>
      <c r="F85" s="1">
        <v>7928564039</v>
      </c>
      <c r="G85" s="1" t="s">
        <v>935</v>
      </c>
    </row>
    <row r="86" spans="2:7" x14ac:dyDescent="0.25">
      <c r="B86" t="s">
        <v>936</v>
      </c>
      <c r="F86" s="1">
        <v>7928241200</v>
      </c>
      <c r="G86" s="1" t="s">
        <v>891</v>
      </c>
    </row>
    <row r="87" spans="2:7" x14ac:dyDescent="0.25">
      <c r="B87" t="s">
        <v>673</v>
      </c>
      <c r="F87" s="1">
        <v>7927646026</v>
      </c>
      <c r="G87" s="1" t="s">
        <v>937</v>
      </c>
    </row>
    <row r="88" spans="2:7" ht="30" x14ac:dyDescent="0.25">
      <c r="B88" t="s">
        <v>354</v>
      </c>
      <c r="F88" s="1">
        <v>7927446001</v>
      </c>
      <c r="G88" s="1" t="s">
        <v>896</v>
      </c>
    </row>
    <row r="89" spans="2:7" x14ac:dyDescent="0.25">
      <c r="B89" t="s">
        <v>413</v>
      </c>
      <c r="F89" s="1">
        <v>7927396052</v>
      </c>
      <c r="G89" s="1" t="s">
        <v>891</v>
      </c>
    </row>
    <row r="90" spans="2:7" x14ac:dyDescent="0.25">
      <c r="B90" t="s">
        <v>567</v>
      </c>
      <c r="F90" s="1">
        <v>7926442035</v>
      </c>
      <c r="G90" s="1" t="s">
        <v>938</v>
      </c>
    </row>
    <row r="91" spans="2:7" x14ac:dyDescent="0.25">
      <c r="B91" t="s">
        <v>362</v>
      </c>
      <c r="F91" s="1">
        <v>7926089013</v>
      </c>
      <c r="G91" s="1" t="s">
        <v>891</v>
      </c>
    </row>
    <row r="92" spans="2:7" x14ac:dyDescent="0.25">
      <c r="B92" t="s">
        <v>441</v>
      </c>
      <c r="F92" s="1">
        <v>7925871077</v>
      </c>
      <c r="G92" s="1" t="s">
        <v>891</v>
      </c>
    </row>
    <row r="93" spans="2:7" x14ac:dyDescent="0.25">
      <c r="B93" t="s">
        <v>420</v>
      </c>
      <c r="F93" s="1">
        <v>7925744087</v>
      </c>
      <c r="G93" s="1" t="s">
        <v>903</v>
      </c>
    </row>
    <row r="94" spans="2:7" x14ac:dyDescent="0.25">
      <c r="B94" t="s">
        <v>401</v>
      </c>
      <c r="F94" s="1">
        <v>7925733015</v>
      </c>
      <c r="G94" s="1" t="s">
        <v>891</v>
      </c>
    </row>
    <row r="95" spans="2:7" x14ac:dyDescent="0.25">
      <c r="B95" t="s">
        <v>534</v>
      </c>
      <c r="F95" s="1">
        <v>7925087021</v>
      </c>
      <c r="G95" s="1" t="s">
        <v>891</v>
      </c>
    </row>
    <row r="96" spans="2:7" x14ac:dyDescent="0.25">
      <c r="B96" t="s">
        <v>393</v>
      </c>
      <c r="F96" s="1">
        <v>7923927122</v>
      </c>
      <c r="G96" s="1" t="s">
        <v>891</v>
      </c>
    </row>
    <row r="97" spans="2:7" ht="30" x14ac:dyDescent="0.25">
      <c r="B97" t="s">
        <v>437</v>
      </c>
      <c r="F97" s="1">
        <v>7923673004</v>
      </c>
      <c r="G97" s="1" t="s">
        <v>939</v>
      </c>
    </row>
    <row r="98" spans="2:7" ht="30" x14ac:dyDescent="0.25">
      <c r="B98" t="s">
        <v>727</v>
      </c>
      <c r="F98" s="1">
        <v>7920024127</v>
      </c>
      <c r="G98" s="1" t="s">
        <v>940</v>
      </c>
    </row>
    <row r="99" spans="2:7" x14ac:dyDescent="0.25">
      <c r="B99" t="s">
        <v>706</v>
      </c>
      <c r="F99" s="1">
        <v>7919270014</v>
      </c>
      <c r="G99" s="1" t="s">
        <v>941</v>
      </c>
    </row>
    <row r="100" spans="2:7" x14ac:dyDescent="0.25">
      <c r="B100" t="s">
        <v>512</v>
      </c>
      <c r="F100" s="1">
        <v>7913662076</v>
      </c>
      <c r="G100" s="1" t="s">
        <v>942</v>
      </c>
    </row>
    <row r="101" spans="2:7" x14ac:dyDescent="0.25">
      <c r="B101" t="s">
        <v>755</v>
      </c>
      <c r="F101" s="1">
        <v>7908686014</v>
      </c>
      <c r="G101" s="1" t="s">
        <v>943</v>
      </c>
    </row>
    <row r="102" spans="2:7" x14ac:dyDescent="0.25">
      <c r="B102" t="s">
        <v>944</v>
      </c>
      <c r="F102" s="1">
        <v>7908249152</v>
      </c>
      <c r="G102" s="1" t="s">
        <v>900</v>
      </c>
    </row>
    <row r="103" spans="2:7" x14ac:dyDescent="0.25">
      <c r="B103" t="s">
        <v>617</v>
      </c>
      <c r="F103" s="1">
        <v>7908196047</v>
      </c>
      <c r="G103" s="1" t="s">
        <v>945</v>
      </c>
    </row>
    <row r="104" spans="2:7" ht="30" x14ac:dyDescent="0.25">
      <c r="B104" t="s">
        <v>377</v>
      </c>
      <c r="F104" s="1">
        <v>7903112004</v>
      </c>
      <c r="G104" s="1" t="s">
        <v>894</v>
      </c>
    </row>
    <row r="105" spans="2:7" x14ac:dyDescent="0.25">
      <c r="B105" t="s">
        <v>735</v>
      </c>
      <c r="F105" s="1">
        <v>7901110084</v>
      </c>
      <c r="G105" s="1" t="s">
        <v>891</v>
      </c>
    </row>
    <row r="106" spans="2:7" x14ac:dyDescent="0.25">
      <c r="B106" t="s">
        <v>465</v>
      </c>
      <c r="F106" s="1">
        <v>7900594026</v>
      </c>
      <c r="G106" s="1" t="s">
        <v>946</v>
      </c>
    </row>
    <row r="107" spans="2:7" x14ac:dyDescent="0.25">
      <c r="B107" t="s">
        <v>947</v>
      </c>
      <c r="F107" s="1">
        <v>7900573047</v>
      </c>
      <c r="G107" s="1" t="s">
        <v>948</v>
      </c>
    </row>
    <row r="108" spans="2:7" x14ac:dyDescent="0.25">
      <c r="B108" t="s">
        <v>527</v>
      </c>
      <c r="F108" s="1">
        <v>7900535058</v>
      </c>
      <c r="G108" s="1" t="s">
        <v>949</v>
      </c>
    </row>
    <row r="109" spans="2:7" x14ac:dyDescent="0.25">
      <c r="B109" t="s">
        <v>697</v>
      </c>
      <c r="F109" s="1">
        <v>7900532053</v>
      </c>
      <c r="G109" s="1" t="s">
        <v>950</v>
      </c>
    </row>
    <row r="110" spans="2:7" x14ac:dyDescent="0.25">
      <c r="B110" t="s">
        <v>951</v>
      </c>
      <c r="F110" s="1">
        <v>7900525015</v>
      </c>
      <c r="G110" s="1" t="s">
        <v>952</v>
      </c>
    </row>
    <row r="111" spans="2:7" x14ac:dyDescent="0.25">
      <c r="B111" t="s">
        <v>668</v>
      </c>
      <c r="F111" s="1">
        <v>7900453110</v>
      </c>
      <c r="G111" s="1" t="s">
        <v>953</v>
      </c>
    </row>
    <row r="112" spans="2:7" x14ac:dyDescent="0.25">
      <c r="B112" t="s">
        <v>649</v>
      </c>
      <c r="F112" s="1">
        <v>7900117013</v>
      </c>
      <c r="G112" s="1" t="s">
        <v>954</v>
      </c>
    </row>
    <row r="113" spans="2:7" ht="30" x14ac:dyDescent="0.25">
      <c r="B113" t="s">
        <v>550</v>
      </c>
      <c r="F113" s="1">
        <v>7947203070</v>
      </c>
      <c r="G113" s="1" t="s">
        <v>905</v>
      </c>
    </row>
    <row r="114" spans="2:7" x14ac:dyDescent="0.25">
      <c r="B114" t="s">
        <v>716</v>
      </c>
      <c r="F114" s="1">
        <v>7908705049</v>
      </c>
      <c r="G114" s="1" t="s">
        <v>953</v>
      </c>
    </row>
    <row r="115" spans="2:7" x14ac:dyDescent="0.25">
      <c r="B115" t="s">
        <v>955</v>
      </c>
      <c r="F115" s="1">
        <v>7933766059</v>
      </c>
      <c r="G115" s="1" t="s">
        <v>891</v>
      </c>
    </row>
    <row r="116" spans="2:7" ht="30" x14ac:dyDescent="0.25">
      <c r="B116" t="s">
        <v>628</v>
      </c>
      <c r="F116" s="1">
        <v>7927169001</v>
      </c>
      <c r="G116" s="1" t="s">
        <v>956</v>
      </c>
    </row>
    <row r="117" spans="2:7" x14ac:dyDescent="0.25">
      <c r="B117" t="s">
        <v>471</v>
      </c>
      <c r="F117" s="1">
        <v>7938137007</v>
      </c>
      <c r="G117" s="1" t="s">
        <v>957</v>
      </c>
    </row>
    <row r="118" spans="2:7" x14ac:dyDescent="0.25">
      <c r="B118" t="s">
        <v>600</v>
      </c>
      <c r="F118" s="1">
        <v>7900230155</v>
      </c>
      <c r="G118" s="1" t="s">
        <v>958</v>
      </c>
    </row>
    <row r="119" spans="2:7" x14ac:dyDescent="0.25">
      <c r="B119" t="s">
        <v>645</v>
      </c>
      <c r="F119" s="1">
        <v>7943790134</v>
      </c>
      <c r="G119" s="1" t="s">
        <v>891</v>
      </c>
    </row>
    <row r="120" spans="2:7" x14ac:dyDescent="0.25">
      <c r="B120" t="s">
        <v>654</v>
      </c>
      <c r="F120" s="1">
        <v>7900018004</v>
      </c>
      <c r="G120" s="1" t="s">
        <v>959</v>
      </c>
    </row>
    <row r="121" spans="2:7" x14ac:dyDescent="0.25">
      <c r="B121" t="s">
        <v>607</v>
      </c>
      <c r="F121" s="1">
        <v>7931610122</v>
      </c>
      <c r="G121" s="1" t="s">
        <v>960</v>
      </c>
    </row>
    <row r="122" spans="2:7" x14ac:dyDescent="0.25">
      <c r="B122" t="s">
        <v>589</v>
      </c>
      <c r="F122" s="1">
        <v>7957620015</v>
      </c>
      <c r="G122" s="1" t="s">
        <v>961</v>
      </c>
    </row>
    <row r="123" spans="2:7" ht="30" x14ac:dyDescent="0.25">
      <c r="B123" t="s">
        <v>385</v>
      </c>
      <c r="F123" s="1">
        <v>7934698002</v>
      </c>
      <c r="G123" s="1" t="s">
        <v>962</v>
      </c>
    </row>
    <row r="124" spans="2:7" x14ac:dyDescent="0.25">
      <c r="B124" t="s">
        <v>633</v>
      </c>
      <c r="F124" s="1">
        <v>7955520116</v>
      </c>
      <c r="G124" s="1" t="s">
        <v>891</v>
      </c>
    </row>
    <row r="125" spans="2:7" ht="30" x14ac:dyDescent="0.25">
      <c r="B125" t="s">
        <v>963</v>
      </c>
      <c r="F125" s="1">
        <v>7933726256</v>
      </c>
      <c r="G125" s="1" t="s">
        <v>964</v>
      </c>
    </row>
    <row r="126" spans="2:7" x14ac:dyDescent="0.25">
      <c r="B126" t="s">
        <v>750</v>
      </c>
      <c r="F126" s="1">
        <v>5862236091</v>
      </c>
      <c r="G126" s="1" t="s">
        <v>965</v>
      </c>
    </row>
    <row r="127" spans="2:7" x14ac:dyDescent="0.25">
      <c r="B127" t="s">
        <v>640</v>
      </c>
      <c r="F127" s="1">
        <v>5858783119</v>
      </c>
      <c r="G127" s="1" t="s">
        <v>966</v>
      </c>
    </row>
    <row r="128" spans="2:7" x14ac:dyDescent="0.25">
      <c r="B128" t="s">
        <v>407</v>
      </c>
      <c r="F128" s="1">
        <v>5856070091</v>
      </c>
      <c r="G128" s="1" t="s">
        <v>967</v>
      </c>
    </row>
    <row r="129" spans="2:7" x14ac:dyDescent="0.25">
      <c r="B129" t="s">
        <v>622</v>
      </c>
      <c r="F129" s="1">
        <v>5855411017</v>
      </c>
      <c r="G129" s="1" t="s">
        <v>968</v>
      </c>
    </row>
    <row r="130" spans="2:7" x14ac:dyDescent="0.25">
      <c r="B130" t="s">
        <v>492</v>
      </c>
      <c r="F130" s="1">
        <v>5854566043</v>
      </c>
      <c r="G130" s="1" t="s">
        <v>965</v>
      </c>
    </row>
    <row r="131" spans="2:7" x14ac:dyDescent="0.25">
      <c r="B131" t="s">
        <v>345</v>
      </c>
      <c r="F131" s="1">
        <v>5850308009</v>
      </c>
      <c r="G131" s="1" t="s">
        <v>968</v>
      </c>
    </row>
    <row r="132" spans="2:7" x14ac:dyDescent="0.25">
      <c r="B132" t="s">
        <v>682</v>
      </c>
      <c r="F132" s="1">
        <v>5844630060</v>
      </c>
      <c r="G132" s="1" t="s">
        <v>969</v>
      </c>
    </row>
    <row r="133" spans="2:7" x14ac:dyDescent="0.25">
      <c r="B133" t="s">
        <v>332</v>
      </c>
      <c r="F133" s="1">
        <v>5836786094</v>
      </c>
      <c r="G133" s="1" t="s">
        <v>970</v>
      </c>
    </row>
    <row r="134" spans="2:7" x14ac:dyDescent="0.25">
      <c r="B134" t="s">
        <v>660</v>
      </c>
      <c r="F134" s="1">
        <v>5801866013</v>
      </c>
      <c r="G134" s="1" t="s">
        <v>971</v>
      </c>
    </row>
    <row r="135" spans="2:7" x14ac:dyDescent="0.25">
      <c r="B135" t="s">
        <v>721</v>
      </c>
      <c r="F135" s="1">
        <v>5800961074</v>
      </c>
      <c r="G135" s="1" t="s">
        <v>972</v>
      </c>
    </row>
    <row r="136" spans="2:7" x14ac:dyDescent="0.25">
      <c r="B136" t="s">
        <v>973</v>
      </c>
      <c r="F136" s="1">
        <v>5800859011</v>
      </c>
      <c r="G136" s="1" t="s">
        <v>974</v>
      </c>
    </row>
    <row r="137" spans="2:7" x14ac:dyDescent="0.25">
      <c r="B137" t="s">
        <v>519</v>
      </c>
      <c r="F137" s="1">
        <v>5800371025</v>
      </c>
      <c r="G137" s="1" t="s">
        <v>975</v>
      </c>
    </row>
    <row r="138" spans="2:7" x14ac:dyDescent="0.25">
      <c r="B138" t="s">
        <v>584</v>
      </c>
      <c r="F138" s="1">
        <v>5800090147</v>
      </c>
      <c r="G138" s="1" t="s">
        <v>976</v>
      </c>
    </row>
    <row r="139" spans="2:7" ht="30" x14ac:dyDescent="0.25">
      <c r="B139" t="s">
        <v>369</v>
      </c>
      <c r="F139" s="1">
        <v>5827102054</v>
      </c>
      <c r="G139" s="1" t="s">
        <v>977</v>
      </c>
    </row>
    <row r="140" spans="2:7" ht="30" x14ac:dyDescent="0.25">
      <c r="B140" t="s">
        <v>744</v>
      </c>
      <c r="F140" s="1">
        <v>5800438116</v>
      </c>
      <c r="G140" s="1" t="s">
        <v>978</v>
      </c>
    </row>
    <row r="141" spans="2:7" x14ac:dyDescent="0.25">
      <c r="B141" t="s">
        <v>979</v>
      </c>
      <c r="F141" s="1"/>
      <c r="G141" s="1"/>
    </row>
    <row r="142" spans="2:7" x14ac:dyDescent="0.25">
      <c r="B142" t="s">
        <v>980</v>
      </c>
    </row>
    <row r="143" spans="2:7" x14ac:dyDescent="0.25">
      <c r="B143" t="s">
        <v>981</v>
      </c>
    </row>
    <row r="144" spans="2:7" x14ac:dyDescent="0.25">
      <c r="B144" t="s">
        <v>982</v>
      </c>
    </row>
    <row r="145" spans="2:2" x14ac:dyDescent="0.25">
      <c r="B145" t="s">
        <v>983</v>
      </c>
    </row>
    <row r="146" spans="2:2" x14ac:dyDescent="0.25">
      <c r="B146" t="s">
        <v>984</v>
      </c>
    </row>
    <row r="147" spans="2:2" x14ac:dyDescent="0.25">
      <c r="B147" t="s">
        <v>985</v>
      </c>
    </row>
    <row r="148" spans="2:2" x14ac:dyDescent="0.25">
      <c r="B148" t="s">
        <v>986</v>
      </c>
    </row>
    <row r="149" spans="2:2" x14ac:dyDescent="0.25">
      <c r="B149" t="s">
        <v>987</v>
      </c>
    </row>
    <row r="150" spans="2:2" x14ac:dyDescent="0.25">
      <c r="B150" t="s">
        <v>579</v>
      </c>
    </row>
    <row r="151" spans="2:2" x14ac:dyDescent="0.25">
      <c r="B151" t="s">
        <v>988</v>
      </c>
    </row>
    <row r="152" spans="2:2" x14ac:dyDescent="0.25">
      <c r="B152" t="s">
        <v>989</v>
      </c>
    </row>
    <row r="153" spans="2:2" x14ac:dyDescent="0.25">
      <c r="B153" t="s">
        <v>990</v>
      </c>
    </row>
    <row r="154" spans="2:2" x14ac:dyDescent="0.25">
      <c r="B154" t="s">
        <v>991</v>
      </c>
    </row>
  </sheetData>
  <autoFilter ref="A1:N66" xr:uid="{AB3D95D8-D9FC-4DB9-BA3E-ED7A39E45C36}"/>
  <conditionalFormatting sqref="B83:C1048576 B1:C80">
    <cfRule type="duplicateValues" dxfId="23" priority="1"/>
  </conditionalFormatting>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72DED-A0E2-4872-BE4F-368F7B56D44A}">
  <sheetPr codeName="Planilha5"/>
  <dimension ref="A1:B65"/>
  <sheetViews>
    <sheetView topLeftCell="A16" workbookViewId="0">
      <selection activeCell="B8" sqref="B8:B17"/>
    </sheetView>
  </sheetViews>
  <sheetFormatPr defaultRowHeight="15" x14ac:dyDescent="0.25"/>
  <cols>
    <col min="1" max="1" width="11" bestFit="1" customWidth="1"/>
    <col min="2" max="2" width="12.7109375" bestFit="1" customWidth="1"/>
  </cols>
  <sheetData>
    <row r="1" spans="1:2" x14ac:dyDescent="0.25">
      <c r="A1" s="1">
        <v>7957126085</v>
      </c>
      <c r="B1" s="11">
        <v>51304.06</v>
      </c>
    </row>
    <row r="2" spans="1:2" x14ac:dyDescent="0.25">
      <c r="A2" s="1">
        <v>7953610256</v>
      </c>
      <c r="B2" s="11">
        <v>51360.82</v>
      </c>
    </row>
    <row r="3" spans="1:2" x14ac:dyDescent="0.25">
      <c r="A3" s="1">
        <v>7944559149</v>
      </c>
      <c r="B3" s="11">
        <v>51304.06</v>
      </c>
    </row>
    <row r="4" spans="1:2" x14ac:dyDescent="0.25">
      <c r="A4" s="1">
        <v>7942485096</v>
      </c>
      <c r="B4" s="11">
        <v>51360.82</v>
      </c>
    </row>
    <row r="5" spans="1:2" x14ac:dyDescent="0.25">
      <c r="A5" s="1">
        <v>7937102148</v>
      </c>
      <c r="B5" s="11">
        <v>51360.82</v>
      </c>
    </row>
    <row r="6" spans="1:2" x14ac:dyDescent="0.25">
      <c r="A6" s="1">
        <v>7933585074</v>
      </c>
      <c r="B6" s="11">
        <v>51360.82</v>
      </c>
    </row>
    <row r="7" spans="1:2" x14ac:dyDescent="0.25">
      <c r="A7" s="1">
        <v>7931608059</v>
      </c>
      <c r="B7" s="11">
        <v>47414.74</v>
      </c>
    </row>
    <row r="8" spans="1:2" x14ac:dyDescent="0.25">
      <c r="A8" s="1">
        <v>7931219078</v>
      </c>
      <c r="B8" s="11">
        <v>0</v>
      </c>
    </row>
    <row r="9" spans="1:2" x14ac:dyDescent="0.25">
      <c r="A9" s="1">
        <v>7929376022</v>
      </c>
      <c r="B9" s="11">
        <v>51304.06</v>
      </c>
    </row>
    <row r="10" spans="1:2" x14ac:dyDescent="0.25">
      <c r="A10" s="1">
        <v>7928564039</v>
      </c>
      <c r="B10" s="11">
        <v>89455.54</v>
      </c>
    </row>
    <row r="11" spans="1:2" x14ac:dyDescent="0.25">
      <c r="A11" s="1">
        <v>7928241200</v>
      </c>
      <c r="B11" s="11">
        <v>51360.82</v>
      </c>
    </row>
    <row r="12" spans="1:2" x14ac:dyDescent="0.25">
      <c r="A12" s="1">
        <v>7927646026</v>
      </c>
      <c r="B12" s="11">
        <v>51360.82</v>
      </c>
    </row>
    <row r="13" spans="1:2" x14ac:dyDescent="0.25">
      <c r="A13" s="1">
        <v>7927446001</v>
      </c>
      <c r="B13" s="11">
        <v>89455.54</v>
      </c>
    </row>
    <row r="14" spans="1:2" x14ac:dyDescent="0.25">
      <c r="A14" s="1">
        <v>7927396052</v>
      </c>
      <c r="B14" s="11">
        <v>51360.82</v>
      </c>
    </row>
    <row r="15" spans="1:2" x14ac:dyDescent="0.25">
      <c r="A15" s="1">
        <v>7926442035</v>
      </c>
      <c r="B15" s="11">
        <v>51360.82</v>
      </c>
    </row>
    <row r="16" spans="1:2" x14ac:dyDescent="0.25">
      <c r="A16" s="1">
        <v>7926089013</v>
      </c>
      <c r="B16" s="11">
        <v>51360.82</v>
      </c>
    </row>
    <row r="17" spans="1:2" x14ac:dyDescent="0.25">
      <c r="A17" s="1">
        <v>7925871077</v>
      </c>
      <c r="B17" s="11">
        <v>51360.82</v>
      </c>
    </row>
    <row r="18" spans="1:2" x14ac:dyDescent="0.25">
      <c r="A18" s="1">
        <v>7925744087</v>
      </c>
      <c r="B18" s="11">
        <v>51360.82</v>
      </c>
    </row>
    <row r="19" spans="1:2" x14ac:dyDescent="0.25">
      <c r="A19" s="1">
        <v>7925733015</v>
      </c>
      <c r="B19" s="11">
        <v>51360.82</v>
      </c>
    </row>
    <row r="20" spans="1:2" x14ac:dyDescent="0.25">
      <c r="A20" s="1">
        <v>7925087021</v>
      </c>
      <c r="B20" s="11">
        <v>51360.82</v>
      </c>
    </row>
    <row r="21" spans="1:2" x14ac:dyDescent="0.25">
      <c r="A21" s="1">
        <v>7923927122</v>
      </c>
      <c r="B21" s="11">
        <v>51360.82</v>
      </c>
    </row>
    <row r="22" spans="1:2" x14ac:dyDescent="0.25">
      <c r="A22" s="1">
        <v>7923673004</v>
      </c>
      <c r="B22" s="11">
        <v>21470.95</v>
      </c>
    </row>
    <row r="23" spans="1:2" x14ac:dyDescent="0.25">
      <c r="A23" s="1">
        <v>7920024127</v>
      </c>
      <c r="B23" s="11">
        <v>90191.97</v>
      </c>
    </row>
    <row r="24" spans="1:2" x14ac:dyDescent="0.25">
      <c r="A24" s="1">
        <v>7919270014</v>
      </c>
      <c r="B24" s="11">
        <v>89455.54</v>
      </c>
    </row>
    <row r="25" spans="1:2" x14ac:dyDescent="0.25">
      <c r="A25" s="1">
        <v>7913662076</v>
      </c>
      <c r="B25" s="11">
        <v>33539.089999999997</v>
      </c>
    </row>
    <row r="26" spans="1:2" x14ac:dyDescent="0.25">
      <c r="A26" s="1">
        <v>7908686014</v>
      </c>
      <c r="B26" s="11">
        <v>51360.82</v>
      </c>
    </row>
    <row r="27" spans="1:2" x14ac:dyDescent="0.25">
      <c r="A27" s="1">
        <v>7908249152</v>
      </c>
      <c r="B27" s="11">
        <v>89455.54</v>
      </c>
    </row>
    <row r="28" spans="1:2" x14ac:dyDescent="0.25">
      <c r="A28" s="1">
        <v>7908196047</v>
      </c>
      <c r="B28" s="11">
        <v>66619.48</v>
      </c>
    </row>
    <row r="29" spans="1:2" x14ac:dyDescent="0.25">
      <c r="A29" s="1">
        <v>7903112004</v>
      </c>
      <c r="B29" s="11">
        <v>51304.06</v>
      </c>
    </row>
    <row r="30" spans="1:2" x14ac:dyDescent="0.25">
      <c r="A30" s="1">
        <v>7901110084</v>
      </c>
      <c r="B30" s="11">
        <v>51360.82</v>
      </c>
    </row>
    <row r="31" spans="1:2" x14ac:dyDescent="0.25">
      <c r="A31" s="1">
        <v>7900594026</v>
      </c>
      <c r="B31" s="11">
        <v>89455.54</v>
      </c>
    </row>
    <row r="32" spans="1:2" x14ac:dyDescent="0.25">
      <c r="A32" s="1">
        <v>7900573047</v>
      </c>
      <c r="B32" s="11">
        <v>66619.48</v>
      </c>
    </row>
    <row r="33" spans="1:2" x14ac:dyDescent="0.25">
      <c r="A33" s="1">
        <v>7900535058</v>
      </c>
      <c r="B33" s="11">
        <v>89455.54</v>
      </c>
    </row>
    <row r="34" spans="1:2" x14ac:dyDescent="0.25">
      <c r="A34" s="1">
        <v>7900532053</v>
      </c>
      <c r="B34" s="11">
        <v>104067.62</v>
      </c>
    </row>
    <row r="35" spans="1:2" x14ac:dyDescent="0.25">
      <c r="A35" s="1">
        <v>7900525015</v>
      </c>
      <c r="B35" s="11">
        <v>0</v>
      </c>
    </row>
    <row r="36" spans="1:2" x14ac:dyDescent="0.25">
      <c r="A36" s="1">
        <v>7900453110</v>
      </c>
      <c r="B36" s="11">
        <v>89455.54</v>
      </c>
    </row>
    <row r="37" spans="1:2" x14ac:dyDescent="0.25">
      <c r="A37" s="1">
        <v>7900117013</v>
      </c>
      <c r="B37" s="11">
        <v>66619.48</v>
      </c>
    </row>
    <row r="38" spans="1:2" x14ac:dyDescent="0.25">
      <c r="A38" s="1">
        <v>7947203070</v>
      </c>
      <c r="B38" s="11">
        <v>89455.54</v>
      </c>
    </row>
    <row r="39" spans="1:2" x14ac:dyDescent="0.25">
      <c r="A39" s="1">
        <v>7908705049</v>
      </c>
      <c r="B39" s="11">
        <v>66619.48</v>
      </c>
    </row>
    <row r="40" spans="1:2" x14ac:dyDescent="0.25">
      <c r="A40" s="1">
        <v>7933766059</v>
      </c>
      <c r="B40" s="11">
        <v>32802.660000000003</v>
      </c>
    </row>
    <row r="41" spans="1:2" x14ac:dyDescent="0.25">
      <c r="A41" s="1">
        <v>7927169001</v>
      </c>
      <c r="B41" s="11">
        <v>66619.48</v>
      </c>
    </row>
    <row r="42" spans="1:2" x14ac:dyDescent="0.25">
      <c r="A42" s="1">
        <v>7938137007</v>
      </c>
      <c r="B42" s="11">
        <v>25629.02</v>
      </c>
    </row>
    <row r="43" spans="1:2" x14ac:dyDescent="0.25">
      <c r="A43" s="1">
        <v>7900230155</v>
      </c>
      <c r="B43" s="11">
        <v>89455.54</v>
      </c>
    </row>
    <row r="44" spans="1:2" x14ac:dyDescent="0.25">
      <c r="A44" s="1">
        <v>7943790134</v>
      </c>
      <c r="B44" s="11">
        <v>51360.82</v>
      </c>
    </row>
    <row r="45" spans="1:2" x14ac:dyDescent="0.25">
      <c r="A45" s="1">
        <v>7900018004</v>
      </c>
      <c r="B45" s="11">
        <v>89455.54</v>
      </c>
    </row>
    <row r="46" spans="1:2" x14ac:dyDescent="0.25">
      <c r="A46" s="1">
        <v>7931610122</v>
      </c>
      <c r="B46" s="11">
        <v>32802.660000000003</v>
      </c>
    </row>
    <row r="47" spans="1:2" x14ac:dyDescent="0.25">
      <c r="A47" s="1">
        <v>7957620015</v>
      </c>
      <c r="B47" s="11">
        <v>44833.760000000002</v>
      </c>
    </row>
    <row r="48" spans="1:2" x14ac:dyDescent="0.25">
      <c r="A48" s="1">
        <v>7934698002</v>
      </c>
      <c r="B48" s="11">
        <v>66619.48</v>
      </c>
    </row>
    <row r="49" spans="1:2" x14ac:dyDescent="0.25">
      <c r="A49" s="1">
        <v>7955520116</v>
      </c>
      <c r="B49" s="11">
        <v>51360.82</v>
      </c>
    </row>
    <row r="50" spans="1:2" x14ac:dyDescent="0.25">
      <c r="A50" s="1">
        <v>7933726256</v>
      </c>
      <c r="B50" s="11">
        <v>13209.34</v>
      </c>
    </row>
    <row r="51" spans="1:2" x14ac:dyDescent="0.25">
      <c r="A51" s="1">
        <v>5862236091</v>
      </c>
      <c r="B51" s="11">
        <v>207212.3</v>
      </c>
    </row>
    <row r="52" spans="1:2" x14ac:dyDescent="0.25">
      <c r="A52" s="1">
        <v>5858783119</v>
      </c>
      <c r="B52" s="11">
        <v>460999.9</v>
      </c>
    </row>
    <row r="53" spans="1:2" x14ac:dyDescent="0.25">
      <c r="A53" s="1">
        <v>5856070091</v>
      </c>
      <c r="B53" s="11">
        <v>460999.9</v>
      </c>
    </row>
    <row r="54" spans="1:2" x14ac:dyDescent="0.25">
      <c r="A54" s="1">
        <v>5855411017</v>
      </c>
      <c r="B54" s="11">
        <v>29445.39</v>
      </c>
    </row>
    <row r="55" spans="1:2" x14ac:dyDescent="0.25">
      <c r="A55" s="1">
        <v>5854566043</v>
      </c>
      <c r="B55" s="11">
        <v>207212.3</v>
      </c>
    </row>
    <row r="56" spans="1:2" x14ac:dyDescent="0.25">
      <c r="A56" s="1">
        <v>5850308009</v>
      </c>
      <c r="B56" s="11">
        <v>29445.39</v>
      </c>
    </row>
    <row r="57" spans="1:2" x14ac:dyDescent="0.25">
      <c r="A57" s="1">
        <v>5844630060</v>
      </c>
      <c r="B57" s="11">
        <v>112500.43</v>
      </c>
    </row>
    <row r="58" spans="1:2" x14ac:dyDescent="0.25">
      <c r="A58" s="1">
        <v>5836786094</v>
      </c>
      <c r="B58" s="11">
        <v>253479.73</v>
      </c>
    </row>
    <row r="59" spans="1:2" x14ac:dyDescent="0.25">
      <c r="A59" s="1">
        <v>5801866013</v>
      </c>
      <c r="B59" s="11">
        <v>79018.759999999995</v>
      </c>
    </row>
    <row r="60" spans="1:2" x14ac:dyDescent="0.25">
      <c r="A60" s="1">
        <v>5800961074</v>
      </c>
      <c r="B60" s="11">
        <v>253479.73</v>
      </c>
    </row>
    <row r="61" spans="1:2" x14ac:dyDescent="0.25">
      <c r="A61" s="1">
        <v>5800859011</v>
      </c>
      <c r="B61" s="11">
        <v>29445.39</v>
      </c>
    </row>
    <row r="62" spans="1:2" x14ac:dyDescent="0.25">
      <c r="A62" s="1">
        <v>5800371025</v>
      </c>
      <c r="B62" s="11">
        <v>282925.12</v>
      </c>
    </row>
    <row r="63" spans="1:2" x14ac:dyDescent="0.25">
      <c r="A63" s="1">
        <v>5800090147</v>
      </c>
      <c r="B63" s="11">
        <v>138038.91</v>
      </c>
    </row>
    <row r="64" spans="1:2" x14ac:dyDescent="0.25">
      <c r="A64" s="1">
        <v>5827102054</v>
      </c>
      <c r="B64" s="11">
        <v>0</v>
      </c>
    </row>
    <row r="65" spans="1:2" x14ac:dyDescent="0.25">
      <c r="A65" s="1">
        <v>5800438116</v>
      </c>
      <c r="B65" s="11">
        <v>80318.5</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E950C-CDC4-44AD-8E46-BF8FD9CA0032}">
  <sheetPr codeName="Planilha6"/>
  <dimension ref="A1:F66"/>
  <sheetViews>
    <sheetView topLeftCell="A31" workbookViewId="0">
      <selection activeCell="A44" sqref="A44"/>
    </sheetView>
  </sheetViews>
  <sheetFormatPr defaultRowHeight="15" x14ac:dyDescent="0.25"/>
  <cols>
    <col min="1" max="2" width="11" bestFit="1" customWidth="1"/>
    <col min="5" max="6" width="11" bestFit="1" customWidth="1"/>
  </cols>
  <sheetData>
    <row r="1" spans="1:6" x14ac:dyDescent="0.25">
      <c r="A1" s="9" t="s">
        <v>0</v>
      </c>
      <c r="B1" t="s">
        <v>992</v>
      </c>
      <c r="E1" s="5" t="s">
        <v>0</v>
      </c>
      <c r="F1" t="s">
        <v>992</v>
      </c>
    </row>
    <row r="2" spans="1:6" x14ac:dyDescent="0.25">
      <c r="A2">
        <v>7908686014</v>
      </c>
      <c r="B2">
        <f>VLOOKUP(A2,[3]Sheet1!$A:$A,1,0)</f>
        <v>7908686014</v>
      </c>
      <c r="E2" s="17">
        <v>7908686014</v>
      </c>
      <c r="F2">
        <f>VLOOKUP(E2,A:A,1,0)</f>
        <v>7908686014</v>
      </c>
    </row>
    <row r="3" spans="1:6" x14ac:dyDescent="0.25">
      <c r="A3">
        <v>7900535058</v>
      </c>
      <c r="B3">
        <f>VLOOKUP(A3,[3]Sheet1!$A:$A,1,0)</f>
        <v>7900535058</v>
      </c>
      <c r="E3" s="18">
        <v>7900535058</v>
      </c>
      <c r="F3">
        <f t="shared" ref="F3:F65" si="0">VLOOKUP(E3,A:A,1,0)</f>
        <v>7900535058</v>
      </c>
    </row>
    <row r="4" spans="1:6" x14ac:dyDescent="0.25">
      <c r="A4">
        <v>7953610256</v>
      </c>
      <c r="B4">
        <f>VLOOKUP(A4,[3]Sheet1!$A:$A,1,0)</f>
        <v>7953610256</v>
      </c>
      <c r="E4" s="17">
        <v>7953610256</v>
      </c>
      <c r="F4">
        <f t="shared" si="0"/>
        <v>7953610256</v>
      </c>
    </row>
    <row r="5" spans="1:6" x14ac:dyDescent="0.25">
      <c r="A5">
        <v>7942485096</v>
      </c>
      <c r="B5">
        <f>VLOOKUP(A5,[3]Sheet1!$A:$A,1,0)</f>
        <v>7942485096</v>
      </c>
      <c r="E5" s="18">
        <v>7942485096</v>
      </c>
      <c r="F5">
        <f t="shared" si="0"/>
        <v>7942485096</v>
      </c>
    </row>
    <row r="6" spans="1:6" x14ac:dyDescent="0.25">
      <c r="A6">
        <v>5858783119</v>
      </c>
      <c r="B6">
        <f>VLOOKUP(A6,[3]Sheet1!$A:$A,1,0)</f>
        <v>5858783119</v>
      </c>
      <c r="E6" s="17">
        <v>5858783119</v>
      </c>
      <c r="F6">
        <f t="shared" si="0"/>
        <v>5858783119</v>
      </c>
    </row>
    <row r="7" spans="1:6" x14ac:dyDescent="0.25">
      <c r="A7">
        <v>5853360007</v>
      </c>
      <c r="B7">
        <f>VLOOKUP(A7,[3]Sheet1!$A:$A,1,0)</f>
        <v>5853360007</v>
      </c>
      <c r="E7" s="18">
        <v>5853360007</v>
      </c>
      <c r="F7">
        <f t="shared" si="0"/>
        <v>5853360007</v>
      </c>
    </row>
    <row r="8" spans="1:6" x14ac:dyDescent="0.25">
      <c r="A8">
        <v>7900453110</v>
      </c>
      <c r="B8">
        <f>VLOOKUP(A8,[3]Sheet1!$A:$A,1,0)</f>
        <v>7900453110</v>
      </c>
      <c r="E8" s="17">
        <v>7900453110</v>
      </c>
      <c r="F8">
        <f t="shared" si="0"/>
        <v>7900453110</v>
      </c>
    </row>
    <row r="9" spans="1:6" x14ac:dyDescent="0.25">
      <c r="A9">
        <v>7923927122</v>
      </c>
      <c r="B9">
        <f>VLOOKUP(A9,[3]Sheet1!$A:$A,1,0)</f>
        <v>7923927122</v>
      </c>
      <c r="E9" s="18">
        <v>7923927122</v>
      </c>
      <c r="F9">
        <f t="shared" si="0"/>
        <v>7923927122</v>
      </c>
    </row>
    <row r="10" spans="1:6" x14ac:dyDescent="0.25">
      <c r="A10">
        <v>7900117013</v>
      </c>
      <c r="B10">
        <f>VLOOKUP(A10,[3]Sheet1!$A:$A,1,0)</f>
        <v>7900117013</v>
      </c>
      <c r="E10" s="17">
        <v>7900117013</v>
      </c>
      <c r="F10">
        <f t="shared" si="0"/>
        <v>7900117013</v>
      </c>
    </row>
    <row r="11" spans="1:6" x14ac:dyDescent="0.25">
      <c r="A11">
        <v>7900532053</v>
      </c>
      <c r="B11">
        <f>VLOOKUP(A11,[3]Sheet1!$A:$A,1,0)</f>
        <v>7900532053</v>
      </c>
      <c r="E11" s="18">
        <v>7900532053</v>
      </c>
      <c r="F11">
        <f t="shared" si="0"/>
        <v>7900532053</v>
      </c>
    </row>
    <row r="12" spans="1:6" x14ac:dyDescent="0.25">
      <c r="A12">
        <v>7920024127</v>
      </c>
      <c r="B12">
        <f>VLOOKUP(A12,[3]Sheet1!$A:$A,1,0)</f>
        <v>7920024127</v>
      </c>
      <c r="E12" s="17">
        <v>7920024127</v>
      </c>
      <c r="F12">
        <f t="shared" si="0"/>
        <v>7920024127</v>
      </c>
    </row>
    <row r="13" spans="1:6" x14ac:dyDescent="0.25">
      <c r="A13">
        <v>7928564039</v>
      </c>
      <c r="B13">
        <f>VLOOKUP(A13,[3]Sheet1!$A:$A,1,0)</f>
        <v>7928564039</v>
      </c>
      <c r="E13" s="18">
        <v>7928564039</v>
      </c>
      <c r="F13">
        <f t="shared" si="0"/>
        <v>7928564039</v>
      </c>
    </row>
    <row r="14" spans="1:6" x14ac:dyDescent="0.25">
      <c r="A14">
        <v>7957126085</v>
      </c>
      <c r="B14">
        <f>VLOOKUP(A14,[3]Sheet1!$A:$A,1,0)</f>
        <v>7957126085</v>
      </c>
      <c r="E14" s="17">
        <v>7957126085</v>
      </c>
      <c r="F14">
        <f t="shared" si="0"/>
        <v>7957126085</v>
      </c>
    </row>
    <row r="15" spans="1:6" x14ac:dyDescent="0.25">
      <c r="A15" s="7">
        <v>5856156091</v>
      </c>
      <c r="B15">
        <f>VLOOKUP(A15,[3]Sheet1!$A:$A,1,0)</f>
        <v>5856156091</v>
      </c>
      <c r="E15" s="18">
        <v>5856156091</v>
      </c>
      <c r="F15">
        <f t="shared" si="0"/>
        <v>5856156091</v>
      </c>
    </row>
    <row r="16" spans="1:6" x14ac:dyDescent="0.25">
      <c r="A16">
        <v>5854566043</v>
      </c>
      <c r="B16">
        <f>VLOOKUP(A16,[3]Sheet1!$A:$A,1,0)</f>
        <v>5854566043</v>
      </c>
      <c r="E16" s="17">
        <v>5854566043</v>
      </c>
      <c r="F16">
        <f t="shared" si="0"/>
        <v>5854566043</v>
      </c>
    </row>
    <row r="17" spans="1:6" x14ac:dyDescent="0.25">
      <c r="A17">
        <v>7927446001</v>
      </c>
      <c r="B17">
        <f>VLOOKUP(A17,[3]Sheet1!$A:$A,1,0)</f>
        <v>7927446001</v>
      </c>
      <c r="E17" s="18">
        <v>7927446001</v>
      </c>
      <c r="F17">
        <f t="shared" si="0"/>
        <v>7927446001</v>
      </c>
    </row>
    <row r="18" spans="1:6" x14ac:dyDescent="0.25">
      <c r="A18">
        <v>7928241200</v>
      </c>
      <c r="B18">
        <f>VLOOKUP(A18,[3]Sheet1!$A:$A,1,0)</f>
        <v>7928241200</v>
      </c>
      <c r="E18" s="17">
        <v>7928241200</v>
      </c>
      <c r="F18">
        <f t="shared" si="0"/>
        <v>7928241200</v>
      </c>
    </row>
    <row r="19" spans="1:6" x14ac:dyDescent="0.25">
      <c r="A19">
        <v>5800371025</v>
      </c>
      <c r="B19">
        <f>VLOOKUP(A19,[3]Sheet1!$A:$A,1,0)</f>
        <v>5800371025</v>
      </c>
      <c r="E19" s="18">
        <v>5800371025</v>
      </c>
      <c r="F19">
        <f t="shared" si="0"/>
        <v>5800371025</v>
      </c>
    </row>
    <row r="20" spans="1:6" x14ac:dyDescent="0.25">
      <c r="A20" s="7">
        <v>5844630060</v>
      </c>
      <c r="B20">
        <f>VLOOKUP(A20,[3]Sheet1!$A:$A,1,0)</f>
        <v>5844630060</v>
      </c>
      <c r="E20" s="17">
        <v>5844630060</v>
      </c>
      <c r="F20">
        <f t="shared" si="0"/>
        <v>5844630060</v>
      </c>
    </row>
    <row r="21" spans="1:6" x14ac:dyDescent="0.25">
      <c r="A21">
        <v>7908705049</v>
      </c>
      <c r="B21">
        <f>VLOOKUP(A21,[3]Sheet1!$A:$A,1,0)</f>
        <v>7908705049</v>
      </c>
      <c r="E21" s="18">
        <v>7908705049</v>
      </c>
      <c r="F21">
        <f t="shared" si="0"/>
        <v>7908705049</v>
      </c>
    </row>
    <row r="22" spans="1:6" x14ac:dyDescent="0.25">
      <c r="A22">
        <v>5800438116</v>
      </c>
      <c r="B22">
        <f>VLOOKUP(A22,[3]Sheet1!$A:$A,1,0)</f>
        <v>5800438116</v>
      </c>
      <c r="E22" s="17">
        <v>5800438116</v>
      </c>
      <c r="F22">
        <f t="shared" si="0"/>
        <v>5800438116</v>
      </c>
    </row>
    <row r="23" spans="1:6" x14ac:dyDescent="0.25">
      <c r="A23">
        <v>5856070091</v>
      </c>
      <c r="B23">
        <f>VLOOKUP(A23,[3]Sheet1!$A:$A,1,0)</f>
        <v>5856070091</v>
      </c>
      <c r="E23" s="18">
        <v>5856070091</v>
      </c>
      <c r="F23">
        <f t="shared" si="0"/>
        <v>5856070091</v>
      </c>
    </row>
    <row r="24" spans="1:6" x14ac:dyDescent="0.25">
      <c r="A24">
        <v>5850308009</v>
      </c>
      <c r="B24">
        <f>VLOOKUP(A24,[3]Sheet1!$A:$A,1,0)</f>
        <v>5850308009</v>
      </c>
      <c r="E24" s="17">
        <v>5850308009</v>
      </c>
      <c r="F24">
        <f t="shared" si="0"/>
        <v>5850308009</v>
      </c>
    </row>
    <row r="25" spans="1:6" x14ac:dyDescent="0.25">
      <c r="A25">
        <v>5827102054</v>
      </c>
      <c r="B25">
        <f>VLOOKUP(A25,[3]Sheet1!$A:$A,1,0)</f>
        <v>5827102054</v>
      </c>
      <c r="E25" s="18">
        <v>5827102054</v>
      </c>
      <c r="F25">
        <f t="shared" si="0"/>
        <v>5827102054</v>
      </c>
    </row>
    <row r="26" spans="1:6" x14ac:dyDescent="0.25">
      <c r="A26">
        <v>7903112004</v>
      </c>
      <c r="B26">
        <f>VLOOKUP(A26,[3]Sheet1!$A:$A,1,0)</f>
        <v>7903112004</v>
      </c>
      <c r="E26" s="17">
        <v>7903112004</v>
      </c>
      <c r="F26">
        <f t="shared" si="0"/>
        <v>7903112004</v>
      </c>
    </row>
    <row r="27" spans="1:6" x14ac:dyDescent="0.25">
      <c r="A27">
        <v>5803327001</v>
      </c>
      <c r="B27">
        <f>VLOOKUP(A27,[3]Sheet1!$A:$A,1,0)</f>
        <v>5803327001</v>
      </c>
      <c r="E27" s="18">
        <v>5803327001</v>
      </c>
      <c r="F27">
        <f t="shared" si="0"/>
        <v>5803327001</v>
      </c>
    </row>
    <row r="28" spans="1:6" x14ac:dyDescent="0.25">
      <c r="A28">
        <v>5855411017</v>
      </c>
      <c r="B28">
        <f>VLOOKUP(A28,[3]Sheet1!$A:$A,1,0)</f>
        <v>5855411017</v>
      </c>
      <c r="E28" s="17">
        <v>5855411017</v>
      </c>
      <c r="F28">
        <f t="shared" si="0"/>
        <v>5855411017</v>
      </c>
    </row>
    <row r="29" spans="1:6" x14ac:dyDescent="0.25">
      <c r="A29">
        <v>7933766059</v>
      </c>
      <c r="B29">
        <f>VLOOKUP(A29,[3]Sheet1!$A:$A,1,0)</f>
        <v>7933766059</v>
      </c>
      <c r="E29" s="18">
        <v>7933766059</v>
      </c>
      <c r="F29">
        <f t="shared" si="0"/>
        <v>7933766059</v>
      </c>
    </row>
    <row r="30" spans="1:6" x14ac:dyDescent="0.25">
      <c r="A30">
        <v>7931610122</v>
      </c>
      <c r="B30">
        <f>VLOOKUP(A30,[3]Sheet1!$A:$A,1,0)</f>
        <v>7931610122</v>
      </c>
      <c r="E30" s="17">
        <v>7931610122</v>
      </c>
      <c r="F30">
        <f t="shared" si="0"/>
        <v>7931610122</v>
      </c>
    </row>
    <row r="31" spans="1:6" x14ac:dyDescent="0.25">
      <c r="A31">
        <v>7900573047</v>
      </c>
      <c r="B31">
        <f>VLOOKUP(A31,[3]Sheet1!$A:$A,1,0)</f>
        <v>7900573047</v>
      </c>
      <c r="E31" s="18">
        <v>7900573047</v>
      </c>
      <c r="F31">
        <f t="shared" si="0"/>
        <v>7900573047</v>
      </c>
    </row>
    <row r="32" spans="1:6" x14ac:dyDescent="0.25">
      <c r="A32">
        <v>7947203070</v>
      </c>
      <c r="B32">
        <f>VLOOKUP(A32,[3]Sheet1!$A:$A,1,0)</f>
        <v>7947203070</v>
      </c>
      <c r="E32" s="17">
        <v>7947203070</v>
      </c>
      <c r="F32">
        <f t="shared" si="0"/>
        <v>7947203070</v>
      </c>
    </row>
    <row r="33" spans="1:6" x14ac:dyDescent="0.25">
      <c r="A33">
        <v>7925087021</v>
      </c>
      <c r="B33">
        <f>VLOOKUP(A33,[3]Sheet1!$A:$A,1,0)</f>
        <v>7925087021</v>
      </c>
      <c r="E33" s="18">
        <v>7925087021</v>
      </c>
      <c r="F33">
        <f t="shared" si="0"/>
        <v>7925087021</v>
      </c>
    </row>
    <row r="34" spans="1:6" x14ac:dyDescent="0.25">
      <c r="A34">
        <v>5800961074</v>
      </c>
      <c r="B34">
        <f>VLOOKUP(A34,[3]Sheet1!$A:$A,1,0)</f>
        <v>5800961074</v>
      </c>
      <c r="E34" s="17">
        <v>5800961074</v>
      </c>
      <c r="F34">
        <f t="shared" si="0"/>
        <v>5800961074</v>
      </c>
    </row>
    <row r="35" spans="1:6" x14ac:dyDescent="0.25">
      <c r="A35">
        <v>7937102148</v>
      </c>
      <c r="B35">
        <f>VLOOKUP(A35,[3]Sheet1!$A:$A,1,0)</f>
        <v>7937102148</v>
      </c>
      <c r="E35" s="18">
        <v>7937102148</v>
      </c>
      <c r="F35">
        <f t="shared" si="0"/>
        <v>7937102148</v>
      </c>
    </row>
    <row r="36" spans="1:6" x14ac:dyDescent="0.25">
      <c r="A36">
        <v>5862236091</v>
      </c>
      <c r="B36">
        <f>VLOOKUP(A36,[3]Sheet1!$A:$A,1,0)</f>
        <v>5862236091</v>
      </c>
      <c r="E36" s="17">
        <v>5862236091</v>
      </c>
      <c r="F36">
        <f t="shared" si="0"/>
        <v>5862236091</v>
      </c>
    </row>
    <row r="37" spans="1:6" x14ac:dyDescent="0.25">
      <c r="A37">
        <v>7901110084</v>
      </c>
      <c r="B37">
        <f>VLOOKUP(A37,[3]Sheet1!$A:$A,1,0)</f>
        <v>7901110084</v>
      </c>
      <c r="E37" s="18">
        <v>7901110084</v>
      </c>
      <c r="F37">
        <f t="shared" si="0"/>
        <v>7901110084</v>
      </c>
    </row>
    <row r="38" spans="1:6" x14ac:dyDescent="0.25">
      <c r="A38">
        <v>7931608059</v>
      </c>
      <c r="B38">
        <f>VLOOKUP(A38,[3]Sheet1!$A:$A,1,0)</f>
        <v>7931608059</v>
      </c>
      <c r="E38" s="17">
        <v>7931608059</v>
      </c>
      <c r="F38">
        <f t="shared" si="0"/>
        <v>7931608059</v>
      </c>
    </row>
    <row r="39" spans="1:6" x14ac:dyDescent="0.25">
      <c r="A39" s="7">
        <v>7927646026</v>
      </c>
      <c r="B39">
        <f>VLOOKUP(A39,[3]Sheet1!$A:$A,1,0)</f>
        <v>7927646026</v>
      </c>
      <c r="E39" s="18">
        <v>7927646026</v>
      </c>
      <c r="F39">
        <f t="shared" si="0"/>
        <v>7927646026</v>
      </c>
    </row>
    <row r="40" spans="1:6" x14ac:dyDescent="0.25">
      <c r="A40" s="7">
        <v>7927169001</v>
      </c>
      <c r="B40">
        <f>VLOOKUP(A40,[3]Sheet1!$A:$A,1,0)</f>
        <v>7927169001</v>
      </c>
      <c r="E40" s="17">
        <v>7927169001</v>
      </c>
      <c r="F40">
        <f t="shared" si="0"/>
        <v>7927169001</v>
      </c>
    </row>
    <row r="41" spans="1:6" x14ac:dyDescent="0.25">
      <c r="A41">
        <v>7908249152</v>
      </c>
      <c r="B41">
        <f>VLOOKUP(A41,[3]Sheet1!$A:$A,1,0)</f>
        <v>7908249152</v>
      </c>
      <c r="E41" s="18">
        <v>7908249152</v>
      </c>
      <c r="F41">
        <f t="shared" si="0"/>
        <v>7908249152</v>
      </c>
    </row>
    <row r="42" spans="1:6" x14ac:dyDescent="0.25">
      <c r="A42">
        <v>7933585074</v>
      </c>
      <c r="B42">
        <f>VLOOKUP(A42,[3]Sheet1!$A:$A,1,0)</f>
        <v>7933585074</v>
      </c>
      <c r="E42" s="17">
        <v>7933585074</v>
      </c>
      <c r="F42">
        <f t="shared" si="0"/>
        <v>7933585074</v>
      </c>
    </row>
    <row r="43" spans="1:6" x14ac:dyDescent="0.25">
      <c r="A43">
        <v>7925744087</v>
      </c>
      <c r="B43">
        <f>VLOOKUP(A43,[3]Sheet1!$A:$A,1,0)</f>
        <v>7925744087</v>
      </c>
      <c r="E43" s="18">
        <v>7925744087</v>
      </c>
      <c r="F43">
        <f t="shared" si="0"/>
        <v>7925744087</v>
      </c>
    </row>
    <row r="44" spans="1:6" x14ac:dyDescent="0.25">
      <c r="A44">
        <v>5865120195</v>
      </c>
      <c r="B44" t="e">
        <f>VLOOKUP(A44,[3]Sheet1!$A:$A,1,0)</f>
        <v>#N/A</v>
      </c>
      <c r="E44" s="17">
        <v>7921202014</v>
      </c>
      <c r="F44">
        <f t="shared" si="0"/>
        <v>7921202014</v>
      </c>
    </row>
    <row r="45" spans="1:6" x14ac:dyDescent="0.25">
      <c r="A45" s="7">
        <v>7921202014</v>
      </c>
      <c r="B45">
        <f>VLOOKUP(A45,[3]Sheet1!$A:$A,1,0)</f>
        <v>7921202014</v>
      </c>
      <c r="E45" s="18">
        <v>7926442035</v>
      </c>
      <c r="F45">
        <f t="shared" si="0"/>
        <v>7926442035</v>
      </c>
    </row>
    <row r="46" spans="1:6" x14ac:dyDescent="0.25">
      <c r="A46">
        <v>7926442035</v>
      </c>
      <c r="B46">
        <f>VLOOKUP(A46,[3]Sheet1!$A:$A,1,0)</f>
        <v>7926442035</v>
      </c>
      <c r="E46" s="17">
        <v>7927396052</v>
      </c>
      <c r="F46">
        <f t="shared" si="0"/>
        <v>7927396052</v>
      </c>
    </row>
    <row r="47" spans="1:6" x14ac:dyDescent="0.25">
      <c r="A47">
        <v>7927396052</v>
      </c>
      <c r="B47">
        <f>VLOOKUP(A47,[3]Sheet1!$A:$A,1,0)</f>
        <v>7927396052</v>
      </c>
      <c r="E47" s="18">
        <v>7923673004</v>
      </c>
      <c r="F47">
        <f t="shared" si="0"/>
        <v>7923673004</v>
      </c>
    </row>
    <row r="48" spans="1:6" x14ac:dyDescent="0.25">
      <c r="A48" s="7">
        <v>7923673004</v>
      </c>
      <c r="B48">
        <f>VLOOKUP(A48,[3]Sheet1!$A:$A,1,0)</f>
        <v>7923673004</v>
      </c>
      <c r="E48" s="17">
        <v>7919270014</v>
      </c>
      <c r="F48">
        <f t="shared" si="0"/>
        <v>7919270014</v>
      </c>
    </row>
    <row r="49" spans="1:6" x14ac:dyDescent="0.25">
      <c r="A49">
        <v>7919270014</v>
      </c>
      <c r="B49">
        <f>VLOOKUP(A49,[3]Sheet1!$A:$A,1,0)</f>
        <v>7919270014</v>
      </c>
      <c r="E49" s="18">
        <v>5801866013</v>
      </c>
      <c r="F49">
        <f t="shared" si="0"/>
        <v>5801866013</v>
      </c>
    </row>
    <row r="50" spans="1:6" x14ac:dyDescent="0.25">
      <c r="A50">
        <v>5801866013</v>
      </c>
      <c r="B50">
        <f>VLOOKUP(A50,[3]Sheet1!$A:$A,1,0)</f>
        <v>5801866013</v>
      </c>
      <c r="E50" s="17">
        <v>7925871077</v>
      </c>
      <c r="F50">
        <f t="shared" si="0"/>
        <v>7925871077</v>
      </c>
    </row>
    <row r="51" spans="1:6" x14ac:dyDescent="0.25">
      <c r="A51">
        <v>7925871077</v>
      </c>
      <c r="B51">
        <f>VLOOKUP(A51,[3]Sheet1!$A:$A,1,0)</f>
        <v>7925871077</v>
      </c>
      <c r="E51" s="18">
        <v>7944559149</v>
      </c>
      <c r="F51">
        <f t="shared" si="0"/>
        <v>7944559149</v>
      </c>
    </row>
    <row r="52" spans="1:6" x14ac:dyDescent="0.25">
      <c r="A52">
        <v>7944559149</v>
      </c>
      <c r="B52">
        <f>VLOOKUP(A52,[3]Sheet1!$A:$A,1,0)</f>
        <v>7944559149</v>
      </c>
      <c r="E52" s="17">
        <v>7926089013</v>
      </c>
      <c r="F52">
        <f t="shared" si="0"/>
        <v>7926089013</v>
      </c>
    </row>
    <row r="53" spans="1:6" x14ac:dyDescent="0.25">
      <c r="A53">
        <v>7926089013</v>
      </c>
      <c r="B53">
        <f>VLOOKUP(A53,[3]Sheet1!$A:$A,1,0)</f>
        <v>7926089013</v>
      </c>
      <c r="E53" s="18">
        <v>5836786094</v>
      </c>
      <c r="F53">
        <f t="shared" si="0"/>
        <v>5836786094</v>
      </c>
    </row>
    <row r="54" spans="1:6" x14ac:dyDescent="0.25">
      <c r="A54">
        <v>5836786094</v>
      </c>
      <c r="B54">
        <f>VLOOKUP(A54,[3]Sheet1!$A:$A,1,0)</f>
        <v>5836786094</v>
      </c>
      <c r="E54" s="17">
        <v>7925733015</v>
      </c>
      <c r="F54">
        <f t="shared" si="0"/>
        <v>7925733015</v>
      </c>
    </row>
    <row r="55" spans="1:6" x14ac:dyDescent="0.25">
      <c r="A55">
        <v>7925733015</v>
      </c>
      <c r="B55">
        <f>VLOOKUP(A55,[3]Sheet1!$A:$A,1,0)</f>
        <v>7925733015</v>
      </c>
      <c r="E55" s="18">
        <v>7900525015</v>
      </c>
      <c r="F55">
        <f t="shared" si="0"/>
        <v>7900525015</v>
      </c>
    </row>
    <row r="56" spans="1:6" x14ac:dyDescent="0.25">
      <c r="A56">
        <v>7900525015</v>
      </c>
      <c r="B56">
        <f>VLOOKUP(A56,[3]Sheet1!$A:$A,1,0)</f>
        <v>7900525015</v>
      </c>
      <c r="E56" s="17">
        <v>5800291035</v>
      </c>
      <c r="F56">
        <f t="shared" si="0"/>
        <v>5800291035</v>
      </c>
    </row>
    <row r="57" spans="1:6" x14ac:dyDescent="0.25">
      <c r="A57">
        <v>5800291035</v>
      </c>
      <c r="B57">
        <f>VLOOKUP(A57,[3]Sheet1!$A:$A,1,0)</f>
        <v>5800291035</v>
      </c>
      <c r="E57" s="18">
        <v>7929376022</v>
      </c>
      <c r="F57">
        <f t="shared" si="0"/>
        <v>7929376022</v>
      </c>
    </row>
    <row r="58" spans="1:6" x14ac:dyDescent="0.25">
      <c r="A58">
        <v>7929376022</v>
      </c>
      <c r="B58">
        <f>VLOOKUP(A58,[3]Sheet1!$A:$A,1,0)</f>
        <v>7929376022</v>
      </c>
      <c r="E58" s="17">
        <v>5800090147</v>
      </c>
      <c r="F58">
        <f t="shared" si="0"/>
        <v>5800090147</v>
      </c>
    </row>
    <row r="59" spans="1:6" x14ac:dyDescent="0.25">
      <c r="A59">
        <v>5800090147</v>
      </c>
      <c r="B59">
        <f>VLOOKUP(A59,[3]Sheet1!$A:$A,1,0)</f>
        <v>5800090147</v>
      </c>
      <c r="E59" s="18">
        <v>7927413001</v>
      </c>
      <c r="F59">
        <f t="shared" si="0"/>
        <v>7927413001</v>
      </c>
    </row>
    <row r="60" spans="1:6" x14ac:dyDescent="0.25">
      <c r="A60" s="7">
        <v>7927413001</v>
      </c>
      <c r="B60">
        <f>VLOOKUP(A60,[3]Sheet1!$A:$A,1,0)</f>
        <v>7927413001</v>
      </c>
      <c r="E60" s="17">
        <v>7933726256</v>
      </c>
      <c r="F60">
        <f t="shared" si="0"/>
        <v>7933726256</v>
      </c>
    </row>
    <row r="61" spans="1:6" x14ac:dyDescent="0.25">
      <c r="A61">
        <v>7933726256</v>
      </c>
      <c r="B61">
        <f>VLOOKUP(A61,[3]Sheet1!$A:$A,1,0)</f>
        <v>7933726256</v>
      </c>
      <c r="E61" s="18">
        <v>7900594026</v>
      </c>
      <c r="F61">
        <f t="shared" si="0"/>
        <v>7900594026</v>
      </c>
    </row>
    <row r="62" spans="1:6" x14ac:dyDescent="0.25">
      <c r="A62">
        <v>7900594026</v>
      </c>
      <c r="B62">
        <f>VLOOKUP(A62,[3]Sheet1!$A:$A,1,0)</f>
        <v>7900594026</v>
      </c>
      <c r="E62" s="17">
        <v>7913662076</v>
      </c>
      <c r="F62">
        <f t="shared" si="0"/>
        <v>7913662076</v>
      </c>
    </row>
    <row r="63" spans="1:6" x14ac:dyDescent="0.25">
      <c r="A63">
        <v>7913662076</v>
      </c>
      <c r="B63">
        <f>VLOOKUP(A63,[3]Sheet1!$A:$A,1,0)</f>
        <v>7913662076</v>
      </c>
      <c r="E63" s="18">
        <v>5800859011</v>
      </c>
      <c r="F63">
        <f t="shared" si="0"/>
        <v>5800859011</v>
      </c>
    </row>
    <row r="64" spans="1:6" x14ac:dyDescent="0.25">
      <c r="A64">
        <v>5800859011</v>
      </c>
      <c r="B64">
        <f>VLOOKUP(A64,[3]Sheet1!$A:$A,1,0)</f>
        <v>5800859011</v>
      </c>
      <c r="E64" s="17">
        <v>7942572059</v>
      </c>
      <c r="F64">
        <f t="shared" si="0"/>
        <v>7942572059</v>
      </c>
    </row>
    <row r="65" spans="1:6" x14ac:dyDescent="0.25">
      <c r="A65">
        <v>7942572059</v>
      </c>
      <c r="B65">
        <f>VLOOKUP(A65,[3]Sheet1!$A:$A,1,0)</f>
        <v>7942572059</v>
      </c>
      <c r="E65" s="18">
        <v>7911120026</v>
      </c>
      <c r="F65">
        <f t="shared" si="0"/>
        <v>7911120026</v>
      </c>
    </row>
    <row r="66" spans="1:6" x14ac:dyDescent="0.25">
      <c r="A66">
        <v>7911120026</v>
      </c>
      <c r="B66">
        <f>VLOOKUP(A66,[3]Sheet1!$A:$A,1,0)</f>
        <v>7911120026</v>
      </c>
    </row>
  </sheetData>
  <conditionalFormatting sqref="A1:A66">
    <cfRule type="duplicateValues" dxfId="22" priority="1"/>
  </conditionalFormatting>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52FA8-158E-4005-8B80-78B97EF4D923}">
  <dimension ref="A1:N2306"/>
  <sheetViews>
    <sheetView showGridLines="0" zoomScale="70" zoomScaleNormal="70" workbookViewId="0">
      <pane ySplit="1" topLeftCell="A2" activePane="bottomLeft" state="frozen"/>
      <selection pane="bottomLeft" activeCell="K6" sqref="K6"/>
    </sheetView>
  </sheetViews>
  <sheetFormatPr defaultColWidth="14.42578125" defaultRowHeight="15" customHeight="1" x14ac:dyDescent="0.25"/>
  <cols>
    <col min="1" max="1" width="22" style="46" customWidth="1"/>
    <col min="2" max="2" width="28.5703125" style="45" customWidth="1"/>
    <col min="3" max="8" width="24.140625" style="45" hidden="1" customWidth="1"/>
    <col min="9" max="9" width="22" style="45" hidden="1" customWidth="1"/>
    <col min="10" max="10" width="28.28515625" style="45" hidden="1" customWidth="1"/>
    <col min="11" max="11" width="30" style="45" customWidth="1"/>
    <col min="12" max="12" width="14.28515625" style="45" hidden="1" customWidth="1"/>
    <col min="13" max="13" width="12.140625" style="45" customWidth="1"/>
    <col min="14" max="14" width="33.140625" style="45" hidden="1" customWidth="1"/>
    <col min="15" max="16384" width="14.42578125" style="45"/>
  </cols>
  <sheetData>
    <row r="1" spans="1:14" ht="22.5" customHeight="1" x14ac:dyDescent="0.25">
      <c r="A1" s="55" t="s">
        <v>382</v>
      </c>
      <c r="B1" s="55" t="s">
        <v>781</v>
      </c>
      <c r="C1" s="55" t="s">
        <v>993</v>
      </c>
      <c r="D1" s="55" t="s">
        <v>994</v>
      </c>
      <c r="E1" s="55" t="s">
        <v>995</v>
      </c>
      <c r="F1" s="55" t="s">
        <v>996</v>
      </c>
      <c r="G1" s="55" t="s">
        <v>997</v>
      </c>
      <c r="H1" s="55" t="s">
        <v>998</v>
      </c>
      <c r="I1" s="55" t="s">
        <v>999</v>
      </c>
      <c r="J1" s="56" t="s">
        <v>1000</v>
      </c>
      <c r="K1" s="55" t="s">
        <v>1001</v>
      </c>
      <c r="L1" s="55" t="s">
        <v>311</v>
      </c>
      <c r="M1" s="55" t="s">
        <v>1002</v>
      </c>
      <c r="N1" s="55" t="s">
        <v>322</v>
      </c>
    </row>
    <row r="2" spans="1:14" ht="18.75" customHeight="1" x14ac:dyDescent="0.25">
      <c r="A2" s="52">
        <v>7934387004</v>
      </c>
      <c r="B2" s="51" t="s">
        <v>1003</v>
      </c>
      <c r="C2" s="51" t="s">
        <v>1004</v>
      </c>
      <c r="D2" s="51" t="s">
        <v>1005</v>
      </c>
      <c r="E2" s="51" t="s">
        <v>1005</v>
      </c>
      <c r="F2" s="51" t="s">
        <v>1005</v>
      </c>
      <c r="G2" s="51" t="s">
        <v>1005</v>
      </c>
      <c r="H2" s="51" t="s">
        <v>1005</v>
      </c>
      <c r="I2" s="51" t="s">
        <v>1005</v>
      </c>
      <c r="J2" s="50" t="str">
        <f t="shared" ref="J2:J65" si="0">CONCATENATE(A2,".pdf")</f>
        <v>7934387004.pdf</v>
      </c>
      <c r="K2" s="51" t="s">
        <v>1006</v>
      </c>
      <c r="L2" s="51" t="s">
        <v>1007</v>
      </c>
      <c r="M2" s="50" t="str">
        <f t="shared" ref="M2:M65" si="1">IF(L2&lt;&gt;"",IF(LEFT(L2,2)="AL","13.800","34.500"),"")</f>
        <v>13.800</v>
      </c>
      <c r="N2" s="50" t="str">
        <f>IF(A2="",N1="",VLOOKUP(RIGHT(A2,3)*1,[4]Des_Loc!A:B,2,0))</f>
        <v>ARAGUAINA</v>
      </c>
    </row>
    <row r="3" spans="1:14" ht="18.75" customHeight="1" x14ac:dyDescent="0.25">
      <c r="A3" s="52">
        <v>7900026002</v>
      </c>
      <c r="B3" s="51" t="s">
        <v>1003</v>
      </c>
      <c r="C3" s="51" t="s">
        <v>1008</v>
      </c>
      <c r="D3" s="51" t="s">
        <v>1005</v>
      </c>
      <c r="E3" s="51" t="s">
        <v>1005</v>
      </c>
      <c r="F3" s="51" t="s">
        <v>1005</v>
      </c>
      <c r="G3" s="51" t="s">
        <v>1005</v>
      </c>
      <c r="H3" s="51" t="s">
        <v>1005</v>
      </c>
      <c r="I3" s="51" t="s">
        <v>1005</v>
      </c>
      <c r="J3" s="50" t="str">
        <f t="shared" si="0"/>
        <v>7900026002.pdf</v>
      </c>
      <c r="K3" s="51" t="s">
        <v>1009</v>
      </c>
      <c r="L3" s="51" t="s">
        <v>594</v>
      </c>
      <c r="M3" s="50" t="str">
        <f t="shared" si="1"/>
        <v>34.500</v>
      </c>
      <c r="N3" s="50" t="str">
        <f>IF(A3="",N2="",VLOOKUP(RIGHT(A3,3)*1,[4]Des_Loc!A:B,2,0))</f>
        <v>TOCANTINOPOLIS</v>
      </c>
    </row>
    <row r="4" spans="1:14" ht="18.75" customHeight="1" x14ac:dyDescent="0.25">
      <c r="A4" s="52">
        <v>7900028077</v>
      </c>
      <c r="B4" s="51" t="s">
        <v>1003</v>
      </c>
      <c r="C4" s="51" t="s">
        <v>1010</v>
      </c>
      <c r="D4" s="51" t="s">
        <v>1011</v>
      </c>
      <c r="E4" s="51" t="s">
        <v>1005</v>
      </c>
      <c r="F4" s="51" t="s">
        <v>1005</v>
      </c>
      <c r="G4" s="51" t="s">
        <v>1005</v>
      </c>
      <c r="H4" s="51" t="s">
        <v>1005</v>
      </c>
      <c r="I4" s="51" t="s">
        <v>1005</v>
      </c>
      <c r="J4" s="50" t="str">
        <f t="shared" si="0"/>
        <v>7900028077.pdf</v>
      </c>
      <c r="K4" s="51" t="s">
        <v>1006</v>
      </c>
      <c r="L4" s="51" t="s">
        <v>632</v>
      </c>
      <c r="M4" s="50" t="str">
        <f t="shared" si="1"/>
        <v>34.500</v>
      </c>
      <c r="N4" s="50" t="str">
        <f>IF(A4="",N3="",VLOOKUP(RIGHT(A4,3)*1,[4]Des_Loc!A:B,2,0))</f>
        <v>GOIATINS</v>
      </c>
    </row>
    <row r="5" spans="1:14" ht="18.75" customHeight="1" x14ac:dyDescent="0.25">
      <c r="A5" s="52">
        <v>7900018090</v>
      </c>
      <c r="B5" s="51" t="s">
        <v>1003</v>
      </c>
      <c r="C5" s="51" t="s">
        <v>1010</v>
      </c>
      <c r="D5" s="51" t="s">
        <v>1005</v>
      </c>
      <c r="E5" s="51" t="s">
        <v>1005</v>
      </c>
      <c r="F5" s="51" t="s">
        <v>1005</v>
      </c>
      <c r="G5" s="51" t="s">
        <v>1005</v>
      </c>
      <c r="H5" s="51" t="s">
        <v>1005</v>
      </c>
      <c r="I5" s="51" t="s">
        <v>1005</v>
      </c>
      <c r="J5" s="50" t="str">
        <f t="shared" si="0"/>
        <v>7900018090.pdf</v>
      </c>
      <c r="K5" s="51" t="s">
        <v>1006</v>
      </c>
      <c r="L5" s="51" t="s">
        <v>453</v>
      </c>
      <c r="M5" s="50" t="str">
        <f t="shared" si="1"/>
        <v>34.500</v>
      </c>
      <c r="N5" s="50" t="str">
        <f>IF(A5="",N4="",VLOOKUP(RIGHT(A5,3)*1,[4]Des_Loc!A:B,2,0))</f>
        <v>NAZARE</v>
      </c>
    </row>
    <row r="6" spans="1:14" ht="18.75" customHeight="1" x14ac:dyDescent="0.25">
      <c r="A6" s="52">
        <v>7900005068</v>
      </c>
      <c r="B6" s="51" t="s">
        <v>1003</v>
      </c>
      <c r="C6" s="51">
        <v>3</v>
      </c>
      <c r="D6" s="51" t="s">
        <v>1005</v>
      </c>
      <c r="E6" s="51" t="s">
        <v>1005</v>
      </c>
      <c r="F6" s="51" t="s">
        <v>1005</v>
      </c>
      <c r="G6" s="51" t="s">
        <v>1005</v>
      </c>
      <c r="H6" s="51" t="s">
        <v>1005</v>
      </c>
      <c r="I6" s="51" t="s">
        <v>1005</v>
      </c>
      <c r="J6" s="50" t="str">
        <f t="shared" si="0"/>
        <v>7900005068.pdf</v>
      </c>
      <c r="K6" s="51" t="s">
        <v>1006</v>
      </c>
      <c r="L6" s="51" t="s">
        <v>1012</v>
      </c>
      <c r="M6" s="50" t="str">
        <f t="shared" si="1"/>
        <v>34.500</v>
      </c>
      <c r="N6" s="50" t="str">
        <f>IF(A6="",N5="",VLOOKUP(RIGHT(A6,3)*1,[4]Des_Loc!A:B,2,0))</f>
        <v>BURITI DO TOCANTINS</v>
      </c>
    </row>
    <row r="7" spans="1:14" ht="18.75" customHeight="1" x14ac:dyDescent="0.25">
      <c r="A7" s="50">
        <v>7900388094</v>
      </c>
      <c r="B7" s="51" t="s">
        <v>1003</v>
      </c>
      <c r="C7" s="51">
        <v>3</v>
      </c>
      <c r="D7" s="51"/>
      <c r="E7" s="51" t="s">
        <v>1005</v>
      </c>
      <c r="F7" s="51"/>
      <c r="G7" s="51"/>
      <c r="H7" s="51" t="s">
        <v>1005</v>
      </c>
      <c r="I7" s="51" t="s">
        <v>1005</v>
      </c>
      <c r="J7" s="50" t="str">
        <f t="shared" si="0"/>
        <v>7900388094.pdf</v>
      </c>
      <c r="K7" s="51" t="s">
        <v>1006</v>
      </c>
      <c r="L7" s="51" t="s">
        <v>406</v>
      </c>
      <c r="M7" s="50" t="str">
        <f t="shared" si="1"/>
        <v>34.500</v>
      </c>
      <c r="N7" s="50" t="str">
        <f>IF(A7="",N6="",VLOOKUP(RIGHT(A7,3)*1,[4]Des_Loc!A:B,2,0))</f>
        <v>PEIXE</v>
      </c>
    </row>
    <row r="8" spans="1:14" ht="18.75" customHeight="1" x14ac:dyDescent="0.25">
      <c r="A8" s="52">
        <v>7900811074</v>
      </c>
      <c r="B8" s="51" t="s">
        <v>1003</v>
      </c>
      <c r="C8" s="51">
        <v>3</v>
      </c>
      <c r="D8" s="51" t="s">
        <v>1011</v>
      </c>
      <c r="E8" s="51" t="s">
        <v>1011</v>
      </c>
      <c r="F8" s="51" t="s">
        <v>1005</v>
      </c>
      <c r="G8" s="51" t="s">
        <v>1005</v>
      </c>
      <c r="H8" s="51" t="s">
        <v>1005</v>
      </c>
      <c r="I8" s="51" t="s">
        <v>1005</v>
      </c>
      <c r="J8" s="50" t="str">
        <f t="shared" si="0"/>
        <v>7900811074.pdf</v>
      </c>
      <c r="K8" s="51" t="s">
        <v>1006</v>
      </c>
      <c r="L8" s="51" t="s">
        <v>1013</v>
      </c>
      <c r="M8" s="50" t="str">
        <f t="shared" si="1"/>
        <v>13.800</v>
      </c>
      <c r="N8" s="50" t="str">
        <f>IF(A8&lt;&gt;"",VLOOKUP(RIGHT(A8,3)*1,[4]Des_Loc!A:B,2,0),"")</f>
        <v>DIANOPOLIS</v>
      </c>
    </row>
    <row r="9" spans="1:14" ht="18.75" customHeight="1" x14ac:dyDescent="0.25">
      <c r="A9" s="52">
        <v>7902414001</v>
      </c>
      <c r="B9" s="51" t="s">
        <v>1003</v>
      </c>
      <c r="C9" s="51">
        <v>3</v>
      </c>
      <c r="D9" s="51" t="s">
        <v>1005</v>
      </c>
      <c r="E9" s="51" t="s">
        <v>1005</v>
      </c>
      <c r="F9" s="51" t="s">
        <v>1005</v>
      </c>
      <c r="G9" s="51" t="s">
        <v>1005</v>
      </c>
      <c r="H9" s="51" t="s">
        <v>1005</v>
      </c>
      <c r="I9" s="51" t="s">
        <v>1005</v>
      </c>
      <c r="J9" s="50" t="str">
        <f t="shared" si="0"/>
        <v>7902414001.pdf</v>
      </c>
      <c r="K9" s="54" t="s">
        <v>1006</v>
      </c>
      <c r="L9" s="51" t="s">
        <v>1014</v>
      </c>
      <c r="M9" s="50" t="str">
        <f t="shared" si="1"/>
        <v>13.800</v>
      </c>
      <c r="N9" s="50" t="str">
        <f>IF(A9&lt;&gt;"",VLOOKUP(RIGHT(A9,3)*1,[4]Des_Loc!A:B,2,0),"")</f>
        <v>PORTO NACIONAL</v>
      </c>
    </row>
    <row r="10" spans="1:14" ht="18.75" customHeight="1" x14ac:dyDescent="0.25">
      <c r="A10" s="52">
        <v>7900448083</v>
      </c>
      <c r="B10" s="51" t="s">
        <v>1003</v>
      </c>
      <c r="C10" s="51">
        <v>3</v>
      </c>
      <c r="D10" s="51" t="s">
        <v>1005</v>
      </c>
      <c r="E10" s="51" t="s">
        <v>1005</v>
      </c>
      <c r="F10" s="51" t="s">
        <v>1005</v>
      </c>
      <c r="G10" s="51" t="s">
        <v>1005</v>
      </c>
      <c r="H10" s="51" t="s">
        <v>1005</v>
      </c>
      <c r="I10" s="51" t="s">
        <v>1005</v>
      </c>
      <c r="J10" s="50" t="str">
        <f t="shared" si="0"/>
        <v>7900448083.pdf</v>
      </c>
      <c r="K10" s="54" t="s">
        <v>1006</v>
      </c>
      <c r="L10" s="51" t="s">
        <v>1015</v>
      </c>
      <c r="M10" s="50" t="str">
        <f t="shared" si="1"/>
        <v>34.500</v>
      </c>
      <c r="N10" s="50" t="str">
        <f>IF(A10&lt;&gt;"",VLOOKUP(RIGHT(A10,3)*1,[4]Des_Loc!A:B,2,0),"")</f>
        <v>APARECIDA DO RIO NEGRO</v>
      </c>
    </row>
    <row r="11" spans="1:14" ht="18.75" customHeight="1" x14ac:dyDescent="0.25">
      <c r="A11" s="52">
        <v>7900930040</v>
      </c>
      <c r="B11" s="51" t="s">
        <v>1003</v>
      </c>
      <c r="C11" s="51">
        <v>2</v>
      </c>
      <c r="D11" s="51" t="s">
        <v>1011</v>
      </c>
      <c r="E11" s="51" t="s">
        <v>1005</v>
      </c>
      <c r="F11" s="51" t="s">
        <v>1011</v>
      </c>
      <c r="G11" s="51" t="s">
        <v>1005</v>
      </c>
      <c r="H11" s="51" t="s">
        <v>1005</v>
      </c>
      <c r="I11" s="51" t="s">
        <v>1011</v>
      </c>
      <c r="J11" s="50" t="str">
        <f t="shared" si="0"/>
        <v>7900930040.pdf</v>
      </c>
      <c r="K11" s="54" t="s">
        <v>1006</v>
      </c>
      <c r="L11" s="51" t="s">
        <v>1016</v>
      </c>
      <c r="M11" s="50" t="str">
        <f t="shared" si="1"/>
        <v>13.800</v>
      </c>
      <c r="N11" s="50" t="str">
        <f>IF(A11&lt;&gt;"",VLOOKUP(RIGHT(A11,3)*1,[4]Des_Loc!A:B,2,0),"")</f>
        <v>ARAGOMINAS</v>
      </c>
    </row>
    <row r="12" spans="1:14" ht="18.75" customHeight="1" x14ac:dyDescent="0.25">
      <c r="A12" s="52">
        <v>7901216032</v>
      </c>
      <c r="B12" s="51" t="s">
        <v>1003</v>
      </c>
      <c r="C12" s="51">
        <v>2</v>
      </c>
      <c r="D12" s="51" t="s">
        <v>1011</v>
      </c>
      <c r="E12" s="51" t="s">
        <v>1005</v>
      </c>
      <c r="F12" s="51" t="s">
        <v>1011</v>
      </c>
      <c r="G12" s="51" t="s">
        <v>1005</v>
      </c>
      <c r="H12" s="51" t="s">
        <v>1005</v>
      </c>
      <c r="I12" s="51" t="s">
        <v>1011</v>
      </c>
      <c r="J12" s="50" t="str">
        <f t="shared" si="0"/>
        <v>7901216032.pdf</v>
      </c>
      <c r="K12" s="54" t="s">
        <v>1017</v>
      </c>
      <c r="L12" s="51" t="s">
        <v>1018</v>
      </c>
      <c r="M12" s="50" t="str">
        <f t="shared" si="1"/>
        <v>13.800</v>
      </c>
      <c r="N12" s="50" t="str">
        <f>IF(A12&lt;&gt;"",VLOOKUP(RIGHT(A12,3)*1,[4]Des_Loc!A:B,2,0),"")</f>
        <v>ARAGUACU</v>
      </c>
    </row>
    <row r="13" spans="1:14" ht="18.75" customHeight="1" x14ac:dyDescent="0.25">
      <c r="A13" s="52">
        <v>7900452110</v>
      </c>
      <c r="B13" s="51" t="s">
        <v>1003</v>
      </c>
      <c r="C13" s="51">
        <v>3</v>
      </c>
      <c r="D13" s="51" t="s">
        <v>1005</v>
      </c>
      <c r="E13" s="51" t="s">
        <v>1005</v>
      </c>
      <c r="F13" s="51" t="s">
        <v>1005</v>
      </c>
      <c r="G13" s="51" t="s">
        <v>1005</v>
      </c>
      <c r="H13" s="51" t="s">
        <v>1005</v>
      </c>
      <c r="I13" s="51" t="s">
        <v>1005</v>
      </c>
      <c r="J13" s="50" t="str">
        <f t="shared" si="0"/>
        <v>7900452110.pdf</v>
      </c>
      <c r="K13" s="51" t="s">
        <v>1006</v>
      </c>
      <c r="L13" s="51" t="s">
        <v>1019</v>
      </c>
      <c r="M13" s="50" t="str">
        <f t="shared" si="1"/>
        <v>34.500</v>
      </c>
      <c r="N13" s="50" t="str">
        <f>IF(A13&lt;&gt;"",VLOOKUP(RIGHT(A13,3)*1,[4]Des_Loc!A:B,2,0),"")</f>
        <v>SANTA RITA DO TOCANTINS</v>
      </c>
    </row>
    <row r="14" spans="1:14" ht="18.75" customHeight="1" x14ac:dyDescent="0.25">
      <c r="A14" s="52">
        <v>7900696029</v>
      </c>
      <c r="B14" s="51" t="s">
        <v>1003</v>
      </c>
      <c r="C14" s="51" t="s">
        <v>1010</v>
      </c>
      <c r="D14" s="51" t="s">
        <v>1011</v>
      </c>
      <c r="E14" s="51" t="s">
        <v>1005</v>
      </c>
      <c r="F14" s="51" t="s">
        <v>1005</v>
      </c>
      <c r="G14" s="51" t="s">
        <v>1005</v>
      </c>
      <c r="H14" s="51" t="s">
        <v>1005</v>
      </c>
      <c r="I14" s="51" t="s">
        <v>1005</v>
      </c>
      <c r="J14" s="50" t="str">
        <f t="shared" si="0"/>
        <v>7900696029.pdf</v>
      </c>
      <c r="K14" s="54" t="s">
        <v>1006</v>
      </c>
      <c r="L14" s="51" t="s">
        <v>1020</v>
      </c>
      <c r="M14" s="50" t="str">
        <f t="shared" si="1"/>
        <v>13.800</v>
      </c>
      <c r="N14" s="50" t="str">
        <f>IF(A14&lt;&gt;"",VLOOKUP(RIGHT(A14,3)*1,[4]Des_Loc!A:B,2,0),"")</f>
        <v>PALMEIROPOLIS</v>
      </c>
    </row>
    <row r="15" spans="1:14" ht="18.75" customHeight="1" x14ac:dyDescent="0.25">
      <c r="A15" s="52">
        <v>7900297152</v>
      </c>
      <c r="B15" s="51" t="s">
        <v>1003</v>
      </c>
      <c r="C15" s="51" t="s">
        <v>1021</v>
      </c>
      <c r="D15" s="51"/>
      <c r="E15" s="51" t="s">
        <v>1005</v>
      </c>
      <c r="F15" s="51"/>
      <c r="G15" s="51"/>
      <c r="H15" s="51" t="s">
        <v>1005</v>
      </c>
      <c r="I15" s="51" t="s">
        <v>1005</v>
      </c>
      <c r="J15" s="50" t="str">
        <f t="shared" si="0"/>
        <v>7900297152.pdf</v>
      </c>
      <c r="K15" s="54" t="s">
        <v>1022</v>
      </c>
      <c r="L15" s="51" t="s">
        <v>430</v>
      </c>
      <c r="M15" s="50" t="str">
        <f t="shared" si="1"/>
        <v>34.500</v>
      </c>
      <c r="N15" s="50" t="str">
        <f>IF(A15&lt;&gt;"",VLOOKUP(RIGHT(A15,3)*1,[4]Des_Loc!A:B,2,0),"")</f>
        <v>SANTA ROSA DO TOCANTINS</v>
      </c>
    </row>
    <row r="16" spans="1:14" ht="18.75" customHeight="1" x14ac:dyDescent="0.25">
      <c r="A16" s="52">
        <v>7900969084</v>
      </c>
      <c r="B16" s="51" t="s">
        <v>1003</v>
      </c>
      <c r="C16" s="51">
        <v>3</v>
      </c>
      <c r="D16" s="51" t="s">
        <v>1005</v>
      </c>
      <c r="E16" s="51" t="s">
        <v>1005</v>
      </c>
      <c r="F16" s="51" t="s">
        <v>1005</v>
      </c>
      <c r="G16" s="51" t="s">
        <v>1005</v>
      </c>
      <c r="H16" s="51" t="s">
        <v>1005</v>
      </c>
      <c r="I16" s="51" t="s">
        <v>1005</v>
      </c>
      <c r="J16" s="50" t="str">
        <f t="shared" si="0"/>
        <v>7900969084.pdf</v>
      </c>
      <c r="K16" s="51" t="s">
        <v>1009</v>
      </c>
      <c r="L16" s="51" t="s">
        <v>1023</v>
      </c>
      <c r="M16" s="50" t="str">
        <f t="shared" si="1"/>
        <v>34.500</v>
      </c>
      <c r="N16" s="50" t="str">
        <f>IF(A16&lt;&gt;"",VLOOKUP(RIGHT(A16,3)*1,[4]Des_Loc!A:B,2,0),"")</f>
        <v>DIVINOPOLIS</v>
      </c>
    </row>
    <row r="17" spans="1:14" ht="18.75" customHeight="1" x14ac:dyDescent="0.25">
      <c r="A17" s="52">
        <v>7901279052</v>
      </c>
      <c r="B17" s="51" t="s">
        <v>1003</v>
      </c>
      <c r="C17" s="51" t="s">
        <v>1010</v>
      </c>
      <c r="D17" s="51" t="s">
        <v>1011</v>
      </c>
      <c r="E17" s="51" t="s">
        <v>1005</v>
      </c>
      <c r="F17" s="51" t="s">
        <v>1005</v>
      </c>
      <c r="G17" s="51" t="s">
        <v>1005</v>
      </c>
      <c r="H17" s="51" t="s">
        <v>1005</v>
      </c>
      <c r="I17" s="51" t="s">
        <v>1005</v>
      </c>
      <c r="J17" s="50" t="str">
        <f t="shared" si="0"/>
        <v>7901279052.pdf</v>
      </c>
      <c r="K17" s="51" t="s">
        <v>1006</v>
      </c>
      <c r="L17" s="51" t="s">
        <v>1024</v>
      </c>
      <c r="M17" s="50" t="str">
        <f t="shared" si="1"/>
        <v>13.800</v>
      </c>
      <c r="N17" s="50" t="str">
        <f>IF(A17&lt;&gt;"",VLOOKUP(RIGHT(A17,3)*1,[4]Des_Loc!A:B,2,0),"")</f>
        <v>FORMOSO DO ARAGUAIA</v>
      </c>
    </row>
    <row r="18" spans="1:14" ht="18.75" customHeight="1" x14ac:dyDescent="0.25">
      <c r="A18" s="52">
        <v>7900573047</v>
      </c>
      <c r="B18" s="51" t="s">
        <v>1003</v>
      </c>
      <c r="C18" s="51">
        <v>3</v>
      </c>
      <c r="D18" s="51" t="s">
        <v>1011</v>
      </c>
      <c r="E18" s="51" t="s">
        <v>1011</v>
      </c>
      <c r="F18" s="51" t="s">
        <v>1005</v>
      </c>
      <c r="G18" s="51" t="s">
        <v>1005</v>
      </c>
      <c r="H18" s="51" t="s">
        <v>1005</v>
      </c>
      <c r="I18" s="51" t="s">
        <v>1005</v>
      </c>
      <c r="J18" s="50" t="str">
        <f t="shared" si="0"/>
        <v>7900573047.pdf</v>
      </c>
      <c r="K18" s="51" t="s">
        <v>1009</v>
      </c>
      <c r="L18" s="51" t="s">
        <v>511</v>
      </c>
      <c r="M18" s="50" t="str">
        <f t="shared" si="1"/>
        <v>13.800</v>
      </c>
      <c r="N18" s="50" t="str">
        <f>IF(A18&lt;&gt;"",VLOOKUP(RIGHT(A18,3)*1,[4]Des_Loc!A:B,2,0),"")</f>
        <v>FIGUEIROPOLIS</v>
      </c>
    </row>
    <row r="19" spans="1:14" ht="18.75" customHeight="1" x14ac:dyDescent="0.25">
      <c r="A19" s="52">
        <v>7900003060</v>
      </c>
      <c r="B19" s="51" t="s">
        <v>1003</v>
      </c>
      <c r="C19" s="51" t="s">
        <v>1010</v>
      </c>
      <c r="D19" s="51" t="s">
        <v>1011</v>
      </c>
      <c r="E19" s="51" t="s">
        <v>1005</v>
      </c>
      <c r="F19" s="51" t="s">
        <v>1005</v>
      </c>
      <c r="G19" s="51" t="s">
        <v>1005</v>
      </c>
      <c r="H19" s="51" t="s">
        <v>1005</v>
      </c>
      <c r="I19" s="51" t="s">
        <v>1005</v>
      </c>
      <c r="J19" s="50" t="str">
        <f t="shared" si="0"/>
        <v>7900003060.pdf</v>
      </c>
      <c r="K19" s="51" t="s">
        <v>1006</v>
      </c>
      <c r="L19" s="51" t="s">
        <v>412</v>
      </c>
      <c r="M19" s="50" t="str">
        <f t="shared" si="1"/>
        <v>13.800</v>
      </c>
      <c r="N19" s="50" t="str">
        <f>IF(A19&lt;&gt;"",VLOOKUP(RIGHT(A19,3)*1,[4]Des_Loc!A:B,2,0),"")</f>
        <v>NOVA OLINDA</v>
      </c>
    </row>
    <row r="20" spans="1:14" ht="18.75" customHeight="1" x14ac:dyDescent="0.25">
      <c r="A20" s="52">
        <v>7955681036</v>
      </c>
      <c r="B20" s="51" t="s">
        <v>1003</v>
      </c>
      <c r="C20" s="51" t="s">
        <v>1025</v>
      </c>
      <c r="D20" s="51" t="s">
        <v>1011</v>
      </c>
      <c r="E20" s="51" t="s">
        <v>1005</v>
      </c>
      <c r="F20" s="51" t="s">
        <v>1005</v>
      </c>
      <c r="G20" s="51" t="s">
        <v>1005</v>
      </c>
      <c r="H20" s="51" t="s">
        <v>1005</v>
      </c>
      <c r="I20" s="51" t="s">
        <v>1005</v>
      </c>
      <c r="J20" s="50" t="str">
        <f t="shared" si="0"/>
        <v>7955681036.pdf</v>
      </c>
      <c r="K20" s="54" t="s">
        <v>1006</v>
      </c>
      <c r="L20" s="51" t="s">
        <v>1026</v>
      </c>
      <c r="M20" s="50" t="str">
        <f t="shared" si="1"/>
        <v>13.800</v>
      </c>
      <c r="N20" s="50" t="str">
        <f>IF(A20&lt;&gt;"",VLOOKUP(RIGHT(A20,3)*1,[4]Des_Loc!A:B,2,0),"")</f>
        <v>ALVORADA</v>
      </c>
    </row>
    <row r="21" spans="1:14" ht="18.75" customHeight="1" x14ac:dyDescent="0.25">
      <c r="A21" s="52">
        <v>7900355025</v>
      </c>
      <c r="B21" s="51" t="s">
        <v>1003</v>
      </c>
      <c r="C21" s="51" t="s">
        <v>1010</v>
      </c>
      <c r="D21" s="51" t="s">
        <v>1005</v>
      </c>
      <c r="E21" s="51" t="s">
        <v>1005</v>
      </c>
      <c r="F21" s="51" t="s">
        <v>1005</v>
      </c>
      <c r="G21" s="51" t="s">
        <v>1005</v>
      </c>
      <c r="H21" s="51" t="s">
        <v>1005</v>
      </c>
      <c r="I21" s="51" t="s">
        <v>1005</v>
      </c>
      <c r="J21" s="50" t="str">
        <f t="shared" si="0"/>
        <v>7900355025.pdf</v>
      </c>
      <c r="K21" s="51" t="s">
        <v>1009</v>
      </c>
      <c r="L21" s="51" t="s">
        <v>353</v>
      </c>
      <c r="M21" s="50" t="str">
        <f t="shared" si="1"/>
        <v>34.500</v>
      </c>
      <c r="N21" s="50" t="str">
        <f>IF(A21&lt;&gt;"",VLOOKUP(RIGHT(A21,3)*1,[4]Des_Loc!A:B,2,0),"")</f>
        <v>ARAPOEMA</v>
      </c>
    </row>
    <row r="22" spans="1:14" ht="18.75" customHeight="1" x14ac:dyDescent="0.25">
      <c r="A22" s="52">
        <v>7900308104</v>
      </c>
      <c r="B22" s="51" t="s">
        <v>1003</v>
      </c>
      <c r="C22" s="51">
        <v>3</v>
      </c>
      <c r="D22" s="51" t="s">
        <v>1005</v>
      </c>
      <c r="E22" s="51" t="s">
        <v>1005</v>
      </c>
      <c r="F22" s="51" t="s">
        <v>1005</v>
      </c>
      <c r="G22" s="51" t="s">
        <v>1005</v>
      </c>
      <c r="H22" s="51" t="s">
        <v>1005</v>
      </c>
      <c r="I22" s="51" t="s">
        <v>1005</v>
      </c>
      <c r="J22" s="50" t="str">
        <f t="shared" si="0"/>
        <v>7900308104.pdf</v>
      </c>
      <c r="K22" s="51" t="s">
        <v>1006</v>
      </c>
      <c r="L22" s="51" t="s">
        <v>470</v>
      </c>
      <c r="M22" s="50" t="str">
        <f t="shared" si="1"/>
        <v>34.500</v>
      </c>
      <c r="N22" s="50" t="str">
        <f>IF(A22&lt;&gt;"",VLOOKUP(RIGHT(A22,3)*1,[4]Des_Loc!A:B,2,0),"")</f>
        <v>SANTA MARIA DO TOCANTINS</v>
      </c>
    </row>
    <row r="23" spans="1:14" ht="18.75" customHeight="1" x14ac:dyDescent="0.25">
      <c r="A23" s="52">
        <v>7900414025</v>
      </c>
      <c r="B23" s="51" t="s">
        <v>1003</v>
      </c>
      <c r="C23" s="51" t="s">
        <v>1010</v>
      </c>
      <c r="D23" s="51" t="s">
        <v>1011</v>
      </c>
      <c r="E23" s="51" t="s">
        <v>1005</v>
      </c>
      <c r="F23" s="51" t="s">
        <v>1005</v>
      </c>
      <c r="G23" s="51" t="s">
        <v>1005</v>
      </c>
      <c r="H23" s="51" t="s">
        <v>1005</v>
      </c>
      <c r="I23" s="51" t="s">
        <v>1005</v>
      </c>
      <c r="J23" s="50" t="str">
        <f t="shared" si="0"/>
        <v>7900414025.pdf</v>
      </c>
      <c r="K23" s="51" t="s">
        <v>1009</v>
      </c>
      <c r="L23" s="51" t="s">
        <v>353</v>
      </c>
      <c r="M23" s="50" t="str">
        <f t="shared" si="1"/>
        <v>34.500</v>
      </c>
      <c r="N23" s="50" t="str">
        <f>IF(A23&lt;&gt;"",VLOOKUP(RIGHT(A23,3)*1,[4]Des_Loc!A:B,2,0),"")</f>
        <v>ARAPOEMA</v>
      </c>
    </row>
    <row r="24" spans="1:14" ht="18.75" customHeight="1" x14ac:dyDescent="0.25">
      <c r="A24" s="52">
        <v>7900626055</v>
      </c>
      <c r="B24" s="51" t="s">
        <v>1003</v>
      </c>
      <c r="C24" s="51" t="s">
        <v>1010</v>
      </c>
      <c r="D24" s="51" t="s">
        <v>1005</v>
      </c>
      <c r="E24" s="51" t="s">
        <v>1005</v>
      </c>
      <c r="F24" s="51" t="s">
        <v>1011</v>
      </c>
      <c r="G24" s="51" t="s">
        <v>1005</v>
      </c>
      <c r="H24" s="51" t="s">
        <v>1011</v>
      </c>
      <c r="I24" s="51" t="s">
        <v>1005</v>
      </c>
      <c r="J24" s="50" t="str">
        <f t="shared" si="0"/>
        <v>7900626055.pdf</v>
      </c>
      <c r="K24" s="51" t="s">
        <v>1006</v>
      </c>
      <c r="L24" s="51" t="s">
        <v>749</v>
      </c>
      <c r="M24" s="50" t="str">
        <f t="shared" si="1"/>
        <v>34.500</v>
      </c>
      <c r="N24" s="50" t="str">
        <f>IF(A24&lt;&gt;"",VLOOKUP(RIGHT(A24,3)*1,[4]Des_Loc!A:B,2,0),"")</f>
        <v>ARAGUACEMA</v>
      </c>
    </row>
    <row r="25" spans="1:14" ht="18.75" customHeight="1" x14ac:dyDescent="0.25">
      <c r="A25" s="52">
        <v>7900366256</v>
      </c>
      <c r="B25" s="51" t="s">
        <v>1003</v>
      </c>
      <c r="C25" s="51" t="s">
        <v>1025</v>
      </c>
      <c r="D25" s="51" t="s">
        <v>1005</v>
      </c>
      <c r="E25" s="51" t="s">
        <v>1005</v>
      </c>
      <c r="F25" s="51" t="s">
        <v>1005</v>
      </c>
      <c r="G25" s="51" t="s">
        <v>1005</v>
      </c>
      <c r="H25" s="51" t="s">
        <v>1005</v>
      </c>
      <c r="I25" s="51" t="s">
        <v>1005</v>
      </c>
      <c r="J25" s="50" t="str">
        <f t="shared" si="0"/>
        <v>7900366256.pdf</v>
      </c>
      <c r="K25" s="51" t="s">
        <v>1006</v>
      </c>
      <c r="L25" s="51" t="s">
        <v>518</v>
      </c>
      <c r="M25" s="50" t="str">
        <f t="shared" si="1"/>
        <v>34.500</v>
      </c>
      <c r="N25" s="50" t="str">
        <f>IF(A25&lt;&gt;"",VLOOKUP(RIGHT(A25,3)*1,[4]Des_Loc!A:B,2,0),"")</f>
        <v>MATEIROS</v>
      </c>
    </row>
    <row r="26" spans="1:14" ht="18.75" customHeight="1" x14ac:dyDescent="0.25">
      <c r="A26" s="52">
        <v>7900465025</v>
      </c>
      <c r="B26" s="51" t="s">
        <v>1003</v>
      </c>
      <c r="C26" s="51">
        <v>2</v>
      </c>
      <c r="D26" s="51" t="s">
        <v>1005</v>
      </c>
      <c r="E26" s="51" t="s">
        <v>1005</v>
      </c>
      <c r="F26" s="51" t="s">
        <v>1005</v>
      </c>
      <c r="G26" s="51" t="s">
        <v>1005</v>
      </c>
      <c r="H26" s="51" t="s">
        <v>1005</v>
      </c>
      <c r="I26" s="51" t="s">
        <v>1005</v>
      </c>
      <c r="J26" s="50" t="str">
        <f t="shared" si="0"/>
        <v>7900465025.pdf</v>
      </c>
      <c r="K26" s="54" t="s">
        <v>1027</v>
      </c>
      <c r="L26" s="51" t="s">
        <v>1028</v>
      </c>
      <c r="M26" s="50" t="str">
        <f t="shared" si="1"/>
        <v>13.800</v>
      </c>
      <c r="N26" s="50" t="str">
        <f>IF(A26&lt;&gt;"",VLOOKUP(RIGHT(A26,3)*1,[4]Des_Loc!A:B,2,0),"")</f>
        <v>ARAPOEMA</v>
      </c>
    </row>
    <row r="27" spans="1:14" ht="18.75" customHeight="1" x14ac:dyDescent="0.25">
      <c r="A27" s="52">
        <v>7900249153</v>
      </c>
      <c r="B27" s="51" t="s">
        <v>1003</v>
      </c>
      <c r="C27" s="51" t="s">
        <v>1008</v>
      </c>
      <c r="D27" s="51" t="s">
        <v>1011</v>
      </c>
      <c r="E27" s="51" t="s">
        <v>1005</v>
      </c>
      <c r="F27" s="51" t="s">
        <v>1005</v>
      </c>
      <c r="G27" s="51" t="s">
        <v>1005</v>
      </c>
      <c r="H27" s="51" t="s">
        <v>1005</v>
      </c>
      <c r="I27" s="51" t="s">
        <v>1005</v>
      </c>
      <c r="J27" s="50" t="str">
        <f t="shared" si="0"/>
        <v>7900249153.pdf</v>
      </c>
      <c r="K27" s="51" t="s">
        <v>1009</v>
      </c>
      <c r="L27" s="51" t="s">
        <v>1029</v>
      </c>
      <c r="M27" s="50" t="str">
        <f t="shared" si="1"/>
        <v>34.500</v>
      </c>
      <c r="N27" s="50" t="str">
        <f>IF(A27&lt;&gt;"",VLOOKUP(RIGHT(A27,3)*1,[4]Des_Loc!A:B,2,0),"")</f>
        <v>BERNARDO SAYAO</v>
      </c>
    </row>
    <row r="28" spans="1:14" ht="18.75" customHeight="1" x14ac:dyDescent="0.25">
      <c r="A28" s="52">
        <v>7900611073</v>
      </c>
      <c r="B28" s="51" t="s">
        <v>1003</v>
      </c>
      <c r="C28" s="51" t="s">
        <v>1010</v>
      </c>
      <c r="D28" s="51"/>
      <c r="E28" s="51" t="s">
        <v>1005</v>
      </c>
      <c r="F28" s="51"/>
      <c r="G28" s="51"/>
      <c r="H28" s="51" t="s">
        <v>1005</v>
      </c>
      <c r="I28" s="51" t="s">
        <v>1005</v>
      </c>
      <c r="J28" s="50" t="str">
        <f t="shared" si="0"/>
        <v>7900611073.pdf</v>
      </c>
      <c r="K28" s="51" t="s">
        <v>1009</v>
      </c>
      <c r="L28" s="51" t="s">
        <v>1030</v>
      </c>
      <c r="M28" s="50" t="str">
        <f t="shared" si="1"/>
        <v>34.500</v>
      </c>
      <c r="N28" s="50" t="str">
        <f>IF(A28&lt;&gt;"",VLOOKUP(RIGHT(A28,3)*1,[4]Des_Loc!A:B,2,0),"")</f>
        <v>LAGOA DA CONFUSAO</v>
      </c>
    </row>
    <row r="29" spans="1:14" ht="18.75" customHeight="1" x14ac:dyDescent="0.25">
      <c r="A29" s="52">
        <v>7900128007</v>
      </c>
      <c r="B29" s="51" t="s">
        <v>1003</v>
      </c>
      <c r="C29" s="51">
        <v>3</v>
      </c>
      <c r="D29" s="51" t="s">
        <v>1011</v>
      </c>
      <c r="E29" s="51" t="s">
        <v>1011</v>
      </c>
      <c r="F29" s="51" t="s">
        <v>1011</v>
      </c>
      <c r="G29" s="51" t="s">
        <v>1005</v>
      </c>
      <c r="H29" s="51" t="s">
        <v>1005</v>
      </c>
      <c r="I29" s="51" t="s">
        <v>1011</v>
      </c>
      <c r="J29" s="50" t="str">
        <f t="shared" si="0"/>
        <v>7900128007.pdf</v>
      </c>
      <c r="K29" s="51" t="s">
        <v>1006</v>
      </c>
      <c r="L29" s="51" t="s">
        <v>425</v>
      </c>
      <c r="M29" s="50" t="str">
        <f t="shared" si="1"/>
        <v>34.500</v>
      </c>
      <c r="N29" s="50" t="str">
        <f>IF(A29&lt;&gt;"",VLOOKUP(RIGHT(A29,3)*1,[4]Des_Loc!A:B,2,0),"")</f>
        <v>MIRACEMA DO TOCANTINS</v>
      </c>
    </row>
    <row r="30" spans="1:14" ht="18.75" customHeight="1" x14ac:dyDescent="0.25">
      <c r="A30" s="52">
        <v>7900481006</v>
      </c>
      <c r="B30" s="51" t="s">
        <v>1003</v>
      </c>
      <c r="C30" s="51">
        <v>2</v>
      </c>
      <c r="D30" s="51" t="s">
        <v>1005</v>
      </c>
      <c r="E30" s="51" t="s">
        <v>1005</v>
      </c>
      <c r="F30" s="51" t="s">
        <v>1005</v>
      </c>
      <c r="G30" s="51" t="s">
        <v>1005</v>
      </c>
      <c r="H30" s="51" t="s">
        <v>1005</v>
      </c>
      <c r="I30" s="51" t="s">
        <v>1005</v>
      </c>
      <c r="J30" s="50" t="str">
        <f t="shared" si="0"/>
        <v>7900481006.pdf</v>
      </c>
      <c r="K30" s="51" t="s">
        <v>1006</v>
      </c>
      <c r="L30" s="51" t="s">
        <v>1031</v>
      </c>
      <c r="M30" s="50" t="str">
        <f t="shared" si="1"/>
        <v>13.800</v>
      </c>
      <c r="N30" s="50" t="str">
        <f>IF(A30&lt;&gt;"",VLOOKUP(RIGHT(A30,3)*1,[4]Des_Loc!A:B,2,0),"")</f>
        <v>TOCANTINIA</v>
      </c>
    </row>
    <row r="31" spans="1:14" ht="18.75" customHeight="1" x14ac:dyDescent="0.25">
      <c r="A31" s="52">
        <v>7900713029</v>
      </c>
      <c r="B31" s="51" t="s">
        <v>1003</v>
      </c>
      <c r="C31" s="51" t="s">
        <v>1021</v>
      </c>
      <c r="D31" s="51"/>
      <c r="E31" s="51" t="s">
        <v>1005</v>
      </c>
      <c r="F31" s="51"/>
      <c r="G31" s="51"/>
      <c r="H31" s="51" t="s">
        <v>1005</v>
      </c>
      <c r="I31" s="51" t="s">
        <v>1005</v>
      </c>
      <c r="J31" s="50" t="str">
        <f t="shared" si="0"/>
        <v>7900713029.pdf</v>
      </c>
      <c r="K31" s="51" t="s">
        <v>1009</v>
      </c>
      <c r="L31" s="51" t="s">
        <v>1032</v>
      </c>
      <c r="M31" s="50" t="str">
        <f t="shared" si="1"/>
        <v>34.500</v>
      </c>
      <c r="N31" s="50" t="str">
        <f>IF(A31&lt;&gt;"",VLOOKUP(RIGHT(A31,3)*1,[4]Des_Loc!A:B,2,0),"")</f>
        <v>PALMEIROPOLIS</v>
      </c>
    </row>
    <row r="32" spans="1:14" ht="18.75" customHeight="1" x14ac:dyDescent="0.25">
      <c r="A32" s="52">
        <v>7900303013</v>
      </c>
      <c r="B32" s="51" t="s">
        <v>1003</v>
      </c>
      <c r="C32" s="51">
        <v>3</v>
      </c>
      <c r="D32" s="51" t="s">
        <v>1011</v>
      </c>
      <c r="E32" s="51" t="s">
        <v>1005</v>
      </c>
      <c r="F32" s="51" t="s">
        <v>1005</v>
      </c>
      <c r="G32" s="51" t="s">
        <v>1005</v>
      </c>
      <c r="H32" s="51" t="s">
        <v>1005</v>
      </c>
      <c r="I32" s="51" t="s">
        <v>1005</v>
      </c>
      <c r="J32" s="50" t="str">
        <f t="shared" si="0"/>
        <v>7900303013.pdf</v>
      </c>
      <c r="K32" s="54" t="s">
        <v>1006</v>
      </c>
      <c r="L32" s="51" t="s">
        <v>384</v>
      </c>
      <c r="M32" s="50" t="str">
        <f t="shared" si="1"/>
        <v>13.800</v>
      </c>
      <c r="N32" s="50" t="str">
        <f>IF(A32&lt;&gt;"",VLOOKUP(RIGHT(A32,3)*1,[4]Des_Loc!A:B,2,0),"")</f>
        <v>PARAISO DO TOCANTINS</v>
      </c>
    </row>
    <row r="33" spans="1:14" ht="18.75" customHeight="1" x14ac:dyDescent="0.25">
      <c r="A33" s="52">
        <v>7900385081</v>
      </c>
      <c r="B33" s="51" t="s">
        <v>1003</v>
      </c>
      <c r="C33" s="51" t="s">
        <v>1010</v>
      </c>
      <c r="D33" s="51" t="s">
        <v>1011</v>
      </c>
      <c r="E33" s="51" t="s">
        <v>1005</v>
      </c>
      <c r="F33" s="51" t="s">
        <v>1005</v>
      </c>
      <c r="G33" s="51" t="s">
        <v>1005</v>
      </c>
      <c r="H33" s="51" t="s">
        <v>1005</v>
      </c>
      <c r="I33" s="51" t="s">
        <v>1005</v>
      </c>
      <c r="J33" s="50" t="str">
        <f t="shared" si="0"/>
        <v>7900385081.pdf</v>
      </c>
      <c r="K33" s="51" t="s">
        <v>1006</v>
      </c>
      <c r="L33" s="51" t="s">
        <v>1033</v>
      </c>
      <c r="M33" s="50" t="str">
        <f t="shared" si="1"/>
        <v>13.800</v>
      </c>
      <c r="N33" s="50" t="str">
        <f>IF(A33&lt;&gt;"",VLOOKUP(RIGHT(A33,3)*1,[4]Des_Loc!A:B,2,0),"")</f>
        <v>ITAGUATINS</v>
      </c>
    </row>
    <row r="34" spans="1:14" ht="18.75" customHeight="1" x14ac:dyDescent="0.25">
      <c r="A34" s="52">
        <v>7900581153</v>
      </c>
      <c r="B34" s="51" t="s">
        <v>1003</v>
      </c>
      <c r="C34" s="51" t="s">
        <v>1010</v>
      </c>
      <c r="D34" s="51" t="s">
        <v>1005</v>
      </c>
      <c r="E34" s="51" t="s">
        <v>1005</v>
      </c>
      <c r="F34" s="51" t="s">
        <v>1005</v>
      </c>
      <c r="G34" s="51" t="s">
        <v>1005</v>
      </c>
      <c r="H34" s="51" t="s">
        <v>1005</v>
      </c>
      <c r="I34" s="51" t="s">
        <v>1005</v>
      </c>
      <c r="J34" s="50" t="str">
        <f t="shared" si="0"/>
        <v>7900581153.pdf</v>
      </c>
      <c r="K34" s="51" t="s">
        <v>1006</v>
      </c>
      <c r="L34" s="51" t="s">
        <v>1034</v>
      </c>
      <c r="M34" s="50" t="str">
        <f t="shared" si="1"/>
        <v>34.500</v>
      </c>
      <c r="N34" s="50" t="str">
        <f>IF(A34&lt;&gt;"",VLOOKUP(RIGHT(A34,3)*1,[4]Des_Loc!A:B,2,0),"")</f>
        <v>BERNARDO SAYAO</v>
      </c>
    </row>
    <row r="35" spans="1:14" ht="18.75" customHeight="1" x14ac:dyDescent="0.25">
      <c r="A35" s="52">
        <v>7900003157</v>
      </c>
      <c r="B35" s="51" t="s">
        <v>1003</v>
      </c>
      <c r="C35" s="51">
        <v>3</v>
      </c>
      <c r="D35" s="51" t="s">
        <v>1035</v>
      </c>
      <c r="E35" s="51" t="s">
        <v>1011</v>
      </c>
      <c r="F35" s="51" t="s">
        <v>1005</v>
      </c>
      <c r="G35" s="51" t="s">
        <v>1005</v>
      </c>
      <c r="H35" s="51" t="s">
        <v>1005</v>
      </c>
      <c r="I35" s="51" t="s">
        <v>1005</v>
      </c>
      <c r="J35" s="50" t="str">
        <f t="shared" si="0"/>
        <v>7900003157.pdf</v>
      </c>
      <c r="K35" s="51" t="s">
        <v>1006</v>
      </c>
      <c r="L35" s="51" t="s">
        <v>505</v>
      </c>
      <c r="M35" s="50" t="str">
        <f t="shared" si="1"/>
        <v>34.500</v>
      </c>
      <c r="N35" s="50" t="str">
        <f>IF(A35&lt;&gt;"",VLOOKUP(RIGHT(A35,3)*1,[4]Des_Loc!A:B,2,0),"")</f>
        <v>ARAGUANA</v>
      </c>
    </row>
    <row r="36" spans="1:14" ht="18.75" customHeight="1" x14ac:dyDescent="0.25">
      <c r="A36" s="52">
        <v>7900265256</v>
      </c>
      <c r="B36" s="51" t="s">
        <v>1003</v>
      </c>
      <c r="C36" s="51" t="s">
        <v>1025</v>
      </c>
      <c r="D36" s="51" t="s">
        <v>1005</v>
      </c>
      <c r="E36" s="51" t="s">
        <v>1005</v>
      </c>
      <c r="F36" s="51" t="s">
        <v>1005</v>
      </c>
      <c r="G36" s="51" t="s">
        <v>1005</v>
      </c>
      <c r="H36" s="51" t="s">
        <v>1005</v>
      </c>
      <c r="I36" s="51" t="s">
        <v>1011</v>
      </c>
      <c r="J36" s="50" t="str">
        <f t="shared" si="0"/>
        <v>7900265256.pdf</v>
      </c>
      <c r="K36" s="51" t="s">
        <v>1006</v>
      </c>
      <c r="L36" s="51" t="s">
        <v>518</v>
      </c>
      <c r="M36" s="50" t="str">
        <f t="shared" si="1"/>
        <v>34.500</v>
      </c>
      <c r="N36" s="50" t="str">
        <f>IF(A36&lt;&gt;"",VLOOKUP(RIGHT(A36,3)*1,[4]Des_Loc!A:B,2,0),"")</f>
        <v>MATEIROS</v>
      </c>
    </row>
    <row r="37" spans="1:14" ht="18.75" customHeight="1" x14ac:dyDescent="0.25">
      <c r="A37" s="52">
        <v>7900618193</v>
      </c>
      <c r="B37" s="51" t="s">
        <v>1003</v>
      </c>
      <c r="C37" s="51" t="s">
        <v>1021</v>
      </c>
      <c r="D37" s="51" t="s">
        <v>1005</v>
      </c>
      <c r="E37" s="51" t="s">
        <v>1005</v>
      </c>
      <c r="F37" s="51" t="s">
        <v>1005</v>
      </c>
      <c r="G37" s="51" t="s">
        <v>1005</v>
      </c>
      <c r="H37" s="51" t="s">
        <v>1005</v>
      </c>
      <c r="I37" s="51" t="s">
        <v>1005</v>
      </c>
      <c r="J37" s="50" t="str">
        <f t="shared" si="0"/>
        <v>7900618193.pdf</v>
      </c>
      <c r="K37" s="51" t="s">
        <v>1009</v>
      </c>
      <c r="L37" s="51" t="s">
        <v>1036</v>
      </c>
      <c r="M37" s="50" t="str">
        <f t="shared" si="1"/>
        <v>34.500</v>
      </c>
      <c r="N37" s="50" t="str">
        <f>IF(A37&lt;&gt;"",VLOOKUP(RIGHT(A37,3)*1,[4]Des_Loc!A:B,2,0),"")</f>
        <v>CAMPOS LINDOS</v>
      </c>
    </row>
    <row r="38" spans="1:14" ht="18.75" customHeight="1" x14ac:dyDescent="0.25">
      <c r="A38" s="52">
        <v>7900300253</v>
      </c>
      <c r="B38" s="51" t="s">
        <v>1003</v>
      </c>
      <c r="C38" s="51" t="s">
        <v>1010</v>
      </c>
      <c r="D38" s="51" t="s">
        <v>1011</v>
      </c>
      <c r="E38" s="51" t="s">
        <v>1005</v>
      </c>
      <c r="F38" s="51" t="s">
        <v>1005</v>
      </c>
      <c r="G38" s="51" t="s">
        <v>1005</v>
      </c>
      <c r="H38" s="51" t="s">
        <v>1005</v>
      </c>
      <c r="I38" s="51" t="s">
        <v>1005</v>
      </c>
      <c r="J38" s="50" t="str">
        <f t="shared" si="0"/>
        <v>7900300253.pdf</v>
      </c>
      <c r="K38" s="51" t="s">
        <v>1006</v>
      </c>
      <c r="L38" s="51" t="s">
        <v>639</v>
      </c>
      <c r="M38" s="50" t="str">
        <f t="shared" si="1"/>
        <v>34.500</v>
      </c>
      <c r="N38" s="50" t="str">
        <f>IF(A38&lt;&gt;"",VLOOKUP(RIGHT(A38,3)*1,[4]Des_Loc!A:B,2,0),"")</f>
        <v>CHAPADA DE AREIA</v>
      </c>
    </row>
    <row r="39" spans="1:14" ht="18.75" customHeight="1" x14ac:dyDescent="0.25">
      <c r="A39" s="52">
        <v>7901276032</v>
      </c>
      <c r="B39" s="51" t="s">
        <v>1003</v>
      </c>
      <c r="C39" s="51">
        <v>3</v>
      </c>
      <c r="D39" s="51" t="s">
        <v>1011</v>
      </c>
      <c r="E39" s="51" t="s">
        <v>1005</v>
      </c>
      <c r="F39" s="51" t="s">
        <v>1005</v>
      </c>
      <c r="G39" s="51" t="s">
        <v>1005</v>
      </c>
      <c r="H39" s="51" t="s">
        <v>1005</v>
      </c>
      <c r="I39" s="51" t="s">
        <v>1005</v>
      </c>
      <c r="J39" s="50" t="str">
        <f t="shared" si="0"/>
        <v>7901276032.pdf</v>
      </c>
      <c r="K39" s="51" t="s">
        <v>1006</v>
      </c>
      <c r="L39" s="51" t="s">
        <v>1037</v>
      </c>
      <c r="M39" s="50" t="str">
        <f t="shared" si="1"/>
        <v>34.500</v>
      </c>
      <c r="N39" s="50" t="str">
        <f>IF(A39&lt;&gt;"",VLOOKUP(RIGHT(A39,3)*1,[4]Des_Loc!A:B,2,0),"")</f>
        <v>ARAGUACU</v>
      </c>
    </row>
    <row r="40" spans="1:14" ht="18.75" customHeight="1" x14ac:dyDescent="0.25">
      <c r="A40" s="52">
        <v>7901077038</v>
      </c>
      <c r="B40" s="51" t="s">
        <v>1003</v>
      </c>
      <c r="C40" s="51" t="s">
        <v>1025</v>
      </c>
      <c r="D40" s="51" t="s">
        <v>1011</v>
      </c>
      <c r="E40" s="51" t="s">
        <v>1005</v>
      </c>
      <c r="F40" s="51" t="s">
        <v>1005</v>
      </c>
      <c r="G40" s="51" t="s">
        <v>1005</v>
      </c>
      <c r="H40" s="51" t="s">
        <v>1005</v>
      </c>
      <c r="I40" s="51" t="s">
        <v>1005</v>
      </c>
      <c r="J40" s="50" t="str">
        <f t="shared" si="0"/>
        <v>7901077038.pdf</v>
      </c>
      <c r="K40" s="51" t="s">
        <v>1009</v>
      </c>
      <c r="L40" s="51" t="s">
        <v>1038</v>
      </c>
      <c r="M40" s="50" t="str">
        <f t="shared" si="1"/>
        <v>34.500</v>
      </c>
      <c r="N40" s="50" t="str">
        <f>IF(A40&lt;&gt;"",VLOOKUP(RIGHT(A40,3)*1,[4]Des_Loc!A:B,2,0),"")</f>
        <v>TAGUATINGA</v>
      </c>
    </row>
    <row r="41" spans="1:14" ht="18.75" customHeight="1" x14ac:dyDescent="0.25">
      <c r="A41" s="52">
        <v>7900774036</v>
      </c>
      <c r="B41" s="51" t="s">
        <v>1003</v>
      </c>
      <c r="C41" s="51" t="s">
        <v>1010</v>
      </c>
      <c r="D41" s="51" t="s">
        <v>1011</v>
      </c>
      <c r="E41" s="51" t="s">
        <v>1005</v>
      </c>
      <c r="F41" s="51" t="s">
        <v>1005</v>
      </c>
      <c r="G41" s="51" t="s">
        <v>1005</v>
      </c>
      <c r="H41" s="51" t="s">
        <v>1005</v>
      </c>
      <c r="I41" s="51" t="s">
        <v>1005</v>
      </c>
      <c r="J41" s="50" t="str">
        <f t="shared" si="0"/>
        <v>7900774036.pdf</v>
      </c>
      <c r="K41" s="54" t="s">
        <v>1022</v>
      </c>
      <c r="L41" s="51" t="s">
        <v>1039</v>
      </c>
      <c r="M41" s="50" t="str">
        <f t="shared" si="1"/>
        <v>13.800</v>
      </c>
      <c r="N41" s="50" t="str">
        <f>IF(A41&lt;&gt;"",VLOOKUP(RIGHT(A41,3)*1,[4]Des_Loc!A:B,2,0),"")</f>
        <v>ALVORADA</v>
      </c>
    </row>
    <row r="42" spans="1:14" ht="18.75" customHeight="1" x14ac:dyDescent="0.25">
      <c r="A42" s="52">
        <v>7900790075</v>
      </c>
      <c r="B42" s="51" t="s">
        <v>1003</v>
      </c>
      <c r="C42" s="51">
        <v>3</v>
      </c>
      <c r="D42" s="51" t="s">
        <v>1005</v>
      </c>
      <c r="E42" s="51" t="s">
        <v>1005</v>
      </c>
      <c r="F42" s="51" t="s">
        <v>1005</v>
      </c>
      <c r="G42" s="51" t="s">
        <v>1005</v>
      </c>
      <c r="H42" s="51" t="s">
        <v>1011</v>
      </c>
      <c r="I42" s="51" t="s">
        <v>1005</v>
      </c>
      <c r="J42" s="50" t="str">
        <f t="shared" si="0"/>
        <v>7900790075.pdf</v>
      </c>
      <c r="K42" s="54" t="s">
        <v>1006</v>
      </c>
      <c r="L42" s="51" t="s">
        <v>1040</v>
      </c>
      <c r="M42" s="50" t="str">
        <f t="shared" si="1"/>
        <v>34.500</v>
      </c>
      <c r="N42" s="50" t="str">
        <f>IF(A42&lt;&gt;"",VLOOKUP(RIGHT(A42,3)*1,[4]Des_Loc!A:B,2,0),"")</f>
        <v>DOIS IRMAOS DO TOCANTINS</v>
      </c>
    </row>
    <row r="43" spans="1:14" ht="18.75" customHeight="1" x14ac:dyDescent="0.25">
      <c r="A43" s="52">
        <v>7903112004</v>
      </c>
      <c r="B43" s="51" t="s">
        <v>1003</v>
      </c>
      <c r="C43" s="51" t="s">
        <v>1010</v>
      </c>
      <c r="D43" s="51" t="s">
        <v>1011</v>
      </c>
      <c r="E43" s="51" t="s">
        <v>1005</v>
      </c>
      <c r="F43" s="51" t="s">
        <v>1005</v>
      </c>
      <c r="G43" s="51" t="s">
        <v>1005</v>
      </c>
      <c r="H43" s="51" t="s">
        <v>1005</v>
      </c>
      <c r="I43" s="51" t="s">
        <v>1005</v>
      </c>
      <c r="J43" s="50" t="str">
        <f t="shared" si="0"/>
        <v>7903112004.pdf</v>
      </c>
      <c r="K43" s="51" t="s">
        <v>1009</v>
      </c>
      <c r="L43" s="51" t="s">
        <v>533</v>
      </c>
      <c r="M43" s="50" t="str">
        <f t="shared" si="1"/>
        <v>34.500</v>
      </c>
      <c r="N43" s="50" t="str">
        <f>IF(A43&lt;&gt;"",VLOOKUP(RIGHT(A43,3)*1,[4]Des_Loc!A:B,2,0),"")</f>
        <v>ARAGUAINA</v>
      </c>
    </row>
    <row r="44" spans="1:14" ht="18.75" customHeight="1" x14ac:dyDescent="0.25">
      <c r="A44" s="52">
        <v>7900594026</v>
      </c>
      <c r="B44" s="51" t="s">
        <v>1003</v>
      </c>
      <c r="C44" s="51">
        <v>3</v>
      </c>
      <c r="D44" s="51" t="s">
        <v>1011</v>
      </c>
      <c r="E44" s="51" t="s">
        <v>1005</v>
      </c>
      <c r="F44" s="51" t="s">
        <v>1005</v>
      </c>
      <c r="G44" s="51" t="s">
        <v>1005</v>
      </c>
      <c r="H44" s="51" t="s">
        <v>1005</v>
      </c>
      <c r="I44" s="51" t="s">
        <v>1005</v>
      </c>
      <c r="J44" s="50" t="str">
        <f t="shared" si="0"/>
        <v>7900594026.pdf</v>
      </c>
      <c r="K44" s="51" t="s">
        <v>1009</v>
      </c>
      <c r="L44" s="51" t="s">
        <v>518</v>
      </c>
      <c r="M44" s="50" t="str">
        <f t="shared" si="1"/>
        <v>34.500</v>
      </c>
      <c r="N44" s="50" t="str">
        <f>IF(A44&lt;&gt;"",VLOOKUP(RIGHT(A44,3)*1,[4]Des_Loc!A:B,2,0),"")</f>
        <v>PONTE ALTA TOCANTINS</v>
      </c>
    </row>
    <row r="45" spans="1:14" ht="18.75" customHeight="1" x14ac:dyDescent="0.25">
      <c r="A45" s="50">
        <v>7900200050</v>
      </c>
      <c r="B45" s="51" t="s">
        <v>1003</v>
      </c>
      <c r="C45" s="51" t="s">
        <v>1010</v>
      </c>
      <c r="D45" s="51" t="s">
        <v>1011</v>
      </c>
      <c r="E45" s="51" t="s">
        <v>1005</v>
      </c>
      <c r="F45" s="51" t="s">
        <v>1011</v>
      </c>
      <c r="G45" s="51" t="s">
        <v>1005</v>
      </c>
      <c r="H45" s="51" t="s">
        <v>1005</v>
      </c>
      <c r="I45" s="51" t="s">
        <v>1011</v>
      </c>
      <c r="J45" s="50" t="str">
        <f t="shared" si="0"/>
        <v>7900200050.pdf</v>
      </c>
      <c r="K45" s="54" t="s">
        <v>1006</v>
      </c>
      <c r="L45" s="51" t="s">
        <v>1041</v>
      </c>
      <c r="M45" s="50" t="str">
        <f t="shared" si="1"/>
        <v>13.800</v>
      </c>
      <c r="N45" s="50" t="str">
        <f>IF(A45&lt;&gt;"",VLOOKUP(RIGHT(A45,3)*1,[4]Des_Loc!A:B,2,0),"")</f>
        <v>COMBINADO</v>
      </c>
    </row>
    <row r="46" spans="1:14" ht="18.75" customHeight="1" x14ac:dyDescent="0.25">
      <c r="A46" s="52">
        <v>7900701033</v>
      </c>
      <c r="B46" s="51" t="s">
        <v>1003</v>
      </c>
      <c r="C46" s="51" t="s">
        <v>1010</v>
      </c>
      <c r="D46" s="51" t="s">
        <v>1005</v>
      </c>
      <c r="E46" s="51" t="s">
        <v>1005</v>
      </c>
      <c r="F46" s="51" t="s">
        <v>1005</v>
      </c>
      <c r="G46" s="51" t="s">
        <v>1005</v>
      </c>
      <c r="H46" s="51" t="s">
        <v>1005</v>
      </c>
      <c r="I46" s="51" t="s">
        <v>1005</v>
      </c>
      <c r="J46" s="50" t="str">
        <f t="shared" si="0"/>
        <v>7900701033.pdf</v>
      </c>
      <c r="K46" s="51" t="s">
        <v>1006</v>
      </c>
      <c r="L46" s="51" t="s">
        <v>627</v>
      </c>
      <c r="M46" s="50" t="str">
        <f t="shared" si="1"/>
        <v>34.500</v>
      </c>
      <c r="N46" s="50" t="str">
        <f>IF(A46&lt;&gt;"",VLOOKUP(RIGHT(A46,3)*1,[4]Des_Loc!A:B,2,0),"")</f>
        <v>COLMEIA</v>
      </c>
    </row>
    <row r="47" spans="1:14" ht="18.75" customHeight="1" x14ac:dyDescent="0.25">
      <c r="A47" s="52">
        <v>7900032086</v>
      </c>
      <c r="B47" s="51" t="s">
        <v>1003</v>
      </c>
      <c r="C47" s="51">
        <v>3</v>
      </c>
      <c r="D47" s="51" t="s">
        <v>1011</v>
      </c>
      <c r="E47" s="51" t="s">
        <v>1005</v>
      </c>
      <c r="F47" s="51" t="s">
        <v>1005</v>
      </c>
      <c r="G47" s="51" t="s">
        <v>1005</v>
      </c>
      <c r="H47" s="51" t="s">
        <v>1005</v>
      </c>
      <c r="I47" s="51" t="s">
        <v>1005</v>
      </c>
      <c r="J47" s="50" t="str">
        <f t="shared" si="0"/>
        <v>7900032086.pdf</v>
      </c>
      <c r="K47" s="51" t="s">
        <v>1006</v>
      </c>
      <c r="L47" s="51" t="s">
        <v>599</v>
      </c>
      <c r="M47" s="50" t="str">
        <f t="shared" si="1"/>
        <v>34.500</v>
      </c>
      <c r="N47" s="50" t="str">
        <f>IF(A47&lt;&gt;"",VLOOKUP(RIGHT(A47,3)*1,[4]Des_Loc!A:B,2,0),"")</f>
        <v>MARIANOPOLIS</v>
      </c>
    </row>
    <row r="48" spans="1:14" ht="18.75" customHeight="1" x14ac:dyDescent="0.25">
      <c r="A48" s="52">
        <v>7900669086</v>
      </c>
      <c r="B48" s="51" t="s">
        <v>1003</v>
      </c>
      <c r="C48" s="51">
        <v>3</v>
      </c>
      <c r="D48" s="51" t="s">
        <v>1011</v>
      </c>
      <c r="E48" s="51" t="s">
        <v>1005</v>
      </c>
      <c r="F48" s="51" t="s">
        <v>1005</v>
      </c>
      <c r="G48" s="51" t="s">
        <v>1005</v>
      </c>
      <c r="H48" s="51" t="s">
        <v>1005</v>
      </c>
      <c r="I48" s="51" t="s">
        <v>1005</v>
      </c>
      <c r="J48" s="50" t="str">
        <f t="shared" si="0"/>
        <v>7900669086.pdf</v>
      </c>
      <c r="K48" s="51" t="s">
        <v>1006</v>
      </c>
      <c r="L48" s="51" t="s">
        <v>1023</v>
      </c>
      <c r="M48" s="50" t="str">
        <f t="shared" si="1"/>
        <v>34.500</v>
      </c>
      <c r="N48" s="50" t="str">
        <f>IF(A48&lt;&gt;"",VLOOKUP(RIGHT(A48,3)*1,[4]Des_Loc!A:B,2,0),"")</f>
        <v>MARIANOPOLIS</v>
      </c>
    </row>
    <row r="49" spans="1:14" ht="18.75" customHeight="1" x14ac:dyDescent="0.25">
      <c r="A49" s="52">
        <v>7900461077</v>
      </c>
      <c r="B49" s="51" t="s">
        <v>1003</v>
      </c>
      <c r="C49" s="51" t="s">
        <v>1025</v>
      </c>
      <c r="D49" s="51" t="s">
        <v>1005</v>
      </c>
      <c r="E49" s="51" t="s">
        <v>1005</v>
      </c>
      <c r="F49" s="51" t="s">
        <v>1005</v>
      </c>
      <c r="G49" s="51" t="s">
        <v>1005</v>
      </c>
      <c r="H49" s="51" t="s">
        <v>1005</v>
      </c>
      <c r="I49" s="51" t="s">
        <v>1005</v>
      </c>
      <c r="J49" s="50" t="str">
        <f t="shared" si="0"/>
        <v>7900461077.pdf</v>
      </c>
      <c r="K49" s="51" t="s">
        <v>1009</v>
      </c>
      <c r="L49" s="51" t="s">
        <v>632</v>
      </c>
      <c r="M49" s="50" t="str">
        <f t="shared" si="1"/>
        <v>34.500</v>
      </c>
      <c r="N49" s="50" t="str">
        <f>IF(A49&lt;&gt;"",VLOOKUP(RIGHT(A49,3)*1,[4]Des_Loc!A:B,2,0),"")</f>
        <v>GOIATINS</v>
      </c>
    </row>
    <row r="50" spans="1:14" ht="18.75" customHeight="1" x14ac:dyDescent="0.25">
      <c r="A50" s="52">
        <v>7900536086</v>
      </c>
      <c r="B50" s="51" t="s">
        <v>1003</v>
      </c>
      <c r="C50" s="51">
        <v>3</v>
      </c>
      <c r="D50" s="51"/>
      <c r="E50" s="51" t="s">
        <v>1005</v>
      </c>
      <c r="F50" s="51"/>
      <c r="G50" s="51"/>
      <c r="H50" s="51" t="s">
        <v>1005</v>
      </c>
      <c r="I50" s="51" t="s">
        <v>1005</v>
      </c>
      <c r="J50" s="50" t="str">
        <f t="shared" si="0"/>
        <v>7900536086.pdf</v>
      </c>
      <c r="K50" s="51" t="s">
        <v>1006</v>
      </c>
      <c r="L50" s="51" t="s">
        <v>1042</v>
      </c>
      <c r="M50" s="50" t="str">
        <f t="shared" si="1"/>
        <v>34.500</v>
      </c>
      <c r="N50" s="50" t="str">
        <f>IF(A50&lt;&gt;"",VLOOKUP(RIGHT(A50,3)*1,[4]Des_Loc!A:B,2,0),"")</f>
        <v>MARIANOPOLIS</v>
      </c>
    </row>
    <row r="51" spans="1:14" ht="18.75" customHeight="1" x14ac:dyDescent="0.25">
      <c r="A51" s="52">
        <v>7903696001</v>
      </c>
      <c r="B51" s="51" t="s">
        <v>1003</v>
      </c>
      <c r="C51" s="51">
        <v>3</v>
      </c>
      <c r="D51" s="51" t="s">
        <v>1005</v>
      </c>
      <c r="E51" s="51" t="s">
        <v>1005</v>
      </c>
      <c r="F51" s="51" t="s">
        <v>1005</v>
      </c>
      <c r="G51" s="51" t="s">
        <v>1005</v>
      </c>
      <c r="H51" s="51" t="s">
        <v>1005</v>
      </c>
      <c r="I51" s="51" t="s">
        <v>1005</v>
      </c>
      <c r="J51" s="50" t="str">
        <f t="shared" si="0"/>
        <v>7903696001.pdf</v>
      </c>
      <c r="K51" s="51" t="s">
        <v>1006</v>
      </c>
      <c r="L51" s="51" t="s">
        <v>1043</v>
      </c>
      <c r="M51" s="50" t="str">
        <f t="shared" si="1"/>
        <v>34.500</v>
      </c>
      <c r="N51" s="50" t="str">
        <f>IF(A51&lt;&gt;"",VLOOKUP(RIGHT(A51,3)*1,[4]Des_Loc!A:B,2,0),"")</f>
        <v>PORTO NACIONAL</v>
      </c>
    </row>
    <row r="52" spans="1:14" ht="18.75" customHeight="1" x14ac:dyDescent="0.25">
      <c r="A52" s="52">
        <v>7902164013</v>
      </c>
      <c r="B52" s="51" t="s">
        <v>1003</v>
      </c>
      <c r="C52" s="51">
        <v>3</v>
      </c>
      <c r="D52" s="51"/>
      <c r="E52" s="51" t="s">
        <v>1005</v>
      </c>
      <c r="F52" s="51"/>
      <c r="G52" s="51"/>
      <c r="H52" s="51" t="s">
        <v>1005</v>
      </c>
      <c r="I52" s="51" t="s">
        <v>1005</v>
      </c>
      <c r="J52" s="50" t="str">
        <f t="shared" si="0"/>
        <v>7902164013.pdf</v>
      </c>
      <c r="K52" s="51" t="s">
        <v>1006</v>
      </c>
      <c r="L52" s="51" t="s">
        <v>400</v>
      </c>
      <c r="M52" s="50" t="str">
        <f t="shared" si="1"/>
        <v>34.500</v>
      </c>
      <c r="N52" s="50" t="str">
        <f>IF(A52&lt;&gt;"",VLOOKUP(RIGHT(A52,3)*1,[4]Des_Loc!A:B,2,0),"")</f>
        <v>PARAISO DO TOCANTINS</v>
      </c>
    </row>
    <row r="53" spans="1:14" ht="18.75" customHeight="1" x14ac:dyDescent="0.25">
      <c r="A53" s="52">
        <v>7905358122</v>
      </c>
      <c r="B53" s="51" t="s">
        <v>1003</v>
      </c>
      <c r="C53" s="51" t="s">
        <v>1025</v>
      </c>
      <c r="D53" s="51" t="s">
        <v>1011</v>
      </c>
      <c r="E53" s="51" t="s">
        <v>1005</v>
      </c>
      <c r="F53" s="51" t="s">
        <v>1005</v>
      </c>
      <c r="G53" s="51" t="s">
        <v>1005</v>
      </c>
      <c r="H53" s="51" t="s">
        <v>1005</v>
      </c>
      <c r="I53" s="51" t="s">
        <v>1005</v>
      </c>
      <c r="J53" s="50" t="str">
        <f t="shared" si="0"/>
        <v>7905358122.pdf</v>
      </c>
      <c r="K53" s="54" t="s">
        <v>1022</v>
      </c>
      <c r="L53" s="51" t="s">
        <v>539</v>
      </c>
      <c r="M53" s="50" t="str">
        <f t="shared" si="1"/>
        <v>13.800</v>
      </c>
      <c r="N53" s="50" t="str">
        <f>IF(A53&lt;&gt;"",VLOOKUP(RIGHT(A53,3)*1,[4]Des_Loc!A:B,2,0),"")</f>
        <v>PALMAS</v>
      </c>
    </row>
    <row r="54" spans="1:14" ht="18.75" customHeight="1" x14ac:dyDescent="0.25">
      <c r="A54" s="52">
        <v>7905356122</v>
      </c>
      <c r="B54" s="51" t="s">
        <v>1003</v>
      </c>
      <c r="C54" s="51">
        <v>2</v>
      </c>
      <c r="D54" s="51"/>
      <c r="E54" s="51" t="s">
        <v>1005</v>
      </c>
      <c r="F54" s="51"/>
      <c r="G54" s="51"/>
      <c r="H54" s="51" t="s">
        <v>1005</v>
      </c>
      <c r="I54" s="51" t="s">
        <v>1005</v>
      </c>
      <c r="J54" s="50" t="str">
        <f t="shared" si="0"/>
        <v>7905356122.pdf</v>
      </c>
      <c r="K54" s="51" t="s">
        <v>1006</v>
      </c>
      <c r="L54" s="51" t="s">
        <v>1044</v>
      </c>
      <c r="M54" s="50" t="str">
        <f t="shared" si="1"/>
        <v>13.800</v>
      </c>
      <c r="N54" s="50" t="str">
        <f>IF(A54&lt;&gt;"",VLOOKUP(RIGHT(A54,3)*1,[4]Des_Loc!A:B,2,0),"")</f>
        <v>PALMAS</v>
      </c>
    </row>
    <row r="55" spans="1:14" ht="18.75" customHeight="1" x14ac:dyDescent="0.25">
      <c r="A55" s="52">
        <v>7901105009</v>
      </c>
      <c r="B55" s="51" t="s">
        <v>1003</v>
      </c>
      <c r="C55" s="51" t="s">
        <v>1010</v>
      </c>
      <c r="D55" s="51"/>
      <c r="E55" s="51" t="s">
        <v>1005</v>
      </c>
      <c r="F55" s="51"/>
      <c r="G55" s="51"/>
      <c r="H55" s="51" t="s">
        <v>1005</v>
      </c>
      <c r="I55" s="51" t="s">
        <v>1005</v>
      </c>
      <c r="J55" s="50" t="str">
        <f t="shared" si="0"/>
        <v>7901105009.pdf</v>
      </c>
      <c r="K55" s="51" t="s">
        <v>1006</v>
      </c>
      <c r="L55" s="51" t="s">
        <v>1045</v>
      </c>
      <c r="M55" s="50" t="str">
        <f t="shared" si="1"/>
        <v>34.500</v>
      </c>
      <c r="N55" s="50" t="str">
        <f>IF(A55&lt;&gt;"",VLOOKUP(RIGHT(A55,3)*1,[4]Des_Loc!A:B,2,0),"")</f>
        <v>GUARAI</v>
      </c>
    </row>
    <row r="56" spans="1:14" ht="18.75" customHeight="1" x14ac:dyDescent="0.25">
      <c r="A56" s="52">
        <v>7904278001</v>
      </c>
      <c r="B56" s="51" t="s">
        <v>1003</v>
      </c>
      <c r="C56" s="51">
        <v>3</v>
      </c>
      <c r="D56" s="51"/>
      <c r="E56" s="51" t="s">
        <v>1005</v>
      </c>
      <c r="F56" s="51"/>
      <c r="G56" s="51"/>
      <c r="H56" s="51" t="s">
        <v>1005</v>
      </c>
      <c r="I56" s="51" t="s">
        <v>1005</v>
      </c>
      <c r="J56" s="50" t="str">
        <f t="shared" si="0"/>
        <v>7904278001.pdf</v>
      </c>
      <c r="K56" s="51" t="s">
        <v>1006</v>
      </c>
      <c r="L56" s="51" t="s">
        <v>1046</v>
      </c>
      <c r="M56" s="50" t="str">
        <f t="shared" si="1"/>
        <v>34.500</v>
      </c>
      <c r="N56" s="50" t="str">
        <f>IF(A56&lt;&gt;"",VLOOKUP(RIGHT(A56,3)*1,[4]Des_Loc!A:B,2,0),"")</f>
        <v>PORTO NACIONAL</v>
      </c>
    </row>
    <row r="57" spans="1:14" ht="18.75" customHeight="1" x14ac:dyDescent="0.25">
      <c r="A57" s="52">
        <v>7905362122</v>
      </c>
      <c r="B57" s="51" t="s">
        <v>1003</v>
      </c>
      <c r="C57" s="51">
        <v>2</v>
      </c>
      <c r="D57" s="51"/>
      <c r="E57" s="51" t="s">
        <v>1005</v>
      </c>
      <c r="F57" s="51"/>
      <c r="G57" s="51"/>
      <c r="H57" s="51" t="s">
        <v>1005</v>
      </c>
      <c r="I57" s="51" t="s">
        <v>1005</v>
      </c>
      <c r="J57" s="50" t="str">
        <f t="shared" si="0"/>
        <v>7905362122.pdf</v>
      </c>
      <c r="K57" s="51" t="s">
        <v>1006</v>
      </c>
      <c r="L57" s="51" t="s">
        <v>705</v>
      </c>
      <c r="M57" s="50" t="str">
        <f t="shared" si="1"/>
        <v>13.800</v>
      </c>
      <c r="N57" s="50" t="str">
        <f>IF(A57&lt;&gt;"",VLOOKUP(RIGHT(A57,3)*1,[4]Des_Loc!A:B,2,0),"")</f>
        <v>PALMAS</v>
      </c>
    </row>
    <row r="58" spans="1:14" ht="18.75" customHeight="1" x14ac:dyDescent="0.25">
      <c r="A58" s="52">
        <v>7900403078</v>
      </c>
      <c r="B58" s="51" t="s">
        <v>1003</v>
      </c>
      <c r="C58" s="51" t="s">
        <v>1004</v>
      </c>
      <c r="D58" s="51"/>
      <c r="E58" s="51" t="s">
        <v>1005</v>
      </c>
      <c r="F58" s="51"/>
      <c r="G58" s="51"/>
      <c r="H58" s="51" t="s">
        <v>1005</v>
      </c>
      <c r="I58" s="51" t="s">
        <v>1005</v>
      </c>
      <c r="J58" s="50" t="str">
        <f t="shared" si="0"/>
        <v>7900403078.pdf</v>
      </c>
      <c r="K58" s="51" t="s">
        <v>1006</v>
      </c>
      <c r="L58" s="51" t="s">
        <v>1047</v>
      </c>
      <c r="M58" s="50" t="str">
        <f t="shared" si="1"/>
        <v>34.500</v>
      </c>
      <c r="N58" s="50" t="str">
        <f>IF(A58&lt;&gt;"",VLOOKUP(RIGHT(A58,3)*1,[4]Des_Loc!A:B,2,0),"")</f>
        <v>ITACAJA</v>
      </c>
    </row>
    <row r="59" spans="1:14" ht="18.75" customHeight="1" x14ac:dyDescent="0.25">
      <c r="A59" s="52">
        <v>7905365122</v>
      </c>
      <c r="B59" s="51" t="s">
        <v>1003</v>
      </c>
      <c r="C59" s="51">
        <v>2</v>
      </c>
      <c r="D59" s="51" t="s">
        <v>1011</v>
      </c>
      <c r="E59" s="51" t="s">
        <v>1005</v>
      </c>
      <c r="F59" s="51" t="s">
        <v>1011</v>
      </c>
      <c r="G59" s="51" t="s">
        <v>1005</v>
      </c>
      <c r="H59" s="51" t="s">
        <v>1005</v>
      </c>
      <c r="I59" s="51" t="s">
        <v>1011</v>
      </c>
      <c r="J59" s="50" t="str">
        <f t="shared" si="0"/>
        <v>7905365122.pdf</v>
      </c>
      <c r="K59" s="51" t="s">
        <v>1006</v>
      </c>
      <c r="L59" s="51" t="s">
        <v>1048</v>
      </c>
      <c r="M59" s="50" t="str">
        <f t="shared" si="1"/>
        <v>13.800</v>
      </c>
      <c r="N59" s="50" t="str">
        <f>IF(A59&lt;&gt;"",VLOOKUP(RIGHT(A59,3)*1,[4]Des_Loc!A:B,2,0),"")</f>
        <v>PALMAS</v>
      </c>
    </row>
    <row r="60" spans="1:14" ht="18.75" customHeight="1" x14ac:dyDescent="0.25">
      <c r="A60" s="52">
        <v>7901100084</v>
      </c>
      <c r="B60" s="51" t="s">
        <v>1003</v>
      </c>
      <c r="C60" s="51">
        <v>3</v>
      </c>
      <c r="D60" s="51" t="s">
        <v>1011</v>
      </c>
      <c r="E60" s="51" t="s">
        <v>1005</v>
      </c>
      <c r="F60" s="51" t="s">
        <v>1005</v>
      </c>
      <c r="G60" s="51" t="s">
        <v>1005</v>
      </c>
      <c r="H60" s="51" t="s">
        <v>1011</v>
      </c>
      <c r="I60" s="51" t="s">
        <v>1005</v>
      </c>
      <c r="J60" s="50" t="str">
        <f t="shared" si="0"/>
        <v>7901100084.pdf</v>
      </c>
      <c r="K60" s="51" t="s">
        <v>1006</v>
      </c>
      <c r="L60" s="51" t="s">
        <v>1023</v>
      </c>
      <c r="M60" s="50" t="str">
        <f t="shared" si="1"/>
        <v>34.500</v>
      </c>
      <c r="N60" s="50" t="str">
        <f>IF(A60&lt;&gt;"",VLOOKUP(RIGHT(A60,3)*1,[4]Des_Loc!A:B,2,0),"")</f>
        <v>DIVINOPOLIS</v>
      </c>
    </row>
    <row r="61" spans="1:14" ht="18.75" customHeight="1" x14ac:dyDescent="0.25">
      <c r="A61" s="52">
        <v>7900654080</v>
      </c>
      <c r="B61" s="51" t="s">
        <v>1003</v>
      </c>
      <c r="C61" s="51" t="s">
        <v>1010</v>
      </c>
      <c r="D61" s="51" t="s">
        <v>1011</v>
      </c>
      <c r="E61" s="51" t="s">
        <v>1005</v>
      </c>
      <c r="F61" s="51" t="s">
        <v>1005</v>
      </c>
      <c r="G61" s="51" t="s">
        <v>1005</v>
      </c>
      <c r="H61" s="51" t="s">
        <v>1005</v>
      </c>
      <c r="I61" s="51" t="s">
        <v>1005</v>
      </c>
      <c r="J61" s="50" t="str">
        <f t="shared" si="0"/>
        <v>7900654080.pdf</v>
      </c>
      <c r="K61" s="51" t="s">
        <v>1006</v>
      </c>
      <c r="L61" s="51" t="s">
        <v>497</v>
      </c>
      <c r="M61" s="50" t="str">
        <f t="shared" si="1"/>
        <v>34.500</v>
      </c>
      <c r="N61" s="50" t="str">
        <f>IF(A61&lt;&gt;"",VLOOKUP(RIGHT(A61,3)*1,[4]Des_Loc!A:B,2,0),"")</f>
        <v>DARCINOPOLIS</v>
      </c>
    </row>
    <row r="62" spans="1:14" ht="18.75" customHeight="1" x14ac:dyDescent="0.25">
      <c r="A62" s="52">
        <v>7900002055</v>
      </c>
      <c r="B62" s="51" t="s">
        <v>1003</v>
      </c>
      <c r="C62" s="51">
        <v>2</v>
      </c>
      <c r="D62" s="51" t="s">
        <v>1011</v>
      </c>
      <c r="E62" s="51" t="s">
        <v>1005</v>
      </c>
      <c r="F62" s="51" t="s">
        <v>1005</v>
      </c>
      <c r="G62" s="51" t="s">
        <v>1005</v>
      </c>
      <c r="H62" s="51" t="s">
        <v>1005</v>
      </c>
      <c r="I62" s="51" t="s">
        <v>1005</v>
      </c>
      <c r="J62" s="50" t="str">
        <f t="shared" si="0"/>
        <v>7900002055.pdf</v>
      </c>
      <c r="K62" s="51" t="s">
        <v>1006</v>
      </c>
      <c r="L62" s="51" t="s">
        <v>1049</v>
      </c>
      <c r="M62" s="50" t="str">
        <f t="shared" si="1"/>
        <v>13.800</v>
      </c>
      <c r="N62" s="50" t="str">
        <f>IF(A62&lt;&gt;"",VLOOKUP(RIGHT(A62,3)*1,[4]Des_Loc!A:B,2,0),"")</f>
        <v>ARAGUACEMA</v>
      </c>
    </row>
    <row r="63" spans="1:14" ht="18.75" customHeight="1" x14ac:dyDescent="0.25">
      <c r="A63" s="52">
        <v>7900121133</v>
      </c>
      <c r="B63" s="51" t="s">
        <v>1003</v>
      </c>
      <c r="C63" s="51" t="s">
        <v>1025</v>
      </c>
      <c r="D63" s="51"/>
      <c r="E63" s="51" t="s">
        <v>1005</v>
      </c>
      <c r="F63" s="51"/>
      <c r="G63" s="51"/>
      <c r="H63" s="51" t="s">
        <v>1005</v>
      </c>
      <c r="I63" s="51" t="s">
        <v>1005</v>
      </c>
      <c r="J63" s="50" t="str">
        <f t="shared" si="0"/>
        <v>7900121133.pdf</v>
      </c>
      <c r="K63" s="51" t="s">
        <v>1006</v>
      </c>
      <c r="L63" s="51" t="s">
        <v>1012</v>
      </c>
      <c r="M63" s="50" t="str">
        <f t="shared" si="1"/>
        <v>34.500</v>
      </c>
      <c r="N63" s="50" t="str">
        <f>IF(A63&lt;&gt;"",VLOOKUP(RIGHT(A63,3)*1,[4]Des_Loc!A:B,2,0),"")</f>
        <v>CARRASCO BONITO</v>
      </c>
    </row>
    <row r="64" spans="1:14" ht="18.75" customHeight="1" x14ac:dyDescent="0.25">
      <c r="A64" s="52">
        <v>7902101003</v>
      </c>
      <c r="B64" s="51" t="s">
        <v>1003</v>
      </c>
      <c r="C64" s="51">
        <v>2</v>
      </c>
      <c r="D64" s="51"/>
      <c r="E64" s="51" t="s">
        <v>1005</v>
      </c>
      <c r="F64" s="51"/>
      <c r="G64" s="51"/>
      <c r="H64" s="51" t="s">
        <v>1005</v>
      </c>
      <c r="I64" s="51" t="s">
        <v>1005</v>
      </c>
      <c r="J64" s="50" t="str">
        <f t="shared" si="0"/>
        <v>7902101003.pdf</v>
      </c>
      <c r="K64" s="51" t="s">
        <v>1006</v>
      </c>
      <c r="L64" s="51" t="s">
        <v>1050</v>
      </c>
      <c r="M64" s="50" t="str">
        <f t="shared" si="1"/>
        <v>13.800</v>
      </c>
      <c r="N64" s="50" t="str">
        <f>IF(A64&lt;&gt;"",VLOOKUP(RIGHT(A64,3)*1,[4]Des_Loc!A:B,2,0),"")</f>
        <v>GURUPI</v>
      </c>
    </row>
    <row r="65" spans="1:14" ht="18.75" customHeight="1" x14ac:dyDescent="0.25">
      <c r="A65" s="52">
        <v>7902102003</v>
      </c>
      <c r="B65" s="51" t="s">
        <v>1003</v>
      </c>
      <c r="C65" s="51" t="s">
        <v>1021</v>
      </c>
      <c r="D65" s="51"/>
      <c r="E65" s="51" t="s">
        <v>1005</v>
      </c>
      <c r="F65" s="51"/>
      <c r="G65" s="51"/>
      <c r="H65" s="51" t="s">
        <v>1005</v>
      </c>
      <c r="I65" s="51" t="s">
        <v>1005</v>
      </c>
      <c r="J65" s="50" t="str">
        <f t="shared" si="0"/>
        <v>7902102003.pdf</v>
      </c>
      <c r="K65" s="51" t="s">
        <v>1006</v>
      </c>
      <c r="L65" s="51" t="s">
        <v>1050</v>
      </c>
      <c r="M65" s="50" t="str">
        <f t="shared" si="1"/>
        <v>13.800</v>
      </c>
      <c r="N65" s="50" t="str">
        <f>IF(A65&lt;&gt;"",VLOOKUP(RIGHT(A65,3)*1,[4]Des_Loc!A:B,2,0),"")</f>
        <v>GURUPI</v>
      </c>
    </row>
    <row r="66" spans="1:14" ht="18.75" customHeight="1" x14ac:dyDescent="0.25">
      <c r="A66" s="52">
        <v>7900414059</v>
      </c>
      <c r="B66" s="51" t="s">
        <v>1003</v>
      </c>
      <c r="C66" s="51">
        <v>3</v>
      </c>
      <c r="D66" s="51"/>
      <c r="E66" s="51" t="s">
        <v>1005</v>
      </c>
      <c r="F66" s="51"/>
      <c r="G66" s="51"/>
      <c r="H66" s="51" t="s">
        <v>1005</v>
      </c>
      <c r="I66" s="51" t="s">
        <v>1005</v>
      </c>
      <c r="J66" s="50" t="str">
        <f t="shared" ref="J66:J129" si="2">CONCATENATE(A66,".pdf")</f>
        <v>7900414059.pdf</v>
      </c>
      <c r="K66" s="51" t="s">
        <v>1006</v>
      </c>
      <c r="L66" s="51" t="s">
        <v>571</v>
      </c>
      <c r="M66" s="50" t="str">
        <f t="shared" ref="M66:M129" si="3">IF(L66&lt;&gt;"",IF(LEFT(L66,2)="AL","13.800","34.500"),"")</f>
        <v>34.500</v>
      </c>
      <c r="N66" s="50" t="str">
        <f>IF(A66&lt;&gt;"",VLOOKUP(RIGHT(A66,3)*1,[4]Des_Loc!A:B,2,0),"")</f>
        <v>TAQUARALTO</v>
      </c>
    </row>
    <row r="67" spans="1:14" ht="18.75" customHeight="1" x14ac:dyDescent="0.25">
      <c r="A67" s="52">
        <v>7902098003</v>
      </c>
      <c r="B67" s="51" t="s">
        <v>1003</v>
      </c>
      <c r="C67" s="51">
        <v>2</v>
      </c>
      <c r="D67" s="51"/>
      <c r="E67" s="51" t="s">
        <v>1005</v>
      </c>
      <c r="F67" s="51"/>
      <c r="G67" s="51"/>
      <c r="H67" s="51" t="s">
        <v>1005</v>
      </c>
      <c r="I67" s="51" t="s">
        <v>1005</v>
      </c>
      <c r="J67" s="50" t="str">
        <f t="shared" si="2"/>
        <v>7902098003.pdf</v>
      </c>
      <c r="K67" s="51" t="s">
        <v>1006</v>
      </c>
      <c r="L67" s="51" t="s">
        <v>1051</v>
      </c>
      <c r="M67" s="50" t="str">
        <f t="shared" si="3"/>
        <v>13.800</v>
      </c>
      <c r="N67" s="50" t="str">
        <f>IF(A67&lt;&gt;"",VLOOKUP(RIGHT(A67,3)*1,[4]Des_Loc!A:B,2,0),"")</f>
        <v>GURUPI</v>
      </c>
    </row>
    <row r="68" spans="1:14" ht="18.75" customHeight="1" x14ac:dyDescent="0.25">
      <c r="A68" s="52">
        <v>7900612113</v>
      </c>
      <c r="B68" s="51" t="s">
        <v>1003</v>
      </c>
      <c r="C68" s="51">
        <v>3</v>
      </c>
      <c r="D68" s="51" t="s">
        <v>1011</v>
      </c>
      <c r="E68" s="51" t="s">
        <v>1005</v>
      </c>
      <c r="F68" s="51" t="s">
        <v>1005</v>
      </c>
      <c r="G68" s="51" t="s">
        <v>1005</v>
      </c>
      <c r="H68" s="51" t="s">
        <v>1005</v>
      </c>
      <c r="I68" s="51" t="s">
        <v>1005</v>
      </c>
      <c r="J68" s="50" t="str">
        <f t="shared" si="2"/>
        <v>7900612113.pdf</v>
      </c>
      <c r="K68" s="51" t="s">
        <v>1006</v>
      </c>
      <c r="L68" s="51" t="s">
        <v>1047</v>
      </c>
      <c r="M68" s="50" t="str">
        <f t="shared" si="3"/>
        <v>34.500</v>
      </c>
      <c r="N68" s="50" t="str">
        <f>IF(A68&lt;&gt;"",VLOOKUP(RIGHT(A68,3)*1,[4]Des_Loc!A:B,2,0),"")</f>
        <v>COUTO MAGALHAES</v>
      </c>
    </row>
    <row r="69" spans="1:14" ht="18.75" customHeight="1" x14ac:dyDescent="0.25">
      <c r="A69" s="52">
        <v>7900531033</v>
      </c>
      <c r="B69" s="51" t="s">
        <v>1003</v>
      </c>
      <c r="C69" s="51">
        <v>2</v>
      </c>
      <c r="D69" s="51" t="s">
        <v>1011</v>
      </c>
      <c r="E69" s="51" t="s">
        <v>1005</v>
      </c>
      <c r="F69" s="51" t="s">
        <v>1011</v>
      </c>
      <c r="G69" s="51" t="s">
        <v>1005</v>
      </c>
      <c r="H69" s="51" t="s">
        <v>1005</v>
      </c>
      <c r="I69" s="51" t="s">
        <v>1011</v>
      </c>
      <c r="J69" s="50" t="str">
        <f t="shared" si="2"/>
        <v>7900531033.pdf</v>
      </c>
      <c r="K69" s="51" t="s">
        <v>1006</v>
      </c>
      <c r="L69" s="51" t="s">
        <v>1052</v>
      </c>
      <c r="M69" s="50" t="str">
        <f t="shared" si="3"/>
        <v>13.800</v>
      </c>
      <c r="N69" s="50" t="str">
        <f>IF(A69&lt;&gt;"",VLOOKUP(RIGHT(A69,3)*1,[4]Des_Loc!A:B,2,0),"")</f>
        <v>COLMEIA</v>
      </c>
    </row>
    <row r="70" spans="1:14" ht="18.75" customHeight="1" x14ac:dyDescent="0.25">
      <c r="A70" s="52">
        <v>7900551083</v>
      </c>
      <c r="B70" s="51" t="s">
        <v>1003</v>
      </c>
      <c r="C70" s="51" t="s">
        <v>1010</v>
      </c>
      <c r="D70" s="51"/>
      <c r="E70" s="51" t="s">
        <v>1005</v>
      </c>
      <c r="F70" s="51"/>
      <c r="G70" s="51"/>
      <c r="H70" s="51" t="s">
        <v>1005</v>
      </c>
      <c r="I70" s="51" t="s">
        <v>1005</v>
      </c>
      <c r="J70" s="50" t="str">
        <f t="shared" si="2"/>
        <v>7900551083.pdf</v>
      </c>
      <c r="K70" s="51" t="s">
        <v>1006</v>
      </c>
      <c r="L70" s="51" t="s">
        <v>1015</v>
      </c>
      <c r="M70" s="50" t="str">
        <f t="shared" si="3"/>
        <v>34.500</v>
      </c>
      <c r="N70" s="50" t="str">
        <f>IF(A70&lt;&gt;"",VLOOKUP(RIGHT(A70,3)*1,[4]Des_Loc!A:B,2,0),"")</f>
        <v>APARECIDA DO RIO NEGRO</v>
      </c>
    </row>
    <row r="71" spans="1:14" ht="18.75" customHeight="1" x14ac:dyDescent="0.25">
      <c r="A71" s="52">
        <v>7905366122</v>
      </c>
      <c r="B71" s="51" t="s">
        <v>1003</v>
      </c>
      <c r="C71" s="51">
        <v>2</v>
      </c>
      <c r="D71" s="51" t="s">
        <v>1011</v>
      </c>
      <c r="E71" s="51" t="s">
        <v>1005</v>
      </c>
      <c r="F71" s="51" t="s">
        <v>1011</v>
      </c>
      <c r="G71" s="51" t="s">
        <v>1005</v>
      </c>
      <c r="H71" s="51" t="s">
        <v>1005</v>
      </c>
      <c r="I71" s="51" t="s">
        <v>1005</v>
      </c>
      <c r="J71" s="50" t="str">
        <f t="shared" si="2"/>
        <v>7905366122.pdf</v>
      </c>
      <c r="K71" s="51" t="s">
        <v>1006</v>
      </c>
      <c r="L71" s="51" t="s">
        <v>1053</v>
      </c>
      <c r="M71" s="50" t="str">
        <f t="shared" si="3"/>
        <v>13.800</v>
      </c>
      <c r="N71" s="50" t="str">
        <f>IF(A71&lt;&gt;"",VLOOKUP(RIGHT(A71,3)*1,[4]Des_Loc!A:B,2,0),"")</f>
        <v>PALMAS</v>
      </c>
    </row>
    <row r="72" spans="1:14" ht="18.75" customHeight="1" x14ac:dyDescent="0.25">
      <c r="A72" s="52">
        <v>7900559058</v>
      </c>
      <c r="B72" s="51" t="s">
        <v>1003</v>
      </c>
      <c r="C72" s="51" t="s">
        <v>1010</v>
      </c>
      <c r="D72" s="51" t="s">
        <v>1035</v>
      </c>
      <c r="E72" s="51" t="s">
        <v>1011</v>
      </c>
      <c r="F72" s="51" t="s">
        <v>1005</v>
      </c>
      <c r="G72" s="51" t="s">
        <v>1005</v>
      </c>
      <c r="H72" s="51" t="s">
        <v>1005</v>
      </c>
      <c r="I72" s="51" t="s">
        <v>1005</v>
      </c>
      <c r="J72" s="50" t="str">
        <f t="shared" si="2"/>
        <v>7900559058.pdf</v>
      </c>
      <c r="K72" s="51" t="s">
        <v>1006</v>
      </c>
      <c r="L72" s="51" t="s">
        <v>505</v>
      </c>
      <c r="M72" s="50" t="str">
        <f t="shared" si="3"/>
        <v>34.500</v>
      </c>
      <c r="N72" s="50" t="str">
        <f>IF(A72&lt;&gt;"",VLOOKUP(RIGHT(A72,3)*1,[4]Des_Loc!A:B,2,0),"")</f>
        <v>SANTA FE DO ARAGUAIA</v>
      </c>
    </row>
    <row r="73" spans="1:14" ht="18.75" customHeight="1" x14ac:dyDescent="0.25">
      <c r="A73" s="52">
        <v>7900290092</v>
      </c>
      <c r="B73" s="51" t="s">
        <v>1003</v>
      </c>
      <c r="C73" s="51">
        <v>3</v>
      </c>
      <c r="D73" s="51"/>
      <c r="E73" s="51" t="s">
        <v>1005</v>
      </c>
      <c r="F73" s="51"/>
      <c r="G73" s="51"/>
      <c r="H73" s="51" t="s">
        <v>1005</v>
      </c>
      <c r="I73" s="51" t="s">
        <v>1005</v>
      </c>
      <c r="J73" s="50" t="str">
        <f t="shared" si="2"/>
        <v>7900290092.pdf</v>
      </c>
      <c r="K73" s="51" t="s">
        <v>1009</v>
      </c>
      <c r="L73" s="51" t="s">
        <v>1015</v>
      </c>
      <c r="M73" s="50" t="str">
        <f t="shared" si="3"/>
        <v>34.500</v>
      </c>
      <c r="N73" s="50" t="str">
        <f>IF(A73&lt;&gt;"",VLOOKUP(RIGHT(A73,3)*1,[4]Des_Loc!A:B,2,0),"")</f>
        <v>NOVO ACORDO</v>
      </c>
    </row>
    <row r="74" spans="1:14" ht="18.75" customHeight="1" x14ac:dyDescent="0.25">
      <c r="A74" s="52">
        <v>7903568004</v>
      </c>
      <c r="B74" s="51" t="s">
        <v>1003</v>
      </c>
      <c r="C74" s="51">
        <v>2</v>
      </c>
      <c r="D74" s="51"/>
      <c r="E74" s="51" t="s">
        <v>1005</v>
      </c>
      <c r="F74" s="51"/>
      <c r="G74" s="51"/>
      <c r="H74" s="51" t="s">
        <v>1005</v>
      </c>
      <c r="I74" s="51" t="s">
        <v>1005</v>
      </c>
      <c r="J74" s="50" t="str">
        <f t="shared" si="2"/>
        <v>7903568004.pdf</v>
      </c>
      <c r="K74" s="51" t="s">
        <v>1006</v>
      </c>
      <c r="L74" s="51" t="s">
        <v>1054</v>
      </c>
      <c r="M74" s="50" t="str">
        <f t="shared" si="3"/>
        <v>13.800</v>
      </c>
      <c r="N74" s="50" t="str">
        <f>IF(A74&lt;&gt;"",VLOOKUP(RIGHT(A74,3)*1,[4]Des_Loc!A:B,2,0),"")</f>
        <v>ARAGUAINA</v>
      </c>
    </row>
    <row r="75" spans="1:14" ht="18.75" customHeight="1" x14ac:dyDescent="0.25">
      <c r="A75" s="52">
        <v>7903565004</v>
      </c>
      <c r="B75" s="51" t="s">
        <v>1003</v>
      </c>
      <c r="C75" s="51">
        <v>2</v>
      </c>
      <c r="D75" s="51"/>
      <c r="E75" s="51" t="s">
        <v>1005</v>
      </c>
      <c r="F75" s="51"/>
      <c r="G75" s="51"/>
      <c r="H75" s="51" t="s">
        <v>1005</v>
      </c>
      <c r="I75" s="51" t="s">
        <v>1005</v>
      </c>
      <c r="J75" s="50" t="str">
        <f t="shared" si="2"/>
        <v>7903565004.pdf</v>
      </c>
      <c r="K75" s="51" t="s">
        <v>1006</v>
      </c>
      <c r="L75" s="51" t="s">
        <v>606</v>
      </c>
      <c r="M75" s="50" t="str">
        <f t="shared" si="3"/>
        <v>13.800</v>
      </c>
      <c r="N75" s="50" t="str">
        <f>IF(A75&lt;&gt;"",VLOOKUP(RIGHT(A75,3)*1,[4]Des_Loc!A:B,2,0),"")</f>
        <v>ARAGUAINA</v>
      </c>
    </row>
    <row r="76" spans="1:14" ht="18.75" customHeight="1" x14ac:dyDescent="0.25">
      <c r="A76" s="52">
        <v>7900158156</v>
      </c>
      <c r="B76" s="51" t="s">
        <v>1003</v>
      </c>
      <c r="C76" s="51" t="s">
        <v>1010</v>
      </c>
      <c r="D76" s="51"/>
      <c r="E76" s="51" t="s">
        <v>1005</v>
      </c>
      <c r="F76" s="51"/>
      <c r="G76" s="51"/>
      <c r="H76" s="51" t="s">
        <v>1005</v>
      </c>
      <c r="I76" s="51" t="s">
        <v>1005</v>
      </c>
      <c r="J76" s="50" t="str">
        <f t="shared" si="2"/>
        <v>7900158156.pdf</v>
      </c>
      <c r="K76" s="51" t="s">
        <v>1006</v>
      </c>
      <c r="L76" s="51" t="s">
        <v>453</v>
      </c>
      <c r="M76" s="50" t="str">
        <f t="shared" si="3"/>
        <v>34.500</v>
      </c>
      <c r="N76" s="50" t="str">
        <f>IF(A76&lt;&gt;"",VLOOKUP(RIGHT(A76,3)*1,[4]Des_Loc!A:B,2,0),"")</f>
        <v>CACHOEIRINHA</v>
      </c>
    </row>
    <row r="77" spans="1:14" ht="18.75" customHeight="1" x14ac:dyDescent="0.25">
      <c r="A77" s="52">
        <v>7905363122</v>
      </c>
      <c r="B77" s="51" t="s">
        <v>1003</v>
      </c>
      <c r="C77" s="51" t="s">
        <v>1021</v>
      </c>
      <c r="D77" s="51"/>
      <c r="E77" s="51" t="s">
        <v>1005</v>
      </c>
      <c r="F77" s="51"/>
      <c r="G77" s="51"/>
      <c r="H77" s="51" t="s">
        <v>1005</v>
      </c>
      <c r="I77" s="51" t="s">
        <v>1005</v>
      </c>
      <c r="J77" s="50" t="str">
        <f t="shared" si="2"/>
        <v>7905363122.pdf</v>
      </c>
      <c r="K77" s="51" t="s">
        <v>1006</v>
      </c>
      <c r="L77" s="51" t="s">
        <v>1055</v>
      </c>
      <c r="M77" s="50" t="str">
        <f t="shared" si="3"/>
        <v>13.800</v>
      </c>
      <c r="N77" s="50" t="str">
        <f>IF(A77&lt;&gt;"",VLOOKUP(RIGHT(A77,3)*1,[4]Des_Loc!A:B,2,0),"")</f>
        <v>PALMAS</v>
      </c>
    </row>
    <row r="78" spans="1:14" ht="18.75" customHeight="1" x14ac:dyDescent="0.25">
      <c r="A78" s="52">
        <v>7900398078</v>
      </c>
      <c r="B78" s="51" t="s">
        <v>1003</v>
      </c>
      <c r="C78" s="51" t="s">
        <v>1021</v>
      </c>
      <c r="D78" s="51" t="s">
        <v>1005</v>
      </c>
      <c r="E78" s="51" t="s">
        <v>1005</v>
      </c>
      <c r="F78" s="51" t="s">
        <v>1005</v>
      </c>
      <c r="G78" s="51" t="s">
        <v>1005</v>
      </c>
      <c r="H78" s="51" t="s">
        <v>1005</v>
      </c>
      <c r="I78" s="51" t="s">
        <v>1005</v>
      </c>
      <c r="J78" s="50" t="str">
        <f t="shared" si="2"/>
        <v>7900398078.pdf</v>
      </c>
      <c r="K78" s="51" t="s">
        <v>1006</v>
      </c>
      <c r="L78" s="51" t="s">
        <v>1047</v>
      </c>
      <c r="M78" s="50" t="str">
        <f t="shared" si="3"/>
        <v>34.500</v>
      </c>
      <c r="N78" s="50" t="str">
        <f>IF(A78&lt;&gt;"",VLOOKUP(RIGHT(A78,3)*1,[4]Des_Loc!A:B,2,0),"")</f>
        <v>ITACAJA</v>
      </c>
    </row>
    <row r="79" spans="1:14" ht="18.75" customHeight="1" x14ac:dyDescent="0.25">
      <c r="A79" s="52">
        <v>7900663071</v>
      </c>
      <c r="B79" s="51" t="s">
        <v>1003</v>
      </c>
      <c r="C79" s="51" t="s">
        <v>1021</v>
      </c>
      <c r="D79" s="51"/>
      <c r="E79" s="51" t="s">
        <v>1005</v>
      </c>
      <c r="F79" s="51"/>
      <c r="G79" s="51"/>
      <c r="H79" s="51" t="s">
        <v>1005</v>
      </c>
      <c r="I79" s="51" t="s">
        <v>1005</v>
      </c>
      <c r="J79" s="50" t="str">
        <f t="shared" si="2"/>
        <v>7900663071.pdf</v>
      </c>
      <c r="K79" s="51" t="s">
        <v>1006</v>
      </c>
      <c r="L79" s="51" t="s">
        <v>1046</v>
      </c>
      <c r="M79" s="50" t="str">
        <f t="shared" si="3"/>
        <v>34.500</v>
      </c>
      <c r="N79" s="50" t="str">
        <f>IF(A79&lt;&gt;"",VLOOKUP(RIGHT(A79,3)*1,[4]Des_Loc!A:B,2,0),"")</f>
        <v>BREJINHO DE NAZARE</v>
      </c>
    </row>
    <row r="80" spans="1:14" ht="18.75" customHeight="1" x14ac:dyDescent="0.25">
      <c r="A80" s="52">
        <v>7900666071</v>
      </c>
      <c r="B80" s="51" t="s">
        <v>1003</v>
      </c>
      <c r="C80" s="51" t="s">
        <v>1008</v>
      </c>
      <c r="D80" s="51" t="s">
        <v>1005</v>
      </c>
      <c r="E80" s="51" t="s">
        <v>1005</v>
      </c>
      <c r="F80" s="51" t="s">
        <v>1005</v>
      </c>
      <c r="G80" s="51" t="s">
        <v>1005</v>
      </c>
      <c r="H80" s="51" t="s">
        <v>1005</v>
      </c>
      <c r="I80" s="51" t="s">
        <v>1005</v>
      </c>
      <c r="J80" s="50" t="str">
        <f t="shared" si="2"/>
        <v>7900666071.pdf</v>
      </c>
      <c r="K80" s="51" t="s">
        <v>1006</v>
      </c>
      <c r="L80" s="51" t="s">
        <v>1046</v>
      </c>
      <c r="M80" s="50" t="str">
        <f t="shared" si="3"/>
        <v>34.500</v>
      </c>
      <c r="N80" s="50" t="str">
        <f>IF(A80&lt;&gt;"",VLOOKUP(RIGHT(A80,3)*1,[4]Des_Loc!A:B,2,0),"")</f>
        <v>BREJINHO DE NAZARE</v>
      </c>
    </row>
    <row r="81" spans="1:14" ht="18.75" customHeight="1" x14ac:dyDescent="0.25">
      <c r="A81" s="52">
        <v>7900888005</v>
      </c>
      <c r="B81" s="51" t="s">
        <v>1003</v>
      </c>
      <c r="C81" s="51">
        <v>3</v>
      </c>
      <c r="D81" s="51" t="s">
        <v>1011</v>
      </c>
      <c r="E81" s="51" t="s">
        <v>1005</v>
      </c>
      <c r="F81" s="51" t="s">
        <v>1005</v>
      </c>
      <c r="G81" s="51" t="s">
        <v>1005</v>
      </c>
      <c r="H81" s="51" t="s">
        <v>1005</v>
      </c>
      <c r="I81" s="51" t="s">
        <v>1005</v>
      </c>
      <c r="J81" s="50" t="str">
        <f t="shared" si="2"/>
        <v>7900888005.pdf</v>
      </c>
      <c r="K81" s="51" t="s">
        <v>1006</v>
      </c>
      <c r="L81" s="51" t="s">
        <v>1038</v>
      </c>
      <c r="M81" s="50" t="str">
        <f t="shared" si="3"/>
        <v>34.500</v>
      </c>
      <c r="N81" s="50" t="str">
        <f>IF(A81&lt;&gt;"",VLOOKUP(RIGHT(A81,3)*1,[4]Des_Loc!A:B,2,0),"")</f>
        <v>ARRAIAS</v>
      </c>
    </row>
    <row r="82" spans="1:14" ht="18.75" customHeight="1" x14ac:dyDescent="0.25">
      <c r="A82" s="52">
        <v>7900567149</v>
      </c>
      <c r="B82" s="51" t="s">
        <v>1003</v>
      </c>
      <c r="C82" s="51">
        <v>3</v>
      </c>
      <c r="D82" s="51" t="s">
        <v>1011</v>
      </c>
      <c r="E82" s="51" t="s">
        <v>1005</v>
      </c>
      <c r="F82" s="51" t="s">
        <v>1005</v>
      </c>
      <c r="G82" s="51" t="s">
        <v>1005</v>
      </c>
      <c r="H82" s="51" t="s">
        <v>1011</v>
      </c>
      <c r="I82" s="51" t="s">
        <v>1005</v>
      </c>
      <c r="J82" s="50" t="str">
        <f t="shared" si="2"/>
        <v>7900567149.pdf</v>
      </c>
      <c r="K82" s="51" t="s">
        <v>1006</v>
      </c>
      <c r="L82" s="51" t="s">
        <v>1042</v>
      </c>
      <c r="M82" s="50" t="str">
        <f t="shared" si="3"/>
        <v>34.500</v>
      </c>
      <c r="N82" s="50" t="str">
        <f>IF(A82&lt;&gt;"",VLOOKUP(RIGHT(A82,3)*1,[4]Des_Loc!A:B,2,0),"")</f>
        <v>CASEARA</v>
      </c>
    </row>
    <row r="83" spans="1:14" ht="18.75" customHeight="1" x14ac:dyDescent="0.25">
      <c r="A83" s="52">
        <v>7901575052</v>
      </c>
      <c r="B83" s="51" t="s">
        <v>1003</v>
      </c>
      <c r="C83" s="51" t="s">
        <v>1010</v>
      </c>
      <c r="D83" s="51"/>
      <c r="E83" s="51" t="s">
        <v>1011</v>
      </c>
      <c r="F83" s="51"/>
      <c r="G83" s="51"/>
      <c r="H83" s="51" t="s">
        <v>1005</v>
      </c>
      <c r="I83" s="51" t="s">
        <v>1005</v>
      </c>
      <c r="J83" s="50" t="str">
        <f t="shared" si="2"/>
        <v>7901575052.pdf</v>
      </c>
      <c r="K83" s="51" t="s">
        <v>1006</v>
      </c>
      <c r="L83" s="51" t="s">
        <v>1056</v>
      </c>
      <c r="M83" s="50" t="str">
        <f t="shared" si="3"/>
        <v>34.500</v>
      </c>
      <c r="N83" s="50" t="str">
        <f>IF(A83&lt;&gt;"",VLOOKUP(RIGHT(A83,3)*1,[4]Des_Loc!A:B,2,0),"")</f>
        <v>FORMOSO DO ARAGUAIA</v>
      </c>
    </row>
    <row r="84" spans="1:14" ht="18.75" customHeight="1" x14ac:dyDescent="0.25">
      <c r="A84" s="52">
        <v>7902413001</v>
      </c>
      <c r="B84" s="51" t="s">
        <v>1003</v>
      </c>
      <c r="C84" s="51">
        <v>3</v>
      </c>
      <c r="D84" s="51" t="s">
        <v>1005</v>
      </c>
      <c r="E84" s="51" t="s">
        <v>1005</v>
      </c>
      <c r="F84" s="51" t="s">
        <v>1005</v>
      </c>
      <c r="G84" s="51" t="s">
        <v>1005</v>
      </c>
      <c r="H84" s="51" t="s">
        <v>1005</v>
      </c>
      <c r="I84" s="51" t="s">
        <v>1005</v>
      </c>
      <c r="J84" s="50" t="str">
        <f t="shared" si="2"/>
        <v>7902413001.pdf</v>
      </c>
      <c r="K84" s="54" t="s">
        <v>1006</v>
      </c>
      <c r="L84" s="51" t="s">
        <v>1057</v>
      </c>
      <c r="M84" s="50" t="str">
        <f t="shared" si="3"/>
        <v>13.800</v>
      </c>
      <c r="N84" s="50" t="str">
        <f>IF(A84&lt;&gt;"",VLOOKUP(RIGHT(A84,3)*1,[4]Des_Loc!A:B,2,0),"")</f>
        <v>PORTO NACIONAL</v>
      </c>
    </row>
    <row r="85" spans="1:14" ht="18.75" customHeight="1" x14ac:dyDescent="0.25">
      <c r="A85" s="52">
        <v>7902096003</v>
      </c>
      <c r="B85" s="51" t="s">
        <v>1003</v>
      </c>
      <c r="C85" s="51">
        <v>2</v>
      </c>
      <c r="D85" s="51"/>
      <c r="E85" s="51" t="s">
        <v>1005</v>
      </c>
      <c r="F85" s="51"/>
      <c r="G85" s="51"/>
      <c r="H85" s="51" t="s">
        <v>1005</v>
      </c>
      <c r="I85" s="51" t="s">
        <v>1005</v>
      </c>
      <c r="J85" s="50" t="str">
        <f t="shared" si="2"/>
        <v>7902096003.pdf</v>
      </c>
      <c r="K85" s="54" t="s">
        <v>1006</v>
      </c>
      <c r="L85" s="51" t="s">
        <v>1058</v>
      </c>
      <c r="M85" s="50" t="str">
        <f t="shared" si="3"/>
        <v>13.800</v>
      </c>
      <c r="N85" s="50" t="str">
        <f>IF(A85&lt;&gt;"",VLOOKUP(RIGHT(A85,3)*1,[4]Des_Loc!A:B,2,0),"")</f>
        <v>GURUPI</v>
      </c>
    </row>
    <row r="86" spans="1:14" ht="18.75" customHeight="1" x14ac:dyDescent="0.25">
      <c r="A86" s="52">
        <v>7900663086</v>
      </c>
      <c r="B86" s="51" t="s">
        <v>1003</v>
      </c>
      <c r="C86" s="51">
        <v>3</v>
      </c>
      <c r="D86" s="51" t="s">
        <v>1011</v>
      </c>
      <c r="E86" s="51" t="s">
        <v>1005</v>
      </c>
      <c r="F86" s="51" t="s">
        <v>1005</v>
      </c>
      <c r="G86" s="51" t="s">
        <v>1005</v>
      </c>
      <c r="H86" s="51" t="s">
        <v>1011</v>
      </c>
      <c r="I86" s="51" t="s">
        <v>1005</v>
      </c>
      <c r="J86" s="50" t="str">
        <f t="shared" si="2"/>
        <v>7900663086.pdf</v>
      </c>
      <c r="K86" s="51" t="s">
        <v>1006</v>
      </c>
      <c r="L86" s="51" t="s">
        <v>1042</v>
      </c>
      <c r="M86" s="50" t="str">
        <f t="shared" si="3"/>
        <v>34.500</v>
      </c>
      <c r="N86" s="50" t="str">
        <f>IF(A86&lt;&gt;"",VLOOKUP(RIGHT(A86,3)*1,[4]Des_Loc!A:B,2,0),"")</f>
        <v>MARIANOPOLIS</v>
      </c>
    </row>
    <row r="87" spans="1:14" ht="18.75" customHeight="1" x14ac:dyDescent="0.25">
      <c r="A87" s="52">
        <v>7900543083</v>
      </c>
      <c r="B87" s="51" t="s">
        <v>1003</v>
      </c>
      <c r="C87" s="51">
        <v>2</v>
      </c>
      <c r="D87" s="51"/>
      <c r="E87" s="51" t="s">
        <v>1005</v>
      </c>
      <c r="F87" s="51"/>
      <c r="G87" s="51"/>
      <c r="H87" s="51" t="s">
        <v>1005</v>
      </c>
      <c r="I87" s="51" t="s">
        <v>1005</v>
      </c>
      <c r="J87" s="50" t="str">
        <f t="shared" si="2"/>
        <v>7900543083.pdf</v>
      </c>
      <c r="K87" s="54" t="s">
        <v>1006</v>
      </c>
      <c r="L87" s="51" t="s">
        <v>1015</v>
      </c>
      <c r="M87" s="50" t="str">
        <f t="shared" si="3"/>
        <v>34.500</v>
      </c>
      <c r="N87" s="50" t="str">
        <f>IF(A87&lt;&gt;"",VLOOKUP(RIGHT(A87,3)*1,[4]Des_Loc!A:B,2,0),"")</f>
        <v>APARECIDA DO RIO NEGRO</v>
      </c>
    </row>
    <row r="88" spans="1:14" ht="18.75" customHeight="1" x14ac:dyDescent="0.25">
      <c r="A88" s="52">
        <v>7900485025</v>
      </c>
      <c r="B88" s="51" t="s">
        <v>1003</v>
      </c>
      <c r="C88" s="51" t="s">
        <v>1010</v>
      </c>
      <c r="D88" s="51" t="s">
        <v>1011</v>
      </c>
      <c r="E88" s="51" t="s">
        <v>1005</v>
      </c>
      <c r="F88" s="51" t="s">
        <v>1005</v>
      </c>
      <c r="G88" s="51" t="s">
        <v>1005</v>
      </c>
      <c r="H88" s="51" t="s">
        <v>1005</v>
      </c>
      <c r="I88" s="51" t="s">
        <v>1005</v>
      </c>
      <c r="J88" s="50" t="str">
        <f t="shared" si="2"/>
        <v>7900485025.pdf</v>
      </c>
      <c r="K88" s="51" t="s">
        <v>1006</v>
      </c>
      <c r="L88" s="51" t="s">
        <v>353</v>
      </c>
      <c r="M88" s="50" t="str">
        <f t="shared" si="3"/>
        <v>34.500</v>
      </c>
      <c r="N88" s="50" t="str">
        <f>IF(A88&lt;&gt;"",VLOOKUP(RIGHT(A88,3)*1,[4]Des_Loc!A:B,2,0),"")</f>
        <v>ARAPOEMA</v>
      </c>
    </row>
    <row r="89" spans="1:14" ht="18.75" customHeight="1" x14ac:dyDescent="0.25">
      <c r="A89" s="52">
        <v>7900490025</v>
      </c>
      <c r="B89" s="51" t="s">
        <v>1003</v>
      </c>
      <c r="C89" s="51" t="s">
        <v>1004</v>
      </c>
      <c r="D89" s="51" t="s">
        <v>1005</v>
      </c>
      <c r="E89" s="51" t="s">
        <v>1005</v>
      </c>
      <c r="F89" s="51" t="s">
        <v>1005</v>
      </c>
      <c r="G89" s="51" t="s">
        <v>1005</v>
      </c>
      <c r="H89" s="51" t="s">
        <v>1005</v>
      </c>
      <c r="I89" s="51" t="s">
        <v>1005</v>
      </c>
      <c r="J89" s="50" t="str">
        <f t="shared" si="2"/>
        <v>7900490025.pdf</v>
      </c>
      <c r="K89" s="51" t="s">
        <v>1006</v>
      </c>
      <c r="L89" s="51" t="s">
        <v>353</v>
      </c>
      <c r="M89" s="50" t="str">
        <f t="shared" si="3"/>
        <v>34.500</v>
      </c>
      <c r="N89" s="50" t="str">
        <f>IF(A89&lt;&gt;"",VLOOKUP(RIGHT(A89,3)*1,[4]Des_Loc!A:B,2,0),"")</f>
        <v>ARAPOEMA</v>
      </c>
    </row>
    <row r="90" spans="1:14" ht="18.75" customHeight="1" x14ac:dyDescent="0.25">
      <c r="A90" s="52">
        <v>7900445066</v>
      </c>
      <c r="B90" s="51" t="s">
        <v>1003</v>
      </c>
      <c r="C90" s="51">
        <v>3</v>
      </c>
      <c r="D90" s="51" t="s">
        <v>1005</v>
      </c>
      <c r="E90" s="51" t="s">
        <v>1005</v>
      </c>
      <c r="F90" s="51" t="s">
        <v>1005</v>
      </c>
      <c r="G90" s="51" t="s">
        <v>1005</v>
      </c>
      <c r="H90" s="51" t="s">
        <v>1005</v>
      </c>
      <c r="I90" s="51" t="s">
        <v>1005</v>
      </c>
      <c r="J90" s="50" t="str">
        <f t="shared" si="2"/>
        <v>7900445066.pdf</v>
      </c>
      <c r="K90" s="51" t="s">
        <v>1006</v>
      </c>
      <c r="L90" s="51" t="s">
        <v>1047</v>
      </c>
      <c r="M90" s="50" t="str">
        <f t="shared" si="3"/>
        <v>34.500</v>
      </c>
      <c r="N90" s="50" t="str">
        <f>IF(A90&lt;&gt;"",VLOOKUP(RIGHT(A90,3)*1,[4]Des_Loc!A:B,2,0),"")</f>
        <v>TUPIRATINS</v>
      </c>
    </row>
    <row r="91" spans="1:14" ht="18.75" customHeight="1" x14ac:dyDescent="0.25">
      <c r="A91" s="52">
        <v>7901716003</v>
      </c>
      <c r="B91" s="51" t="s">
        <v>1003</v>
      </c>
      <c r="C91" s="51">
        <v>2</v>
      </c>
      <c r="D91" s="51"/>
      <c r="E91" s="51" t="s">
        <v>1005</v>
      </c>
      <c r="F91" s="51"/>
      <c r="G91" s="51"/>
      <c r="H91" s="51" t="s">
        <v>1005</v>
      </c>
      <c r="I91" s="51" t="s">
        <v>1005</v>
      </c>
      <c r="J91" s="50" t="str">
        <f t="shared" si="2"/>
        <v>7901716003.pdf</v>
      </c>
      <c r="K91" s="51" t="s">
        <v>1006</v>
      </c>
      <c r="L91" s="51" t="s">
        <v>1059</v>
      </c>
      <c r="M91" s="50" t="str">
        <f t="shared" si="3"/>
        <v>13.800</v>
      </c>
      <c r="N91" s="50" t="str">
        <f>IF(A91&lt;&gt;"",VLOOKUP(RIGHT(A91,3)*1,[4]Des_Loc!A:B,2,0),"")</f>
        <v>GURUPI</v>
      </c>
    </row>
    <row r="92" spans="1:14" ht="18.75" customHeight="1" x14ac:dyDescent="0.25">
      <c r="A92" s="52">
        <v>7900583012</v>
      </c>
      <c r="B92" s="51" t="s">
        <v>1003</v>
      </c>
      <c r="C92" s="51">
        <v>3</v>
      </c>
      <c r="D92" s="51" t="s">
        <v>1011</v>
      </c>
      <c r="E92" s="51" t="s">
        <v>1005</v>
      </c>
      <c r="F92" s="51" t="s">
        <v>1005</v>
      </c>
      <c r="G92" s="51" t="s">
        <v>1005</v>
      </c>
      <c r="H92" s="51" t="s">
        <v>1005</v>
      </c>
      <c r="I92" s="51" t="s">
        <v>1005</v>
      </c>
      <c r="J92" s="50" t="str">
        <f t="shared" si="2"/>
        <v>7900583012.pdf</v>
      </c>
      <c r="K92" s="51" t="s">
        <v>1006</v>
      </c>
      <c r="L92" s="51" t="s">
        <v>599</v>
      </c>
      <c r="M92" s="50" t="str">
        <f t="shared" si="3"/>
        <v>34.500</v>
      </c>
      <c r="N92" s="50" t="str">
        <f>IF(A92&lt;&gt;"",VLOOKUP(RIGHT(A92,3)*1,[4]Des_Loc!A:B,2,0),"")</f>
        <v>CRISTALANDIA</v>
      </c>
    </row>
    <row r="93" spans="1:14" ht="18.75" customHeight="1" x14ac:dyDescent="0.25">
      <c r="A93" s="52">
        <v>7900181265</v>
      </c>
      <c r="B93" s="51" t="s">
        <v>1003</v>
      </c>
      <c r="C93" s="51">
        <v>2</v>
      </c>
      <c r="D93" s="51" t="s">
        <v>1011</v>
      </c>
      <c r="E93" s="51" t="s">
        <v>1005</v>
      </c>
      <c r="F93" s="51" t="s">
        <v>1005</v>
      </c>
      <c r="G93" s="51" t="s">
        <v>1005</v>
      </c>
      <c r="H93" s="51" t="s">
        <v>1005</v>
      </c>
      <c r="I93" s="51" t="s">
        <v>1005</v>
      </c>
      <c r="J93" s="50" t="str">
        <f t="shared" si="2"/>
        <v>7900181265.pdf</v>
      </c>
      <c r="K93" s="51" t="s">
        <v>1006</v>
      </c>
      <c r="L93" s="51" t="s">
        <v>632</v>
      </c>
      <c r="M93" s="50" t="str">
        <f t="shared" si="3"/>
        <v>34.500</v>
      </c>
      <c r="N93" s="50" t="str">
        <f>IF(A93&lt;&gt;"",VLOOKUP(RIGHT(A93,3)*1,[4]Des_Loc!A:B,2,0),"")</f>
        <v>BARRA DO OURO</v>
      </c>
    </row>
    <row r="94" spans="1:14" ht="18.75" customHeight="1" x14ac:dyDescent="0.25">
      <c r="A94" s="52">
        <v>7900197151</v>
      </c>
      <c r="B94" s="51" t="s">
        <v>1003</v>
      </c>
      <c r="C94" s="51" t="s">
        <v>1010</v>
      </c>
      <c r="D94" s="51"/>
      <c r="E94" s="51" t="s">
        <v>1005</v>
      </c>
      <c r="F94" s="51"/>
      <c r="G94" s="51"/>
      <c r="H94" s="51" t="s">
        <v>1005</v>
      </c>
      <c r="I94" s="51" t="s">
        <v>1005</v>
      </c>
      <c r="J94" s="50" t="str">
        <f t="shared" si="2"/>
        <v>7900197151.pdf</v>
      </c>
      <c r="K94" s="51" t="s">
        <v>1009</v>
      </c>
      <c r="L94" s="51" t="s">
        <v>571</v>
      </c>
      <c r="M94" s="50" t="str">
        <f t="shared" si="3"/>
        <v>34.500</v>
      </c>
      <c r="N94" s="50" t="str">
        <f>IF(A94&lt;&gt;"",VLOOKUP(RIGHT(A94,3)*1,[4]Des_Loc!A:B,2,0),"")</f>
        <v>SANTA TEREZA DO TOCANTINS</v>
      </c>
    </row>
    <row r="95" spans="1:14" ht="18.75" customHeight="1" x14ac:dyDescent="0.25">
      <c r="A95" s="52">
        <v>7905359122</v>
      </c>
      <c r="B95" s="51" t="s">
        <v>1003</v>
      </c>
      <c r="C95" s="51">
        <v>2</v>
      </c>
      <c r="D95" s="51" t="s">
        <v>1011</v>
      </c>
      <c r="E95" s="51" t="s">
        <v>1005</v>
      </c>
      <c r="F95" s="51" t="s">
        <v>1011</v>
      </c>
      <c r="G95" s="51" t="s">
        <v>1005</v>
      </c>
      <c r="H95" s="51" t="s">
        <v>1005</v>
      </c>
      <c r="I95" s="51" t="s">
        <v>1011</v>
      </c>
      <c r="J95" s="50" t="str">
        <f t="shared" si="2"/>
        <v>7905359122.pdf</v>
      </c>
      <c r="K95" s="51" t="s">
        <v>1006</v>
      </c>
      <c r="L95" s="51" t="s">
        <v>1060</v>
      </c>
      <c r="M95" s="50" t="str">
        <f t="shared" si="3"/>
        <v>13.800</v>
      </c>
      <c r="N95" s="50" t="str">
        <f>IF(A95&lt;&gt;"",VLOOKUP(RIGHT(A95,3)*1,[4]Des_Loc!A:B,2,0),"")</f>
        <v>PALMAS</v>
      </c>
    </row>
    <row r="96" spans="1:14" ht="18.75" customHeight="1" x14ac:dyDescent="0.25">
      <c r="A96" s="52">
        <v>7900002088</v>
      </c>
      <c r="B96" s="51" t="s">
        <v>1003</v>
      </c>
      <c r="C96" s="51">
        <v>2</v>
      </c>
      <c r="D96" s="51" t="s">
        <v>1005</v>
      </c>
      <c r="E96" s="51" t="s">
        <v>1005</v>
      </c>
      <c r="F96" s="51" t="s">
        <v>1005</v>
      </c>
      <c r="G96" s="51" t="s">
        <v>1005</v>
      </c>
      <c r="H96" s="51" t="s">
        <v>1005</v>
      </c>
      <c r="I96" s="51" t="s">
        <v>1005</v>
      </c>
      <c r="J96" s="50" t="str">
        <f t="shared" si="2"/>
        <v>7900002088.pdf</v>
      </c>
      <c r="K96" s="54" t="s">
        <v>1027</v>
      </c>
      <c r="L96" s="51" t="s">
        <v>1061</v>
      </c>
      <c r="M96" s="50" t="str">
        <f t="shared" si="3"/>
        <v>13.800</v>
      </c>
      <c r="N96" s="50" t="str">
        <f>IF(A96&lt;&gt;"",VLOOKUP(RIGHT(A96,3)*1,[4]Des_Loc!A:B,2,0),"")</f>
        <v>SITIO NOVO DO TOCANTINS</v>
      </c>
    </row>
    <row r="97" spans="1:14" ht="18.75" customHeight="1" x14ac:dyDescent="0.25">
      <c r="A97" s="52">
        <v>7902033014</v>
      </c>
      <c r="B97" s="51" t="s">
        <v>1003</v>
      </c>
      <c r="C97" s="51" t="s">
        <v>1010</v>
      </c>
      <c r="D97" s="51" t="s">
        <v>1011</v>
      </c>
      <c r="E97" s="51" t="s">
        <v>1005</v>
      </c>
      <c r="F97" s="51" t="s">
        <v>1011</v>
      </c>
      <c r="G97" s="51" t="s">
        <v>1005</v>
      </c>
      <c r="H97" s="51" t="s">
        <v>1005</v>
      </c>
      <c r="I97" s="51" t="s">
        <v>1011</v>
      </c>
      <c r="J97" s="50" t="str">
        <f t="shared" si="2"/>
        <v>7902033014.pdf</v>
      </c>
      <c r="K97" s="51" t="s">
        <v>1006</v>
      </c>
      <c r="L97" s="51" t="s">
        <v>639</v>
      </c>
      <c r="M97" s="50" t="str">
        <f t="shared" si="3"/>
        <v>34.500</v>
      </c>
      <c r="N97" s="50" t="str">
        <f>IF(A97&lt;&gt;"",VLOOKUP(RIGHT(A97,3)*1,[4]Des_Loc!A:B,2,0),"")</f>
        <v>PIUM</v>
      </c>
    </row>
    <row r="98" spans="1:14" ht="18.75" customHeight="1" x14ac:dyDescent="0.25">
      <c r="A98" s="52">
        <v>7920335122</v>
      </c>
      <c r="B98" s="51" t="s">
        <v>1003</v>
      </c>
      <c r="C98" s="51">
        <v>3</v>
      </c>
      <c r="D98" s="51" t="s">
        <v>1011</v>
      </c>
      <c r="E98" s="51" t="s">
        <v>1005</v>
      </c>
      <c r="F98" s="51" t="s">
        <v>1011</v>
      </c>
      <c r="G98" s="51" t="s">
        <v>1005</v>
      </c>
      <c r="H98" s="51" t="s">
        <v>1005</v>
      </c>
      <c r="I98" s="51" t="s">
        <v>1011</v>
      </c>
      <c r="J98" s="50" t="str">
        <f t="shared" si="2"/>
        <v>7920335122.pdf</v>
      </c>
      <c r="K98" s="51" t="s">
        <v>1006</v>
      </c>
      <c r="L98" s="51" t="s">
        <v>571</v>
      </c>
      <c r="M98" s="50" t="str">
        <f t="shared" si="3"/>
        <v>34.500</v>
      </c>
      <c r="N98" s="50" t="str">
        <f>IF(A98&lt;&gt;"",VLOOKUP(RIGHT(A98,3)*1,[4]Des_Loc!A:B,2,0),"")</f>
        <v>PALMAS</v>
      </c>
    </row>
    <row r="99" spans="1:14" ht="18.75" customHeight="1" x14ac:dyDescent="0.25">
      <c r="A99" s="52">
        <v>7900511021</v>
      </c>
      <c r="B99" s="51" t="s">
        <v>1003</v>
      </c>
      <c r="C99" s="51" t="s">
        <v>1010</v>
      </c>
      <c r="D99" s="51" t="s">
        <v>1011</v>
      </c>
      <c r="E99" s="51" t="s">
        <v>1005</v>
      </c>
      <c r="F99" s="51" t="s">
        <v>1005</v>
      </c>
      <c r="G99" s="51" t="s">
        <v>1005</v>
      </c>
      <c r="H99" s="51" t="s">
        <v>1005</v>
      </c>
      <c r="I99" s="51" t="s">
        <v>1005</v>
      </c>
      <c r="J99" s="50" t="str">
        <f t="shared" si="2"/>
        <v>7900511021.pdf</v>
      </c>
      <c r="K99" s="51" t="s">
        <v>1006</v>
      </c>
      <c r="L99" s="51" t="s">
        <v>1032</v>
      </c>
      <c r="M99" s="50" t="str">
        <f t="shared" si="3"/>
        <v>34.500</v>
      </c>
      <c r="N99" s="50" t="str">
        <f>IF(A99&lt;&gt;"",VLOOKUP(RIGHT(A99,3)*1,[4]Des_Loc!A:B,2,0),"")</f>
        <v>PARANA</v>
      </c>
    </row>
    <row r="100" spans="1:14" ht="18.75" customHeight="1" x14ac:dyDescent="0.25">
      <c r="A100" s="52">
        <v>7901104084</v>
      </c>
      <c r="B100" s="51" t="s">
        <v>1003</v>
      </c>
      <c r="C100" s="51" t="s">
        <v>1008</v>
      </c>
      <c r="D100" s="51" t="s">
        <v>1005</v>
      </c>
      <c r="E100" s="51" t="s">
        <v>1005</v>
      </c>
      <c r="F100" s="51" t="s">
        <v>1005</v>
      </c>
      <c r="G100" s="51" t="s">
        <v>1005</v>
      </c>
      <c r="H100" s="51" t="s">
        <v>1005</v>
      </c>
      <c r="I100" s="51" t="s">
        <v>1005</v>
      </c>
      <c r="J100" s="50" t="str">
        <f t="shared" si="2"/>
        <v>7901104084.pdf</v>
      </c>
      <c r="K100" s="51" t="s">
        <v>1006</v>
      </c>
      <c r="L100" s="51" t="s">
        <v>526</v>
      </c>
      <c r="M100" s="50" t="str">
        <f t="shared" si="3"/>
        <v>34.500</v>
      </c>
      <c r="N100" s="50" t="str">
        <f>IF(A100&lt;&gt;"",VLOOKUP(RIGHT(A100,3)*1,[4]Des_Loc!A:B,2,0),"")</f>
        <v>DIVINOPOLIS</v>
      </c>
    </row>
    <row r="101" spans="1:14" ht="18.75" customHeight="1" x14ac:dyDescent="0.25">
      <c r="A101" s="52">
        <v>7900478025</v>
      </c>
      <c r="B101" s="51" t="s">
        <v>1003</v>
      </c>
      <c r="C101" s="51" t="s">
        <v>1010</v>
      </c>
      <c r="D101" s="51" t="s">
        <v>1011</v>
      </c>
      <c r="E101" s="51" t="s">
        <v>1005</v>
      </c>
      <c r="F101" s="51" t="s">
        <v>1005</v>
      </c>
      <c r="G101" s="51" t="s">
        <v>1005</v>
      </c>
      <c r="H101" s="51" t="s">
        <v>1005</v>
      </c>
      <c r="I101" s="51" t="s">
        <v>1005</v>
      </c>
      <c r="J101" s="50" t="str">
        <f t="shared" si="2"/>
        <v>7900478025.pdf</v>
      </c>
      <c r="K101" s="51" t="s">
        <v>1006</v>
      </c>
      <c r="L101" s="51" t="s">
        <v>353</v>
      </c>
      <c r="M101" s="50" t="str">
        <f t="shared" si="3"/>
        <v>34.500</v>
      </c>
      <c r="N101" s="50" t="str">
        <f>IF(A101&lt;&gt;"",VLOOKUP(RIGHT(A101,3)*1,[4]Des_Loc!A:B,2,0),"")</f>
        <v>ARAPOEMA</v>
      </c>
    </row>
    <row r="102" spans="1:14" ht="18.75" customHeight="1" x14ac:dyDescent="0.25">
      <c r="A102" s="52">
        <v>7901833094</v>
      </c>
      <c r="B102" s="51" t="s">
        <v>1003</v>
      </c>
      <c r="C102" s="51">
        <v>3</v>
      </c>
      <c r="D102" s="51"/>
      <c r="E102" s="51" t="s">
        <v>1005</v>
      </c>
      <c r="F102" s="51"/>
      <c r="G102" s="51"/>
      <c r="H102" s="51" t="s">
        <v>1005</v>
      </c>
      <c r="I102" s="51" t="s">
        <v>1005</v>
      </c>
      <c r="J102" s="50" t="str">
        <f t="shared" si="2"/>
        <v>7901833094.pdf</v>
      </c>
      <c r="K102" s="51" t="s">
        <v>1006</v>
      </c>
      <c r="L102" s="51" t="s">
        <v>406</v>
      </c>
      <c r="M102" s="50" t="str">
        <f t="shared" si="3"/>
        <v>34.500</v>
      </c>
      <c r="N102" s="50" t="str">
        <f>IF(A102&lt;&gt;"",VLOOKUP(RIGHT(A102,3)*1,[4]Des_Loc!A:B,2,0),"")</f>
        <v>PEIXE</v>
      </c>
    </row>
    <row r="103" spans="1:14" ht="18.75" customHeight="1" x14ac:dyDescent="0.25">
      <c r="A103" s="52">
        <v>7900107151</v>
      </c>
      <c r="B103" s="51" t="s">
        <v>1003</v>
      </c>
      <c r="C103" s="51" t="s">
        <v>1010</v>
      </c>
      <c r="D103" s="51"/>
      <c r="E103" s="51" t="s">
        <v>1005</v>
      </c>
      <c r="F103" s="51"/>
      <c r="G103" s="51"/>
      <c r="H103" s="51" t="s">
        <v>1005</v>
      </c>
      <c r="I103" s="51" t="s">
        <v>1005</v>
      </c>
      <c r="J103" s="50" t="str">
        <f t="shared" si="2"/>
        <v>7900107151.pdf</v>
      </c>
      <c r="K103" s="51" t="s">
        <v>1006</v>
      </c>
      <c r="L103" s="51" t="s">
        <v>571</v>
      </c>
      <c r="M103" s="50" t="str">
        <f t="shared" si="3"/>
        <v>34.500</v>
      </c>
      <c r="N103" s="50" t="str">
        <f>IF(A103&lt;&gt;"",VLOOKUP(RIGHT(A103,3)*1,[4]Des_Loc!A:B,2,0),"")</f>
        <v>SANTA TEREZA DO TOCANTINS</v>
      </c>
    </row>
    <row r="104" spans="1:14" ht="18.75" customHeight="1" x14ac:dyDescent="0.25">
      <c r="A104" s="52">
        <v>7900627087</v>
      </c>
      <c r="B104" s="51" t="s">
        <v>1003</v>
      </c>
      <c r="C104" s="51" t="s">
        <v>1010</v>
      </c>
      <c r="D104" s="51" t="s">
        <v>1005</v>
      </c>
      <c r="E104" s="51" t="s">
        <v>1005</v>
      </c>
      <c r="F104" s="51" t="s">
        <v>1005</v>
      </c>
      <c r="G104" s="51" t="s">
        <v>1005</v>
      </c>
      <c r="H104" s="51" t="s">
        <v>1005</v>
      </c>
      <c r="I104" s="51" t="s">
        <v>1005</v>
      </c>
      <c r="J104" s="50" t="str">
        <f t="shared" si="2"/>
        <v>7900627087.pdf</v>
      </c>
      <c r="K104" s="51" t="s">
        <v>1006</v>
      </c>
      <c r="L104" s="51" t="s">
        <v>627</v>
      </c>
      <c r="M104" s="50" t="str">
        <f t="shared" si="3"/>
        <v>34.500</v>
      </c>
      <c r="N104" s="50" t="str">
        <f>IF(A104&lt;&gt;"",VLOOKUP(RIGHT(A104,3)*1,[4]Des_Loc!A:B,2,0),"")</f>
        <v>GOIANORTE</v>
      </c>
    </row>
    <row r="105" spans="1:14" ht="18.75" customHeight="1" x14ac:dyDescent="0.25">
      <c r="A105" s="52">
        <v>7903690004</v>
      </c>
      <c r="B105" s="51" t="s">
        <v>1003</v>
      </c>
      <c r="C105" s="51">
        <v>3</v>
      </c>
      <c r="D105" s="51" t="s">
        <v>1005</v>
      </c>
      <c r="E105" s="51" t="s">
        <v>1005</v>
      </c>
      <c r="F105" s="51" t="s">
        <v>1005</v>
      </c>
      <c r="G105" s="51" t="s">
        <v>1005</v>
      </c>
      <c r="H105" s="51" t="s">
        <v>1005</v>
      </c>
      <c r="I105" s="51" t="s">
        <v>1005</v>
      </c>
      <c r="J105" s="50" t="str">
        <f t="shared" si="2"/>
        <v>7903690004.pdf</v>
      </c>
      <c r="K105" s="51" t="s">
        <v>1006</v>
      </c>
      <c r="L105" s="51" t="s">
        <v>505</v>
      </c>
      <c r="M105" s="50" t="str">
        <f t="shared" si="3"/>
        <v>34.500</v>
      </c>
      <c r="N105" s="50" t="str">
        <f>IF(A105&lt;&gt;"",VLOOKUP(RIGHT(A105,3)*1,[4]Des_Loc!A:B,2,0),"")</f>
        <v>ARAGUAINA</v>
      </c>
    </row>
    <row r="106" spans="1:14" ht="18.75" customHeight="1" x14ac:dyDescent="0.25">
      <c r="A106" s="52">
        <v>7901184075</v>
      </c>
      <c r="B106" s="51" t="s">
        <v>1003</v>
      </c>
      <c r="C106" s="51" t="s">
        <v>1010</v>
      </c>
      <c r="D106" s="51" t="s">
        <v>1005</v>
      </c>
      <c r="E106" s="51" t="s">
        <v>1005</v>
      </c>
      <c r="F106" s="51" t="s">
        <v>1005</v>
      </c>
      <c r="G106" s="51" t="s">
        <v>1005</v>
      </c>
      <c r="H106" s="51" t="s">
        <v>1005</v>
      </c>
      <c r="I106" s="51" t="s">
        <v>1005</v>
      </c>
      <c r="J106" s="50" t="str">
        <f t="shared" si="2"/>
        <v>7901184075.pdf</v>
      </c>
      <c r="K106" s="51" t="s">
        <v>1006</v>
      </c>
      <c r="L106" s="51" t="s">
        <v>1040</v>
      </c>
      <c r="M106" s="50" t="str">
        <f t="shared" si="3"/>
        <v>34.500</v>
      </c>
      <c r="N106" s="50" t="str">
        <f>IF(A106&lt;&gt;"",VLOOKUP(RIGHT(A106,3)*1,[4]Des_Loc!A:B,2,0),"")</f>
        <v>DOIS IRMAOS DO TOCANTINS</v>
      </c>
    </row>
    <row r="107" spans="1:14" ht="18.75" customHeight="1" x14ac:dyDescent="0.25">
      <c r="A107" s="52">
        <v>7900558159</v>
      </c>
      <c r="B107" s="51" t="s">
        <v>1003</v>
      </c>
      <c r="C107" s="51" t="s">
        <v>1010</v>
      </c>
      <c r="D107" s="51" t="s">
        <v>1011</v>
      </c>
      <c r="E107" s="51" t="s">
        <v>1011</v>
      </c>
      <c r="F107" s="51" t="s">
        <v>1005</v>
      </c>
      <c r="G107" s="51" t="s">
        <v>1005</v>
      </c>
      <c r="H107" s="51" t="s">
        <v>1005</v>
      </c>
      <c r="I107" s="51" t="s">
        <v>1005</v>
      </c>
      <c r="J107" s="50" t="str">
        <f t="shared" si="2"/>
        <v>7900558159.pdf</v>
      </c>
      <c r="K107" s="51" t="s">
        <v>1006</v>
      </c>
      <c r="L107" s="51" t="s">
        <v>505</v>
      </c>
      <c r="M107" s="50" t="str">
        <f t="shared" si="3"/>
        <v>34.500</v>
      </c>
      <c r="N107" s="50" t="str">
        <f>IF(A107&lt;&gt;"",VLOOKUP(RIGHT(A107,3)*1,[4]Des_Loc!A:B,2,0),"")</f>
        <v>MURICILANDIA</v>
      </c>
    </row>
    <row r="108" spans="1:14" ht="18.75" customHeight="1" x14ac:dyDescent="0.25">
      <c r="A108" s="52">
        <v>7900550154</v>
      </c>
      <c r="B108" s="51" t="s">
        <v>1003</v>
      </c>
      <c r="C108" s="51" t="s">
        <v>1010</v>
      </c>
      <c r="D108" s="51" t="s">
        <v>1011</v>
      </c>
      <c r="E108" s="51" t="s">
        <v>1005</v>
      </c>
      <c r="F108" s="51" t="s">
        <v>1011</v>
      </c>
      <c r="G108" s="51" t="s">
        <v>1005</v>
      </c>
      <c r="H108" s="51" t="s">
        <v>1005</v>
      </c>
      <c r="I108" s="51" t="s">
        <v>1011</v>
      </c>
      <c r="J108" s="50" t="str">
        <f t="shared" si="2"/>
        <v>7900550154.pdf</v>
      </c>
      <c r="K108" s="51" t="s">
        <v>1006</v>
      </c>
      <c r="L108" s="51" t="s">
        <v>1029</v>
      </c>
      <c r="M108" s="50" t="str">
        <f t="shared" si="3"/>
        <v>34.500</v>
      </c>
      <c r="N108" s="50" t="str">
        <f>IF(A108&lt;&gt;"",VLOOKUP(RIGHT(A108,3)*1,[4]Des_Loc!A:B,2,0),"")</f>
        <v>JUARINA</v>
      </c>
    </row>
    <row r="109" spans="1:14" ht="18.75" customHeight="1" x14ac:dyDescent="0.25">
      <c r="A109" s="52">
        <v>7900648055</v>
      </c>
      <c r="B109" s="51" t="s">
        <v>1003</v>
      </c>
      <c r="C109" s="51" t="s">
        <v>1010</v>
      </c>
      <c r="D109" s="51" t="s">
        <v>1011</v>
      </c>
      <c r="E109" s="51" t="s">
        <v>1005</v>
      </c>
      <c r="F109" s="51" t="s">
        <v>1005</v>
      </c>
      <c r="G109" s="51" t="s">
        <v>1011</v>
      </c>
      <c r="H109" s="51" t="s">
        <v>1005</v>
      </c>
      <c r="I109" s="51" t="s">
        <v>1005</v>
      </c>
      <c r="J109" s="50" t="str">
        <f t="shared" si="2"/>
        <v>7900648055.pdf</v>
      </c>
      <c r="K109" s="51" t="s">
        <v>1006</v>
      </c>
      <c r="L109" s="51" t="s">
        <v>1062</v>
      </c>
      <c r="M109" s="50" t="str">
        <f t="shared" si="3"/>
        <v>34.500</v>
      </c>
      <c r="N109" s="50" t="str">
        <f>IF(A109&lt;&gt;"",VLOOKUP(RIGHT(A109,3)*1,[4]Des_Loc!A:B,2,0),"")</f>
        <v>ARAGUACEMA</v>
      </c>
    </row>
    <row r="110" spans="1:14" ht="18.75" customHeight="1" x14ac:dyDescent="0.25">
      <c r="A110" s="52">
        <v>7901503007</v>
      </c>
      <c r="B110" s="51" t="s">
        <v>1003</v>
      </c>
      <c r="C110" s="51">
        <v>3</v>
      </c>
      <c r="D110" s="51"/>
      <c r="E110" s="51" t="s">
        <v>1005</v>
      </c>
      <c r="F110" s="51"/>
      <c r="G110" s="51"/>
      <c r="H110" s="51" t="s">
        <v>1005</v>
      </c>
      <c r="I110" s="51" t="s">
        <v>1005</v>
      </c>
      <c r="J110" s="50" t="str">
        <f t="shared" si="2"/>
        <v>7901503007.pdf</v>
      </c>
      <c r="K110" s="51" t="s">
        <v>1006</v>
      </c>
      <c r="L110" s="51" t="s">
        <v>1063</v>
      </c>
      <c r="M110" s="50" t="str">
        <f t="shared" si="3"/>
        <v>34.500</v>
      </c>
      <c r="N110" s="50" t="str">
        <f>IF(A110&lt;&gt;"",VLOOKUP(RIGHT(A110,3)*1,[4]Des_Loc!A:B,2,0),"")</f>
        <v>MIRACEMA DO TOCANTINS</v>
      </c>
    </row>
    <row r="111" spans="1:14" ht="18.75" customHeight="1" x14ac:dyDescent="0.25">
      <c r="A111" s="50">
        <v>7900654055</v>
      </c>
      <c r="B111" s="51" t="s">
        <v>1003</v>
      </c>
      <c r="C111" s="51" t="s">
        <v>1010</v>
      </c>
      <c r="D111" s="51" t="s">
        <v>1011</v>
      </c>
      <c r="E111" s="51" t="s">
        <v>1005</v>
      </c>
      <c r="F111" s="51" t="s">
        <v>1005</v>
      </c>
      <c r="G111" s="51" t="s">
        <v>1011</v>
      </c>
      <c r="H111" s="51" t="s">
        <v>1005</v>
      </c>
      <c r="I111" s="51" t="s">
        <v>1005</v>
      </c>
      <c r="J111" s="50" t="str">
        <f t="shared" si="2"/>
        <v>7900654055.pdf</v>
      </c>
      <c r="K111" s="51" t="s">
        <v>1006</v>
      </c>
      <c r="L111" s="51" t="s">
        <v>1062</v>
      </c>
      <c r="M111" s="50" t="str">
        <f t="shared" si="3"/>
        <v>34.500</v>
      </c>
      <c r="N111" s="50" t="str">
        <f>IF(A111&lt;&gt;"",VLOOKUP(RIGHT(A111,3)*1,[4]Des_Loc!A:B,2,0),"")</f>
        <v>ARAGUACEMA</v>
      </c>
    </row>
    <row r="112" spans="1:14" ht="18.75" customHeight="1" x14ac:dyDescent="0.25">
      <c r="A112" s="52">
        <v>7902097003</v>
      </c>
      <c r="B112" s="51" t="s">
        <v>1003</v>
      </c>
      <c r="C112" s="51" t="s">
        <v>1021</v>
      </c>
      <c r="D112" s="51"/>
      <c r="E112" s="51" t="s">
        <v>1005</v>
      </c>
      <c r="F112" s="51"/>
      <c r="G112" s="51"/>
      <c r="H112" s="51" t="s">
        <v>1005</v>
      </c>
      <c r="I112" s="51" t="s">
        <v>1005</v>
      </c>
      <c r="J112" s="50" t="str">
        <f t="shared" si="2"/>
        <v>7902097003.pdf</v>
      </c>
      <c r="K112" s="54" t="s">
        <v>1022</v>
      </c>
      <c r="L112" s="51" t="s">
        <v>1050</v>
      </c>
      <c r="M112" s="50" t="str">
        <f t="shared" si="3"/>
        <v>13.800</v>
      </c>
      <c r="N112" s="50" t="str">
        <f>IF(A112&lt;&gt;"",VLOOKUP(RIGHT(A112,3)*1,[4]Des_Loc!A:B,2,0),"")</f>
        <v>GURUPI</v>
      </c>
    </row>
    <row r="113" spans="1:14" ht="18.75" customHeight="1" x14ac:dyDescent="0.25">
      <c r="A113" s="52">
        <v>7900018016</v>
      </c>
      <c r="B113" s="51" t="s">
        <v>1003</v>
      </c>
      <c r="C113" s="51" t="s">
        <v>1010</v>
      </c>
      <c r="D113" s="51" t="s">
        <v>1005</v>
      </c>
      <c r="E113" s="51" t="s">
        <v>1005</v>
      </c>
      <c r="F113" s="51" t="s">
        <v>1005</v>
      </c>
      <c r="G113" s="51" t="s">
        <v>1005</v>
      </c>
      <c r="H113" s="51" t="s">
        <v>1005</v>
      </c>
      <c r="I113" s="51" t="s">
        <v>1005</v>
      </c>
      <c r="J113" s="50" t="str">
        <f t="shared" si="2"/>
        <v>7900018016.pdf</v>
      </c>
      <c r="K113" s="51" t="s">
        <v>1006</v>
      </c>
      <c r="L113" s="51" t="s">
        <v>497</v>
      </c>
      <c r="M113" s="50" t="str">
        <f t="shared" si="3"/>
        <v>34.500</v>
      </c>
      <c r="N113" s="50" t="str">
        <f>IF(A113&lt;&gt;"",VLOOKUP(RIGHT(A113,3)*1,[4]Des_Loc!A:B,2,0),"")</f>
        <v>WANDERLANDIA</v>
      </c>
    </row>
    <row r="114" spans="1:14" ht="18.75" customHeight="1" x14ac:dyDescent="0.25">
      <c r="A114" s="52">
        <v>7905355122</v>
      </c>
      <c r="B114" s="51" t="s">
        <v>1003</v>
      </c>
      <c r="C114" s="51" t="s">
        <v>1021</v>
      </c>
      <c r="D114" s="51"/>
      <c r="E114" s="51" t="s">
        <v>1005</v>
      </c>
      <c r="F114" s="51"/>
      <c r="G114" s="51"/>
      <c r="H114" s="51" t="s">
        <v>1005</v>
      </c>
      <c r="I114" s="51" t="s">
        <v>1005</v>
      </c>
      <c r="J114" s="50" t="str">
        <f t="shared" si="2"/>
        <v>7905355122.pdf</v>
      </c>
      <c r="K114" s="51" t="s">
        <v>1006</v>
      </c>
      <c r="L114" s="51" t="s">
        <v>1064</v>
      </c>
      <c r="M114" s="50" t="str">
        <f t="shared" si="3"/>
        <v>13.800</v>
      </c>
      <c r="N114" s="50" t="str">
        <f>IF(A114&lt;&gt;"",VLOOKUP(RIGHT(A114,3)*1,[4]Des_Loc!A:B,2,0),"")</f>
        <v>PALMAS</v>
      </c>
    </row>
    <row r="115" spans="1:14" ht="18.75" customHeight="1" x14ac:dyDescent="0.25">
      <c r="A115" s="52">
        <v>7905357122</v>
      </c>
      <c r="B115" s="51" t="s">
        <v>1003</v>
      </c>
      <c r="C115" s="51">
        <v>2</v>
      </c>
      <c r="D115" s="51" t="s">
        <v>1005</v>
      </c>
      <c r="E115" s="51" t="s">
        <v>1005</v>
      </c>
      <c r="F115" s="51" t="s">
        <v>1005</v>
      </c>
      <c r="G115" s="51" t="s">
        <v>1005</v>
      </c>
      <c r="H115" s="51" t="s">
        <v>1005</v>
      </c>
      <c r="I115" s="51" t="s">
        <v>1005</v>
      </c>
      <c r="J115" s="50" t="str">
        <f t="shared" si="2"/>
        <v>7905357122.pdf</v>
      </c>
      <c r="K115" s="54" t="s">
        <v>1017</v>
      </c>
      <c r="L115" s="51" t="s">
        <v>539</v>
      </c>
      <c r="M115" s="50" t="str">
        <f t="shared" si="3"/>
        <v>13.800</v>
      </c>
      <c r="N115" s="50" t="str">
        <f>IF(A115&lt;&gt;"",VLOOKUP(RIGHT(A115,3)*1,[4]Des_Loc!A:B,2,0),"")</f>
        <v>PALMAS</v>
      </c>
    </row>
    <row r="116" spans="1:14" ht="18.75" customHeight="1" x14ac:dyDescent="0.25">
      <c r="A116" s="52">
        <v>7903569004</v>
      </c>
      <c r="B116" s="51" t="s">
        <v>1003</v>
      </c>
      <c r="C116" s="51">
        <v>2</v>
      </c>
      <c r="D116" s="51"/>
      <c r="E116" s="51" t="s">
        <v>1005</v>
      </c>
      <c r="F116" s="51"/>
      <c r="G116" s="51"/>
      <c r="H116" s="51" t="s">
        <v>1005</v>
      </c>
      <c r="I116" s="51" t="s">
        <v>1005</v>
      </c>
      <c r="J116" s="50" t="str">
        <f t="shared" si="2"/>
        <v>7903569004.pdf</v>
      </c>
      <c r="K116" s="51" t="s">
        <v>1006</v>
      </c>
      <c r="L116" s="51" t="s">
        <v>1065</v>
      </c>
      <c r="M116" s="50" t="str">
        <f t="shared" si="3"/>
        <v>13.800</v>
      </c>
      <c r="N116" s="50" t="str">
        <f>IF(A116&lt;&gt;"",VLOOKUP(RIGHT(A116,3)*1,[4]Des_Loc!A:B,2,0),"")</f>
        <v>ARAGUAINA</v>
      </c>
    </row>
    <row r="117" spans="1:14" ht="18.75" customHeight="1" x14ac:dyDescent="0.25">
      <c r="A117" s="52">
        <v>7903572004</v>
      </c>
      <c r="B117" s="51" t="s">
        <v>1003</v>
      </c>
      <c r="C117" s="51">
        <v>2</v>
      </c>
      <c r="D117" s="51"/>
      <c r="E117" s="51" t="s">
        <v>1005</v>
      </c>
      <c r="F117" s="51"/>
      <c r="G117" s="51"/>
      <c r="H117" s="51" t="s">
        <v>1005</v>
      </c>
      <c r="I117" s="51" t="s">
        <v>1005</v>
      </c>
      <c r="J117" s="50" t="str">
        <f t="shared" si="2"/>
        <v>7903572004.pdf</v>
      </c>
      <c r="K117" s="51" t="s">
        <v>1006</v>
      </c>
      <c r="L117" s="51" t="s">
        <v>606</v>
      </c>
      <c r="M117" s="50" t="str">
        <f t="shared" si="3"/>
        <v>13.800</v>
      </c>
      <c r="N117" s="50" t="str">
        <f>IF(A117&lt;&gt;"",VLOOKUP(RIGHT(A117,3)*1,[4]Des_Loc!A:B,2,0),"")</f>
        <v>ARAGUAINA</v>
      </c>
    </row>
    <row r="118" spans="1:14" ht="18.75" customHeight="1" x14ac:dyDescent="0.25">
      <c r="A118" s="52">
        <v>7905361122</v>
      </c>
      <c r="B118" s="51" t="s">
        <v>1003</v>
      </c>
      <c r="C118" s="51" t="s">
        <v>1021</v>
      </c>
      <c r="D118" s="51"/>
      <c r="E118" s="51" t="s">
        <v>1005</v>
      </c>
      <c r="F118" s="51"/>
      <c r="G118" s="51"/>
      <c r="H118" s="51" t="s">
        <v>1005</v>
      </c>
      <c r="I118" s="51" t="s">
        <v>1005</v>
      </c>
      <c r="J118" s="50" t="str">
        <f t="shared" si="2"/>
        <v>7905361122.pdf</v>
      </c>
      <c r="K118" s="51" t="s">
        <v>1006</v>
      </c>
      <c r="L118" s="51" t="s">
        <v>705</v>
      </c>
      <c r="M118" s="50" t="str">
        <f t="shared" si="3"/>
        <v>13.800</v>
      </c>
      <c r="N118" s="50" t="str">
        <f>IF(A118&lt;&gt;"",VLOOKUP(RIGHT(A118,3)*1,[4]Des_Loc!A:B,2,0),"")</f>
        <v>PALMAS</v>
      </c>
    </row>
    <row r="119" spans="1:14" ht="18.75" customHeight="1" x14ac:dyDescent="0.25">
      <c r="A119" s="52">
        <v>7920070003</v>
      </c>
      <c r="B119" s="51" t="s">
        <v>1003</v>
      </c>
      <c r="C119" s="51" t="s">
        <v>1010</v>
      </c>
      <c r="D119" s="51" t="s">
        <v>1011</v>
      </c>
      <c r="E119" s="51" t="s">
        <v>1005</v>
      </c>
      <c r="F119" s="51" t="s">
        <v>1005</v>
      </c>
      <c r="G119" s="51" t="s">
        <v>1005</v>
      </c>
      <c r="H119" s="51" t="s">
        <v>1005</v>
      </c>
      <c r="I119" s="51" t="s">
        <v>1005</v>
      </c>
      <c r="J119" s="50" t="str">
        <f t="shared" si="2"/>
        <v>7920070003.pdf</v>
      </c>
      <c r="K119" s="51" t="s">
        <v>1009</v>
      </c>
      <c r="L119" s="51" t="s">
        <v>483</v>
      </c>
      <c r="M119" s="50" t="str">
        <f t="shared" si="3"/>
        <v>34.500</v>
      </c>
      <c r="N119" s="50" t="str">
        <f>IF(A119&lt;&gt;"",VLOOKUP(RIGHT(A119,3)*1,[4]Des_Loc!A:B,2,0),"")</f>
        <v>GURUPI</v>
      </c>
    </row>
    <row r="120" spans="1:14" ht="18.75" customHeight="1" x14ac:dyDescent="0.25">
      <c r="A120" s="52">
        <v>7900084001</v>
      </c>
      <c r="B120" s="51" t="s">
        <v>1003</v>
      </c>
      <c r="C120" s="51">
        <v>2</v>
      </c>
      <c r="D120" s="51"/>
      <c r="E120" s="51" t="s">
        <v>1005</v>
      </c>
      <c r="F120" s="51"/>
      <c r="G120" s="51"/>
      <c r="H120" s="51" t="s">
        <v>1005</v>
      </c>
      <c r="I120" s="51" t="s">
        <v>1005</v>
      </c>
      <c r="J120" s="50" t="str">
        <f t="shared" si="2"/>
        <v>7900084001.pdf</v>
      </c>
      <c r="K120" s="54" t="s">
        <v>1022</v>
      </c>
      <c r="L120" s="51" t="s">
        <v>1066</v>
      </c>
      <c r="M120" s="50" t="str">
        <f t="shared" si="3"/>
        <v>13.800</v>
      </c>
      <c r="N120" s="50" t="str">
        <f>IF(A120&lt;&gt;"",VLOOKUP(RIGHT(A120,3)*1,[4]Des_Loc!A:B,2,0),"")</f>
        <v>PORTO NACIONAL</v>
      </c>
    </row>
    <row r="121" spans="1:14" ht="18.75" customHeight="1" x14ac:dyDescent="0.25">
      <c r="A121" s="52">
        <v>7900551010</v>
      </c>
      <c r="B121" s="51" t="s">
        <v>1003</v>
      </c>
      <c r="C121" s="51" t="s">
        <v>1021</v>
      </c>
      <c r="D121" s="51" t="s">
        <v>1005</v>
      </c>
      <c r="E121" s="51" t="s">
        <v>1005</v>
      </c>
      <c r="F121" s="51" t="s">
        <v>1005</v>
      </c>
      <c r="G121" s="51" t="s">
        <v>1005</v>
      </c>
      <c r="H121" s="51" t="s">
        <v>1005</v>
      </c>
      <c r="I121" s="51" t="s">
        <v>1005</v>
      </c>
      <c r="J121" s="50" t="str">
        <f t="shared" si="2"/>
        <v>7900551010.pdf</v>
      </c>
      <c r="K121" s="51" t="s">
        <v>1067</v>
      </c>
      <c r="L121" s="51" t="s">
        <v>1068</v>
      </c>
      <c r="M121" s="50" t="str">
        <f t="shared" si="3"/>
        <v>34.500</v>
      </c>
      <c r="N121" s="50" t="str">
        <f>IF(A121&lt;&gt;"",VLOOKUP(RIGHT(A121,3)*1,[4]Des_Loc!A:B,2,0),"")</f>
        <v>LAJEADO</v>
      </c>
    </row>
    <row r="122" spans="1:14" ht="18.75" customHeight="1" x14ac:dyDescent="0.25">
      <c r="A122" s="52">
        <v>7900552010</v>
      </c>
      <c r="B122" s="51" t="s">
        <v>1003</v>
      </c>
      <c r="C122" s="51">
        <v>3</v>
      </c>
      <c r="D122" s="51"/>
      <c r="E122" s="51" t="s">
        <v>1005</v>
      </c>
      <c r="F122" s="51"/>
      <c r="G122" s="51"/>
      <c r="H122" s="51" t="s">
        <v>1005</v>
      </c>
      <c r="I122" s="51" t="s">
        <v>1005</v>
      </c>
      <c r="J122" s="50" t="str">
        <f t="shared" si="2"/>
        <v>7900552010.pdf</v>
      </c>
      <c r="K122" s="51" t="s">
        <v>1006</v>
      </c>
      <c r="L122" s="51" t="s">
        <v>425</v>
      </c>
      <c r="M122" s="50" t="str">
        <f t="shared" si="3"/>
        <v>34.500</v>
      </c>
      <c r="N122" s="50" t="str">
        <f>IF(A122&lt;&gt;"",VLOOKUP(RIGHT(A122,3)*1,[4]Des_Loc!A:B,2,0),"")</f>
        <v>LAJEADO</v>
      </c>
    </row>
    <row r="123" spans="1:14" ht="18.75" customHeight="1" x14ac:dyDescent="0.25">
      <c r="A123" s="52">
        <v>7908301026</v>
      </c>
      <c r="B123" s="51" t="s">
        <v>1003</v>
      </c>
      <c r="C123" s="51">
        <v>2</v>
      </c>
      <c r="D123" s="51" t="s">
        <v>1005</v>
      </c>
      <c r="E123" s="51" t="s">
        <v>1005</v>
      </c>
      <c r="F123" s="51" t="s">
        <v>1005</v>
      </c>
      <c r="G123" s="51" t="s">
        <v>1005</v>
      </c>
      <c r="H123" s="51" t="s">
        <v>1005</v>
      </c>
      <c r="I123" s="51" t="s">
        <v>1005</v>
      </c>
      <c r="J123" s="50" t="str">
        <f t="shared" si="2"/>
        <v>7908301026.pdf</v>
      </c>
      <c r="K123" s="54" t="s">
        <v>1022</v>
      </c>
      <c r="L123" s="51" t="s">
        <v>1069</v>
      </c>
      <c r="M123" s="50" t="str">
        <f t="shared" si="3"/>
        <v>13.800</v>
      </c>
      <c r="N123" s="50" t="str">
        <f>IF(A123&lt;&gt;"",VLOOKUP(RIGHT(A123,3)*1,[4]Des_Loc!A:B,2,0),"")</f>
        <v>PONTE ALTA TOCANTINS</v>
      </c>
    </row>
    <row r="124" spans="1:14" ht="18.75" customHeight="1" x14ac:dyDescent="0.25">
      <c r="A124" s="52">
        <v>7908302256</v>
      </c>
      <c r="B124" s="51" t="s">
        <v>1003</v>
      </c>
      <c r="C124" s="51" t="s">
        <v>1025</v>
      </c>
      <c r="D124" s="51" t="s">
        <v>1005</v>
      </c>
      <c r="E124" s="51" t="s">
        <v>1005</v>
      </c>
      <c r="F124" s="51" t="s">
        <v>1005</v>
      </c>
      <c r="G124" s="51" t="s">
        <v>1005</v>
      </c>
      <c r="H124" s="51" t="s">
        <v>1005</v>
      </c>
      <c r="I124" s="51" t="s">
        <v>1005</v>
      </c>
      <c r="J124" s="50" t="str">
        <f t="shared" si="2"/>
        <v>7908302256.pdf</v>
      </c>
      <c r="K124" s="51" t="s">
        <v>1006</v>
      </c>
      <c r="L124" s="51" t="s">
        <v>518</v>
      </c>
      <c r="M124" s="50" t="str">
        <f t="shared" si="3"/>
        <v>34.500</v>
      </c>
      <c r="N124" s="50" t="str">
        <f>IF(A124&lt;&gt;"",VLOOKUP(RIGHT(A124,3)*1,[4]Des_Loc!A:B,2,0),"")</f>
        <v>MATEIROS</v>
      </c>
    </row>
    <row r="125" spans="1:14" ht="18.75" customHeight="1" x14ac:dyDescent="0.25">
      <c r="A125" s="52">
        <v>7900280059</v>
      </c>
      <c r="B125" s="51" t="s">
        <v>1003</v>
      </c>
      <c r="C125" s="51">
        <v>2</v>
      </c>
      <c r="D125" s="51"/>
      <c r="E125" s="51" t="s">
        <v>1005</v>
      </c>
      <c r="F125" s="51"/>
      <c r="G125" s="51"/>
      <c r="H125" s="51" t="s">
        <v>1005</v>
      </c>
      <c r="I125" s="51" t="s">
        <v>1005</v>
      </c>
      <c r="J125" s="50" t="str">
        <f t="shared" si="2"/>
        <v>7900280059.pdf</v>
      </c>
      <c r="K125" s="54" t="s">
        <v>1022</v>
      </c>
      <c r="L125" s="51" t="s">
        <v>1070</v>
      </c>
      <c r="M125" s="50" t="str">
        <f t="shared" si="3"/>
        <v>13.800</v>
      </c>
      <c r="N125" s="50" t="str">
        <f>IF(A125&lt;&gt;"",VLOOKUP(RIGHT(A125,3)*1,[4]Des_Loc!A:B,2,0),"")</f>
        <v>TAQUARALTO</v>
      </c>
    </row>
    <row r="126" spans="1:14" ht="18.75" customHeight="1" x14ac:dyDescent="0.25">
      <c r="A126" s="52">
        <v>7900339151</v>
      </c>
      <c r="B126" s="51" t="s">
        <v>1003</v>
      </c>
      <c r="C126" s="51" t="s">
        <v>1008</v>
      </c>
      <c r="D126" s="51"/>
      <c r="E126" s="51" t="s">
        <v>1005</v>
      </c>
      <c r="F126" s="51"/>
      <c r="G126" s="51"/>
      <c r="H126" s="51" t="s">
        <v>1005</v>
      </c>
      <c r="I126" s="51" t="s">
        <v>1005</v>
      </c>
      <c r="J126" s="50" t="str">
        <f t="shared" si="2"/>
        <v>7900339151.pdf</v>
      </c>
      <c r="K126" s="51" t="s">
        <v>1009</v>
      </c>
      <c r="L126" s="51" t="s">
        <v>571</v>
      </c>
      <c r="M126" s="50" t="str">
        <f t="shared" si="3"/>
        <v>34.500</v>
      </c>
      <c r="N126" s="50" t="str">
        <f>IF(A126&lt;&gt;"",VLOOKUP(RIGHT(A126,3)*1,[4]Des_Loc!A:B,2,0),"")</f>
        <v>SANTA TEREZA DO TOCANTINS</v>
      </c>
    </row>
    <row r="127" spans="1:14" ht="18.75" customHeight="1" x14ac:dyDescent="0.25">
      <c r="A127" s="52">
        <v>7900198151</v>
      </c>
      <c r="B127" s="51" t="s">
        <v>1003</v>
      </c>
      <c r="C127" s="51" t="s">
        <v>1021</v>
      </c>
      <c r="D127" s="51"/>
      <c r="E127" s="51" t="s">
        <v>1005</v>
      </c>
      <c r="F127" s="51"/>
      <c r="G127" s="51"/>
      <c r="H127" s="51" t="s">
        <v>1005</v>
      </c>
      <c r="I127" s="51" t="s">
        <v>1005</v>
      </c>
      <c r="J127" s="50" t="str">
        <f t="shared" si="2"/>
        <v>7900198151.pdf</v>
      </c>
      <c r="K127" s="51" t="s">
        <v>1009</v>
      </c>
      <c r="L127" s="51" t="s">
        <v>571</v>
      </c>
      <c r="M127" s="50" t="str">
        <f t="shared" si="3"/>
        <v>34.500</v>
      </c>
      <c r="N127" s="50" t="str">
        <f>IF(A127&lt;&gt;"",VLOOKUP(RIGHT(A127,3)*1,[4]Des_Loc!A:B,2,0),"")</f>
        <v>SANTA TEREZA DO TOCANTINS</v>
      </c>
    </row>
    <row r="128" spans="1:14" ht="18.75" customHeight="1" x14ac:dyDescent="0.25">
      <c r="A128" s="52">
        <v>7920008152</v>
      </c>
      <c r="B128" s="51" t="s">
        <v>1003</v>
      </c>
      <c r="C128" s="51" t="s">
        <v>1021</v>
      </c>
      <c r="D128" s="51"/>
      <c r="E128" s="51" t="s">
        <v>1005</v>
      </c>
      <c r="F128" s="51"/>
      <c r="G128" s="51"/>
      <c r="H128" s="51" t="s">
        <v>1005</v>
      </c>
      <c r="I128" s="51" t="s">
        <v>1005</v>
      </c>
      <c r="J128" s="50" t="str">
        <f t="shared" si="2"/>
        <v>7920008152.pdf</v>
      </c>
      <c r="K128" s="51" t="s">
        <v>1006</v>
      </c>
      <c r="L128" s="51" t="s">
        <v>361</v>
      </c>
      <c r="M128" s="50" t="str">
        <f t="shared" si="3"/>
        <v>34.500</v>
      </c>
      <c r="N128" s="50" t="str">
        <f>IF(A128&lt;&gt;"",VLOOKUP(RIGHT(A128,3)*1,[4]Des_Loc!A:B,2,0),"")</f>
        <v>SANTA ROSA DO TOCANTINS</v>
      </c>
    </row>
    <row r="129" spans="1:14" ht="18.75" customHeight="1" x14ac:dyDescent="0.25">
      <c r="A129" s="52">
        <v>7900351152</v>
      </c>
      <c r="B129" s="51" t="s">
        <v>1003</v>
      </c>
      <c r="C129" s="51" t="s">
        <v>1021</v>
      </c>
      <c r="D129" s="51" t="s">
        <v>1005</v>
      </c>
      <c r="E129" s="51" t="s">
        <v>1005</v>
      </c>
      <c r="F129" s="51" t="s">
        <v>1005</v>
      </c>
      <c r="G129" s="51" t="s">
        <v>1005</v>
      </c>
      <c r="H129" s="51" t="s">
        <v>1005</v>
      </c>
      <c r="I129" s="51" t="s">
        <v>1005</v>
      </c>
      <c r="J129" s="50" t="str">
        <f t="shared" si="2"/>
        <v>7900351152.pdf</v>
      </c>
      <c r="K129" s="51" t="s">
        <v>1009</v>
      </c>
      <c r="L129" s="51" t="s">
        <v>430</v>
      </c>
      <c r="M129" s="50" t="str">
        <f t="shared" si="3"/>
        <v>34.500</v>
      </c>
      <c r="N129" s="50" t="str">
        <f>IF(A129&lt;&gt;"",VLOOKUP(RIGHT(A129,3)*1,[4]Des_Loc!A:B,2,0),"")</f>
        <v>SANTA ROSA DO TOCANTINS</v>
      </c>
    </row>
    <row r="130" spans="1:14" ht="18.75" customHeight="1" x14ac:dyDescent="0.25">
      <c r="A130" s="52">
        <v>7900356059</v>
      </c>
      <c r="B130" s="51" t="s">
        <v>1003</v>
      </c>
      <c r="C130" s="51">
        <v>2</v>
      </c>
      <c r="D130" s="51"/>
      <c r="E130" s="51" t="s">
        <v>1005</v>
      </c>
      <c r="F130" s="51"/>
      <c r="G130" s="51"/>
      <c r="H130" s="51" t="s">
        <v>1005</v>
      </c>
      <c r="I130" s="51" t="s">
        <v>1005</v>
      </c>
      <c r="J130" s="50" t="str">
        <f t="shared" ref="J130:J193" si="4">CONCATENATE(A130,".pdf")</f>
        <v>7900356059.pdf</v>
      </c>
      <c r="K130" s="54" t="s">
        <v>1022</v>
      </c>
      <c r="L130" s="51" t="s">
        <v>726</v>
      </c>
      <c r="M130" s="50" t="str">
        <f t="shared" ref="M130:M193" si="5">IF(L130&lt;&gt;"",IF(LEFT(L130,2)="AL","13.800","34.500"),"")</f>
        <v>13.800</v>
      </c>
      <c r="N130" s="50" t="str">
        <f>IF(A130&lt;&gt;"",VLOOKUP(RIGHT(A130,3)*1,[4]Des_Loc!A:B,2,0),"")</f>
        <v>TAQUARALTO</v>
      </c>
    </row>
    <row r="131" spans="1:14" ht="18.75" customHeight="1" x14ac:dyDescent="0.25">
      <c r="A131" s="52">
        <v>7900001071</v>
      </c>
      <c r="B131" s="51" t="s">
        <v>1003</v>
      </c>
      <c r="C131" s="51">
        <v>2</v>
      </c>
      <c r="D131" s="51" t="s">
        <v>1011</v>
      </c>
      <c r="E131" s="51" t="s">
        <v>1005</v>
      </c>
      <c r="F131" s="51" t="s">
        <v>1011</v>
      </c>
      <c r="G131" s="51" t="s">
        <v>1005</v>
      </c>
      <c r="H131" s="51" t="s">
        <v>1005</v>
      </c>
      <c r="I131" s="51" t="s">
        <v>1005</v>
      </c>
      <c r="J131" s="50" t="str">
        <f t="shared" si="4"/>
        <v>7900001071.pdf</v>
      </c>
      <c r="K131" s="51" t="s">
        <v>1006</v>
      </c>
      <c r="L131" s="51" t="s">
        <v>1071</v>
      </c>
      <c r="M131" s="50" t="str">
        <f t="shared" si="5"/>
        <v>13.800</v>
      </c>
      <c r="N131" s="50" t="str">
        <f>IF(A131&lt;&gt;"",VLOOKUP(RIGHT(A131,3)*1,[4]Des_Loc!A:B,2,0),"")</f>
        <v>BREJINHO DE NAZARE</v>
      </c>
    </row>
    <row r="132" spans="1:14" ht="18.75" customHeight="1" x14ac:dyDescent="0.25">
      <c r="A132" s="52">
        <v>7900367152</v>
      </c>
      <c r="B132" s="51" t="s">
        <v>1003</v>
      </c>
      <c r="C132" s="51">
        <v>3</v>
      </c>
      <c r="D132" s="51" t="s">
        <v>1011</v>
      </c>
      <c r="E132" s="51" t="s">
        <v>1005</v>
      </c>
      <c r="F132" s="51" t="s">
        <v>1005</v>
      </c>
      <c r="G132" s="51" t="s">
        <v>1005</v>
      </c>
      <c r="H132" s="51" t="s">
        <v>1005</v>
      </c>
      <c r="I132" s="51" t="s">
        <v>1005</v>
      </c>
      <c r="J132" s="50" t="str">
        <f t="shared" si="4"/>
        <v>7900367152.pdf</v>
      </c>
      <c r="K132" s="51" t="s">
        <v>1009</v>
      </c>
      <c r="L132" s="51" t="s">
        <v>430</v>
      </c>
      <c r="M132" s="50" t="str">
        <f t="shared" si="5"/>
        <v>34.500</v>
      </c>
      <c r="N132" s="50" t="str">
        <f>IF(A132&lt;&gt;"",VLOOKUP(RIGHT(A132,3)*1,[4]Des_Loc!A:B,2,0),"")</f>
        <v>SANTA ROSA DO TOCANTINS</v>
      </c>
    </row>
    <row r="133" spans="1:14" ht="18.75" customHeight="1" x14ac:dyDescent="0.25">
      <c r="A133" s="52">
        <v>7907570122</v>
      </c>
      <c r="B133" s="51" t="s">
        <v>1003</v>
      </c>
      <c r="C133" s="51">
        <v>2</v>
      </c>
      <c r="D133" s="51" t="s">
        <v>1005</v>
      </c>
      <c r="E133" s="51" t="s">
        <v>1005</v>
      </c>
      <c r="F133" s="51" t="s">
        <v>1005</v>
      </c>
      <c r="G133" s="51" t="s">
        <v>1005</v>
      </c>
      <c r="H133" s="51" t="s">
        <v>1005</v>
      </c>
      <c r="I133" s="51" t="s">
        <v>1005</v>
      </c>
      <c r="J133" s="50" t="str">
        <f t="shared" si="4"/>
        <v>7907570122.pdf</v>
      </c>
      <c r="K133" s="54" t="s">
        <v>1022</v>
      </c>
      <c r="L133" s="51" t="s">
        <v>1072</v>
      </c>
      <c r="M133" s="50" t="str">
        <f t="shared" si="5"/>
        <v>13.800</v>
      </c>
      <c r="N133" s="50" t="str">
        <f>IF(A133&lt;&gt;"",VLOOKUP(RIGHT(A133,3)*1,[4]Des_Loc!A:B,2,0),"")</f>
        <v>PALMAS</v>
      </c>
    </row>
    <row r="134" spans="1:14" ht="18.75" customHeight="1" x14ac:dyDescent="0.25">
      <c r="A134" s="52">
        <v>7905318122</v>
      </c>
      <c r="B134" s="51" t="s">
        <v>1003</v>
      </c>
      <c r="C134" s="51">
        <v>2</v>
      </c>
      <c r="D134" s="51" t="s">
        <v>1011</v>
      </c>
      <c r="E134" s="51" t="s">
        <v>1005</v>
      </c>
      <c r="F134" s="51" t="s">
        <v>1011</v>
      </c>
      <c r="G134" s="51" t="s">
        <v>1005</v>
      </c>
      <c r="H134" s="51" t="s">
        <v>1005</v>
      </c>
      <c r="I134" s="51" t="s">
        <v>1011</v>
      </c>
      <c r="J134" s="50" t="str">
        <f t="shared" si="4"/>
        <v>7905318122.pdf</v>
      </c>
      <c r="K134" s="54" t="s">
        <v>1022</v>
      </c>
      <c r="L134" s="51" t="s">
        <v>1073</v>
      </c>
      <c r="M134" s="50" t="str">
        <f t="shared" si="5"/>
        <v>13.800</v>
      </c>
      <c r="N134" s="50" t="str">
        <f>IF(A134&lt;&gt;"",VLOOKUP(RIGHT(A134,3)*1,[4]Des_Loc!A:B,2,0),"")</f>
        <v>PALMAS</v>
      </c>
    </row>
    <row r="135" spans="1:14" ht="18.75" customHeight="1" x14ac:dyDescent="0.25">
      <c r="A135" s="52">
        <v>7900238054</v>
      </c>
      <c r="B135" s="51" t="s">
        <v>1003</v>
      </c>
      <c r="C135" s="51" t="s">
        <v>1021</v>
      </c>
      <c r="D135" s="51"/>
      <c r="E135" s="51" t="s">
        <v>1005</v>
      </c>
      <c r="F135" s="51"/>
      <c r="G135" s="51"/>
      <c r="H135" s="51" t="s">
        <v>1005</v>
      </c>
      <c r="I135" s="51" t="s">
        <v>1005</v>
      </c>
      <c r="J135" s="50" t="str">
        <f t="shared" si="4"/>
        <v>7900238054.pdf</v>
      </c>
      <c r="K135" s="51" t="s">
        <v>1009</v>
      </c>
      <c r="L135" s="51" t="s">
        <v>400</v>
      </c>
      <c r="M135" s="50" t="str">
        <f t="shared" si="5"/>
        <v>34.500</v>
      </c>
      <c r="N135" s="50" t="str">
        <f>IF(A135&lt;&gt;"",VLOOKUP(RIGHT(A135,3)*1,[4]Des_Loc!A:B,2,0),"")</f>
        <v>PUGMIL</v>
      </c>
    </row>
    <row r="136" spans="1:14" ht="18.75" customHeight="1" x14ac:dyDescent="0.25">
      <c r="A136" s="52">
        <v>7900236054</v>
      </c>
      <c r="B136" s="51" t="s">
        <v>1003</v>
      </c>
      <c r="C136" s="51" t="s">
        <v>1021</v>
      </c>
      <c r="D136" s="51"/>
      <c r="E136" s="51" t="s">
        <v>1005</v>
      </c>
      <c r="F136" s="51"/>
      <c r="G136" s="51"/>
      <c r="H136" s="51" t="s">
        <v>1005</v>
      </c>
      <c r="I136" s="51" t="s">
        <v>1005</v>
      </c>
      <c r="J136" s="50" t="str">
        <f t="shared" si="4"/>
        <v>7900236054.pdf</v>
      </c>
      <c r="K136" s="51" t="s">
        <v>1009</v>
      </c>
      <c r="L136" s="51" t="s">
        <v>400</v>
      </c>
      <c r="M136" s="50" t="str">
        <f t="shared" si="5"/>
        <v>34.500</v>
      </c>
      <c r="N136" s="50" t="str">
        <f>IF(A136&lt;&gt;"",VLOOKUP(RIGHT(A136,3)*1,[4]Des_Loc!A:B,2,0),"")</f>
        <v>PUGMIL</v>
      </c>
    </row>
    <row r="137" spans="1:14" ht="18.75" customHeight="1" x14ac:dyDescent="0.25">
      <c r="A137" s="52">
        <v>7903316001</v>
      </c>
      <c r="B137" s="51" t="s">
        <v>1003</v>
      </c>
      <c r="C137" s="51">
        <v>2</v>
      </c>
      <c r="D137" s="51"/>
      <c r="E137" s="51" t="s">
        <v>1005</v>
      </c>
      <c r="F137" s="51"/>
      <c r="G137" s="51"/>
      <c r="H137" s="51" t="s">
        <v>1005</v>
      </c>
      <c r="I137" s="51" t="s">
        <v>1005</v>
      </c>
      <c r="J137" s="50" t="str">
        <f t="shared" si="4"/>
        <v>7903316001.pdf</v>
      </c>
      <c r="K137" s="54" t="s">
        <v>1022</v>
      </c>
      <c r="L137" s="51" t="s">
        <v>1074</v>
      </c>
      <c r="M137" s="50" t="str">
        <f t="shared" si="5"/>
        <v>13.800</v>
      </c>
      <c r="N137" s="50" t="str">
        <f>IF(A137&lt;&gt;"",VLOOKUP(RIGHT(A137,3)*1,[4]Des_Loc!A:B,2,0),"")</f>
        <v>PORTO NACIONAL</v>
      </c>
    </row>
    <row r="138" spans="1:14" ht="18.75" customHeight="1" x14ac:dyDescent="0.25">
      <c r="A138" s="52">
        <v>7908192003</v>
      </c>
      <c r="B138" s="51" t="s">
        <v>1003</v>
      </c>
      <c r="C138" s="51" t="s">
        <v>1010</v>
      </c>
      <c r="D138" s="51" t="s">
        <v>1011</v>
      </c>
      <c r="E138" s="51" t="s">
        <v>1005</v>
      </c>
      <c r="F138" s="51" t="s">
        <v>1005</v>
      </c>
      <c r="G138" s="51" t="s">
        <v>1005</v>
      </c>
      <c r="H138" s="51" t="s">
        <v>1005</v>
      </c>
      <c r="I138" s="51" t="s">
        <v>1005</v>
      </c>
      <c r="J138" s="50" t="str">
        <f t="shared" si="4"/>
        <v>7908192003.pdf</v>
      </c>
      <c r="K138" s="51" t="s">
        <v>1009</v>
      </c>
      <c r="L138" s="51" t="s">
        <v>1075</v>
      </c>
      <c r="M138" s="50" t="str">
        <f t="shared" si="5"/>
        <v>34.500</v>
      </c>
      <c r="N138" s="50" t="str">
        <f>IF(A138&lt;&gt;"",VLOOKUP(RIGHT(A138,3)*1,[4]Des_Loc!A:B,2,0),"")</f>
        <v>GURUPI</v>
      </c>
    </row>
    <row r="139" spans="1:14" ht="18.75" customHeight="1" x14ac:dyDescent="0.25">
      <c r="A139" s="52">
        <v>7908218107</v>
      </c>
      <c r="B139" s="51" t="s">
        <v>1003</v>
      </c>
      <c r="C139" s="51" t="s">
        <v>1010</v>
      </c>
      <c r="D139" s="51"/>
      <c r="E139" s="51" t="s">
        <v>1005</v>
      </c>
      <c r="F139" s="51"/>
      <c r="G139" s="51"/>
      <c r="H139" s="51" t="s">
        <v>1005</v>
      </c>
      <c r="I139" s="51" t="s">
        <v>1005</v>
      </c>
      <c r="J139" s="50" t="str">
        <f t="shared" si="4"/>
        <v>7908218107.pdf</v>
      </c>
      <c r="K139" s="51" t="s">
        <v>1009</v>
      </c>
      <c r="L139" s="51" t="s">
        <v>1076</v>
      </c>
      <c r="M139" s="50" t="str">
        <f t="shared" si="5"/>
        <v>34.500</v>
      </c>
      <c r="N139" s="50" t="str">
        <f>IF(A139&lt;&gt;"",VLOOKUP(RIGHT(A139,3)*1,[4]Des_Loc!A:B,2,0),"")</f>
        <v>SANDOLANDIA</v>
      </c>
    </row>
    <row r="140" spans="1:14" ht="18.75" customHeight="1" x14ac:dyDescent="0.25">
      <c r="A140" s="52">
        <v>7900510045</v>
      </c>
      <c r="B140" s="51" t="s">
        <v>1003</v>
      </c>
      <c r="C140" s="51">
        <v>3</v>
      </c>
      <c r="D140" s="51"/>
      <c r="E140" s="51" t="s">
        <v>1005</v>
      </c>
      <c r="F140" s="51"/>
      <c r="G140" s="51"/>
      <c r="H140" s="51" t="s">
        <v>1005</v>
      </c>
      <c r="I140" s="51" t="s">
        <v>1005</v>
      </c>
      <c r="J140" s="50" t="str">
        <f t="shared" si="4"/>
        <v>7900510045.pdf</v>
      </c>
      <c r="K140" s="51" t="s">
        <v>1009</v>
      </c>
      <c r="L140" s="51" t="s">
        <v>1012</v>
      </c>
      <c r="M140" s="50" t="str">
        <f t="shared" si="5"/>
        <v>34.500</v>
      </c>
      <c r="N140" s="50" t="str">
        <f>IF(A140&lt;&gt;"",VLOOKUP(RIGHT(A140,3)*1,[4]Des_Loc!A:B,2,0),"")</f>
        <v>AUGUSTINOPOLIS</v>
      </c>
    </row>
    <row r="141" spans="1:14" ht="18.75" customHeight="1" x14ac:dyDescent="0.25">
      <c r="A141" s="52">
        <v>7900071045</v>
      </c>
      <c r="B141" s="51" t="s">
        <v>1003</v>
      </c>
      <c r="C141" s="51">
        <v>3</v>
      </c>
      <c r="D141" s="51"/>
      <c r="E141" s="51" t="s">
        <v>1005</v>
      </c>
      <c r="F141" s="51"/>
      <c r="G141" s="51"/>
      <c r="H141" s="51" t="s">
        <v>1005</v>
      </c>
      <c r="I141" s="51" t="s">
        <v>1005</v>
      </c>
      <c r="J141" s="50" t="str">
        <f t="shared" si="4"/>
        <v>7900071045.pdf</v>
      </c>
      <c r="K141" s="51" t="s">
        <v>1009</v>
      </c>
      <c r="L141" s="51" t="s">
        <v>1012</v>
      </c>
      <c r="M141" s="50" t="str">
        <f t="shared" si="5"/>
        <v>34.500</v>
      </c>
      <c r="N141" s="50" t="str">
        <f>IF(A141&lt;&gt;"",VLOOKUP(RIGHT(A141,3)*1,[4]Des_Loc!A:B,2,0),"")</f>
        <v>AUGUSTINOPOLIS</v>
      </c>
    </row>
    <row r="142" spans="1:14" ht="18.75" customHeight="1" x14ac:dyDescent="0.25">
      <c r="A142" s="52">
        <v>7900280041</v>
      </c>
      <c r="B142" s="51" t="s">
        <v>1003</v>
      </c>
      <c r="C142" s="51" t="s">
        <v>1021</v>
      </c>
      <c r="D142" s="51" t="s">
        <v>1005</v>
      </c>
      <c r="E142" s="51" t="s">
        <v>1005</v>
      </c>
      <c r="F142" s="51" t="s">
        <v>1005</v>
      </c>
      <c r="G142" s="51" t="s">
        <v>1005</v>
      </c>
      <c r="H142" s="51" t="s">
        <v>1005</v>
      </c>
      <c r="I142" s="51" t="s">
        <v>1005</v>
      </c>
      <c r="J142" s="50" t="str">
        <f t="shared" si="4"/>
        <v>7900280041.pdf</v>
      </c>
      <c r="K142" s="51" t="s">
        <v>1009</v>
      </c>
      <c r="L142" s="51" t="s">
        <v>483</v>
      </c>
      <c r="M142" s="50" t="str">
        <f t="shared" si="5"/>
        <v>34.500</v>
      </c>
      <c r="N142" s="50" t="str">
        <f>IF(A142&lt;&gt;"",VLOOKUP(RIGHT(A142,3)*1,[4]Des_Loc!A:B,2,0),"")</f>
        <v>CRIXAS DO TOCANTINS</v>
      </c>
    </row>
    <row r="143" spans="1:14" ht="18.75" customHeight="1" x14ac:dyDescent="0.25">
      <c r="A143" s="52">
        <v>7900161017</v>
      </c>
      <c r="B143" s="51" t="s">
        <v>1003</v>
      </c>
      <c r="C143" s="51" t="s">
        <v>1021</v>
      </c>
      <c r="D143" s="51"/>
      <c r="E143" s="51" t="s">
        <v>1005</v>
      </c>
      <c r="F143" s="51"/>
      <c r="G143" s="51"/>
      <c r="H143" s="51" t="s">
        <v>1005</v>
      </c>
      <c r="I143" s="51" t="s">
        <v>1005</v>
      </c>
      <c r="J143" s="50" t="str">
        <f t="shared" si="4"/>
        <v>7900161017.pdf</v>
      </c>
      <c r="K143" s="51" t="s">
        <v>1009</v>
      </c>
      <c r="L143" s="51" t="s">
        <v>1063</v>
      </c>
      <c r="M143" s="50" t="str">
        <f t="shared" si="5"/>
        <v>34.500</v>
      </c>
      <c r="N143" s="50" t="str">
        <f>IF(A143&lt;&gt;"",VLOOKUP(RIGHT(A143,3)*1,[4]Des_Loc!A:B,2,0),"")</f>
        <v>BARROLANDIA</v>
      </c>
    </row>
    <row r="144" spans="1:14" ht="18.75" customHeight="1" x14ac:dyDescent="0.25">
      <c r="A144" s="52">
        <v>7900676017</v>
      </c>
      <c r="B144" s="51" t="s">
        <v>1003</v>
      </c>
      <c r="C144" s="51" t="s">
        <v>1021</v>
      </c>
      <c r="D144" s="51"/>
      <c r="E144" s="51" t="s">
        <v>1005</v>
      </c>
      <c r="F144" s="51"/>
      <c r="G144" s="51"/>
      <c r="H144" s="51" t="s">
        <v>1005</v>
      </c>
      <c r="I144" s="51" t="s">
        <v>1005</v>
      </c>
      <c r="J144" s="50" t="str">
        <f t="shared" si="4"/>
        <v>7900676017.pdf</v>
      </c>
      <c r="K144" s="51" t="s">
        <v>1009</v>
      </c>
      <c r="L144" s="51" t="s">
        <v>1063</v>
      </c>
      <c r="M144" s="50" t="str">
        <f t="shared" si="5"/>
        <v>34.500</v>
      </c>
      <c r="N144" s="50" t="str">
        <f>IF(A144&lt;&gt;"",VLOOKUP(RIGHT(A144,3)*1,[4]Des_Loc!A:B,2,0),"")</f>
        <v>BARROLANDIA</v>
      </c>
    </row>
    <row r="145" spans="1:14" ht="18.75" customHeight="1" x14ac:dyDescent="0.25">
      <c r="A145" s="52">
        <v>7901898060</v>
      </c>
      <c r="B145" s="51" t="s">
        <v>1003</v>
      </c>
      <c r="C145" s="51">
        <v>3</v>
      </c>
      <c r="D145" s="51" t="s">
        <v>1011</v>
      </c>
      <c r="E145" s="51" t="s">
        <v>1005</v>
      </c>
      <c r="F145" s="51" t="s">
        <v>1005</v>
      </c>
      <c r="G145" s="51" t="s">
        <v>1005</v>
      </c>
      <c r="H145" s="51" t="s">
        <v>1005</v>
      </c>
      <c r="I145" s="51" t="s">
        <v>1005</v>
      </c>
      <c r="J145" s="50" t="str">
        <f t="shared" si="4"/>
        <v>7901898060.pdf</v>
      </c>
      <c r="K145" s="54" t="s">
        <v>1006</v>
      </c>
      <c r="L145" s="51" t="s">
        <v>412</v>
      </c>
      <c r="M145" s="50" t="str">
        <f t="shared" si="5"/>
        <v>13.800</v>
      </c>
      <c r="N145" s="50" t="str">
        <f>IF(A145&lt;&gt;"",VLOOKUP(RIGHT(A145,3)*1,[4]Des_Loc!A:B,2,0),"")</f>
        <v>NOVA OLINDA</v>
      </c>
    </row>
    <row r="146" spans="1:14" ht="18.75" customHeight="1" x14ac:dyDescent="0.25">
      <c r="A146" s="52">
        <v>7910016021</v>
      </c>
      <c r="B146" s="51" t="s">
        <v>1003</v>
      </c>
      <c r="C146" s="51">
        <v>3</v>
      </c>
      <c r="D146" s="51" t="s">
        <v>1011</v>
      </c>
      <c r="E146" s="51" t="s">
        <v>1005</v>
      </c>
      <c r="F146" s="51" t="s">
        <v>1005</v>
      </c>
      <c r="G146" s="51" t="s">
        <v>1005</v>
      </c>
      <c r="H146" s="51" t="s">
        <v>1005</v>
      </c>
      <c r="I146" s="51" t="s">
        <v>1005</v>
      </c>
      <c r="J146" s="50" t="str">
        <f t="shared" si="4"/>
        <v>7910016021.pdf</v>
      </c>
      <c r="K146" s="51" t="s">
        <v>1009</v>
      </c>
      <c r="L146" s="51" t="s">
        <v>1077</v>
      </c>
      <c r="M146" s="50" t="str">
        <f t="shared" si="5"/>
        <v>34.500</v>
      </c>
      <c r="N146" s="50" t="str">
        <f>IF(A146&lt;&gt;"",VLOOKUP(RIGHT(A146,3)*1,[4]Des_Loc!A:B,2,0),"")</f>
        <v>PARANA</v>
      </c>
    </row>
    <row r="147" spans="1:14" ht="18.75" customHeight="1" x14ac:dyDescent="0.25">
      <c r="A147" s="52">
        <v>7900863005</v>
      </c>
      <c r="B147" s="51" t="s">
        <v>1003</v>
      </c>
      <c r="C147" s="51">
        <v>3</v>
      </c>
      <c r="D147" s="51" t="s">
        <v>1011</v>
      </c>
      <c r="E147" s="51" t="s">
        <v>1005</v>
      </c>
      <c r="F147" s="51" t="s">
        <v>1005</v>
      </c>
      <c r="G147" s="51" t="s">
        <v>1005</v>
      </c>
      <c r="H147" s="51" t="s">
        <v>1005</v>
      </c>
      <c r="I147" s="51" t="s">
        <v>1005</v>
      </c>
      <c r="J147" s="50" t="str">
        <f t="shared" si="4"/>
        <v>7900863005.pdf</v>
      </c>
      <c r="K147" s="51" t="s">
        <v>1006</v>
      </c>
      <c r="L147" s="51" t="s">
        <v>1078</v>
      </c>
      <c r="M147" s="50" t="str">
        <f t="shared" si="5"/>
        <v>34.500</v>
      </c>
      <c r="N147" s="50" t="str">
        <f>IF(A147&lt;&gt;"",VLOOKUP(RIGHT(A147,3)*1,[4]Des_Loc!A:B,2,0),"")</f>
        <v>ARRAIAS</v>
      </c>
    </row>
    <row r="148" spans="1:14" ht="18.75" customHeight="1" x14ac:dyDescent="0.25">
      <c r="A148" s="52">
        <v>7900259096</v>
      </c>
      <c r="B148" s="51" t="s">
        <v>1003</v>
      </c>
      <c r="C148" s="51" t="s">
        <v>1021</v>
      </c>
      <c r="D148" s="51"/>
      <c r="E148" s="51" t="s">
        <v>1005</v>
      </c>
      <c r="F148" s="51"/>
      <c r="G148" s="51"/>
      <c r="H148" s="51" t="s">
        <v>1005</v>
      </c>
      <c r="I148" s="51" t="s">
        <v>1005</v>
      </c>
      <c r="J148" s="50" t="str">
        <f t="shared" si="4"/>
        <v>7900259096.pdf</v>
      </c>
      <c r="K148" s="51" t="s">
        <v>1009</v>
      </c>
      <c r="L148" s="51" t="s">
        <v>518</v>
      </c>
      <c r="M148" s="50" t="str">
        <f t="shared" si="5"/>
        <v>34.500</v>
      </c>
      <c r="N148" s="50" t="str">
        <f>IF(A148&lt;&gt;"",VLOOKUP(RIGHT(A148,3)*1,[4]Des_Loc!A:B,2,0),"")</f>
        <v>PINDORAMA DO TOCANTINS</v>
      </c>
    </row>
    <row r="149" spans="1:14" ht="18.75" customHeight="1" x14ac:dyDescent="0.25">
      <c r="A149" s="52">
        <v>7900451096</v>
      </c>
      <c r="B149" s="51" t="s">
        <v>1003</v>
      </c>
      <c r="C149" s="51">
        <v>3</v>
      </c>
      <c r="D149" s="51"/>
      <c r="E149" s="51" t="s">
        <v>1005</v>
      </c>
      <c r="F149" s="51"/>
      <c r="G149" s="51"/>
      <c r="H149" s="51" t="s">
        <v>1005</v>
      </c>
      <c r="I149" s="51" t="s">
        <v>1005</v>
      </c>
      <c r="J149" s="50" t="str">
        <f t="shared" si="4"/>
        <v>7900451096.pdf</v>
      </c>
      <c r="K149" s="51" t="s">
        <v>1009</v>
      </c>
      <c r="L149" s="51" t="s">
        <v>518</v>
      </c>
      <c r="M149" s="50" t="str">
        <f t="shared" si="5"/>
        <v>34.500</v>
      </c>
      <c r="N149" s="50" t="str">
        <f>IF(A149&lt;&gt;"",VLOOKUP(RIGHT(A149,3)*1,[4]Des_Loc!A:B,2,0),"")</f>
        <v>PINDORAMA DO TOCANTINS</v>
      </c>
    </row>
    <row r="150" spans="1:14" ht="18.75" customHeight="1" x14ac:dyDescent="0.25">
      <c r="A150" s="52">
        <v>7900001096</v>
      </c>
      <c r="B150" s="51" t="s">
        <v>1003</v>
      </c>
      <c r="C150" s="51">
        <v>3</v>
      </c>
      <c r="D150" s="51" t="s">
        <v>1005</v>
      </c>
      <c r="E150" s="51" t="s">
        <v>1005</v>
      </c>
      <c r="F150" s="51" t="s">
        <v>1005</v>
      </c>
      <c r="G150" s="51" t="s">
        <v>1005</v>
      </c>
      <c r="H150" s="51" t="s">
        <v>1005</v>
      </c>
      <c r="I150" s="51" t="s">
        <v>1005</v>
      </c>
      <c r="J150" s="50" t="str">
        <f t="shared" si="4"/>
        <v>7900001096.pdf</v>
      </c>
      <c r="K150" s="51" t="s">
        <v>1009</v>
      </c>
      <c r="L150" s="51" t="s">
        <v>518</v>
      </c>
      <c r="M150" s="50" t="str">
        <f t="shared" si="5"/>
        <v>34.500</v>
      </c>
      <c r="N150" s="50" t="str">
        <f>IF(A150&lt;&gt;"",VLOOKUP(RIGHT(A150,3)*1,[4]Des_Loc!A:B,2,0),"")</f>
        <v>PINDORAMA DO TOCANTINS</v>
      </c>
    </row>
    <row r="151" spans="1:14" ht="18.75" customHeight="1" x14ac:dyDescent="0.25">
      <c r="A151" s="52">
        <v>7900230155</v>
      </c>
      <c r="B151" s="51" t="s">
        <v>1003</v>
      </c>
      <c r="C151" s="51" t="s">
        <v>1010</v>
      </c>
      <c r="D151" s="51" t="s">
        <v>1005</v>
      </c>
      <c r="E151" s="51" t="s">
        <v>1005</v>
      </c>
      <c r="F151" s="51" t="s">
        <v>1005</v>
      </c>
      <c r="G151" s="51" t="s">
        <v>1005</v>
      </c>
      <c r="H151" s="51" t="s">
        <v>1005</v>
      </c>
      <c r="I151" s="51" t="s">
        <v>1005</v>
      </c>
      <c r="J151" s="50" t="str">
        <f t="shared" si="4"/>
        <v>7900230155.pdf</v>
      </c>
      <c r="K151" s="51" t="s">
        <v>1009</v>
      </c>
      <c r="L151" s="51" t="s">
        <v>1079</v>
      </c>
      <c r="M151" s="50" t="str">
        <f t="shared" si="5"/>
        <v>34.500</v>
      </c>
      <c r="N151" s="50" t="str">
        <f>IF(A151&lt;&gt;"",VLOOKUP(RIGHT(A151,3)*1,[4]Des_Loc!A:B,2,0),"")</f>
        <v>PALMEIRANTE</v>
      </c>
    </row>
    <row r="152" spans="1:14" ht="18.75" customHeight="1" x14ac:dyDescent="0.25">
      <c r="A152" s="52">
        <v>7910269094</v>
      </c>
      <c r="B152" s="51" t="s">
        <v>1003</v>
      </c>
      <c r="C152" s="51">
        <v>3</v>
      </c>
      <c r="D152" s="51" t="s">
        <v>1005</v>
      </c>
      <c r="E152" s="51" t="s">
        <v>1005</v>
      </c>
      <c r="F152" s="51" t="s">
        <v>1005</v>
      </c>
      <c r="G152" s="51" t="s">
        <v>1005</v>
      </c>
      <c r="H152" s="51" t="s">
        <v>1005</v>
      </c>
      <c r="I152" s="51" t="s">
        <v>1005</v>
      </c>
      <c r="J152" s="50" t="str">
        <f t="shared" si="4"/>
        <v>7910269094.pdf</v>
      </c>
      <c r="K152" s="51" t="s">
        <v>1009</v>
      </c>
      <c r="L152" s="51" t="s">
        <v>1080</v>
      </c>
      <c r="M152" s="50" t="str">
        <f t="shared" si="5"/>
        <v>34.500</v>
      </c>
      <c r="N152" s="50" t="str">
        <f>IF(A152&lt;&gt;"",VLOOKUP(RIGHT(A152,3)*1,[4]Des_Loc!A:B,2,0),"")</f>
        <v>PEIXE</v>
      </c>
    </row>
    <row r="153" spans="1:14" ht="18.75" customHeight="1" x14ac:dyDescent="0.25">
      <c r="A153" s="52">
        <v>7919145007</v>
      </c>
      <c r="B153" s="51" t="s">
        <v>1003</v>
      </c>
      <c r="C153" s="51" t="s">
        <v>1010</v>
      </c>
      <c r="D153" s="51"/>
      <c r="E153" s="51" t="s">
        <v>1005</v>
      </c>
      <c r="F153" s="51"/>
      <c r="G153" s="51"/>
      <c r="H153" s="51" t="s">
        <v>1005</v>
      </c>
      <c r="I153" s="51" t="s">
        <v>1005</v>
      </c>
      <c r="J153" s="50" t="str">
        <f t="shared" si="4"/>
        <v>7919145007.pdf</v>
      </c>
      <c r="K153" s="51" t="s">
        <v>1009</v>
      </c>
      <c r="L153" s="51" t="s">
        <v>425</v>
      </c>
      <c r="M153" s="50" t="str">
        <f t="shared" si="5"/>
        <v>34.500</v>
      </c>
      <c r="N153" s="50" t="str">
        <f>IF(A153&lt;&gt;"",VLOOKUP(RIGHT(A153,3)*1,[4]Des_Loc!A:B,2,0),"")</f>
        <v>MIRACEMA DO TOCANTINS</v>
      </c>
    </row>
    <row r="154" spans="1:14" ht="18.75" customHeight="1" x14ac:dyDescent="0.25">
      <c r="A154" s="52">
        <v>7900412148</v>
      </c>
      <c r="B154" s="51" t="s">
        <v>1003</v>
      </c>
      <c r="C154" s="51">
        <v>3</v>
      </c>
      <c r="D154" s="51"/>
      <c r="E154" s="51" t="s">
        <v>1011</v>
      </c>
      <c r="F154" s="51"/>
      <c r="G154" s="51"/>
      <c r="H154" s="51" t="s">
        <v>1005</v>
      </c>
      <c r="I154" s="51" t="s">
        <v>1005</v>
      </c>
      <c r="J154" s="50" t="str">
        <f t="shared" si="4"/>
        <v>7900412148.pdf</v>
      </c>
      <c r="K154" s="51" t="s">
        <v>1009</v>
      </c>
      <c r="L154" s="51" t="s">
        <v>406</v>
      </c>
      <c r="M154" s="50" t="str">
        <f t="shared" si="5"/>
        <v>34.500</v>
      </c>
      <c r="N154" s="50" t="str">
        <f>IF(A154&lt;&gt;"",VLOOKUP(RIGHT(A154,3)*1,[4]Des_Loc!A:B,2,0),"")</f>
        <v>SAO VALERIO DA NATIVIDADE</v>
      </c>
    </row>
    <row r="155" spans="1:14" ht="18.75" customHeight="1" x14ac:dyDescent="0.25">
      <c r="A155" s="52">
        <v>7900052124</v>
      </c>
      <c r="B155" s="51" t="s">
        <v>1003</v>
      </c>
      <c r="C155" s="51" t="s">
        <v>1010</v>
      </c>
      <c r="D155" s="51" t="s">
        <v>1005</v>
      </c>
      <c r="E155" s="51" t="s">
        <v>1005</v>
      </c>
      <c r="F155" s="51" t="s">
        <v>1005</v>
      </c>
      <c r="G155" s="51" t="s">
        <v>1005</v>
      </c>
      <c r="H155" s="51" t="s">
        <v>1005</v>
      </c>
      <c r="I155" s="51" t="s">
        <v>1005</v>
      </c>
      <c r="J155" s="50" t="str">
        <f t="shared" si="4"/>
        <v>7900052124.pdf</v>
      </c>
      <c r="K155" s="51" t="s">
        <v>1022</v>
      </c>
      <c r="L155" s="51" t="s">
        <v>1081</v>
      </c>
      <c r="M155" s="50" t="str">
        <f t="shared" si="5"/>
        <v>13.800</v>
      </c>
      <c r="N155" s="50" t="str">
        <f>IF(A155&lt;&gt;"",VLOOKUP(RIGHT(A155,3)*1,[4]Des_Loc!A:B,2,0),"")</f>
        <v>RIACHINHO</v>
      </c>
    </row>
    <row r="156" spans="1:14" ht="18.75" customHeight="1" x14ac:dyDescent="0.25">
      <c r="A156" s="52">
        <v>7908199076</v>
      </c>
      <c r="B156" s="51" t="s">
        <v>1003</v>
      </c>
      <c r="C156" s="51" t="s">
        <v>1010</v>
      </c>
      <c r="D156" s="51" t="s">
        <v>1005</v>
      </c>
      <c r="E156" s="51" t="s">
        <v>1005</v>
      </c>
      <c r="F156" s="51" t="s">
        <v>1005</v>
      </c>
      <c r="G156" s="51" t="s">
        <v>1005</v>
      </c>
      <c r="H156" s="51" t="s">
        <v>1005</v>
      </c>
      <c r="I156" s="51" t="s">
        <v>1005</v>
      </c>
      <c r="J156" s="50" t="str">
        <f t="shared" si="4"/>
        <v>7908199076.pdf</v>
      </c>
      <c r="K156" s="51" t="s">
        <v>1006</v>
      </c>
      <c r="L156" s="51" t="s">
        <v>1075</v>
      </c>
      <c r="M156" s="50" t="str">
        <f t="shared" si="5"/>
        <v>34.500</v>
      </c>
      <c r="N156" s="50" t="str">
        <f>IF(A156&lt;&gt;"",VLOOKUP(RIGHT(A156,3)*1,[4]Des_Loc!A:B,2,0),"")</f>
        <v>DUERE</v>
      </c>
    </row>
    <row r="157" spans="1:14" ht="18.75" customHeight="1" x14ac:dyDescent="0.25">
      <c r="A157" s="52">
        <v>7926753122</v>
      </c>
      <c r="B157" s="51" t="s">
        <v>1003</v>
      </c>
      <c r="C157" s="51">
        <v>2</v>
      </c>
      <c r="D157" s="51" t="s">
        <v>1011</v>
      </c>
      <c r="E157" s="51" t="s">
        <v>1005</v>
      </c>
      <c r="F157" s="51" t="s">
        <v>1005</v>
      </c>
      <c r="G157" s="51" t="s">
        <v>1005</v>
      </c>
      <c r="H157" s="51" t="s">
        <v>1005</v>
      </c>
      <c r="I157" s="51" t="s">
        <v>1005</v>
      </c>
      <c r="J157" s="50" t="str">
        <f t="shared" si="4"/>
        <v>7926753122.pdf</v>
      </c>
      <c r="K157" s="54" t="s">
        <v>1022</v>
      </c>
      <c r="L157" s="51" t="s">
        <v>777</v>
      </c>
      <c r="M157" s="50" t="str">
        <f t="shared" si="5"/>
        <v>13.800</v>
      </c>
      <c r="N157" s="50" t="str">
        <f>IF(A157&lt;&gt;"",VLOOKUP(RIGHT(A157,3)*1,[4]Des_Loc!A:B,2,0),"")</f>
        <v>PALMAS</v>
      </c>
    </row>
    <row r="158" spans="1:14" ht="18.75" customHeight="1" x14ac:dyDescent="0.25">
      <c r="A158" s="52">
        <v>7908304001</v>
      </c>
      <c r="B158" s="51" t="s">
        <v>1003</v>
      </c>
      <c r="C158" s="51">
        <v>3</v>
      </c>
      <c r="D158" s="51"/>
      <c r="E158" s="51" t="s">
        <v>1005</v>
      </c>
      <c r="F158" s="51"/>
      <c r="G158" s="51"/>
      <c r="H158" s="51" t="s">
        <v>1005</v>
      </c>
      <c r="I158" s="51" t="s">
        <v>1005</v>
      </c>
      <c r="J158" s="50" t="str">
        <f t="shared" si="4"/>
        <v>7908304001.pdf</v>
      </c>
      <c r="K158" s="51" t="s">
        <v>1006</v>
      </c>
      <c r="L158" s="51" t="s">
        <v>430</v>
      </c>
      <c r="M158" s="50" t="str">
        <f t="shared" si="5"/>
        <v>34.500</v>
      </c>
      <c r="N158" s="50" t="str">
        <f>IF(A158&lt;&gt;"",VLOOKUP(RIGHT(A158,3)*1,[4]Des_Loc!A:B,2,0),"")</f>
        <v>PORTO NACIONAL</v>
      </c>
    </row>
    <row r="159" spans="1:14" ht="18.75" customHeight="1" x14ac:dyDescent="0.25">
      <c r="A159" s="52">
        <v>7908246250</v>
      </c>
      <c r="B159" s="51" t="s">
        <v>1003</v>
      </c>
      <c r="C159" s="51" t="s">
        <v>1021</v>
      </c>
      <c r="D159" s="51"/>
      <c r="E159" s="51" t="s">
        <v>1005</v>
      </c>
      <c r="F159" s="51"/>
      <c r="G159" s="51"/>
      <c r="H159" s="51" t="s">
        <v>1005</v>
      </c>
      <c r="I159" s="51" t="s">
        <v>1005</v>
      </c>
      <c r="J159" s="50" t="str">
        <f t="shared" si="4"/>
        <v>7908246250.pdf</v>
      </c>
      <c r="K159" s="54" t="s">
        <v>1022</v>
      </c>
      <c r="L159" s="51" t="s">
        <v>430</v>
      </c>
      <c r="M159" s="50" t="str">
        <f t="shared" si="5"/>
        <v>34.500</v>
      </c>
      <c r="N159" s="50" t="str">
        <f>IF(A159&lt;&gt;"",VLOOKUP(RIGHT(A159,3)*1,[4]Des_Loc!A:B,2,0),"")</f>
        <v>IPUEIRAS</v>
      </c>
    </row>
    <row r="160" spans="1:14" ht="18.75" customHeight="1" x14ac:dyDescent="0.25">
      <c r="A160" s="52">
        <v>7902592003</v>
      </c>
      <c r="B160" s="51" t="s">
        <v>1003</v>
      </c>
      <c r="C160" s="51" t="s">
        <v>1010</v>
      </c>
      <c r="D160" s="51" t="s">
        <v>1011</v>
      </c>
      <c r="E160" s="51" t="s">
        <v>1005</v>
      </c>
      <c r="F160" s="51" t="s">
        <v>1011</v>
      </c>
      <c r="G160" s="51" t="s">
        <v>1005</v>
      </c>
      <c r="H160" s="51" t="s">
        <v>1005</v>
      </c>
      <c r="I160" s="51" t="s">
        <v>1011</v>
      </c>
      <c r="J160" s="50" t="str">
        <f t="shared" si="4"/>
        <v>7902592003.pdf</v>
      </c>
      <c r="K160" s="51" t="s">
        <v>1006</v>
      </c>
      <c r="L160" s="51" t="s">
        <v>1080</v>
      </c>
      <c r="M160" s="50" t="str">
        <f t="shared" si="5"/>
        <v>34.500</v>
      </c>
      <c r="N160" s="50" t="str">
        <f>IF(A160&lt;&gt;"",VLOOKUP(RIGHT(A160,3)*1,[4]Des_Loc!A:B,2,0),"")</f>
        <v>GURUPI</v>
      </c>
    </row>
    <row r="161" spans="1:14" ht="18.75" customHeight="1" x14ac:dyDescent="0.25">
      <c r="A161" s="52">
        <v>7900669107</v>
      </c>
      <c r="B161" s="51" t="s">
        <v>1003</v>
      </c>
      <c r="C161" s="51" t="s">
        <v>1021</v>
      </c>
      <c r="D161" s="51" t="s">
        <v>1005</v>
      </c>
      <c r="E161" s="51" t="s">
        <v>1005</v>
      </c>
      <c r="F161" s="51" t="s">
        <v>1005</v>
      </c>
      <c r="G161" s="51" t="s">
        <v>1005</v>
      </c>
      <c r="H161" s="51" t="s">
        <v>1005</v>
      </c>
      <c r="I161" s="51" t="s">
        <v>1005</v>
      </c>
      <c r="J161" s="50" t="str">
        <f t="shared" si="4"/>
        <v>7900669107.pdf</v>
      </c>
      <c r="K161" s="51" t="s">
        <v>1009</v>
      </c>
      <c r="L161" s="51" t="s">
        <v>1076</v>
      </c>
      <c r="M161" s="50" t="str">
        <f t="shared" si="5"/>
        <v>34.500</v>
      </c>
      <c r="N161" s="50" t="str">
        <f>IF(A161&lt;&gt;"",VLOOKUP(RIGHT(A161,3)*1,[4]Des_Loc!A:B,2,0),"")</f>
        <v>SANDOLANDIA</v>
      </c>
    </row>
    <row r="162" spans="1:14" ht="18.75" customHeight="1" x14ac:dyDescent="0.25">
      <c r="A162" s="52">
        <v>7900347153</v>
      </c>
      <c r="B162" s="51" t="s">
        <v>1003</v>
      </c>
      <c r="C162" s="51">
        <v>3</v>
      </c>
      <c r="D162" s="51" t="s">
        <v>1011</v>
      </c>
      <c r="E162" s="51" t="s">
        <v>1005</v>
      </c>
      <c r="F162" s="51" t="s">
        <v>1011</v>
      </c>
      <c r="G162" s="51" t="s">
        <v>1005</v>
      </c>
      <c r="H162" s="51" t="s">
        <v>1005</v>
      </c>
      <c r="I162" s="51" t="s">
        <v>1011</v>
      </c>
      <c r="J162" s="50" t="str">
        <f t="shared" si="4"/>
        <v>7900347153.pdf</v>
      </c>
      <c r="K162" s="51" t="s">
        <v>1006</v>
      </c>
      <c r="L162" s="51" t="s">
        <v>1029</v>
      </c>
      <c r="M162" s="50" t="str">
        <f t="shared" si="5"/>
        <v>34.500</v>
      </c>
      <c r="N162" s="50" t="str">
        <f>IF(A162&lt;&gt;"",VLOOKUP(RIGHT(A162,3)*1,[4]Des_Loc!A:B,2,0),"")</f>
        <v>BERNARDO SAYAO</v>
      </c>
    </row>
    <row r="163" spans="1:14" ht="18.75" customHeight="1" x14ac:dyDescent="0.25">
      <c r="A163" s="52">
        <v>7907467059</v>
      </c>
      <c r="B163" s="51" t="s">
        <v>1003</v>
      </c>
      <c r="C163" s="51">
        <v>2</v>
      </c>
      <c r="D163" s="51"/>
      <c r="E163" s="51" t="s">
        <v>1005</v>
      </c>
      <c r="F163" s="51"/>
      <c r="G163" s="51"/>
      <c r="H163" s="51" t="s">
        <v>1005</v>
      </c>
      <c r="I163" s="51" t="s">
        <v>1005</v>
      </c>
      <c r="J163" s="50" t="str">
        <f t="shared" si="4"/>
        <v>7907467059.pdf</v>
      </c>
      <c r="K163" s="54" t="s">
        <v>1022</v>
      </c>
      <c r="L163" s="51" t="s">
        <v>1070</v>
      </c>
      <c r="M163" s="50" t="str">
        <f t="shared" si="5"/>
        <v>13.800</v>
      </c>
      <c r="N163" s="50" t="str">
        <f>IF(A163&lt;&gt;"",VLOOKUP(RIGHT(A163,3)*1,[4]Des_Loc!A:B,2,0),"")</f>
        <v>TAQUARALTO</v>
      </c>
    </row>
    <row r="164" spans="1:14" ht="18.75" customHeight="1" x14ac:dyDescent="0.25">
      <c r="A164" s="52">
        <v>7902701014</v>
      </c>
      <c r="B164" s="51" t="s">
        <v>1003</v>
      </c>
      <c r="C164" s="51">
        <v>2</v>
      </c>
      <c r="D164" s="51"/>
      <c r="E164" s="51" t="s">
        <v>1005</v>
      </c>
      <c r="F164" s="51"/>
      <c r="G164" s="51"/>
      <c r="H164" s="51" t="s">
        <v>1005</v>
      </c>
      <c r="I164" s="51" t="s">
        <v>1005</v>
      </c>
      <c r="J164" s="50" t="str">
        <f t="shared" si="4"/>
        <v>7902701014.pdf</v>
      </c>
      <c r="K164" s="51" t="s">
        <v>1006</v>
      </c>
      <c r="L164" s="51" t="s">
        <v>1082</v>
      </c>
      <c r="M164" s="50" t="str">
        <f t="shared" si="5"/>
        <v>13.800</v>
      </c>
      <c r="N164" s="50" t="str">
        <f>IF(A164&lt;&gt;"",VLOOKUP(RIGHT(A164,3)*1,[4]Des_Loc!A:B,2,0),"")</f>
        <v>PIUM</v>
      </c>
    </row>
    <row r="165" spans="1:14" ht="18.75" customHeight="1" x14ac:dyDescent="0.25">
      <c r="A165" s="52">
        <v>7911120026</v>
      </c>
      <c r="B165" s="51" t="s">
        <v>1003</v>
      </c>
      <c r="C165" s="51">
        <v>2</v>
      </c>
      <c r="D165" s="51" t="s">
        <v>1011</v>
      </c>
      <c r="E165" s="51" t="s">
        <v>1005</v>
      </c>
      <c r="F165" s="51" t="s">
        <v>1005</v>
      </c>
      <c r="G165" s="51" t="s">
        <v>1005</v>
      </c>
      <c r="H165" s="51" t="s">
        <v>1005</v>
      </c>
      <c r="I165" s="51" t="s">
        <v>1005</v>
      </c>
      <c r="J165" s="50" t="str">
        <f t="shared" si="4"/>
        <v>7911120026.pdf</v>
      </c>
      <c r="K165" s="51" t="s">
        <v>1009</v>
      </c>
      <c r="L165" s="51" t="s">
        <v>518</v>
      </c>
      <c r="M165" s="50" t="str">
        <f t="shared" si="5"/>
        <v>34.500</v>
      </c>
      <c r="N165" s="50" t="str">
        <f>IF(A165&lt;&gt;"",VLOOKUP(RIGHT(A165,3)*1,[4]Des_Loc!A:B,2,0),"")</f>
        <v>PONTE ALTA TOCANTINS</v>
      </c>
    </row>
    <row r="166" spans="1:14" ht="18.75" customHeight="1" x14ac:dyDescent="0.25">
      <c r="A166" s="52">
        <v>7900505026</v>
      </c>
      <c r="B166" s="51" t="s">
        <v>1003</v>
      </c>
      <c r="C166" s="51" t="s">
        <v>1010</v>
      </c>
      <c r="D166" s="51" t="s">
        <v>1005</v>
      </c>
      <c r="E166" s="51" t="s">
        <v>1005</v>
      </c>
      <c r="F166" s="51" t="s">
        <v>1005</v>
      </c>
      <c r="G166" s="51" t="s">
        <v>1005</v>
      </c>
      <c r="H166" s="51" t="s">
        <v>1005</v>
      </c>
      <c r="I166" s="51" t="s">
        <v>1005</v>
      </c>
      <c r="J166" s="50" t="str">
        <f t="shared" si="4"/>
        <v>7900505026.pdf</v>
      </c>
      <c r="K166" s="51" t="s">
        <v>1009</v>
      </c>
      <c r="L166" s="51" t="s">
        <v>518</v>
      </c>
      <c r="M166" s="50" t="str">
        <f t="shared" si="5"/>
        <v>34.500</v>
      </c>
      <c r="N166" s="50" t="str">
        <f>IF(A166&lt;&gt;"",VLOOKUP(RIGHT(A166,3)*1,[4]Des_Loc!A:B,2,0),"")</f>
        <v>PONTE ALTA TOCANTINS</v>
      </c>
    </row>
    <row r="167" spans="1:14" ht="18.75" customHeight="1" x14ac:dyDescent="0.25">
      <c r="A167" s="52">
        <v>7907257059</v>
      </c>
      <c r="B167" s="51" t="s">
        <v>1003</v>
      </c>
      <c r="C167" s="51">
        <v>2</v>
      </c>
      <c r="D167" s="51"/>
      <c r="E167" s="51" t="s">
        <v>1005</v>
      </c>
      <c r="F167" s="51"/>
      <c r="G167" s="51"/>
      <c r="H167" s="51" t="s">
        <v>1005</v>
      </c>
      <c r="I167" s="51" t="s">
        <v>1005</v>
      </c>
      <c r="J167" s="50" t="str">
        <f t="shared" si="4"/>
        <v>7907257059.pdf</v>
      </c>
      <c r="K167" s="54" t="s">
        <v>1022</v>
      </c>
      <c r="L167" s="51" t="s">
        <v>1070</v>
      </c>
      <c r="M167" s="50" t="str">
        <f t="shared" si="5"/>
        <v>13.800</v>
      </c>
      <c r="N167" s="50" t="str">
        <f>IF(A167&lt;&gt;"",VLOOKUP(RIGHT(A167,3)*1,[4]Des_Loc!A:B,2,0),"")</f>
        <v>TAQUARALTO</v>
      </c>
    </row>
    <row r="168" spans="1:14" ht="18.75" customHeight="1" x14ac:dyDescent="0.25">
      <c r="A168" s="52">
        <v>7900189012</v>
      </c>
      <c r="B168" s="51" t="s">
        <v>1003</v>
      </c>
      <c r="C168" s="51">
        <v>3</v>
      </c>
      <c r="D168" s="51"/>
      <c r="E168" s="51" t="s">
        <v>1005</v>
      </c>
      <c r="F168" s="51"/>
      <c r="G168" s="51"/>
      <c r="H168" s="51" t="s">
        <v>1005</v>
      </c>
      <c r="I168" s="51" t="s">
        <v>1005</v>
      </c>
      <c r="J168" s="50" t="str">
        <f t="shared" si="4"/>
        <v>7900189012.pdf</v>
      </c>
      <c r="K168" s="51" t="s">
        <v>1009</v>
      </c>
      <c r="L168" s="51" t="s">
        <v>599</v>
      </c>
      <c r="M168" s="50" t="str">
        <f t="shared" si="5"/>
        <v>34.500</v>
      </c>
      <c r="N168" s="50" t="str">
        <f>IF(A168&lt;&gt;"",VLOOKUP(RIGHT(A168,3)*1,[4]Des_Loc!A:B,2,0),"")</f>
        <v>CRISTALANDIA</v>
      </c>
    </row>
    <row r="169" spans="1:14" ht="18.75" customHeight="1" x14ac:dyDescent="0.25">
      <c r="A169" s="52">
        <v>7900302055</v>
      </c>
      <c r="B169" s="51" t="s">
        <v>1003</v>
      </c>
      <c r="C169" s="51">
        <v>3</v>
      </c>
      <c r="D169" s="51" t="s">
        <v>1011</v>
      </c>
      <c r="E169" s="51" t="s">
        <v>1005</v>
      </c>
      <c r="F169" s="51" t="s">
        <v>1005</v>
      </c>
      <c r="G169" s="51" t="s">
        <v>1005</v>
      </c>
      <c r="H169" s="51" t="s">
        <v>1005</v>
      </c>
      <c r="I169" s="51" t="s">
        <v>1005</v>
      </c>
      <c r="J169" s="50" t="str">
        <f t="shared" si="4"/>
        <v>7900302055.pdf</v>
      </c>
      <c r="K169" s="51" t="s">
        <v>1009</v>
      </c>
      <c r="L169" s="51" t="s">
        <v>749</v>
      </c>
      <c r="M169" s="50" t="str">
        <f t="shared" si="5"/>
        <v>34.500</v>
      </c>
      <c r="N169" s="50" t="str">
        <f>IF(A169&lt;&gt;"",VLOOKUP(RIGHT(A169,3)*1,[4]Des_Loc!A:B,2,0),"")</f>
        <v>ARAGUACEMA</v>
      </c>
    </row>
    <row r="170" spans="1:14" ht="18.75" customHeight="1" x14ac:dyDescent="0.25">
      <c r="A170" s="52">
        <v>7900524113</v>
      </c>
      <c r="B170" s="51" t="s">
        <v>1003</v>
      </c>
      <c r="C170" s="51" t="s">
        <v>1004</v>
      </c>
      <c r="D170" s="51" t="s">
        <v>1011</v>
      </c>
      <c r="E170" s="51" t="s">
        <v>1005</v>
      </c>
      <c r="F170" s="51" t="s">
        <v>1005</v>
      </c>
      <c r="G170" s="51" t="s">
        <v>1005</v>
      </c>
      <c r="H170" s="51" t="s">
        <v>1005</v>
      </c>
      <c r="I170" s="51" t="s">
        <v>1005</v>
      </c>
      <c r="J170" s="50" t="str">
        <f t="shared" si="4"/>
        <v>7900524113.pdf</v>
      </c>
      <c r="K170" s="51" t="s">
        <v>1009</v>
      </c>
      <c r="L170" s="51" t="s">
        <v>1083</v>
      </c>
      <c r="M170" s="50" t="str">
        <f t="shared" si="5"/>
        <v>34.500</v>
      </c>
      <c r="N170" s="50" t="str">
        <f>IF(A170&lt;&gt;"",VLOOKUP(RIGHT(A170,3)*1,[4]Des_Loc!A:B,2,0),"")</f>
        <v>COUTO MAGALHAES</v>
      </c>
    </row>
    <row r="171" spans="1:14" ht="18.75" customHeight="1" x14ac:dyDescent="0.25">
      <c r="A171" s="52">
        <v>7900528037</v>
      </c>
      <c r="B171" s="51" t="s">
        <v>1003</v>
      </c>
      <c r="C171" s="51" t="s">
        <v>1021</v>
      </c>
      <c r="D171" s="51" t="s">
        <v>1005</v>
      </c>
      <c r="E171" s="51" t="s">
        <v>1005</v>
      </c>
      <c r="F171" s="51" t="s">
        <v>1005</v>
      </c>
      <c r="G171" s="51" t="s">
        <v>1005</v>
      </c>
      <c r="H171" s="51" t="s">
        <v>1005</v>
      </c>
      <c r="I171" s="51" t="s">
        <v>1005</v>
      </c>
      <c r="J171" s="50" t="str">
        <f t="shared" si="4"/>
        <v>7900528037.pdf</v>
      </c>
      <c r="K171" s="51" t="s">
        <v>1009</v>
      </c>
      <c r="L171" s="51" t="s">
        <v>483</v>
      </c>
      <c r="M171" s="50" t="str">
        <f t="shared" si="5"/>
        <v>34.500</v>
      </c>
      <c r="N171" s="50" t="str">
        <f>IF(A171&lt;&gt;"",VLOOKUP(RIGHT(A171,3)*1,[4]Des_Loc!A:B,2,0),"")</f>
        <v>ALIANCA DO TOCANTINS</v>
      </c>
    </row>
    <row r="172" spans="1:14" ht="18.75" customHeight="1" x14ac:dyDescent="0.25">
      <c r="A172" s="52">
        <v>7900468037</v>
      </c>
      <c r="B172" s="51" t="s">
        <v>1003</v>
      </c>
      <c r="C172" s="51" t="s">
        <v>1010</v>
      </c>
      <c r="D172" s="51" t="s">
        <v>1011</v>
      </c>
      <c r="E172" s="51" t="s">
        <v>1005</v>
      </c>
      <c r="F172" s="51" t="s">
        <v>1005</v>
      </c>
      <c r="G172" s="51" t="s">
        <v>1005</v>
      </c>
      <c r="H172" s="51" t="s">
        <v>1005</v>
      </c>
      <c r="I172" s="51" t="s">
        <v>1005</v>
      </c>
      <c r="J172" s="50" t="str">
        <f t="shared" si="4"/>
        <v>7900468037.pdf</v>
      </c>
      <c r="K172" s="51" t="s">
        <v>1006</v>
      </c>
      <c r="L172" s="51" t="s">
        <v>483</v>
      </c>
      <c r="M172" s="50" t="str">
        <f t="shared" si="5"/>
        <v>34.500</v>
      </c>
      <c r="N172" s="50" t="str">
        <f>IF(A172&lt;&gt;"",VLOOKUP(RIGHT(A172,3)*1,[4]Des_Loc!A:B,2,0),"")</f>
        <v>ALIANCA DO TOCANTINS</v>
      </c>
    </row>
    <row r="173" spans="1:14" ht="18.75" customHeight="1" x14ac:dyDescent="0.25">
      <c r="A173" s="52">
        <v>7900469078</v>
      </c>
      <c r="B173" s="51" t="s">
        <v>1003</v>
      </c>
      <c r="C173" s="51">
        <v>2</v>
      </c>
      <c r="D173" s="51" t="s">
        <v>1005</v>
      </c>
      <c r="E173" s="51" t="s">
        <v>1005</v>
      </c>
      <c r="F173" s="51" t="s">
        <v>1005</v>
      </c>
      <c r="G173" s="51" t="s">
        <v>1005</v>
      </c>
      <c r="H173" s="51" t="s">
        <v>1005</v>
      </c>
      <c r="I173" s="51" t="s">
        <v>1005</v>
      </c>
      <c r="J173" s="50" t="str">
        <f t="shared" si="4"/>
        <v>7900469078.pdf</v>
      </c>
      <c r="K173" s="54" t="s">
        <v>1084</v>
      </c>
      <c r="L173" s="51" t="s">
        <v>1085</v>
      </c>
      <c r="M173" s="50" t="str">
        <f t="shared" si="5"/>
        <v>13.800</v>
      </c>
      <c r="N173" s="50" t="str">
        <f>IF(A173&lt;&gt;"",VLOOKUP(RIGHT(A173,3)*1,[4]Des_Loc!A:B,2,0),"")</f>
        <v>ITACAJA</v>
      </c>
    </row>
    <row r="174" spans="1:14" ht="18.75" customHeight="1" x14ac:dyDescent="0.25">
      <c r="A174" s="52">
        <v>7908211148</v>
      </c>
      <c r="B174" s="51" t="s">
        <v>1003</v>
      </c>
      <c r="C174" s="51">
        <v>3</v>
      </c>
      <c r="D174" s="51"/>
      <c r="E174" s="51" t="s">
        <v>1005</v>
      </c>
      <c r="F174" s="51"/>
      <c r="G174" s="51"/>
      <c r="H174" s="51" t="s">
        <v>1005</v>
      </c>
      <c r="I174" s="51" t="s">
        <v>1005</v>
      </c>
      <c r="J174" s="50" t="str">
        <f t="shared" si="4"/>
        <v>7908211148.pdf</v>
      </c>
      <c r="K174" s="51" t="s">
        <v>1009</v>
      </c>
      <c r="L174" s="51" t="s">
        <v>406</v>
      </c>
      <c r="M174" s="50" t="str">
        <f t="shared" si="5"/>
        <v>34.500</v>
      </c>
      <c r="N174" s="50" t="str">
        <f>IF(A174&lt;&gt;"",VLOOKUP(RIGHT(A174,3)*1,[4]Des_Loc!A:B,2,0),"")</f>
        <v>SAO VALERIO DA NATIVIDADE</v>
      </c>
    </row>
    <row r="175" spans="1:14" ht="18.75" customHeight="1" x14ac:dyDescent="0.25">
      <c r="A175" s="52">
        <v>7901064039</v>
      </c>
      <c r="B175" s="51" t="s">
        <v>1003</v>
      </c>
      <c r="C175" s="51" t="s">
        <v>1010</v>
      </c>
      <c r="D175" s="51" t="s">
        <v>1005</v>
      </c>
      <c r="E175" s="51" t="s">
        <v>1005</v>
      </c>
      <c r="F175" s="51" t="s">
        <v>1005</v>
      </c>
      <c r="G175" s="51" t="s">
        <v>1005</v>
      </c>
      <c r="H175" s="51" t="s">
        <v>1005</v>
      </c>
      <c r="I175" s="51" t="s">
        <v>1005</v>
      </c>
      <c r="J175" s="50" t="str">
        <f t="shared" si="4"/>
        <v>7901064039.pdf</v>
      </c>
      <c r="K175" s="51" t="s">
        <v>1006</v>
      </c>
      <c r="L175" s="51" t="s">
        <v>677</v>
      </c>
      <c r="M175" s="50" t="str">
        <f t="shared" si="5"/>
        <v>34.500</v>
      </c>
      <c r="N175" s="50" t="str">
        <f>IF(A175&lt;&gt;"",VLOOKUP(RIGHT(A175,3)*1,[4]Des_Loc!A:B,2,0),"")</f>
        <v>ARAGUATINS</v>
      </c>
    </row>
    <row r="176" spans="1:14" ht="18.75" customHeight="1" x14ac:dyDescent="0.25">
      <c r="A176" s="52">
        <v>7900670107</v>
      </c>
      <c r="B176" s="51" t="s">
        <v>1003</v>
      </c>
      <c r="C176" s="51" t="s">
        <v>1021</v>
      </c>
      <c r="D176" s="51" t="s">
        <v>1005</v>
      </c>
      <c r="E176" s="51" t="s">
        <v>1005</v>
      </c>
      <c r="F176" s="51" t="s">
        <v>1005</v>
      </c>
      <c r="G176" s="51" t="s">
        <v>1005</v>
      </c>
      <c r="H176" s="51" t="s">
        <v>1005</v>
      </c>
      <c r="I176" s="51" t="s">
        <v>1005</v>
      </c>
      <c r="J176" s="50" t="str">
        <f t="shared" si="4"/>
        <v>7900670107.pdf</v>
      </c>
      <c r="K176" s="51" t="s">
        <v>1009</v>
      </c>
      <c r="L176" s="51" t="s">
        <v>1076</v>
      </c>
      <c r="M176" s="50" t="str">
        <f t="shared" si="5"/>
        <v>34.500</v>
      </c>
      <c r="N176" s="50" t="str">
        <f>IF(A176&lt;&gt;"",VLOOKUP(RIGHT(A176,3)*1,[4]Des_Loc!A:B,2,0),"")</f>
        <v>SANDOLANDIA</v>
      </c>
    </row>
    <row r="177" spans="1:14" ht="18.75" customHeight="1" x14ac:dyDescent="0.25">
      <c r="A177" s="52">
        <v>7956805053</v>
      </c>
      <c r="B177" s="51" t="s">
        <v>1003</v>
      </c>
      <c r="C177" s="51">
        <v>3</v>
      </c>
      <c r="D177" s="51" t="s">
        <v>1011</v>
      </c>
      <c r="E177" s="51" t="s">
        <v>1005</v>
      </c>
      <c r="F177" s="51" t="s">
        <v>1005</v>
      </c>
      <c r="G177" s="51" t="s">
        <v>1005</v>
      </c>
      <c r="H177" s="51" t="s">
        <v>1005</v>
      </c>
      <c r="I177" s="51" t="s">
        <v>1005</v>
      </c>
      <c r="J177" s="50" t="str">
        <f t="shared" si="4"/>
        <v>7956805053.pdf</v>
      </c>
      <c r="K177" s="51" t="s">
        <v>1006</v>
      </c>
      <c r="L177" s="51" t="s">
        <v>497</v>
      </c>
      <c r="M177" s="50" t="str">
        <f t="shared" si="5"/>
        <v>34.500</v>
      </c>
      <c r="N177" s="50" t="str">
        <f>IF(A177&lt;&gt;"",VLOOKUP(RIGHT(A177,3)*1,[4]Des_Loc!A:B,2,0),"")</f>
        <v>PIRAQUE</v>
      </c>
    </row>
    <row r="178" spans="1:14" ht="18.75" customHeight="1" x14ac:dyDescent="0.25">
      <c r="A178" s="52">
        <v>7901830094</v>
      </c>
      <c r="B178" s="51" t="s">
        <v>1003</v>
      </c>
      <c r="C178" s="51">
        <v>3</v>
      </c>
      <c r="D178" s="51" t="s">
        <v>1011</v>
      </c>
      <c r="E178" s="51" t="s">
        <v>1005</v>
      </c>
      <c r="F178" s="51" t="s">
        <v>1011</v>
      </c>
      <c r="G178" s="51" t="s">
        <v>1005</v>
      </c>
      <c r="H178" s="51" t="s">
        <v>1005</v>
      </c>
      <c r="I178" s="51" t="s">
        <v>1011</v>
      </c>
      <c r="J178" s="50" t="str">
        <f t="shared" si="4"/>
        <v>7901830094.pdf</v>
      </c>
      <c r="K178" s="51" t="s">
        <v>1006</v>
      </c>
      <c r="L178" s="51" t="s">
        <v>1080</v>
      </c>
      <c r="M178" s="50" t="str">
        <f t="shared" si="5"/>
        <v>34.500</v>
      </c>
      <c r="N178" s="50" t="str">
        <f>IF(A178&lt;&gt;"",VLOOKUP(RIGHT(A178,3)*1,[4]Des_Loc!A:B,2,0),"")</f>
        <v>PEIXE</v>
      </c>
    </row>
    <row r="179" spans="1:14" ht="18.75" customHeight="1" x14ac:dyDescent="0.25">
      <c r="A179" s="52">
        <v>7908203091</v>
      </c>
      <c r="B179" s="51" t="s">
        <v>1003</v>
      </c>
      <c r="C179" s="51">
        <v>3</v>
      </c>
      <c r="D179" s="51" t="s">
        <v>1011</v>
      </c>
      <c r="E179" s="51" t="s">
        <v>1005</v>
      </c>
      <c r="F179" s="51" t="s">
        <v>1011</v>
      </c>
      <c r="G179" s="51" t="s">
        <v>1005</v>
      </c>
      <c r="H179" s="51" t="s">
        <v>1005</v>
      </c>
      <c r="I179" s="51" t="s">
        <v>1011</v>
      </c>
      <c r="J179" s="50" t="str">
        <f t="shared" si="4"/>
        <v>7908203091.pdf</v>
      </c>
      <c r="K179" s="51" t="s">
        <v>1006</v>
      </c>
      <c r="L179" s="51" t="s">
        <v>1086</v>
      </c>
      <c r="M179" s="50" t="str">
        <f t="shared" si="5"/>
        <v>34.500</v>
      </c>
      <c r="N179" s="50" t="str">
        <f>IF(A179&lt;&gt;"",VLOOKUP(RIGHT(A179,3)*1,[4]Des_Loc!A:B,2,0),"")</f>
        <v>ALMAS</v>
      </c>
    </row>
    <row r="180" spans="1:14" ht="18.75" customHeight="1" x14ac:dyDescent="0.25">
      <c r="A180" s="52">
        <v>7908195042</v>
      </c>
      <c r="B180" s="51" t="s">
        <v>1003</v>
      </c>
      <c r="C180" s="51">
        <v>2</v>
      </c>
      <c r="D180" s="51"/>
      <c r="E180" s="51" t="s">
        <v>1005</v>
      </c>
      <c r="F180" s="51"/>
      <c r="G180" s="51"/>
      <c r="H180" s="51" t="s">
        <v>1005</v>
      </c>
      <c r="I180" s="51" t="s">
        <v>1005</v>
      </c>
      <c r="J180" s="50" t="str">
        <f t="shared" si="4"/>
        <v>7908195042.pdf</v>
      </c>
      <c r="K180" s="54" t="s">
        <v>1022</v>
      </c>
      <c r="L180" s="51" t="s">
        <v>1087</v>
      </c>
      <c r="M180" s="50" t="str">
        <f t="shared" si="5"/>
        <v>13.800</v>
      </c>
      <c r="N180" s="50" t="str">
        <f>IF(A180&lt;&gt;"",VLOOKUP(RIGHT(A180,3)*1,[4]Des_Loc!A:B,2,0),"")</f>
        <v>CARIRI DO TOCANTINS</v>
      </c>
    </row>
    <row r="181" spans="1:14" ht="18.75" customHeight="1" x14ac:dyDescent="0.25">
      <c r="A181" s="52">
        <v>7900861075</v>
      </c>
      <c r="B181" s="51" t="s">
        <v>1003</v>
      </c>
      <c r="C181" s="51">
        <v>2</v>
      </c>
      <c r="D181" s="51" t="s">
        <v>1011</v>
      </c>
      <c r="E181" s="51" t="s">
        <v>1005</v>
      </c>
      <c r="F181" s="51" t="s">
        <v>1011</v>
      </c>
      <c r="G181" s="51" t="s">
        <v>1005</v>
      </c>
      <c r="H181" s="51" t="s">
        <v>1005</v>
      </c>
      <c r="I181" s="51" t="s">
        <v>1011</v>
      </c>
      <c r="J181" s="50" t="str">
        <f t="shared" si="4"/>
        <v>7900861075.pdf</v>
      </c>
      <c r="K181" s="51" t="s">
        <v>1006</v>
      </c>
      <c r="L181" s="51" t="s">
        <v>1040</v>
      </c>
      <c r="M181" s="50" t="str">
        <f t="shared" si="5"/>
        <v>34.500</v>
      </c>
      <c r="N181" s="50" t="str">
        <f>IF(A181&lt;&gt;"",VLOOKUP(RIGHT(A181,3)*1,[4]Des_Loc!A:B,2,0),"")</f>
        <v>DOIS IRMAOS DO TOCANTINS</v>
      </c>
    </row>
    <row r="182" spans="1:14" ht="18.75" customHeight="1" x14ac:dyDescent="0.25">
      <c r="A182" s="52">
        <v>7906679122</v>
      </c>
      <c r="B182" s="51" t="s">
        <v>1003</v>
      </c>
      <c r="C182" s="51">
        <v>2</v>
      </c>
      <c r="D182" s="51" t="s">
        <v>1005</v>
      </c>
      <c r="E182" s="51" t="s">
        <v>1005</v>
      </c>
      <c r="F182" s="51" t="s">
        <v>1005</v>
      </c>
      <c r="G182" s="51" t="s">
        <v>1005</v>
      </c>
      <c r="H182" s="51" t="s">
        <v>1005</v>
      </c>
      <c r="I182" s="51" t="s">
        <v>1005</v>
      </c>
      <c r="J182" s="50" t="str">
        <f t="shared" si="4"/>
        <v>7906679122.pdf</v>
      </c>
      <c r="K182" s="51" t="s">
        <v>1009</v>
      </c>
      <c r="L182" s="51" t="s">
        <v>1072</v>
      </c>
      <c r="M182" s="50" t="str">
        <f t="shared" si="5"/>
        <v>13.800</v>
      </c>
      <c r="N182" s="50" t="str">
        <f>IF(A182&lt;&gt;"",VLOOKUP(RIGHT(A182,3)*1,[4]Des_Loc!A:B,2,0),"")</f>
        <v>PALMAS</v>
      </c>
    </row>
    <row r="183" spans="1:14" ht="18.75" customHeight="1" x14ac:dyDescent="0.25">
      <c r="A183" s="52">
        <v>7908683122</v>
      </c>
      <c r="B183" s="51" t="s">
        <v>1003</v>
      </c>
      <c r="C183" s="51">
        <v>2</v>
      </c>
      <c r="D183" s="51" t="s">
        <v>1011</v>
      </c>
      <c r="E183" s="51" t="s">
        <v>1005</v>
      </c>
      <c r="F183" s="51" t="s">
        <v>1011</v>
      </c>
      <c r="G183" s="51" t="s">
        <v>1005</v>
      </c>
      <c r="H183" s="51" t="s">
        <v>1005</v>
      </c>
      <c r="I183" s="51" t="s">
        <v>1011</v>
      </c>
      <c r="J183" s="50" t="str">
        <f t="shared" si="4"/>
        <v>7908683122.pdf</v>
      </c>
      <c r="K183" s="51" t="s">
        <v>1006</v>
      </c>
      <c r="L183" s="51" t="s">
        <v>1088</v>
      </c>
      <c r="M183" s="50" t="str">
        <f t="shared" si="5"/>
        <v>13.800</v>
      </c>
      <c r="N183" s="50" t="str">
        <f>IF(A183&lt;&gt;"",VLOOKUP(RIGHT(A183,3)*1,[4]Des_Loc!A:B,2,0),"")</f>
        <v>PALMAS</v>
      </c>
    </row>
    <row r="184" spans="1:14" ht="18.75" customHeight="1" x14ac:dyDescent="0.25">
      <c r="A184" s="52">
        <v>7908309006</v>
      </c>
      <c r="B184" s="51" t="s">
        <v>1003</v>
      </c>
      <c r="C184" s="51" t="s">
        <v>1021</v>
      </c>
      <c r="D184" s="51" t="s">
        <v>1005</v>
      </c>
      <c r="E184" s="51" t="s">
        <v>1005</v>
      </c>
      <c r="F184" s="51" t="s">
        <v>1005</v>
      </c>
      <c r="G184" s="51" t="s">
        <v>1005</v>
      </c>
      <c r="H184" s="51" t="s">
        <v>1005</v>
      </c>
      <c r="I184" s="51" t="s">
        <v>1005</v>
      </c>
      <c r="J184" s="50" t="str">
        <f t="shared" si="4"/>
        <v>7908309006.pdf</v>
      </c>
      <c r="K184" s="54" t="s">
        <v>1006</v>
      </c>
      <c r="L184" s="51" t="s">
        <v>425</v>
      </c>
      <c r="M184" s="50" t="str">
        <f t="shared" si="5"/>
        <v>34.500</v>
      </c>
      <c r="N184" s="50" t="str">
        <f>IF(A184&lt;&gt;"",VLOOKUP(RIGHT(A184,3)*1,[4]Des_Loc!A:B,2,0),"")</f>
        <v>TOCANTINIA</v>
      </c>
    </row>
    <row r="185" spans="1:14" ht="18.75" customHeight="1" x14ac:dyDescent="0.25">
      <c r="A185" s="52">
        <v>7900557122</v>
      </c>
      <c r="B185" s="51" t="s">
        <v>1003</v>
      </c>
      <c r="C185" s="51" t="s">
        <v>1010</v>
      </c>
      <c r="D185" s="51" t="s">
        <v>1005</v>
      </c>
      <c r="E185" s="51" t="s">
        <v>1005</v>
      </c>
      <c r="F185" s="51" t="s">
        <v>1005</v>
      </c>
      <c r="G185" s="51" t="s">
        <v>1005</v>
      </c>
      <c r="H185" s="51" t="s">
        <v>1005</v>
      </c>
      <c r="I185" s="51" t="s">
        <v>1005</v>
      </c>
      <c r="J185" s="50" t="str">
        <f t="shared" si="4"/>
        <v>7900557122.pdf</v>
      </c>
      <c r="K185" s="51" t="s">
        <v>1009</v>
      </c>
      <c r="L185" s="51" t="s">
        <v>1089</v>
      </c>
      <c r="M185" s="50" t="str">
        <f t="shared" si="5"/>
        <v>13.800</v>
      </c>
      <c r="N185" s="50" t="str">
        <f>IF(A185&lt;&gt;"",VLOOKUP(RIGHT(A185,3)*1,[4]Des_Loc!A:B,2,0),"")</f>
        <v>PALMAS</v>
      </c>
    </row>
    <row r="186" spans="1:14" ht="18.75" customHeight="1" x14ac:dyDescent="0.25">
      <c r="A186" s="52">
        <v>7909593122</v>
      </c>
      <c r="B186" s="51" t="s">
        <v>1003</v>
      </c>
      <c r="C186" s="51">
        <v>2</v>
      </c>
      <c r="D186" s="51" t="s">
        <v>1005</v>
      </c>
      <c r="E186" s="51" t="s">
        <v>1005</v>
      </c>
      <c r="F186" s="51" t="s">
        <v>1005</v>
      </c>
      <c r="G186" s="51" t="s">
        <v>1005</v>
      </c>
      <c r="H186" s="51" t="s">
        <v>1005</v>
      </c>
      <c r="I186" s="51" t="s">
        <v>1005</v>
      </c>
      <c r="J186" s="50" t="str">
        <f t="shared" si="4"/>
        <v>7909593122.pdf</v>
      </c>
      <c r="K186" s="51" t="s">
        <v>1009</v>
      </c>
      <c r="L186" s="51" t="s">
        <v>1090</v>
      </c>
      <c r="M186" s="50" t="str">
        <f t="shared" si="5"/>
        <v>13.800</v>
      </c>
      <c r="N186" s="50" t="str">
        <f>IF(A186&lt;&gt;"",VLOOKUP(RIGHT(A186,3)*1,[4]Des_Loc!A:B,2,0),"")</f>
        <v>PALMAS</v>
      </c>
    </row>
    <row r="187" spans="1:14" ht="18.75" customHeight="1" x14ac:dyDescent="0.25">
      <c r="A187" s="52">
        <v>7908686014</v>
      </c>
      <c r="B187" s="51" t="s">
        <v>1003</v>
      </c>
      <c r="C187" s="51" t="s">
        <v>1008</v>
      </c>
      <c r="D187" s="51" t="s">
        <v>1005</v>
      </c>
      <c r="E187" s="51" t="s">
        <v>1005</v>
      </c>
      <c r="F187" s="51" t="s">
        <v>1005</v>
      </c>
      <c r="G187" s="51" t="s">
        <v>1005</v>
      </c>
      <c r="H187" s="51" t="s">
        <v>1005</v>
      </c>
      <c r="I187" s="51" t="s">
        <v>1005</v>
      </c>
      <c r="J187" s="50" t="str">
        <f t="shared" si="4"/>
        <v>7908686014.pdf</v>
      </c>
      <c r="K187" s="51" t="s">
        <v>1006</v>
      </c>
      <c r="L187" s="51" t="s">
        <v>561</v>
      </c>
      <c r="M187" s="50" t="str">
        <f t="shared" si="5"/>
        <v>34.500</v>
      </c>
      <c r="N187" s="50" t="str">
        <f>IF(A187&lt;&gt;"",VLOOKUP(RIGHT(A187,3)*1,[4]Des_Loc!A:B,2,0),"")</f>
        <v>PIUM</v>
      </c>
    </row>
    <row r="188" spans="1:14" ht="18.75" customHeight="1" x14ac:dyDescent="0.25">
      <c r="A188" s="52">
        <v>7908716091</v>
      </c>
      <c r="B188" s="51" t="s">
        <v>1003</v>
      </c>
      <c r="C188" s="51" t="s">
        <v>1008</v>
      </c>
      <c r="D188" s="51"/>
      <c r="E188" s="51" t="s">
        <v>1005</v>
      </c>
      <c r="F188" s="51"/>
      <c r="G188" s="51"/>
      <c r="H188" s="51" t="s">
        <v>1005</v>
      </c>
      <c r="I188" s="51" t="s">
        <v>1005</v>
      </c>
      <c r="J188" s="50" t="str">
        <f t="shared" si="4"/>
        <v>7908716091.pdf</v>
      </c>
      <c r="K188" s="51" t="s">
        <v>1009</v>
      </c>
      <c r="L188" s="51" t="s">
        <v>518</v>
      </c>
      <c r="M188" s="50" t="str">
        <f t="shared" si="5"/>
        <v>34.500</v>
      </c>
      <c r="N188" s="50" t="str">
        <f>IF(A188&lt;&gt;"",VLOOKUP(RIGHT(A188,3)*1,[4]Des_Loc!A:B,2,0),"")</f>
        <v>ALMAS</v>
      </c>
    </row>
    <row r="189" spans="1:14" ht="18.75" customHeight="1" x14ac:dyDescent="0.25">
      <c r="A189" s="52">
        <v>7913317004</v>
      </c>
      <c r="B189" s="51" t="s">
        <v>1003</v>
      </c>
      <c r="C189" s="51" t="s">
        <v>1010</v>
      </c>
      <c r="D189" s="51" t="s">
        <v>1011</v>
      </c>
      <c r="E189" s="51" t="s">
        <v>1011</v>
      </c>
      <c r="F189" s="51" t="s">
        <v>1005</v>
      </c>
      <c r="G189" s="51" t="s">
        <v>1005</v>
      </c>
      <c r="H189" s="51" t="s">
        <v>1005</v>
      </c>
      <c r="I189" s="51" t="s">
        <v>1005</v>
      </c>
      <c r="J189" s="50" t="str">
        <f t="shared" si="4"/>
        <v>7913317004.pdf</v>
      </c>
      <c r="K189" s="51" t="s">
        <v>1009</v>
      </c>
      <c r="L189" s="51" t="s">
        <v>505</v>
      </c>
      <c r="M189" s="50" t="str">
        <f t="shared" si="5"/>
        <v>34.500</v>
      </c>
      <c r="N189" s="50" t="str">
        <f>IF(A189&lt;&gt;"",VLOOKUP(RIGHT(A189,3)*1,[4]Des_Loc!A:B,2,0),"")</f>
        <v>ARAGUAINA</v>
      </c>
    </row>
    <row r="190" spans="1:14" ht="18.75" customHeight="1" x14ac:dyDescent="0.25">
      <c r="A190" s="52">
        <v>7908689014</v>
      </c>
      <c r="B190" s="51" t="s">
        <v>1003</v>
      </c>
      <c r="C190" s="51" t="s">
        <v>1010</v>
      </c>
      <c r="D190" s="51" t="s">
        <v>1011</v>
      </c>
      <c r="E190" s="51" t="s">
        <v>1005</v>
      </c>
      <c r="F190" s="51" t="s">
        <v>1005</v>
      </c>
      <c r="G190" s="51" t="s">
        <v>1005</v>
      </c>
      <c r="H190" s="51" t="s">
        <v>1005</v>
      </c>
      <c r="I190" s="51" t="s">
        <v>1005</v>
      </c>
      <c r="J190" s="50" t="str">
        <f t="shared" si="4"/>
        <v>7908689014.pdf</v>
      </c>
      <c r="K190" s="51" t="s">
        <v>1006</v>
      </c>
      <c r="L190" s="51" t="s">
        <v>561</v>
      </c>
      <c r="M190" s="50" t="str">
        <f t="shared" si="5"/>
        <v>34.500</v>
      </c>
      <c r="N190" s="50" t="str">
        <f>IF(A190&lt;&gt;"",VLOOKUP(RIGHT(A190,3)*1,[4]Des_Loc!A:B,2,0),"")</f>
        <v>PIUM</v>
      </c>
    </row>
    <row r="191" spans="1:14" ht="18.75" customHeight="1" x14ac:dyDescent="0.25">
      <c r="A191" s="52">
        <v>7900535058</v>
      </c>
      <c r="B191" s="51" t="s">
        <v>1003</v>
      </c>
      <c r="C191" s="51" t="s">
        <v>1010</v>
      </c>
      <c r="D191" s="51"/>
      <c r="E191" s="51" t="s">
        <v>1005</v>
      </c>
      <c r="F191" s="51"/>
      <c r="G191" s="51"/>
      <c r="H191" s="51" t="s">
        <v>1005</v>
      </c>
      <c r="I191" s="51" t="s">
        <v>1005</v>
      </c>
      <c r="J191" s="50" t="str">
        <f t="shared" si="4"/>
        <v>7900535058.pdf</v>
      </c>
      <c r="K191" s="51" t="s">
        <v>1009</v>
      </c>
      <c r="L191" s="51" t="s">
        <v>505</v>
      </c>
      <c r="M191" s="50" t="str">
        <f t="shared" si="5"/>
        <v>34.500</v>
      </c>
      <c r="N191" s="50" t="str">
        <f>IF(A191&lt;&gt;"",VLOOKUP(RIGHT(A191,3)*1,[4]Des_Loc!A:B,2,0),"")</f>
        <v>SANTA FE DO ARAGUAIA</v>
      </c>
    </row>
    <row r="192" spans="1:14" ht="18.75" customHeight="1" x14ac:dyDescent="0.25">
      <c r="A192" s="52">
        <v>7900651085</v>
      </c>
      <c r="B192" s="51" t="s">
        <v>1003</v>
      </c>
      <c r="C192" s="51" t="s">
        <v>1010</v>
      </c>
      <c r="D192" s="51" t="s">
        <v>1005</v>
      </c>
      <c r="E192" s="51" t="s">
        <v>1005</v>
      </c>
      <c r="F192" s="51" t="s">
        <v>1005</v>
      </c>
      <c r="G192" s="51" t="s">
        <v>1005</v>
      </c>
      <c r="H192" s="51" t="s">
        <v>1005</v>
      </c>
      <c r="I192" s="51" t="s">
        <v>1005</v>
      </c>
      <c r="J192" s="50" t="str">
        <f t="shared" si="4"/>
        <v>7900651085.pdf</v>
      </c>
      <c r="K192" s="51" t="s">
        <v>1009</v>
      </c>
      <c r="L192" s="51" t="s">
        <v>526</v>
      </c>
      <c r="M192" s="50" t="str">
        <f t="shared" si="5"/>
        <v>34.500</v>
      </c>
      <c r="N192" s="50" t="str">
        <f>IF(A192&lt;&gt;"",VLOOKUP(RIGHT(A192,3)*1,[4]Des_Loc!A:B,2,0),"")</f>
        <v>MONTE SANTO DO TOCANTINS</v>
      </c>
    </row>
    <row r="193" spans="1:14" ht="18.75" customHeight="1" x14ac:dyDescent="0.25">
      <c r="A193" s="52">
        <v>7901151022</v>
      </c>
      <c r="B193" s="51" t="s">
        <v>1003</v>
      </c>
      <c r="C193" s="51" t="s">
        <v>1010</v>
      </c>
      <c r="D193" s="51" t="s">
        <v>1011</v>
      </c>
      <c r="E193" s="51" t="s">
        <v>1005</v>
      </c>
      <c r="F193" s="51" t="s">
        <v>1005</v>
      </c>
      <c r="G193" s="51" t="s">
        <v>1005</v>
      </c>
      <c r="H193" s="51" t="s">
        <v>1005</v>
      </c>
      <c r="I193" s="51" t="s">
        <v>1005</v>
      </c>
      <c r="J193" s="50" t="str">
        <f t="shared" si="4"/>
        <v>7901151022.pdf</v>
      </c>
      <c r="K193" s="51" t="s">
        <v>1009</v>
      </c>
      <c r="L193" s="51" t="s">
        <v>533</v>
      </c>
      <c r="M193" s="50" t="str">
        <f t="shared" si="5"/>
        <v>34.500</v>
      </c>
      <c r="N193" s="50" t="str">
        <f>IF(A193&lt;&gt;"",VLOOKUP(RIGHT(A193,3)*1,[4]Des_Loc!A:B,2,0),"")</f>
        <v>BABACULANDIA</v>
      </c>
    </row>
    <row r="194" spans="1:14" ht="18.75" customHeight="1" x14ac:dyDescent="0.25">
      <c r="A194" s="52">
        <v>7900014152</v>
      </c>
      <c r="B194" s="51" t="s">
        <v>1003</v>
      </c>
      <c r="C194" s="51">
        <v>3</v>
      </c>
      <c r="D194" s="51" t="s">
        <v>1011</v>
      </c>
      <c r="E194" s="51" t="s">
        <v>1005</v>
      </c>
      <c r="F194" s="51" t="s">
        <v>1005</v>
      </c>
      <c r="G194" s="51" t="s">
        <v>1005</v>
      </c>
      <c r="H194" s="51" t="s">
        <v>1005</v>
      </c>
      <c r="I194" s="51" t="s">
        <v>1005</v>
      </c>
      <c r="J194" s="50" t="str">
        <f t="shared" ref="J194:J257" si="6">CONCATENATE(A194,".pdf")</f>
        <v>7900014152.pdf</v>
      </c>
      <c r="K194" s="51" t="s">
        <v>1009</v>
      </c>
      <c r="L194" s="51" t="s">
        <v>430</v>
      </c>
      <c r="M194" s="50" t="str">
        <f t="shared" ref="M194:M257" si="7">IF(L194&lt;&gt;"",IF(LEFT(L194,2)="AL","13.800","34.500"),"")</f>
        <v>34.500</v>
      </c>
      <c r="N194" s="50" t="str">
        <f>IF(A194&lt;&gt;"",VLOOKUP(RIGHT(A194,3)*1,[4]Des_Loc!A:B,2,0),"")</f>
        <v>SANTA ROSA DO TOCANTINS</v>
      </c>
    </row>
    <row r="195" spans="1:14" ht="18.75" customHeight="1" x14ac:dyDescent="0.25">
      <c r="A195" s="52">
        <v>7909595004</v>
      </c>
      <c r="B195" s="51" t="s">
        <v>1003</v>
      </c>
      <c r="C195" s="51">
        <v>2</v>
      </c>
      <c r="D195" s="51"/>
      <c r="E195" s="51" t="s">
        <v>1005</v>
      </c>
      <c r="F195" s="51"/>
      <c r="G195" s="51"/>
      <c r="H195" s="51" t="s">
        <v>1005</v>
      </c>
      <c r="I195" s="51" t="s">
        <v>1005</v>
      </c>
      <c r="J195" s="50" t="str">
        <f t="shared" si="6"/>
        <v>7909595004.pdf</v>
      </c>
      <c r="K195" s="51" t="s">
        <v>1009</v>
      </c>
      <c r="L195" s="51" t="s">
        <v>1091</v>
      </c>
      <c r="M195" s="50" t="str">
        <f t="shared" si="7"/>
        <v>13.800</v>
      </c>
      <c r="N195" s="50" t="str">
        <f>IF(A195&lt;&gt;"",VLOOKUP(RIGHT(A195,3)*1,[4]Des_Loc!A:B,2,0),"")</f>
        <v>ARAGUAINA</v>
      </c>
    </row>
    <row r="196" spans="1:14" ht="18.75" customHeight="1" x14ac:dyDescent="0.25">
      <c r="A196" s="52">
        <v>7909594004</v>
      </c>
      <c r="B196" s="51" t="s">
        <v>1003</v>
      </c>
      <c r="C196" s="51" t="s">
        <v>1004</v>
      </c>
      <c r="D196" s="51" t="s">
        <v>1005</v>
      </c>
      <c r="E196" s="51" t="s">
        <v>1005</v>
      </c>
      <c r="F196" s="51" t="s">
        <v>1005</v>
      </c>
      <c r="G196" s="51" t="s">
        <v>1005</v>
      </c>
      <c r="H196" s="51" t="s">
        <v>1005</v>
      </c>
      <c r="I196" s="51" t="s">
        <v>1005</v>
      </c>
      <c r="J196" s="50" t="str">
        <f t="shared" si="6"/>
        <v>7909594004.pdf</v>
      </c>
      <c r="K196" s="54" t="s">
        <v>1084</v>
      </c>
      <c r="L196" s="51" t="s">
        <v>1092</v>
      </c>
      <c r="M196" s="50" t="str">
        <f t="shared" si="7"/>
        <v>13.800</v>
      </c>
      <c r="N196" s="50" t="str">
        <f>IF(A196&lt;&gt;"",VLOOKUP(RIGHT(A196,3)*1,[4]Des_Loc!A:B,2,0),"")</f>
        <v>ARAGUAINA</v>
      </c>
    </row>
    <row r="197" spans="1:14" ht="18.75" customHeight="1" x14ac:dyDescent="0.25">
      <c r="A197" s="52">
        <v>7911144002</v>
      </c>
      <c r="B197" s="51" t="s">
        <v>1003</v>
      </c>
      <c r="C197" s="51">
        <v>2</v>
      </c>
      <c r="D197" s="51"/>
      <c r="E197" s="51" t="s">
        <v>1005</v>
      </c>
      <c r="F197" s="51"/>
      <c r="G197" s="51"/>
      <c r="H197" s="51" t="s">
        <v>1005</v>
      </c>
      <c r="I197" s="51" t="s">
        <v>1005</v>
      </c>
      <c r="J197" s="50" t="str">
        <f t="shared" si="6"/>
        <v>7911144002.pdf</v>
      </c>
      <c r="K197" s="54" t="s">
        <v>1022</v>
      </c>
      <c r="L197" s="51" t="s">
        <v>1093</v>
      </c>
      <c r="M197" s="50" t="str">
        <f t="shared" si="7"/>
        <v>13.800</v>
      </c>
      <c r="N197" s="50" t="str">
        <f>IF(A197&lt;&gt;"",VLOOKUP(RIGHT(A197,3)*1,[4]Des_Loc!A:B,2,0),"")</f>
        <v>TOCANTINOPOLIS</v>
      </c>
    </row>
    <row r="198" spans="1:14" ht="18.75" customHeight="1" x14ac:dyDescent="0.25">
      <c r="A198" s="52">
        <v>7913663027</v>
      </c>
      <c r="B198" s="51" t="s">
        <v>1003</v>
      </c>
      <c r="C198" s="51">
        <v>3</v>
      </c>
      <c r="D198" s="51" t="s">
        <v>1011</v>
      </c>
      <c r="E198" s="51" t="s">
        <v>1005</v>
      </c>
      <c r="F198" s="51" t="s">
        <v>1011</v>
      </c>
      <c r="G198" s="51" t="s">
        <v>1005</v>
      </c>
      <c r="H198" s="51" t="s">
        <v>1005</v>
      </c>
      <c r="I198" s="51" t="s">
        <v>1011</v>
      </c>
      <c r="J198" s="50" t="str">
        <f t="shared" si="6"/>
        <v>7913663027.pdf</v>
      </c>
      <c r="K198" s="51" t="s">
        <v>1006</v>
      </c>
      <c r="L198" s="51" t="s">
        <v>1094</v>
      </c>
      <c r="M198" s="50" t="str">
        <f t="shared" si="7"/>
        <v>34.500</v>
      </c>
      <c r="N198" s="50" t="str">
        <f>IF(A198&lt;&gt;"",VLOOKUP(RIGHT(A198,3)*1,[4]Des_Loc!A:B,2,0),"")</f>
        <v>PONTE ALTA BOM JESUS</v>
      </c>
    </row>
    <row r="199" spans="1:14" ht="18.75" customHeight="1" x14ac:dyDescent="0.25">
      <c r="A199" s="52">
        <v>7901212058</v>
      </c>
      <c r="B199" s="51" t="s">
        <v>1003</v>
      </c>
      <c r="C199" s="51" t="s">
        <v>1010</v>
      </c>
      <c r="D199" s="51"/>
      <c r="E199" s="51" t="s">
        <v>1005</v>
      </c>
      <c r="F199" s="51"/>
      <c r="G199" s="51"/>
      <c r="H199" s="51" t="s">
        <v>1005</v>
      </c>
      <c r="I199" s="51" t="s">
        <v>1005</v>
      </c>
      <c r="J199" s="50" t="str">
        <f t="shared" si="6"/>
        <v>7901212058.pdf</v>
      </c>
      <c r="K199" s="51" t="s">
        <v>1006</v>
      </c>
      <c r="L199" s="51" t="s">
        <v>505</v>
      </c>
      <c r="M199" s="50" t="str">
        <f t="shared" si="7"/>
        <v>34.500</v>
      </c>
      <c r="N199" s="50" t="str">
        <f>IF(A199&lt;&gt;"",VLOOKUP(RIGHT(A199,3)*1,[4]Des_Loc!A:B,2,0),"")</f>
        <v>SANTA FE DO ARAGUAIA</v>
      </c>
    </row>
    <row r="200" spans="1:14" ht="18.75" customHeight="1" x14ac:dyDescent="0.25">
      <c r="A200" s="52">
        <v>7900026017</v>
      </c>
      <c r="B200" s="51" t="s">
        <v>1003</v>
      </c>
      <c r="C200" s="51">
        <v>3</v>
      </c>
      <c r="D200" s="51" t="s">
        <v>1011</v>
      </c>
      <c r="E200" s="51" t="s">
        <v>1005</v>
      </c>
      <c r="F200" s="51" t="s">
        <v>1011</v>
      </c>
      <c r="G200" s="51" t="s">
        <v>1005</v>
      </c>
      <c r="H200" s="51" t="s">
        <v>1005</v>
      </c>
      <c r="I200" s="51" t="s">
        <v>1011</v>
      </c>
      <c r="J200" s="50" t="str">
        <f t="shared" si="6"/>
        <v>7900026017.pdf</v>
      </c>
      <c r="K200" s="51" t="s">
        <v>1006</v>
      </c>
      <c r="L200" s="51" t="s">
        <v>436</v>
      </c>
      <c r="M200" s="50" t="str">
        <f t="shared" si="7"/>
        <v>13.800</v>
      </c>
      <c r="N200" s="50" t="str">
        <f>IF(A200&lt;&gt;"",VLOOKUP(RIGHT(A200,3)*1,[4]Des_Loc!A:B,2,0),"")</f>
        <v>BARROLANDIA</v>
      </c>
    </row>
    <row r="201" spans="1:14" ht="18.75" customHeight="1" x14ac:dyDescent="0.25">
      <c r="A201" s="52">
        <v>7900553113</v>
      </c>
      <c r="B201" s="51" t="s">
        <v>1003</v>
      </c>
      <c r="C201" s="51" t="s">
        <v>1021</v>
      </c>
      <c r="D201" s="51"/>
      <c r="E201" s="51" t="s">
        <v>1005</v>
      </c>
      <c r="F201" s="51"/>
      <c r="G201" s="51"/>
      <c r="H201" s="51" t="s">
        <v>1005</v>
      </c>
      <c r="I201" s="51" t="s">
        <v>1005</v>
      </c>
      <c r="J201" s="50" t="str">
        <f t="shared" si="6"/>
        <v>7900553113.pdf</v>
      </c>
      <c r="K201" s="51" t="s">
        <v>1009</v>
      </c>
      <c r="L201" s="51" t="s">
        <v>1047</v>
      </c>
      <c r="M201" s="50" t="str">
        <f t="shared" si="7"/>
        <v>34.500</v>
      </c>
      <c r="N201" s="50" t="str">
        <f>IF(A201&lt;&gt;"",VLOOKUP(RIGHT(A201,3)*1,[4]Des_Loc!A:B,2,0),"")</f>
        <v>COUTO MAGALHAES</v>
      </c>
    </row>
    <row r="202" spans="1:14" ht="18.75" customHeight="1" x14ac:dyDescent="0.25">
      <c r="A202" s="52">
        <v>7900249127</v>
      </c>
      <c r="B202" s="51" t="s">
        <v>1003</v>
      </c>
      <c r="C202" s="51" t="s">
        <v>1010</v>
      </c>
      <c r="D202" s="51" t="s">
        <v>1011</v>
      </c>
      <c r="E202" s="51" t="s">
        <v>1011</v>
      </c>
      <c r="F202" s="51" t="s">
        <v>1005</v>
      </c>
      <c r="G202" s="51" t="s">
        <v>1005</v>
      </c>
      <c r="H202" s="51" t="s">
        <v>1005</v>
      </c>
      <c r="I202" s="51" t="s">
        <v>1005</v>
      </c>
      <c r="J202" s="50" t="str">
        <f t="shared" si="6"/>
        <v>7900249127.pdf</v>
      </c>
      <c r="K202" s="51" t="s">
        <v>1006</v>
      </c>
      <c r="L202" s="51" t="s">
        <v>594</v>
      </c>
      <c r="M202" s="50" t="str">
        <f t="shared" si="7"/>
        <v>34.500</v>
      </c>
      <c r="N202" s="50" t="str">
        <f>IF(A202&lt;&gt;"",VLOOKUP(RIGHT(A202,3)*1,[4]Des_Loc!A:B,2,0),"")</f>
        <v>PALMEIRAS DO TOCANTINS</v>
      </c>
    </row>
    <row r="203" spans="1:14" ht="18.75" customHeight="1" x14ac:dyDescent="0.25">
      <c r="A203" s="52">
        <v>7908198013</v>
      </c>
      <c r="B203" s="51" t="s">
        <v>1003</v>
      </c>
      <c r="C203" s="51">
        <v>2</v>
      </c>
      <c r="D203" s="51"/>
      <c r="E203" s="51" t="s">
        <v>1005</v>
      </c>
      <c r="F203" s="51"/>
      <c r="G203" s="51"/>
      <c r="H203" s="51" t="s">
        <v>1005</v>
      </c>
      <c r="I203" s="51" t="s">
        <v>1005</v>
      </c>
      <c r="J203" s="50" t="str">
        <f t="shared" si="6"/>
        <v>7908198013.pdf</v>
      </c>
      <c r="K203" s="54" t="s">
        <v>1022</v>
      </c>
      <c r="L203" s="51" t="s">
        <v>476</v>
      </c>
      <c r="M203" s="50" t="str">
        <f t="shared" si="7"/>
        <v>13.800</v>
      </c>
      <c r="N203" s="50" t="str">
        <f>IF(A203&lt;&gt;"",VLOOKUP(RIGHT(A203,3)*1,[4]Des_Loc!A:B,2,0),"")</f>
        <v>PARAISO DO TOCANTINS</v>
      </c>
    </row>
    <row r="204" spans="1:14" ht="18.75" customHeight="1" x14ac:dyDescent="0.25">
      <c r="A204" s="52">
        <v>7915035094</v>
      </c>
      <c r="B204" s="51" t="s">
        <v>1003</v>
      </c>
      <c r="C204" s="51" t="s">
        <v>1010</v>
      </c>
      <c r="D204" s="51" t="s">
        <v>1011</v>
      </c>
      <c r="E204" s="51" t="s">
        <v>1005</v>
      </c>
      <c r="F204" s="51" t="s">
        <v>1005</v>
      </c>
      <c r="G204" s="51" t="s">
        <v>1005</v>
      </c>
      <c r="H204" s="51" t="s">
        <v>1005</v>
      </c>
      <c r="I204" s="51" t="s">
        <v>1005</v>
      </c>
      <c r="J204" s="50" t="str">
        <f t="shared" si="6"/>
        <v>7915035094.pdf</v>
      </c>
      <c r="K204" s="51" t="s">
        <v>1009</v>
      </c>
      <c r="L204" s="51" t="s">
        <v>1080</v>
      </c>
      <c r="M204" s="50" t="str">
        <f t="shared" si="7"/>
        <v>34.500</v>
      </c>
      <c r="N204" s="50" t="str">
        <f>IF(A204&lt;&gt;"",VLOOKUP(RIGHT(A204,3)*1,[4]Des_Loc!A:B,2,0),"")</f>
        <v>PEIXE</v>
      </c>
    </row>
    <row r="205" spans="1:14" ht="18.75" customHeight="1" x14ac:dyDescent="0.25">
      <c r="A205" s="52">
        <v>7908209074</v>
      </c>
      <c r="B205" s="51" t="s">
        <v>1003</v>
      </c>
      <c r="C205" s="51" t="s">
        <v>1010</v>
      </c>
      <c r="D205" s="51" t="s">
        <v>1011</v>
      </c>
      <c r="E205" s="51" t="s">
        <v>1005</v>
      </c>
      <c r="F205" s="51" t="s">
        <v>1005</v>
      </c>
      <c r="G205" s="51" t="s">
        <v>1005</v>
      </c>
      <c r="H205" s="51" t="s">
        <v>1005</v>
      </c>
      <c r="I205" s="51" t="s">
        <v>1005</v>
      </c>
      <c r="J205" s="50" t="str">
        <f t="shared" si="6"/>
        <v>7908209074.pdf</v>
      </c>
      <c r="K205" s="51" t="s">
        <v>1009</v>
      </c>
      <c r="L205" s="51" t="s">
        <v>331</v>
      </c>
      <c r="M205" s="50" t="str">
        <f t="shared" si="7"/>
        <v>34.500</v>
      </c>
      <c r="N205" s="50" t="str">
        <f>IF(A205&lt;&gt;"",VLOOKUP(RIGHT(A205,3)*1,[4]Des_Loc!A:B,2,0),"")</f>
        <v>DIANOPOLIS</v>
      </c>
    </row>
    <row r="206" spans="1:14" ht="18.75" customHeight="1" x14ac:dyDescent="0.25">
      <c r="A206" s="52">
        <v>7900225090</v>
      </c>
      <c r="B206" s="51" t="s">
        <v>1003</v>
      </c>
      <c r="C206" s="51" t="s">
        <v>1008</v>
      </c>
      <c r="D206" s="51" t="s">
        <v>1005</v>
      </c>
      <c r="E206" s="51" t="s">
        <v>1005</v>
      </c>
      <c r="F206" s="51" t="s">
        <v>1005</v>
      </c>
      <c r="G206" s="51" t="s">
        <v>1005</v>
      </c>
      <c r="H206" s="51" t="s">
        <v>1005</v>
      </c>
      <c r="I206" s="51" t="s">
        <v>1005</v>
      </c>
      <c r="J206" s="50" t="str">
        <f t="shared" si="6"/>
        <v>7900225090.pdf</v>
      </c>
      <c r="K206" s="54" t="s">
        <v>1006</v>
      </c>
      <c r="L206" s="51" t="s">
        <v>453</v>
      </c>
      <c r="M206" s="50" t="str">
        <f t="shared" si="7"/>
        <v>34.500</v>
      </c>
      <c r="N206" s="50" t="str">
        <f>IF(A206&lt;&gt;"",VLOOKUP(RIGHT(A206,3)*1,[4]Des_Loc!A:B,2,0),"")</f>
        <v>NAZARE</v>
      </c>
    </row>
    <row r="207" spans="1:14" ht="18.75" customHeight="1" x14ac:dyDescent="0.25">
      <c r="A207" s="52">
        <v>7900096059</v>
      </c>
      <c r="B207" s="51" t="s">
        <v>1003</v>
      </c>
      <c r="C207" s="51" t="s">
        <v>1021</v>
      </c>
      <c r="D207" s="51"/>
      <c r="E207" s="51" t="s">
        <v>1005</v>
      </c>
      <c r="F207" s="51"/>
      <c r="G207" s="51"/>
      <c r="H207" s="51" t="s">
        <v>1005</v>
      </c>
      <c r="I207" s="51" t="s">
        <v>1005</v>
      </c>
      <c r="J207" s="50" t="str">
        <f t="shared" si="6"/>
        <v>7900096059.pdf</v>
      </c>
      <c r="K207" s="51" t="s">
        <v>1009</v>
      </c>
      <c r="L207" s="51" t="s">
        <v>1095</v>
      </c>
      <c r="M207" s="50" t="str">
        <f t="shared" si="7"/>
        <v>13.800</v>
      </c>
      <c r="N207" s="50" t="str">
        <f>IF(A207&lt;&gt;"",VLOOKUP(RIGHT(A207,3)*1,[4]Des_Loc!A:B,2,0),"")</f>
        <v>TAQUARALTO</v>
      </c>
    </row>
    <row r="208" spans="1:14" ht="18.75" customHeight="1" x14ac:dyDescent="0.25">
      <c r="A208" s="52">
        <v>7910140070</v>
      </c>
      <c r="B208" s="51" t="s">
        <v>1003</v>
      </c>
      <c r="C208" s="51" t="s">
        <v>1021</v>
      </c>
      <c r="D208" s="51" t="s">
        <v>1005</v>
      </c>
      <c r="E208" s="51" t="s">
        <v>1005</v>
      </c>
      <c r="F208" s="51" t="s">
        <v>1005</v>
      </c>
      <c r="G208" s="51" t="s">
        <v>1005</v>
      </c>
      <c r="H208" s="51" t="s">
        <v>1005</v>
      </c>
      <c r="I208" s="51" t="s">
        <v>1005</v>
      </c>
      <c r="J208" s="50" t="str">
        <f t="shared" si="6"/>
        <v>7910140070.pdf</v>
      </c>
      <c r="K208" s="51" t="s">
        <v>1009</v>
      </c>
      <c r="L208" s="51" t="s">
        <v>754</v>
      </c>
      <c r="M208" s="50" t="str">
        <f t="shared" si="7"/>
        <v>34.500</v>
      </c>
      <c r="N208" s="50" t="str">
        <f>IF(A208&lt;&gt;"",VLOOKUP(RIGHT(A208,3)*1,[4]Des_Loc!A:B,2,0),"")</f>
        <v>RIO SONO</v>
      </c>
    </row>
    <row r="209" spans="1:14" ht="18.75" customHeight="1" x14ac:dyDescent="0.25">
      <c r="A209" s="52">
        <v>7910243116</v>
      </c>
      <c r="B209" s="51" t="s">
        <v>1003</v>
      </c>
      <c r="C209" s="51">
        <v>3</v>
      </c>
      <c r="D209" s="51" t="s">
        <v>1011</v>
      </c>
      <c r="E209" s="51" t="s">
        <v>1005</v>
      </c>
      <c r="F209" s="51" t="s">
        <v>1005</v>
      </c>
      <c r="G209" s="51" t="s">
        <v>1005</v>
      </c>
      <c r="H209" s="51" t="s">
        <v>1005</v>
      </c>
      <c r="I209" s="51" t="s">
        <v>1005</v>
      </c>
      <c r="J209" s="50" t="str">
        <f t="shared" si="6"/>
        <v>7910243116.pdf</v>
      </c>
      <c r="K209" s="51" t="s">
        <v>1009</v>
      </c>
      <c r="L209" s="51" t="s">
        <v>361</v>
      </c>
      <c r="M209" s="50" t="str">
        <f t="shared" si="7"/>
        <v>34.500</v>
      </c>
      <c r="N209" s="50" t="str">
        <f>IF(A209&lt;&gt;"",VLOOKUP(RIGHT(A209,3)*1,[4]Des_Loc!A:B,2,0),"")</f>
        <v>CHAPADA DA NATIVIDADE</v>
      </c>
    </row>
    <row r="210" spans="1:14" ht="18.75" customHeight="1" x14ac:dyDescent="0.25">
      <c r="A210" s="52">
        <v>7913338154</v>
      </c>
      <c r="B210" s="51" t="s">
        <v>1003</v>
      </c>
      <c r="C210" s="51" t="s">
        <v>1008</v>
      </c>
      <c r="D210" s="51" t="s">
        <v>1005</v>
      </c>
      <c r="E210" s="51" t="s">
        <v>1005</v>
      </c>
      <c r="F210" s="51" t="s">
        <v>1005</v>
      </c>
      <c r="G210" s="51" t="s">
        <v>1005</v>
      </c>
      <c r="H210" s="51" t="s">
        <v>1005</v>
      </c>
      <c r="I210" s="51" t="s">
        <v>1005</v>
      </c>
      <c r="J210" s="50" t="str">
        <f t="shared" si="6"/>
        <v>7913338154.pdf</v>
      </c>
      <c r="K210" s="51" t="s">
        <v>1006</v>
      </c>
      <c r="L210" s="51" t="s">
        <v>1029</v>
      </c>
      <c r="M210" s="50" t="str">
        <f t="shared" si="7"/>
        <v>34.500</v>
      </c>
      <c r="N210" s="50" t="str">
        <f>IF(A210&lt;&gt;"",VLOOKUP(RIGHT(A210,3)*1,[4]Des_Loc!A:B,2,0),"")</f>
        <v>JUARINA</v>
      </c>
    </row>
    <row r="211" spans="1:14" ht="18.75" customHeight="1" x14ac:dyDescent="0.25">
      <c r="A211" s="52">
        <v>7915028003</v>
      </c>
      <c r="B211" s="51" t="s">
        <v>1003</v>
      </c>
      <c r="C211" s="51">
        <v>2</v>
      </c>
      <c r="D211" s="51"/>
      <c r="E211" s="51" t="s">
        <v>1005</v>
      </c>
      <c r="F211" s="51"/>
      <c r="G211" s="51"/>
      <c r="H211" s="51" t="s">
        <v>1005</v>
      </c>
      <c r="I211" s="51" t="s">
        <v>1005</v>
      </c>
      <c r="J211" s="50" t="str">
        <f t="shared" si="6"/>
        <v>7915028003.pdf</v>
      </c>
      <c r="K211" s="54" t="s">
        <v>1022</v>
      </c>
      <c r="L211" s="51" t="s">
        <v>1096</v>
      </c>
      <c r="M211" s="50" t="str">
        <f t="shared" si="7"/>
        <v>13.800</v>
      </c>
      <c r="N211" s="50" t="str">
        <f>IF(A211&lt;&gt;"",VLOOKUP(RIGHT(A211,3)*1,[4]Des_Loc!A:B,2,0),"")</f>
        <v>GURUPI</v>
      </c>
    </row>
    <row r="212" spans="1:14" ht="18.75" customHeight="1" x14ac:dyDescent="0.25">
      <c r="A212" s="52">
        <v>7901110084</v>
      </c>
      <c r="B212" s="51" t="s">
        <v>1003</v>
      </c>
      <c r="C212" s="51" t="s">
        <v>1004</v>
      </c>
      <c r="D212" s="51" t="s">
        <v>1005</v>
      </c>
      <c r="E212" s="51" t="s">
        <v>1005</v>
      </c>
      <c r="F212" s="51" t="s">
        <v>1005</v>
      </c>
      <c r="G212" s="51" t="s">
        <v>1005</v>
      </c>
      <c r="H212" s="51" t="s">
        <v>1005</v>
      </c>
      <c r="I212" s="51" t="s">
        <v>1005</v>
      </c>
      <c r="J212" s="50" t="str">
        <f t="shared" si="6"/>
        <v>7901110084.pdf</v>
      </c>
      <c r="K212" s="51" t="s">
        <v>1006</v>
      </c>
      <c r="L212" s="51" t="s">
        <v>526</v>
      </c>
      <c r="M212" s="50" t="str">
        <f t="shared" si="7"/>
        <v>34.500</v>
      </c>
      <c r="N212" s="50" t="str">
        <f>IF(A212&lt;&gt;"",VLOOKUP(RIGHT(A212,3)*1,[4]Des_Loc!A:B,2,0),"")</f>
        <v>DIVINOPOLIS</v>
      </c>
    </row>
    <row r="213" spans="1:14" ht="18.75" customHeight="1" x14ac:dyDescent="0.25">
      <c r="A213" s="52">
        <v>7913657147</v>
      </c>
      <c r="B213" s="51" t="s">
        <v>1003</v>
      </c>
      <c r="C213" s="51" t="s">
        <v>1010</v>
      </c>
      <c r="D213" s="51" t="s">
        <v>1011</v>
      </c>
      <c r="E213" s="51" t="s">
        <v>1005</v>
      </c>
      <c r="F213" s="51" t="s">
        <v>1005</v>
      </c>
      <c r="G213" s="51" t="s">
        <v>1005</v>
      </c>
      <c r="H213" s="51" t="s">
        <v>1005</v>
      </c>
      <c r="I213" s="51" t="s">
        <v>1005</v>
      </c>
      <c r="J213" s="50" t="str">
        <f t="shared" si="6"/>
        <v>7913657147.pdf</v>
      </c>
      <c r="K213" s="51" t="s">
        <v>1006</v>
      </c>
      <c r="L213" s="51" t="s">
        <v>331</v>
      </c>
      <c r="M213" s="50" t="str">
        <f t="shared" si="7"/>
        <v>34.500</v>
      </c>
      <c r="N213" s="50" t="str">
        <f>IF(A213&lt;&gt;"",VLOOKUP(RIGHT(A213,3)*1,[4]Des_Loc!A:B,2,0),"")</f>
        <v>TAIPAS DO TOCANTINS</v>
      </c>
    </row>
    <row r="214" spans="1:14" ht="18.75" customHeight="1" x14ac:dyDescent="0.25">
      <c r="A214" s="52">
        <v>7909592002</v>
      </c>
      <c r="B214" s="51" t="s">
        <v>1003</v>
      </c>
      <c r="C214" s="51">
        <v>2</v>
      </c>
      <c r="D214" s="51"/>
      <c r="E214" s="51" t="s">
        <v>1005</v>
      </c>
      <c r="F214" s="51"/>
      <c r="G214" s="51"/>
      <c r="H214" s="51" t="s">
        <v>1005</v>
      </c>
      <c r="I214" s="51" t="s">
        <v>1005</v>
      </c>
      <c r="J214" s="50" t="str">
        <f t="shared" si="6"/>
        <v>7909592002.pdf</v>
      </c>
      <c r="K214" s="51" t="s">
        <v>1009</v>
      </c>
      <c r="L214" s="51" t="s">
        <v>1093</v>
      </c>
      <c r="M214" s="50" t="str">
        <f t="shared" si="7"/>
        <v>13.800</v>
      </c>
      <c r="N214" s="50" t="str">
        <f>IF(A214&lt;&gt;"",VLOOKUP(RIGHT(A214,3)*1,[4]Des_Loc!A:B,2,0),"")</f>
        <v>TOCANTINOPOLIS</v>
      </c>
    </row>
    <row r="215" spans="1:14" ht="18.75" customHeight="1" x14ac:dyDescent="0.25">
      <c r="A215" s="52">
        <v>7904387004</v>
      </c>
      <c r="B215" s="51" t="s">
        <v>1003</v>
      </c>
      <c r="C215" s="51">
        <v>2</v>
      </c>
      <c r="D215" s="51"/>
      <c r="E215" s="51" t="s">
        <v>1005</v>
      </c>
      <c r="F215" s="51"/>
      <c r="G215" s="51"/>
      <c r="H215" s="51" t="s">
        <v>1005</v>
      </c>
      <c r="I215" s="51" t="s">
        <v>1005</v>
      </c>
      <c r="J215" s="50" t="str">
        <f t="shared" si="6"/>
        <v>7904387004.pdf</v>
      </c>
      <c r="K215" s="51" t="s">
        <v>1009</v>
      </c>
      <c r="L215" s="51" t="s">
        <v>1091</v>
      </c>
      <c r="M215" s="50" t="str">
        <f t="shared" si="7"/>
        <v>13.800</v>
      </c>
      <c r="N215" s="50" t="str">
        <f>IF(A215&lt;&gt;"",VLOOKUP(RIGHT(A215,3)*1,[4]Des_Loc!A:B,2,0),"")</f>
        <v>ARAGUAINA</v>
      </c>
    </row>
    <row r="216" spans="1:14" ht="18.75" customHeight="1" x14ac:dyDescent="0.25">
      <c r="A216" s="52">
        <v>7902702257</v>
      </c>
      <c r="B216" s="51" t="s">
        <v>1003</v>
      </c>
      <c r="C216" s="51">
        <v>2</v>
      </c>
      <c r="D216" s="51" t="s">
        <v>1011</v>
      </c>
      <c r="E216" s="51" t="s">
        <v>1005</v>
      </c>
      <c r="F216" s="51" t="s">
        <v>1005</v>
      </c>
      <c r="G216" s="51" t="s">
        <v>1005</v>
      </c>
      <c r="H216" s="51" t="s">
        <v>1005</v>
      </c>
      <c r="I216" s="51" t="s">
        <v>1005</v>
      </c>
      <c r="J216" s="50" t="str">
        <f t="shared" si="6"/>
        <v>7902702257.pdf</v>
      </c>
      <c r="K216" s="51" t="s">
        <v>1006</v>
      </c>
      <c r="L216" s="51" t="s">
        <v>518</v>
      </c>
      <c r="M216" s="50" t="str">
        <f t="shared" si="7"/>
        <v>34.500</v>
      </c>
      <c r="N216" s="50" t="str">
        <f>IF(A216&lt;&gt;"",VLOOKUP(RIGHT(A216,3)*1,[4]Des_Loc!A:B,2,0),"")</f>
        <v>SAO FELIX DO TOCANTINS</v>
      </c>
    </row>
    <row r="217" spans="1:14" ht="18.75" customHeight="1" x14ac:dyDescent="0.25">
      <c r="A217" s="52">
        <v>7900416044</v>
      </c>
      <c r="B217" s="51" t="s">
        <v>1003</v>
      </c>
      <c r="C217" s="51" t="s">
        <v>1021</v>
      </c>
      <c r="D217" s="51" t="s">
        <v>1005</v>
      </c>
      <c r="E217" s="51" t="s">
        <v>1005</v>
      </c>
      <c r="F217" s="51" t="s">
        <v>1005</v>
      </c>
      <c r="G217" s="51" t="s">
        <v>1005</v>
      </c>
      <c r="H217" s="51" t="s">
        <v>1005</v>
      </c>
      <c r="I217" s="51" t="s">
        <v>1005</v>
      </c>
      <c r="J217" s="50" t="str">
        <f t="shared" si="6"/>
        <v>7900416044.pdf</v>
      </c>
      <c r="K217" s="51" t="s">
        <v>1009</v>
      </c>
      <c r="L217" s="51" t="s">
        <v>1019</v>
      </c>
      <c r="M217" s="50" t="str">
        <f t="shared" si="7"/>
        <v>34.500</v>
      </c>
      <c r="N217" s="50" t="str">
        <f>IF(A217&lt;&gt;"",VLOOKUP(RIGHT(A217,3)*1,[4]Des_Loc!A:B,2,0),"")</f>
        <v>FATIMA</v>
      </c>
    </row>
    <row r="218" spans="1:14" ht="18.75" customHeight="1" x14ac:dyDescent="0.25">
      <c r="A218" s="52">
        <v>7900404044</v>
      </c>
      <c r="B218" s="51" t="s">
        <v>1003</v>
      </c>
      <c r="C218" s="51" t="s">
        <v>1010</v>
      </c>
      <c r="D218" s="51" t="s">
        <v>1011</v>
      </c>
      <c r="E218" s="51" t="s">
        <v>1005</v>
      </c>
      <c r="F218" s="51" t="s">
        <v>1005</v>
      </c>
      <c r="G218" s="51" t="s">
        <v>1005</v>
      </c>
      <c r="H218" s="51" t="s">
        <v>1005</v>
      </c>
      <c r="I218" s="51" t="s">
        <v>1005</v>
      </c>
      <c r="J218" s="50" t="str">
        <f t="shared" si="6"/>
        <v>7900404044.pdf</v>
      </c>
      <c r="K218" s="51" t="s">
        <v>1009</v>
      </c>
      <c r="L218" s="51" t="s">
        <v>1019</v>
      </c>
      <c r="M218" s="50" t="str">
        <f t="shared" si="7"/>
        <v>34.500</v>
      </c>
      <c r="N218" s="50" t="str">
        <f>IF(A218&lt;&gt;"",VLOOKUP(RIGHT(A218,3)*1,[4]Des_Loc!A:B,2,0),"")</f>
        <v>FATIMA</v>
      </c>
    </row>
    <row r="219" spans="1:14" ht="18.75" customHeight="1" x14ac:dyDescent="0.25">
      <c r="A219" s="52">
        <v>7910027196</v>
      </c>
      <c r="B219" s="51" t="s">
        <v>1003</v>
      </c>
      <c r="C219" s="51">
        <v>3</v>
      </c>
      <c r="D219" s="51"/>
      <c r="E219" s="51" t="s">
        <v>1005</v>
      </c>
      <c r="F219" s="51"/>
      <c r="G219" s="51"/>
      <c r="H219" s="51" t="s">
        <v>1005</v>
      </c>
      <c r="I219" s="51" t="s">
        <v>1005</v>
      </c>
      <c r="J219" s="50" t="str">
        <f t="shared" si="6"/>
        <v>7910027196.pdf</v>
      </c>
      <c r="K219" s="51" t="s">
        <v>1009</v>
      </c>
      <c r="L219" s="51" t="s">
        <v>571</v>
      </c>
      <c r="M219" s="50" t="str">
        <f t="shared" si="7"/>
        <v>34.500</v>
      </c>
      <c r="N219" s="50" t="str">
        <f>IF(A219&lt;&gt;"",VLOOKUP(RIGHT(A219,3)*1,[4]Des_Loc!A:B,2,0),"")</f>
        <v>LAGOA DO TOCANTINS</v>
      </c>
    </row>
    <row r="220" spans="1:14" ht="18.75" customHeight="1" x14ac:dyDescent="0.25">
      <c r="A220" s="52">
        <v>7908712101</v>
      </c>
      <c r="B220" s="51" t="s">
        <v>1003</v>
      </c>
      <c r="C220" s="51">
        <v>3</v>
      </c>
      <c r="D220" s="51" t="s">
        <v>1011</v>
      </c>
      <c r="E220" s="51" t="s">
        <v>1005</v>
      </c>
      <c r="F220" s="51" t="s">
        <v>1005</v>
      </c>
      <c r="G220" s="51" t="s">
        <v>1005</v>
      </c>
      <c r="H220" s="51" t="s">
        <v>1005</v>
      </c>
      <c r="I220" s="51" t="s">
        <v>1005</v>
      </c>
      <c r="J220" s="50" t="str">
        <f t="shared" si="6"/>
        <v>7908712101.pdf</v>
      </c>
      <c r="K220" s="51" t="s">
        <v>1009</v>
      </c>
      <c r="L220" s="51" t="s">
        <v>1097</v>
      </c>
      <c r="M220" s="50" t="str">
        <f t="shared" si="7"/>
        <v>34.500</v>
      </c>
      <c r="N220" s="50" t="str">
        <f>IF(A220&lt;&gt;"",VLOOKUP(RIGHT(A220,3)*1,[4]Des_Loc!A:B,2,0),"")</f>
        <v>PORTO ALEGRE DO TOCANTINS</v>
      </c>
    </row>
    <row r="221" spans="1:14" ht="18.75" customHeight="1" x14ac:dyDescent="0.25">
      <c r="A221" s="52">
        <v>7900371104</v>
      </c>
      <c r="B221" s="51" t="s">
        <v>1003</v>
      </c>
      <c r="C221" s="51">
        <v>3</v>
      </c>
      <c r="D221" s="51" t="s">
        <v>1011</v>
      </c>
      <c r="E221" s="51" t="s">
        <v>1011</v>
      </c>
      <c r="F221" s="51" t="s">
        <v>1005</v>
      </c>
      <c r="G221" s="51" t="s">
        <v>1005</v>
      </c>
      <c r="H221" s="51" t="s">
        <v>1005</v>
      </c>
      <c r="I221" s="51" t="s">
        <v>1005</v>
      </c>
      <c r="J221" s="50" t="str">
        <f t="shared" si="6"/>
        <v>7900371104.pdf</v>
      </c>
      <c r="K221" s="54" t="s">
        <v>1006</v>
      </c>
      <c r="L221" s="51" t="s">
        <v>470</v>
      </c>
      <c r="M221" s="50" t="str">
        <f t="shared" si="7"/>
        <v>34.500</v>
      </c>
      <c r="N221" s="50" t="str">
        <f>IF(A221&lt;&gt;"",VLOOKUP(RIGHT(A221,3)*1,[4]Des_Loc!A:B,2,0),"")</f>
        <v>SANTA MARIA DO TOCANTINS</v>
      </c>
    </row>
    <row r="222" spans="1:14" ht="18.75" customHeight="1" x14ac:dyDescent="0.25">
      <c r="A222" s="52">
        <v>7913348136</v>
      </c>
      <c r="B222" s="51" t="s">
        <v>1003</v>
      </c>
      <c r="C222" s="51" t="s">
        <v>1010</v>
      </c>
      <c r="D222" s="51" t="s">
        <v>1011</v>
      </c>
      <c r="E222" s="51" t="s">
        <v>1011</v>
      </c>
      <c r="F222" s="51" t="s">
        <v>1005</v>
      </c>
      <c r="G222" s="51" t="s">
        <v>1005</v>
      </c>
      <c r="H222" s="51" t="s">
        <v>1005</v>
      </c>
      <c r="I222" s="51" t="s">
        <v>1005</v>
      </c>
      <c r="J222" s="50" t="str">
        <f t="shared" si="6"/>
        <v>7913348136.pdf</v>
      </c>
      <c r="K222" s="54" t="s">
        <v>1022</v>
      </c>
      <c r="L222" s="51" t="s">
        <v>353</v>
      </c>
      <c r="M222" s="50" t="str">
        <f t="shared" si="7"/>
        <v>34.500</v>
      </c>
      <c r="N222" s="50" t="str">
        <f>IF(A222&lt;&gt;"",VLOOKUP(RIGHT(A222,3)*1,[4]Des_Loc!A:B,2,0),"")</f>
        <v>PAU D'ARCO</v>
      </c>
    </row>
    <row r="223" spans="1:14" ht="18.75" customHeight="1" x14ac:dyDescent="0.25">
      <c r="A223" s="52">
        <v>7913668072</v>
      </c>
      <c r="B223" s="51" t="s">
        <v>1003</v>
      </c>
      <c r="C223" s="51" t="s">
        <v>1010</v>
      </c>
      <c r="D223" s="51" t="s">
        <v>1011</v>
      </c>
      <c r="E223" s="51" t="s">
        <v>1005</v>
      </c>
      <c r="F223" s="51" t="s">
        <v>1005</v>
      </c>
      <c r="G223" s="51" t="s">
        <v>1005</v>
      </c>
      <c r="H223" s="51" t="s">
        <v>1005</v>
      </c>
      <c r="I223" s="51" t="s">
        <v>1005</v>
      </c>
      <c r="J223" s="50" t="str">
        <f t="shared" si="6"/>
        <v>7913668072.pdf</v>
      </c>
      <c r="K223" s="51" t="s">
        <v>1009</v>
      </c>
      <c r="L223" s="51" t="s">
        <v>616</v>
      </c>
      <c r="M223" s="50" t="str">
        <f t="shared" si="7"/>
        <v>34.500</v>
      </c>
      <c r="N223" s="50" t="str">
        <f>IF(A223&lt;&gt;"",VLOOKUP(RIGHT(A223,3)*1,[4]Des_Loc!A:B,2,0),"")</f>
        <v>CONCEICAO DO TOCANTINS</v>
      </c>
    </row>
    <row r="224" spans="1:14" ht="18.75" customHeight="1" x14ac:dyDescent="0.25">
      <c r="A224" s="52">
        <v>7913666038</v>
      </c>
      <c r="B224" s="51" t="s">
        <v>1003</v>
      </c>
      <c r="C224" s="51">
        <v>3</v>
      </c>
      <c r="D224" s="51" t="s">
        <v>1011</v>
      </c>
      <c r="E224" s="51" t="s">
        <v>1005</v>
      </c>
      <c r="F224" s="51" t="s">
        <v>1005</v>
      </c>
      <c r="G224" s="51" t="s">
        <v>1005</v>
      </c>
      <c r="H224" s="51" t="s">
        <v>1005</v>
      </c>
      <c r="I224" s="51" t="s">
        <v>1005</v>
      </c>
      <c r="J224" s="50" t="str">
        <f t="shared" si="6"/>
        <v>7913666038.pdf</v>
      </c>
      <c r="K224" s="51" t="s">
        <v>1009</v>
      </c>
      <c r="L224" s="51" t="s">
        <v>1094</v>
      </c>
      <c r="M224" s="50" t="str">
        <f t="shared" si="7"/>
        <v>34.500</v>
      </c>
      <c r="N224" s="50" t="str">
        <f>IF(A224&lt;&gt;"",VLOOKUP(RIGHT(A224,3)*1,[4]Des_Loc!A:B,2,0),"")</f>
        <v>TAGUATINGA</v>
      </c>
    </row>
    <row r="225" spans="1:14" ht="18.75" customHeight="1" x14ac:dyDescent="0.25">
      <c r="A225" s="52">
        <v>7908300096</v>
      </c>
      <c r="B225" s="51" t="s">
        <v>1003</v>
      </c>
      <c r="C225" s="51">
        <v>2</v>
      </c>
      <c r="D225" s="51" t="s">
        <v>1011</v>
      </c>
      <c r="E225" s="51" t="s">
        <v>1005</v>
      </c>
      <c r="F225" s="51" t="s">
        <v>1005</v>
      </c>
      <c r="G225" s="51" t="s">
        <v>1005</v>
      </c>
      <c r="H225" s="51" t="s">
        <v>1005</v>
      </c>
      <c r="I225" s="51" t="s">
        <v>1005</v>
      </c>
      <c r="J225" s="50" t="str">
        <f t="shared" si="6"/>
        <v>7908300096.pdf</v>
      </c>
      <c r="K225" s="54" t="s">
        <v>1022</v>
      </c>
      <c r="L225" s="51" t="s">
        <v>518</v>
      </c>
      <c r="M225" s="50" t="str">
        <f t="shared" si="7"/>
        <v>34.500</v>
      </c>
      <c r="N225" s="50" t="str">
        <f>IF(A225&lt;&gt;"",VLOOKUP(RIGHT(A225,3)*1,[4]Des_Loc!A:B,2,0),"")</f>
        <v>PINDORAMA DO TOCANTINS</v>
      </c>
    </row>
    <row r="226" spans="1:14" ht="18.75" customHeight="1" x14ac:dyDescent="0.25">
      <c r="A226" s="52">
        <v>7913656147</v>
      </c>
      <c r="B226" s="51" t="s">
        <v>1003</v>
      </c>
      <c r="C226" s="51" t="s">
        <v>1010</v>
      </c>
      <c r="D226" s="51" t="s">
        <v>1011</v>
      </c>
      <c r="E226" s="51" t="s">
        <v>1005</v>
      </c>
      <c r="F226" s="51" t="s">
        <v>1005</v>
      </c>
      <c r="G226" s="51" t="s">
        <v>1005</v>
      </c>
      <c r="H226" s="51" t="s">
        <v>1005</v>
      </c>
      <c r="I226" s="51" t="s">
        <v>1005</v>
      </c>
      <c r="J226" s="50" t="str">
        <f t="shared" si="6"/>
        <v>7913656147.pdf</v>
      </c>
      <c r="K226" s="51" t="s">
        <v>1009</v>
      </c>
      <c r="L226" s="51" t="s">
        <v>331</v>
      </c>
      <c r="M226" s="50" t="str">
        <f t="shared" si="7"/>
        <v>34.500</v>
      </c>
      <c r="N226" s="50" t="str">
        <f>IF(A226&lt;&gt;"",VLOOKUP(RIGHT(A226,3)*1,[4]Des_Loc!A:B,2,0),"")</f>
        <v>TAIPAS DO TOCANTINS</v>
      </c>
    </row>
    <row r="227" spans="1:14" ht="18.75" customHeight="1" x14ac:dyDescent="0.25">
      <c r="A227" s="50">
        <v>7915037243</v>
      </c>
      <c r="B227" s="51" t="s">
        <v>1003</v>
      </c>
      <c r="C227" s="51" t="s">
        <v>1025</v>
      </c>
      <c r="D227" s="51" t="s">
        <v>1011</v>
      </c>
      <c r="E227" s="51" t="s">
        <v>1005</v>
      </c>
      <c r="F227" s="51" t="s">
        <v>1005</v>
      </c>
      <c r="G227" s="51" t="s">
        <v>1005</v>
      </c>
      <c r="H227" s="51" t="s">
        <v>1005</v>
      </c>
      <c r="I227" s="51" t="s">
        <v>1005</v>
      </c>
      <c r="J227" s="50" t="str">
        <f t="shared" si="6"/>
        <v>7915037243.pdf</v>
      </c>
      <c r="K227" s="51" t="s">
        <v>1006</v>
      </c>
      <c r="L227" s="51" t="s">
        <v>1098</v>
      </c>
      <c r="M227" s="50" t="str">
        <f t="shared" si="7"/>
        <v>34.500</v>
      </c>
      <c r="N227" s="50" t="str">
        <f>IF(A227&lt;&gt;"",VLOOKUP(RIGHT(A227,3)*1,[4]Des_Loc!A:B,2,0),"")</f>
        <v>TREVO DA PRAIA</v>
      </c>
    </row>
    <row r="228" spans="1:14" ht="18.75" customHeight="1" x14ac:dyDescent="0.25">
      <c r="A228" s="52">
        <v>7909599004</v>
      </c>
      <c r="B228" s="51" t="s">
        <v>1003</v>
      </c>
      <c r="C228" s="51">
        <v>2</v>
      </c>
      <c r="D228" s="51" t="s">
        <v>1011</v>
      </c>
      <c r="E228" s="51" t="s">
        <v>1005</v>
      </c>
      <c r="F228" s="51" t="s">
        <v>1011</v>
      </c>
      <c r="G228" s="51" t="s">
        <v>1099</v>
      </c>
      <c r="H228" s="51" t="s">
        <v>1005</v>
      </c>
      <c r="I228" s="51" t="s">
        <v>1011</v>
      </c>
      <c r="J228" s="50" t="str">
        <f t="shared" si="6"/>
        <v>7909599004.pdf</v>
      </c>
      <c r="K228" s="54" t="s">
        <v>1006</v>
      </c>
      <c r="L228" s="51" t="s">
        <v>1092</v>
      </c>
      <c r="M228" s="50" t="str">
        <f t="shared" si="7"/>
        <v>13.800</v>
      </c>
      <c r="N228" s="50" t="str">
        <f>IF(A228&lt;&gt;"",VLOOKUP(RIGHT(A228,3)*1,[4]Des_Loc!A:B,2,0),"")</f>
        <v>ARAGUAINA</v>
      </c>
    </row>
    <row r="229" spans="1:14" ht="18.75" customHeight="1" x14ac:dyDescent="0.25">
      <c r="A229" s="52">
        <v>7900178013</v>
      </c>
      <c r="B229" s="51" t="s">
        <v>1003</v>
      </c>
      <c r="C229" s="51">
        <v>2</v>
      </c>
      <c r="D229" s="51" t="s">
        <v>1011</v>
      </c>
      <c r="E229" s="51" t="s">
        <v>1005</v>
      </c>
      <c r="F229" s="51" t="s">
        <v>1005</v>
      </c>
      <c r="G229" s="51" t="s">
        <v>1005</v>
      </c>
      <c r="H229" s="51" t="s">
        <v>1005</v>
      </c>
      <c r="I229" s="51" t="s">
        <v>1005</v>
      </c>
      <c r="J229" s="50" t="str">
        <f t="shared" si="6"/>
        <v>7900178013.pdf</v>
      </c>
      <c r="K229" s="54" t="s">
        <v>1022</v>
      </c>
      <c r="L229" s="51" t="s">
        <v>1100</v>
      </c>
      <c r="M229" s="50" t="str">
        <f t="shared" si="7"/>
        <v>13.800</v>
      </c>
      <c r="N229" s="50" t="str">
        <f>IF(A229&lt;&gt;"",VLOOKUP(RIGHT(A229,3)*1,[4]Des_Loc!A:B,2,0),"")</f>
        <v>PARAISO DO TOCANTINS</v>
      </c>
    </row>
    <row r="230" spans="1:14" ht="18.75" customHeight="1" x14ac:dyDescent="0.25">
      <c r="A230" s="52">
        <v>7913209088</v>
      </c>
      <c r="B230" s="51" t="s">
        <v>1003</v>
      </c>
      <c r="C230" s="51" t="s">
        <v>1004</v>
      </c>
      <c r="D230" s="51" t="s">
        <v>1005</v>
      </c>
      <c r="E230" s="51" t="s">
        <v>1005</v>
      </c>
      <c r="F230" s="51" t="s">
        <v>1005</v>
      </c>
      <c r="G230" s="51" t="s">
        <v>1005</v>
      </c>
      <c r="H230" s="51" t="s">
        <v>1005</v>
      </c>
      <c r="I230" s="51" t="s">
        <v>1005</v>
      </c>
      <c r="J230" s="50" t="str">
        <f t="shared" si="6"/>
        <v>7913209088.pdf</v>
      </c>
      <c r="K230" s="51" t="s">
        <v>1006</v>
      </c>
      <c r="L230" s="51" t="s">
        <v>1061</v>
      </c>
      <c r="M230" s="50" t="str">
        <f t="shared" si="7"/>
        <v>13.800</v>
      </c>
      <c r="N230" s="50" t="str">
        <f>IF(A230&lt;&gt;"",VLOOKUP(RIGHT(A230,3)*1,[4]Des_Loc!A:B,2,0),"")</f>
        <v>SITIO NOVO DO TOCANTINS</v>
      </c>
    </row>
    <row r="231" spans="1:14" ht="18.75" customHeight="1" x14ac:dyDescent="0.25">
      <c r="A231" s="52">
        <v>7900463079</v>
      </c>
      <c r="B231" s="51" t="s">
        <v>1003</v>
      </c>
      <c r="C231" s="51">
        <v>3</v>
      </c>
      <c r="D231" s="51" t="s">
        <v>1011</v>
      </c>
      <c r="E231" s="51" t="s">
        <v>1005</v>
      </c>
      <c r="F231" s="51" t="s">
        <v>1011</v>
      </c>
      <c r="G231" s="51" t="s">
        <v>1005</v>
      </c>
      <c r="H231" s="51" t="s">
        <v>1005</v>
      </c>
      <c r="I231" s="51" t="s">
        <v>1011</v>
      </c>
      <c r="J231" s="50" t="str">
        <f t="shared" si="6"/>
        <v>7900463079.pdf</v>
      </c>
      <c r="K231" s="51" t="s">
        <v>1006</v>
      </c>
      <c r="L231" s="51" t="s">
        <v>1047</v>
      </c>
      <c r="M231" s="50" t="str">
        <f t="shared" si="7"/>
        <v>34.500</v>
      </c>
      <c r="N231" s="50" t="str">
        <f>IF(A231&lt;&gt;"",VLOOKUP(RIGHT(A231,3)*1,[4]Des_Loc!A:B,2,0),"")</f>
        <v>ITAPIRATINS</v>
      </c>
    </row>
    <row r="232" spans="1:14" ht="18.75" customHeight="1" x14ac:dyDescent="0.25">
      <c r="A232" s="52">
        <v>7900001227</v>
      </c>
      <c r="B232" s="51" t="s">
        <v>1003</v>
      </c>
      <c r="C232" s="51" t="s">
        <v>1025</v>
      </c>
      <c r="D232" s="51"/>
      <c r="E232" s="51" t="s">
        <v>1005</v>
      </c>
      <c r="F232" s="51"/>
      <c r="G232" s="51"/>
      <c r="H232" s="51" t="s">
        <v>1005</v>
      </c>
      <c r="I232" s="51" t="s">
        <v>1005</v>
      </c>
      <c r="J232" s="50" t="str">
        <f t="shared" si="6"/>
        <v>7900001227.pdf</v>
      </c>
      <c r="K232" s="51" t="s">
        <v>1009</v>
      </c>
      <c r="L232" s="51" t="s">
        <v>470</v>
      </c>
      <c r="M232" s="50" t="str">
        <f t="shared" si="7"/>
        <v>34.500</v>
      </c>
      <c r="N232" s="50" t="str">
        <f>IF(A232&lt;&gt;"",VLOOKUP(RIGHT(A232,3)*1,[4]Des_Loc!A:B,2,0),"")</f>
        <v>RECURSOLANDIA</v>
      </c>
    </row>
    <row r="233" spans="1:14" ht="18.75" customHeight="1" x14ac:dyDescent="0.25">
      <c r="A233" s="52">
        <v>7908308006</v>
      </c>
      <c r="B233" s="51" t="s">
        <v>1003</v>
      </c>
      <c r="C233" s="51" t="s">
        <v>1004</v>
      </c>
      <c r="D233" s="51"/>
      <c r="E233" s="51" t="s">
        <v>1005</v>
      </c>
      <c r="F233" s="51"/>
      <c r="G233" s="51"/>
      <c r="H233" s="51" t="s">
        <v>1005</v>
      </c>
      <c r="I233" s="51" t="s">
        <v>1005</v>
      </c>
      <c r="J233" s="50" t="str">
        <f t="shared" si="6"/>
        <v>7908308006.pdf</v>
      </c>
      <c r="K233" s="54" t="s">
        <v>1022</v>
      </c>
      <c r="L233" s="51" t="s">
        <v>425</v>
      </c>
      <c r="M233" s="50" t="str">
        <f t="shared" si="7"/>
        <v>34.500</v>
      </c>
      <c r="N233" s="50" t="str">
        <f>IF(A233&lt;&gt;"",VLOOKUP(RIGHT(A233,3)*1,[4]Des_Loc!A:B,2,0),"")</f>
        <v>TOCANTINIA</v>
      </c>
    </row>
    <row r="234" spans="1:14" ht="18.75" customHeight="1" x14ac:dyDescent="0.25">
      <c r="A234" s="52">
        <v>7908253086</v>
      </c>
      <c r="B234" s="51" t="s">
        <v>1003</v>
      </c>
      <c r="C234" s="51" t="s">
        <v>1008</v>
      </c>
      <c r="D234" s="51" t="s">
        <v>1011</v>
      </c>
      <c r="E234" s="51" t="s">
        <v>1005</v>
      </c>
      <c r="F234" s="51" t="s">
        <v>1005</v>
      </c>
      <c r="G234" s="51" t="s">
        <v>1005</v>
      </c>
      <c r="H234" s="51" t="s">
        <v>1005</v>
      </c>
      <c r="I234" s="51" t="s">
        <v>1005</v>
      </c>
      <c r="J234" s="50" t="str">
        <f t="shared" si="6"/>
        <v>7908253086.pdf</v>
      </c>
      <c r="K234" s="51" t="s">
        <v>1009</v>
      </c>
      <c r="L234" s="51" t="s">
        <v>1023</v>
      </c>
      <c r="M234" s="50" t="str">
        <f t="shared" si="7"/>
        <v>34.500</v>
      </c>
      <c r="N234" s="50" t="str">
        <f>IF(A234&lt;&gt;"",VLOOKUP(RIGHT(A234,3)*1,[4]Des_Loc!A:B,2,0),"")</f>
        <v>MARIANOPOLIS</v>
      </c>
    </row>
    <row r="235" spans="1:14" ht="18.75" customHeight="1" x14ac:dyDescent="0.25">
      <c r="A235" s="52">
        <v>7915034243</v>
      </c>
      <c r="B235" s="51" t="s">
        <v>1003</v>
      </c>
      <c r="C235" s="51">
        <v>2</v>
      </c>
      <c r="D235" s="51" t="s">
        <v>1011</v>
      </c>
      <c r="E235" s="51" t="s">
        <v>1005</v>
      </c>
      <c r="F235" s="51" t="s">
        <v>1005</v>
      </c>
      <c r="G235" s="51" t="s">
        <v>1005</v>
      </c>
      <c r="H235" s="51" t="s">
        <v>1005</v>
      </c>
      <c r="I235" s="51" t="s">
        <v>1005</v>
      </c>
      <c r="J235" s="50" t="str">
        <f t="shared" si="6"/>
        <v>7915034243.pdf</v>
      </c>
      <c r="K235" s="51" t="s">
        <v>1009</v>
      </c>
      <c r="L235" s="51" t="s">
        <v>1098</v>
      </c>
      <c r="M235" s="50" t="str">
        <f t="shared" si="7"/>
        <v>34.500</v>
      </c>
      <c r="N235" s="50" t="str">
        <f>IF(A235&lt;&gt;"",VLOOKUP(RIGHT(A235,3)*1,[4]Des_Loc!A:B,2,0),"")</f>
        <v>TREVO DA PRAIA</v>
      </c>
    </row>
    <row r="236" spans="1:14" ht="18.75" customHeight="1" x14ac:dyDescent="0.25">
      <c r="A236" s="52">
        <v>7900525015</v>
      </c>
      <c r="B236" s="51" t="s">
        <v>1003</v>
      </c>
      <c r="C236" s="51">
        <v>3</v>
      </c>
      <c r="D236" s="51" t="s">
        <v>1005</v>
      </c>
      <c r="E236" s="51" t="s">
        <v>1005</v>
      </c>
      <c r="F236" s="51" t="s">
        <v>1005</v>
      </c>
      <c r="G236" s="51" t="s">
        <v>1005</v>
      </c>
      <c r="H236" s="51" t="s">
        <v>1005</v>
      </c>
      <c r="I236" s="51" t="s">
        <v>1005</v>
      </c>
      <c r="J236" s="50" t="str">
        <f t="shared" si="6"/>
        <v>7900525015.pdf</v>
      </c>
      <c r="K236" s="51" t="s">
        <v>1009</v>
      </c>
      <c r="L236" s="51" t="s">
        <v>754</v>
      </c>
      <c r="M236" s="50" t="str">
        <f t="shared" si="7"/>
        <v>34.500</v>
      </c>
      <c r="N236" s="50" t="str">
        <f>IF(A236&lt;&gt;"",VLOOKUP(RIGHT(A236,3)*1,[4]Des_Loc!A:B,2,0),"")</f>
        <v>PEDRO AFONSO</v>
      </c>
    </row>
    <row r="237" spans="1:14" ht="18.75" customHeight="1" x14ac:dyDescent="0.25">
      <c r="A237" s="52">
        <v>7913346060</v>
      </c>
      <c r="B237" s="51" t="s">
        <v>1003</v>
      </c>
      <c r="C237" s="51">
        <v>3</v>
      </c>
      <c r="D237" s="51" t="s">
        <v>1005</v>
      </c>
      <c r="E237" s="51" t="s">
        <v>1005</v>
      </c>
      <c r="F237" s="51" t="s">
        <v>1005</v>
      </c>
      <c r="G237" s="51" t="s">
        <v>1005</v>
      </c>
      <c r="H237" s="51" t="s">
        <v>1005</v>
      </c>
      <c r="I237" s="51" t="s">
        <v>1005</v>
      </c>
      <c r="J237" s="50" t="str">
        <f t="shared" si="6"/>
        <v>7913346060.pdf</v>
      </c>
      <c r="K237" s="54" t="s">
        <v>1009</v>
      </c>
      <c r="L237" s="51" t="s">
        <v>1101</v>
      </c>
      <c r="M237" s="50" t="str">
        <f t="shared" si="7"/>
        <v>34.500</v>
      </c>
      <c r="N237" s="50" t="str">
        <f>IF(A237&lt;&gt;"",VLOOKUP(RIGHT(A237,3)*1,[4]Des_Loc!A:B,2,0),"")</f>
        <v>NOVA OLINDA</v>
      </c>
    </row>
    <row r="238" spans="1:14" ht="18.75" customHeight="1" x14ac:dyDescent="0.25">
      <c r="A238" s="52">
        <v>7913328113</v>
      </c>
      <c r="B238" s="51" t="s">
        <v>1003</v>
      </c>
      <c r="C238" s="51" t="s">
        <v>1010</v>
      </c>
      <c r="D238" s="51" t="s">
        <v>1011</v>
      </c>
      <c r="E238" s="51" t="s">
        <v>1005</v>
      </c>
      <c r="F238" s="51" t="s">
        <v>1011</v>
      </c>
      <c r="G238" s="51" t="s">
        <v>1005</v>
      </c>
      <c r="H238" s="51" t="s">
        <v>1005</v>
      </c>
      <c r="I238" s="51" t="s">
        <v>1011</v>
      </c>
      <c r="J238" s="50" t="str">
        <f t="shared" si="6"/>
        <v>7913328113.pdf</v>
      </c>
      <c r="K238" s="51" t="s">
        <v>1006</v>
      </c>
      <c r="L238" s="51" t="s">
        <v>1102</v>
      </c>
      <c r="M238" s="50" t="str">
        <f t="shared" si="7"/>
        <v>13.800</v>
      </c>
      <c r="N238" s="50" t="str">
        <f>IF(A238&lt;&gt;"",VLOOKUP(RIGHT(A238,3)*1,[4]Des_Loc!A:B,2,0),"")</f>
        <v>COUTO MAGALHAES</v>
      </c>
    </row>
    <row r="239" spans="1:14" ht="18.75" customHeight="1" x14ac:dyDescent="0.25">
      <c r="A239" s="52">
        <v>7902931001</v>
      </c>
      <c r="B239" s="51" t="s">
        <v>1003</v>
      </c>
      <c r="C239" s="51">
        <v>2</v>
      </c>
      <c r="D239" s="51"/>
      <c r="E239" s="51" t="s">
        <v>1005</v>
      </c>
      <c r="F239" s="51"/>
      <c r="G239" s="51"/>
      <c r="H239" s="51" t="s">
        <v>1005</v>
      </c>
      <c r="I239" s="51" t="s">
        <v>1005</v>
      </c>
      <c r="J239" s="50" t="str">
        <f t="shared" si="6"/>
        <v>7902931001.pdf</v>
      </c>
      <c r="K239" s="54" t="s">
        <v>1022</v>
      </c>
      <c r="L239" s="51" t="s">
        <v>1057</v>
      </c>
      <c r="M239" s="50" t="str">
        <f t="shared" si="7"/>
        <v>13.800</v>
      </c>
      <c r="N239" s="50" t="str">
        <f>IF(A239&lt;&gt;"",VLOOKUP(RIGHT(A239,3)*1,[4]Des_Loc!A:B,2,0),"")</f>
        <v>PORTO NACIONAL</v>
      </c>
    </row>
    <row r="240" spans="1:14" ht="18.75" customHeight="1" x14ac:dyDescent="0.25">
      <c r="A240" s="52">
        <v>7900768029</v>
      </c>
      <c r="B240" s="51" t="s">
        <v>1003</v>
      </c>
      <c r="C240" s="51" t="s">
        <v>1021</v>
      </c>
      <c r="D240" s="51"/>
      <c r="E240" s="51" t="s">
        <v>1005</v>
      </c>
      <c r="F240" s="51"/>
      <c r="G240" s="51"/>
      <c r="H240" s="51" t="s">
        <v>1005</v>
      </c>
      <c r="I240" s="51" t="s">
        <v>1005</v>
      </c>
      <c r="J240" s="50" t="str">
        <f t="shared" si="6"/>
        <v>7900768029.pdf</v>
      </c>
      <c r="K240" s="51" t="s">
        <v>1009</v>
      </c>
      <c r="L240" s="51" t="s">
        <v>1103</v>
      </c>
      <c r="M240" s="50" t="str">
        <f t="shared" si="7"/>
        <v>34.500</v>
      </c>
      <c r="N240" s="50" t="str">
        <f>IF(A240&lt;&gt;"",VLOOKUP(RIGHT(A240,3)*1,[4]Des_Loc!A:B,2,0),"")</f>
        <v>PALMEIROPOLIS</v>
      </c>
    </row>
    <row r="241" spans="1:14" ht="18.75" customHeight="1" x14ac:dyDescent="0.25">
      <c r="A241" s="52">
        <v>7900117013</v>
      </c>
      <c r="B241" s="51" t="s">
        <v>1003</v>
      </c>
      <c r="C241" s="51">
        <v>2</v>
      </c>
      <c r="D241" s="51" t="s">
        <v>1011</v>
      </c>
      <c r="E241" s="51" t="s">
        <v>1005</v>
      </c>
      <c r="F241" s="51" t="s">
        <v>1005</v>
      </c>
      <c r="G241" s="51" t="s">
        <v>1005</v>
      </c>
      <c r="H241" s="51" t="s">
        <v>1005</v>
      </c>
      <c r="I241" s="51" t="s">
        <v>1005</v>
      </c>
      <c r="J241" s="50" t="str">
        <f t="shared" si="6"/>
        <v>7900117013.pdf</v>
      </c>
      <c r="K241" s="51" t="s">
        <v>1009</v>
      </c>
      <c r="L241" s="51" t="s">
        <v>476</v>
      </c>
      <c r="M241" s="50" t="str">
        <f t="shared" si="7"/>
        <v>13.800</v>
      </c>
      <c r="N241" s="50" t="str">
        <f>IF(A241&lt;&gt;"",VLOOKUP(RIGHT(A241,3)*1,[4]Des_Loc!A:B,2,0),"")</f>
        <v>PARAISO DO TOCANTINS</v>
      </c>
    </row>
    <row r="242" spans="1:14" ht="18.75" customHeight="1" x14ac:dyDescent="0.25">
      <c r="A242" s="52">
        <v>7900474148</v>
      </c>
      <c r="B242" s="51" t="s">
        <v>1003</v>
      </c>
      <c r="C242" s="51" t="s">
        <v>1010</v>
      </c>
      <c r="D242" s="51"/>
      <c r="E242" s="51" t="s">
        <v>1005</v>
      </c>
      <c r="F242" s="51"/>
      <c r="G242" s="51"/>
      <c r="H242" s="51" t="s">
        <v>1005</v>
      </c>
      <c r="I242" s="51" t="s">
        <v>1005</v>
      </c>
      <c r="J242" s="50" t="str">
        <f t="shared" si="6"/>
        <v>7900474148.pdf</v>
      </c>
      <c r="K242" s="51" t="s">
        <v>1009</v>
      </c>
      <c r="L242" s="51" t="s">
        <v>406</v>
      </c>
      <c r="M242" s="50" t="str">
        <f t="shared" si="7"/>
        <v>34.500</v>
      </c>
      <c r="N242" s="50" t="str">
        <f>IF(A242&lt;&gt;"",VLOOKUP(RIGHT(A242,3)*1,[4]Des_Loc!A:B,2,0),"")</f>
        <v>SAO VALERIO DA NATIVIDADE</v>
      </c>
    </row>
    <row r="243" spans="1:14" ht="18.75" customHeight="1" x14ac:dyDescent="0.25">
      <c r="A243" s="52">
        <v>7915026036</v>
      </c>
      <c r="B243" s="51" t="s">
        <v>1003</v>
      </c>
      <c r="C243" s="51" t="s">
        <v>1010</v>
      </c>
      <c r="D243" s="51" t="s">
        <v>1011</v>
      </c>
      <c r="E243" s="51" t="s">
        <v>1005</v>
      </c>
      <c r="F243" s="51" t="s">
        <v>1005</v>
      </c>
      <c r="G243" s="51" t="s">
        <v>1005</v>
      </c>
      <c r="H243" s="51" t="s">
        <v>1005</v>
      </c>
      <c r="I243" s="51" t="s">
        <v>1005</v>
      </c>
      <c r="J243" s="50" t="str">
        <f t="shared" si="6"/>
        <v>7915026036.pdf</v>
      </c>
      <c r="K243" s="51" t="s">
        <v>1009</v>
      </c>
      <c r="L243" s="51" t="s">
        <v>1039</v>
      </c>
      <c r="M243" s="50" t="str">
        <f t="shared" si="7"/>
        <v>13.800</v>
      </c>
      <c r="N243" s="50" t="str">
        <f>IF(A243&lt;&gt;"",VLOOKUP(RIGHT(A243,3)*1,[4]Des_Loc!A:B,2,0),"")</f>
        <v>ALVORADA</v>
      </c>
    </row>
    <row r="244" spans="1:14" ht="18.75" customHeight="1" x14ac:dyDescent="0.25">
      <c r="A244" s="52">
        <v>7915038094</v>
      </c>
      <c r="B244" s="51" t="s">
        <v>1003</v>
      </c>
      <c r="C244" s="51" t="s">
        <v>1010</v>
      </c>
      <c r="D244" s="51" t="s">
        <v>1011</v>
      </c>
      <c r="E244" s="51" t="s">
        <v>1005</v>
      </c>
      <c r="F244" s="51" t="s">
        <v>1005</v>
      </c>
      <c r="G244" s="51" t="s">
        <v>1005</v>
      </c>
      <c r="H244" s="51" t="s">
        <v>1005</v>
      </c>
      <c r="I244" s="51" t="s">
        <v>1005</v>
      </c>
      <c r="J244" s="50" t="str">
        <f t="shared" si="6"/>
        <v>7915038094.pdf</v>
      </c>
      <c r="K244" s="51" t="s">
        <v>1009</v>
      </c>
      <c r="L244" s="51" t="s">
        <v>406</v>
      </c>
      <c r="M244" s="50" t="str">
        <f t="shared" si="7"/>
        <v>34.500</v>
      </c>
      <c r="N244" s="50" t="str">
        <f>IF(A244&lt;&gt;"",VLOOKUP(RIGHT(A244,3)*1,[4]Des_Loc!A:B,2,0),"")</f>
        <v>PEIXE</v>
      </c>
    </row>
    <row r="245" spans="1:14" ht="18.75" customHeight="1" x14ac:dyDescent="0.25">
      <c r="A245" s="52">
        <v>7920024127</v>
      </c>
      <c r="B245" s="51" t="s">
        <v>1003</v>
      </c>
      <c r="C245" s="51" t="s">
        <v>1010</v>
      </c>
      <c r="D245" s="51" t="s">
        <v>1011</v>
      </c>
      <c r="E245" s="51" t="s">
        <v>1005</v>
      </c>
      <c r="F245" s="51" t="s">
        <v>1005</v>
      </c>
      <c r="G245" s="51" t="s">
        <v>1005</v>
      </c>
      <c r="H245" s="51" t="s">
        <v>1005</v>
      </c>
      <c r="I245" s="51" t="s">
        <v>1005</v>
      </c>
      <c r="J245" s="50" t="str">
        <f t="shared" si="6"/>
        <v>7920024127.pdf</v>
      </c>
      <c r="K245" s="54" t="s">
        <v>1022</v>
      </c>
      <c r="L245" s="51" t="s">
        <v>594</v>
      </c>
      <c r="M245" s="50" t="str">
        <f t="shared" si="7"/>
        <v>34.500</v>
      </c>
      <c r="N245" s="50" t="str">
        <f>IF(A245&lt;&gt;"",VLOOKUP(RIGHT(A245,3)*1,[4]Des_Loc!A:B,2,0),"")</f>
        <v>PALMEIRAS DO TOCANTINS</v>
      </c>
    </row>
    <row r="246" spans="1:14" ht="18.75" customHeight="1" x14ac:dyDescent="0.25">
      <c r="A246" s="52">
        <v>7915036003</v>
      </c>
      <c r="B246" s="51" t="s">
        <v>1003</v>
      </c>
      <c r="C246" s="51">
        <v>3</v>
      </c>
      <c r="D246" s="51" t="s">
        <v>1011</v>
      </c>
      <c r="E246" s="51" t="s">
        <v>1011</v>
      </c>
      <c r="F246" s="51" t="s">
        <v>1005</v>
      </c>
      <c r="G246" s="51" t="s">
        <v>1005</v>
      </c>
      <c r="H246" s="51" t="s">
        <v>1005</v>
      </c>
      <c r="I246" s="51" t="s">
        <v>1005</v>
      </c>
      <c r="J246" s="50" t="str">
        <f t="shared" si="6"/>
        <v>7915036003.pdf</v>
      </c>
      <c r="K246" s="51" t="s">
        <v>1009</v>
      </c>
      <c r="L246" s="51" t="s">
        <v>1080</v>
      </c>
      <c r="M246" s="50" t="str">
        <f t="shared" si="7"/>
        <v>34.500</v>
      </c>
      <c r="N246" s="50" t="str">
        <f>IF(A246&lt;&gt;"",VLOOKUP(RIGHT(A246,3)*1,[4]Des_Loc!A:B,2,0),"")</f>
        <v>GURUPI</v>
      </c>
    </row>
    <row r="247" spans="1:14" ht="18.75" customHeight="1" x14ac:dyDescent="0.25">
      <c r="A247" s="52">
        <v>7908715122</v>
      </c>
      <c r="B247" s="51" t="s">
        <v>1003</v>
      </c>
      <c r="C247" s="51">
        <v>2</v>
      </c>
      <c r="D247" s="51"/>
      <c r="E247" s="51" t="s">
        <v>1005</v>
      </c>
      <c r="F247" s="51"/>
      <c r="G247" s="51"/>
      <c r="H247" s="51" t="s">
        <v>1005</v>
      </c>
      <c r="I247" s="51" t="s">
        <v>1005</v>
      </c>
      <c r="J247" s="50" t="str">
        <f t="shared" si="6"/>
        <v>7908715122.pdf</v>
      </c>
      <c r="K247" s="51" t="s">
        <v>1009</v>
      </c>
      <c r="L247" s="51" t="s">
        <v>1064</v>
      </c>
      <c r="M247" s="50" t="str">
        <f t="shared" si="7"/>
        <v>13.800</v>
      </c>
      <c r="N247" s="50" t="str">
        <f>IF(A247&lt;&gt;"",VLOOKUP(RIGHT(A247,3)*1,[4]Des_Loc!A:B,2,0),"")</f>
        <v>PALMAS</v>
      </c>
    </row>
    <row r="248" spans="1:14" ht="18.75" customHeight="1" x14ac:dyDescent="0.25">
      <c r="A248" s="52">
        <v>7908708116</v>
      </c>
      <c r="B248" s="51" t="s">
        <v>1003</v>
      </c>
      <c r="C248" s="51">
        <v>3</v>
      </c>
      <c r="D248" s="51" t="s">
        <v>1011</v>
      </c>
      <c r="E248" s="51" t="s">
        <v>1005</v>
      </c>
      <c r="F248" s="51" t="s">
        <v>1005</v>
      </c>
      <c r="G248" s="51" t="s">
        <v>1005</v>
      </c>
      <c r="H248" s="51" t="s">
        <v>1005</v>
      </c>
      <c r="I248" s="51" t="s">
        <v>1005</v>
      </c>
      <c r="J248" s="50" t="str">
        <f t="shared" si="6"/>
        <v>7908708116.pdf</v>
      </c>
      <c r="K248" s="51" t="s">
        <v>1009</v>
      </c>
      <c r="L248" s="51" t="s">
        <v>361</v>
      </c>
      <c r="M248" s="50" t="str">
        <f t="shared" si="7"/>
        <v>34.500</v>
      </c>
      <c r="N248" s="50" t="str">
        <f>IF(A248&lt;&gt;"",VLOOKUP(RIGHT(A248,3)*1,[4]Des_Loc!A:B,2,0),"")</f>
        <v>CHAPADA DA NATIVIDADE</v>
      </c>
    </row>
    <row r="249" spans="1:14" ht="18.75" customHeight="1" x14ac:dyDescent="0.25">
      <c r="A249" s="52">
        <v>7904411001</v>
      </c>
      <c r="B249" s="51" t="s">
        <v>1003</v>
      </c>
      <c r="C249" s="51">
        <v>2</v>
      </c>
      <c r="D249" s="51"/>
      <c r="E249" s="51" t="s">
        <v>1005</v>
      </c>
      <c r="F249" s="51"/>
      <c r="G249" s="51"/>
      <c r="H249" s="51" t="s">
        <v>1005</v>
      </c>
      <c r="I249" s="51" t="s">
        <v>1005</v>
      </c>
      <c r="J249" s="50" t="str">
        <f t="shared" si="6"/>
        <v>7904411001.pdf</v>
      </c>
      <c r="K249" s="54" t="s">
        <v>1022</v>
      </c>
      <c r="L249" s="51" t="s">
        <v>1066</v>
      </c>
      <c r="M249" s="50" t="str">
        <f t="shared" si="7"/>
        <v>13.800</v>
      </c>
      <c r="N249" s="50" t="str">
        <f>IF(A249&lt;&gt;"",VLOOKUP(RIGHT(A249,3)*1,[4]Des_Loc!A:B,2,0),"")</f>
        <v>PORTO NACIONAL</v>
      </c>
    </row>
    <row r="250" spans="1:14" ht="18.75" customHeight="1" x14ac:dyDescent="0.25">
      <c r="A250" s="52">
        <v>7908709049</v>
      </c>
      <c r="B250" s="51" t="s">
        <v>1003</v>
      </c>
      <c r="C250" s="51" t="s">
        <v>1021</v>
      </c>
      <c r="D250" s="51" t="s">
        <v>1005</v>
      </c>
      <c r="E250" s="51" t="s">
        <v>1005</v>
      </c>
      <c r="F250" s="51" t="s">
        <v>1005</v>
      </c>
      <c r="G250" s="51" t="s">
        <v>1005</v>
      </c>
      <c r="H250" s="51" t="s">
        <v>1005</v>
      </c>
      <c r="I250" s="51" t="s">
        <v>1005</v>
      </c>
      <c r="J250" s="50" t="str">
        <f t="shared" si="6"/>
        <v>7908709049.pdf</v>
      </c>
      <c r="K250" s="51" t="s">
        <v>1009</v>
      </c>
      <c r="L250" s="51" t="s">
        <v>1038</v>
      </c>
      <c r="M250" s="50" t="str">
        <f t="shared" si="7"/>
        <v>34.500</v>
      </c>
      <c r="N250" s="50" t="str">
        <f>IF(A250&lt;&gt;"",VLOOKUP(RIGHT(A250,3)*1,[4]Des_Loc!A:B,2,0),"")</f>
        <v>AURORA DO TOCANTINS</v>
      </c>
    </row>
    <row r="251" spans="1:14" ht="18.75" customHeight="1" x14ac:dyDescent="0.25">
      <c r="A251" s="52">
        <v>7908707049</v>
      </c>
      <c r="B251" s="51" t="s">
        <v>1003</v>
      </c>
      <c r="C251" s="51">
        <v>3</v>
      </c>
      <c r="D251" s="51" t="s">
        <v>1005</v>
      </c>
      <c r="E251" s="51" t="s">
        <v>1005</v>
      </c>
      <c r="F251" s="51" t="s">
        <v>1005</v>
      </c>
      <c r="G251" s="51" t="s">
        <v>1005</v>
      </c>
      <c r="H251" s="51" t="s">
        <v>1005</v>
      </c>
      <c r="I251" s="51" t="s">
        <v>1005</v>
      </c>
      <c r="J251" s="50" t="str">
        <f t="shared" si="6"/>
        <v>7908707049.pdf</v>
      </c>
      <c r="K251" s="51" t="s">
        <v>1009</v>
      </c>
      <c r="L251" s="51" t="s">
        <v>1038</v>
      </c>
      <c r="M251" s="50" t="str">
        <f t="shared" si="7"/>
        <v>34.500</v>
      </c>
      <c r="N251" s="50" t="str">
        <f>IF(A251&lt;&gt;"",VLOOKUP(RIGHT(A251,3)*1,[4]Des_Loc!A:B,2,0),"")</f>
        <v>AURORA DO TOCANTINS</v>
      </c>
    </row>
    <row r="252" spans="1:14" ht="18.75" customHeight="1" x14ac:dyDescent="0.25">
      <c r="A252" s="52">
        <v>7908705049</v>
      </c>
      <c r="B252" s="51" t="s">
        <v>1003</v>
      </c>
      <c r="C252" s="51">
        <v>2</v>
      </c>
      <c r="D252" s="51" t="s">
        <v>1005</v>
      </c>
      <c r="E252" s="51" t="s">
        <v>1005</v>
      </c>
      <c r="F252" s="51" t="s">
        <v>1005</v>
      </c>
      <c r="G252" s="51" t="s">
        <v>1005</v>
      </c>
      <c r="H252" s="51" t="s">
        <v>1005</v>
      </c>
      <c r="I252" s="51" t="s">
        <v>1005</v>
      </c>
      <c r="J252" s="50" t="str">
        <f t="shared" si="6"/>
        <v>7908705049.pdf</v>
      </c>
      <c r="K252" s="51" t="s">
        <v>1009</v>
      </c>
      <c r="L252" s="51" t="s">
        <v>566</v>
      </c>
      <c r="M252" s="50" t="str">
        <f t="shared" si="7"/>
        <v>13.800</v>
      </c>
      <c r="N252" s="50" t="str">
        <f>IF(A252&lt;&gt;"",VLOOKUP(RIGHT(A252,3)*1,[4]Des_Loc!A:B,2,0),"")</f>
        <v>AURORA DO TOCANTINS</v>
      </c>
    </row>
    <row r="253" spans="1:14" ht="18.75" customHeight="1" x14ac:dyDescent="0.25">
      <c r="A253" s="52">
        <v>7911177129</v>
      </c>
      <c r="B253" s="51" t="s">
        <v>1003</v>
      </c>
      <c r="C253" s="51">
        <v>3</v>
      </c>
      <c r="D253" s="51" t="s">
        <v>1005</v>
      </c>
      <c r="E253" s="51" t="s">
        <v>1005</v>
      </c>
      <c r="F253" s="51" t="s">
        <v>1005</v>
      </c>
      <c r="G253" s="51" t="s">
        <v>1005</v>
      </c>
      <c r="H253" s="51" t="s">
        <v>1005</v>
      </c>
      <c r="I253" s="51" t="s">
        <v>1005</v>
      </c>
      <c r="J253" s="50" t="str">
        <f t="shared" si="6"/>
        <v>7911177129.pdf</v>
      </c>
      <c r="K253" s="51" t="s">
        <v>1009</v>
      </c>
      <c r="L253" s="51" t="s">
        <v>1104</v>
      </c>
      <c r="M253" s="50" t="str">
        <f t="shared" si="7"/>
        <v>13.800</v>
      </c>
      <c r="N253" s="50" t="str">
        <f>IF(A253&lt;&gt;"",VLOOKUP(RIGHT(A253,3)*1,[4]Des_Loc!A:B,2,0),"")</f>
        <v>SANTA TEREZINHA DO TOCANTINS</v>
      </c>
    </row>
    <row r="254" spans="1:14" ht="18.75" customHeight="1" x14ac:dyDescent="0.25">
      <c r="A254" s="52">
        <v>7908690013</v>
      </c>
      <c r="B254" s="51" t="s">
        <v>1003</v>
      </c>
      <c r="C254" s="51">
        <v>2</v>
      </c>
      <c r="D254" s="51"/>
      <c r="E254" s="51" t="s">
        <v>1005</v>
      </c>
      <c r="F254" s="51"/>
      <c r="G254" s="51"/>
      <c r="H254" s="51" t="s">
        <v>1005</v>
      </c>
      <c r="I254" s="51" t="s">
        <v>1005</v>
      </c>
      <c r="J254" s="50" t="str">
        <f t="shared" si="6"/>
        <v>7908690013.pdf</v>
      </c>
      <c r="K254" s="51" t="s">
        <v>1009</v>
      </c>
      <c r="L254" s="51" t="s">
        <v>1105</v>
      </c>
      <c r="M254" s="50" t="str">
        <f t="shared" si="7"/>
        <v>13.800</v>
      </c>
      <c r="N254" s="50" t="str">
        <f>IF(A254&lt;&gt;"",VLOOKUP(RIGHT(A254,3)*1,[4]Des_Loc!A:B,2,0),"")</f>
        <v>PARAISO DO TOCANTINS</v>
      </c>
    </row>
    <row r="255" spans="1:14" ht="18.75" customHeight="1" x14ac:dyDescent="0.25">
      <c r="A255" s="52">
        <v>7910068119</v>
      </c>
      <c r="B255" s="51" t="s">
        <v>1003</v>
      </c>
      <c r="C255" s="51" t="s">
        <v>1010</v>
      </c>
      <c r="D255" s="51"/>
      <c r="E255" s="51" t="s">
        <v>1005</v>
      </c>
      <c r="F255" s="51"/>
      <c r="G255" s="51"/>
      <c r="H255" s="51" t="s">
        <v>1005</v>
      </c>
      <c r="I255" s="51" t="s">
        <v>1005</v>
      </c>
      <c r="J255" s="50" t="str">
        <f t="shared" si="6"/>
        <v>7910068119.pdf</v>
      </c>
      <c r="K255" s="51" t="s">
        <v>1009</v>
      </c>
      <c r="L255" s="51" t="s">
        <v>453</v>
      </c>
      <c r="M255" s="50" t="str">
        <f t="shared" si="7"/>
        <v>34.500</v>
      </c>
      <c r="N255" s="50" t="str">
        <f>IF(A255&lt;&gt;"",VLOOKUP(RIGHT(A255,3)*1,[4]Des_Loc!A:B,2,0),"")</f>
        <v>SAO BENTO DO TOCANTINS</v>
      </c>
    </row>
    <row r="256" spans="1:14" ht="18.75" customHeight="1" x14ac:dyDescent="0.25">
      <c r="A256" s="52">
        <v>7908712122</v>
      </c>
      <c r="B256" s="51" t="s">
        <v>1003</v>
      </c>
      <c r="C256" s="51" t="s">
        <v>1021</v>
      </c>
      <c r="D256" s="51" t="s">
        <v>1005</v>
      </c>
      <c r="E256" s="51" t="s">
        <v>1005</v>
      </c>
      <c r="F256" s="51" t="s">
        <v>1005</v>
      </c>
      <c r="G256" s="51" t="s">
        <v>1005</v>
      </c>
      <c r="H256" s="51" t="s">
        <v>1005</v>
      </c>
      <c r="I256" s="51" t="s">
        <v>1005</v>
      </c>
      <c r="J256" s="50" t="str">
        <f t="shared" si="6"/>
        <v>7908712122.pdf</v>
      </c>
      <c r="K256" s="51" t="s">
        <v>1009</v>
      </c>
      <c r="L256" s="51" t="s">
        <v>1072</v>
      </c>
      <c r="M256" s="50" t="str">
        <f t="shared" si="7"/>
        <v>13.800</v>
      </c>
      <c r="N256" s="50" t="str">
        <f>IF(A256&lt;&gt;"",VLOOKUP(RIGHT(A256,3)*1,[4]Des_Loc!A:B,2,0),"")</f>
        <v>PALMAS</v>
      </c>
    </row>
    <row r="257" spans="1:14" ht="18.75" customHeight="1" x14ac:dyDescent="0.25">
      <c r="A257" s="52">
        <v>7913658147</v>
      </c>
      <c r="B257" s="51" t="s">
        <v>1003</v>
      </c>
      <c r="C257" s="51" t="s">
        <v>1008</v>
      </c>
      <c r="D257" s="51" t="s">
        <v>1011</v>
      </c>
      <c r="E257" s="51" t="s">
        <v>1005</v>
      </c>
      <c r="F257" s="51" t="s">
        <v>1005</v>
      </c>
      <c r="G257" s="51" t="s">
        <v>1005</v>
      </c>
      <c r="H257" s="51" t="s">
        <v>1005</v>
      </c>
      <c r="I257" s="51" t="s">
        <v>1005</v>
      </c>
      <c r="J257" s="50" t="str">
        <f t="shared" si="6"/>
        <v>7913658147.pdf</v>
      </c>
      <c r="K257" s="51" t="s">
        <v>1009</v>
      </c>
      <c r="L257" s="51" t="s">
        <v>331</v>
      </c>
      <c r="M257" s="50" t="str">
        <f t="shared" si="7"/>
        <v>34.500</v>
      </c>
      <c r="N257" s="50" t="str">
        <f>IF(A257&lt;&gt;"",VLOOKUP(RIGHT(A257,3)*1,[4]Des_Loc!A:B,2,0),"")</f>
        <v>TAIPAS DO TOCANTINS</v>
      </c>
    </row>
    <row r="258" spans="1:14" ht="18.75" customHeight="1" x14ac:dyDescent="0.25">
      <c r="A258" s="52">
        <v>7901537094</v>
      </c>
      <c r="B258" s="51" t="s">
        <v>1003</v>
      </c>
      <c r="C258" s="51">
        <v>3</v>
      </c>
      <c r="D258" s="51"/>
      <c r="E258" s="51" t="s">
        <v>1011</v>
      </c>
      <c r="F258" s="51"/>
      <c r="G258" s="51"/>
      <c r="H258" s="51" t="s">
        <v>1005</v>
      </c>
      <c r="I258" s="51" t="s">
        <v>1005</v>
      </c>
      <c r="J258" s="50" t="str">
        <f t="shared" ref="J258:J321" si="8">CONCATENATE(A258,".pdf")</f>
        <v>7901537094.pdf</v>
      </c>
      <c r="K258" s="51" t="s">
        <v>1009</v>
      </c>
      <c r="L258" s="51" t="s">
        <v>406</v>
      </c>
      <c r="M258" s="50" t="str">
        <f t="shared" ref="M258:M321" si="9">IF(L258&lt;&gt;"",IF(LEFT(L258,2)="AL","13.800","34.500"),"")</f>
        <v>34.500</v>
      </c>
      <c r="N258" s="50" t="str">
        <f>IF(A258&lt;&gt;"",VLOOKUP(RIGHT(A258,3)*1,[4]Des_Loc!A:B,2,0),"")</f>
        <v>PEIXE</v>
      </c>
    </row>
    <row r="259" spans="1:14" ht="18.75" customHeight="1" x14ac:dyDescent="0.25">
      <c r="A259" s="52">
        <v>7900453110</v>
      </c>
      <c r="B259" s="51" t="s">
        <v>1003</v>
      </c>
      <c r="C259" s="51" t="s">
        <v>1004</v>
      </c>
      <c r="D259" s="51" t="s">
        <v>1011</v>
      </c>
      <c r="E259" s="51" t="s">
        <v>1005</v>
      </c>
      <c r="F259" s="51" t="s">
        <v>1005</v>
      </c>
      <c r="G259" s="51" t="s">
        <v>1005</v>
      </c>
      <c r="H259" s="51" t="s">
        <v>1005</v>
      </c>
      <c r="I259" s="51" t="s">
        <v>1005</v>
      </c>
      <c r="J259" s="50" t="str">
        <f t="shared" si="8"/>
        <v>7900453110.pdf</v>
      </c>
      <c r="K259" s="51" t="s">
        <v>1009</v>
      </c>
      <c r="L259" s="51" t="s">
        <v>483</v>
      </c>
      <c r="M259" s="50" t="str">
        <f t="shared" si="9"/>
        <v>34.500</v>
      </c>
      <c r="N259" s="50" t="str">
        <f>IF(A259&lt;&gt;"",VLOOKUP(RIGHT(A259,3)*1,[4]Des_Loc!A:B,2,0),"")</f>
        <v>SANTA RITA DO TOCANTINS</v>
      </c>
    </row>
    <row r="260" spans="1:14" ht="18.75" customHeight="1" x14ac:dyDescent="0.25">
      <c r="A260" s="52">
        <v>7900722193</v>
      </c>
      <c r="B260" s="51" t="s">
        <v>1003</v>
      </c>
      <c r="C260" s="51">
        <v>3</v>
      </c>
      <c r="D260" s="51" t="s">
        <v>1011</v>
      </c>
      <c r="E260" s="51" t="s">
        <v>1005</v>
      </c>
      <c r="F260" s="51" t="s">
        <v>1005</v>
      </c>
      <c r="G260" s="51" t="s">
        <v>1005</v>
      </c>
      <c r="H260" s="51" t="s">
        <v>1005</v>
      </c>
      <c r="I260" s="51" t="s">
        <v>1005</v>
      </c>
      <c r="J260" s="50" t="str">
        <f t="shared" si="8"/>
        <v>7900722193.pdf</v>
      </c>
      <c r="K260" s="51" t="s">
        <v>1006</v>
      </c>
      <c r="L260" s="51" t="s">
        <v>1036</v>
      </c>
      <c r="M260" s="50" t="str">
        <f t="shared" si="9"/>
        <v>34.500</v>
      </c>
      <c r="N260" s="50" t="str">
        <f>IF(A260&lt;&gt;"",VLOOKUP(RIGHT(A260,3)*1,[4]Des_Loc!A:B,2,0),"")</f>
        <v>CAMPOS LINDOS</v>
      </c>
    </row>
    <row r="261" spans="1:14" ht="18.75" customHeight="1" x14ac:dyDescent="0.25">
      <c r="A261" s="52">
        <v>7907468122</v>
      </c>
      <c r="B261" s="51" t="s">
        <v>1003</v>
      </c>
      <c r="C261" s="51">
        <v>2</v>
      </c>
      <c r="D261" s="51"/>
      <c r="E261" s="51" t="s">
        <v>1005</v>
      </c>
      <c r="F261" s="51"/>
      <c r="G261" s="51"/>
      <c r="H261" s="51" t="s">
        <v>1005</v>
      </c>
      <c r="I261" s="51" t="s">
        <v>1005</v>
      </c>
      <c r="J261" s="50" t="str">
        <f t="shared" si="8"/>
        <v>7907468122.pdf</v>
      </c>
      <c r="K261" s="51" t="s">
        <v>1006</v>
      </c>
      <c r="L261" s="51" t="s">
        <v>1106</v>
      </c>
      <c r="M261" s="50" t="str">
        <f t="shared" si="9"/>
        <v>13.800</v>
      </c>
      <c r="N261" s="50" t="str">
        <f>IF(A261&lt;&gt;"",VLOOKUP(RIGHT(A261,3)*1,[4]Des_Loc!A:B,2,0),"")</f>
        <v>PALMAS</v>
      </c>
    </row>
    <row r="262" spans="1:14" ht="18.75" customHeight="1" x14ac:dyDescent="0.25">
      <c r="A262" s="52">
        <v>7900785033</v>
      </c>
      <c r="B262" s="51" t="s">
        <v>1003</v>
      </c>
      <c r="C262" s="51" t="s">
        <v>1010</v>
      </c>
      <c r="D262" s="51" t="s">
        <v>1011</v>
      </c>
      <c r="E262" s="51" t="s">
        <v>1005</v>
      </c>
      <c r="F262" s="51" t="s">
        <v>1005</v>
      </c>
      <c r="G262" s="51" t="s">
        <v>1005</v>
      </c>
      <c r="H262" s="51" t="s">
        <v>1005</v>
      </c>
      <c r="I262" s="51" t="s">
        <v>1005</v>
      </c>
      <c r="J262" s="50" t="str">
        <f t="shared" si="8"/>
        <v>7900785033.pdf</v>
      </c>
      <c r="K262" s="51" t="s">
        <v>1022</v>
      </c>
      <c r="L262" s="51" t="s">
        <v>1045</v>
      </c>
      <c r="M262" s="50" t="str">
        <f t="shared" si="9"/>
        <v>34.500</v>
      </c>
      <c r="N262" s="50" t="str">
        <f>IF(A262&lt;&gt;"",VLOOKUP(RIGHT(A262,3)*1,[4]Des_Loc!A:B,2,0),"")</f>
        <v>COLMEIA</v>
      </c>
    </row>
    <row r="263" spans="1:14" ht="18.75" customHeight="1" x14ac:dyDescent="0.25">
      <c r="A263" s="52">
        <v>7900015059</v>
      </c>
      <c r="B263" s="51" t="s">
        <v>1003</v>
      </c>
      <c r="C263" s="51">
        <v>2</v>
      </c>
      <c r="D263" s="51"/>
      <c r="E263" s="51" t="s">
        <v>1005</v>
      </c>
      <c r="F263" s="51"/>
      <c r="G263" s="51"/>
      <c r="H263" s="51" t="s">
        <v>1005</v>
      </c>
      <c r="I263" s="51" t="s">
        <v>1005</v>
      </c>
      <c r="J263" s="50" t="str">
        <f t="shared" si="8"/>
        <v>7900015059.pdf</v>
      </c>
      <c r="K263" s="54" t="s">
        <v>1022</v>
      </c>
      <c r="L263" s="51" t="s">
        <v>1107</v>
      </c>
      <c r="M263" s="50" t="str">
        <f t="shared" si="9"/>
        <v>13.800</v>
      </c>
      <c r="N263" s="50" t="str">
        <f>IF(A263&lt;&gt;"",VLOOKUP(RIGHT(A263,3)*1,[4]Des_Loc!A:B,2,0),"")</f>
        <v>TAQUARALTO</v>
      </c>
    </row>
    <row r="264" spans="1:14" ht="18.75" customHeight="1" x14ac:dyDescent="0.25">
      <c r="A264" s="52">
        <v>7909569004</v>
      </c>
      <c r="B264" s="51" t="s">
        <v>1003</v>
      </c>
      <c r="C264" s="51" t="s">
        <v>1010</v>
      </c>
      <c r="D264" s="51" t="s">
        <v>1011</v>
      </c>
      <c r="E264" s="51" t="s">
        <v>1005</v>
      </c>
      <c r="F264" s="51" t="s">
        <v>1005</v>
      </c>
      <c r="G264" s="51" t="s">
        <v>1005</v>
      </c>
      <c r="H264" s="51" t="s">
        <v>1005</v>
      </c>
      <c r="I264" s="51" t="s">
        <v>1005</v>
      </c>
      <c r="J264" s="50" t="str">
        <f t="shared" si="8"/>
        <v>7909569004.pdf</v>
      </c>
      <c r="K264" s="54" t="s">
        <v>1022</v>
      </c>
      <c r="L264" s="51" t="s">
        <v>497</v>
      </c>
      <c r="M264" s="50" t="str">
        <f t="shared" si="9"/>
        <v>34.500</v>
      </c>
      <c r="N264" s="50" t="str">
        <f>IF(A264&lt;&gt;"",VLOOKUP(RIGHT(A264,3)*1,[4]Des_Loc!A:B,2,0),"")</f>
        <v>ARAGUAINA</v>
      </c>
    </row>
    <row r="265" spans="1:14" ht="18.75" customHeight="1" x14ac:dyDescent="0.25">
      <c r="A265" s="52">
        <v>7908196047</v>
      </c>
      <c r="B265" s="51" t="s">
        <v>1003</v>
      </c>
      <c r="C265" s="51">
        <v>3</v>
      </c>
      <c r="D265" s="51" t="s">
        <v>1011</v>
      </c>
      <c r="E265" s="51" t="s">
        <v>1005</v>
      </c>
      <c r="F265" s="51" t="s">
        <v>1005</v>
      </c>
      <c r="G265" s="51" t="s">
        <v>1005</v>
      </c>
      <c r="H265" s="51" t="s">
        <v>1005</v>
      </c>
      <c r="I265" s="51" t="s">
        <v>1005</v>
      </c>
      <c r="J265" s="50" t="str">
        <f t="shared" si="8"/>
        <v>7908196047.pdf</v>
      </c>
      <c r="K265" s="51" t="s">
        <v>1009</v>
      </c>
      <c r="L265" s="51" t="s">
        <v>511</v>
      </c>
      <c r="M265" s="50" t="str">
        <f t="shared" si="9"/>
        <v>13.800</v>
      </c>
      <c r="N265" s="50" t="str">
        <f>IF(A265&lt;&gt;"",VLOOKUP(RIGHT(A265,3)*1,[4]Des_Loc!A:B,2,0),"")</f>
        <v>FIGUEIROPOLIS</v>
      </c>
    </row>
    <row r="266" spans="1:14" ht="18.75" customHeight="1" x14ac:dyDescent="0.25">
      <c r="A266" s="52">
        <v>7913659027</v>
      </c>
      <c r="B266" s="51" t="s">
        <v>1003</v>
      </c>
      <c r="C266" s="51" t="s">
        <v>1021</v>
      </c>
      <c r="D266" s="51" t="s">
        <v>1005</v>
      </c>
      <c r="E266" s="51" t="s">
        <v>1005</v>
      </c>
      <c r="F266" s="51" t="s">
        <v>1005</v>
      </c>
      <c r="G266" s="51" t="s">
        <v>1005</v>
      </c>
      <c r="H266" s="51" t="s">
        <v>1005</v>
      </c>
      <c r="I266" s="51" t="s">
        <v>1005</v>
      </c>
      <c r="J266" s="50" t="str">
        <f t="shared" si="8"/>
        <v>7913659027.pdf</v>
      </c>
      <c r="K266" s="51" t="s">
        <v>1009</v>
      </c>
      <c r="L266" s="51" t="s">
        <v>1094</v>
      </c>
      <c r="M266" s="50" t="str">
        <f t="shared" si="9"/>
        <v>34.500</v>
      </c>
      <c r="N266" s="50" t="str">
        <f>IF(A266&lt;&gt;"",VLOOKUP(RIGHT(A266,3)*1,[4]Des_Loc!A:B,2,0),"")</f>
        <v>PONTE ALTA BOM JESUS</v>
      </c>
    </row>
    <row r="267" spans="1:14" ht="18.75" customHeight="1" x14ac:dyDescent="0.25">
      <c r="A267" s="52">
        <v>7900377152</v>
      </c>
      <c r="B267" s="51" t="s">
        <v>1003</v>
      </c>
      <c r="C267" s="51" t="s">
        <v>1021</v>
      </c>
      <c r="D267" s="51"/>
      <c r="E267" s="51" t="s">
        <v>1005</v>
      </c>
      <c r="F267" s="51"/>
      <c r="G267" s="51"/>
      <c r="H267" s="51" t="s">
        <v>1005</v>
      </c>
      <c r="I267" s="51" t="s">
        <v>1005</v>
      </c>
      <c r="J267" s="50" t="str">
        <f t="shared" si="8"/>
        <v>7900377152.pdf</v>
      </c>
      <c r="K267" s="51" t="s">
        <v>1009</v>
      </c>
      <c r="L267" s="51" t="s">
        <v>430</v>
      </c>
      <c r="M267" s="50" t="str">
        <f t="shared" si="9"/>
        <v>34.500</v>
      </c>
      <c r="N267" s="50" t="str">
        <f>IF(A267&lt;&gt;"",VLOOKUP(RIGHT(A267,3)*1,[4]Des_Loc!A:B,2,0),"")</f>
        <v>SANTA ROSA DO TOCANTINS</v>
      </c>
    </row>
    <row r="268" spans="1:14" ht="18.75" customHeight="1" x14ac:dyDescent="0.25">
      <c r="A268" s="52">
        <v>7908710028</v>
      </c>
      <c r="B268" s="51" t="s">
        <v>1003</v>
      </c>
      <c r="C268" s="51" t="s">
        <v>1010</v>
      </c>
      <c r="D268" s="51" t="s">
        <v>1005</v>
      </c>
      <c r="E268" s="51" t="s">
        <v>1005</v>
      </c>
      <c r="F268" s="51" t="s">
        <v>1005</v>
      </c>
      <c r="G268" s="51" t="s">
        <v>1005</v>
      </c>
      <c r="H268" s="51" t="s">
        <v>1005</v>
      </c>
      <c r="I268" s="51" t="s">
        <v>1005</v>
      </c>
      <c r="J268" s="50" t="str">
        <f t="shared" si="8"/>
        <v>7908710028.pdf</v>
      </c>
      <c r="K268" s="51" t="s">
        <v>1006</v>
      </c>
      <c r="L268" s="51" t="s">
        <v>361</v>
      </c>
      <c r="M268" s="50" t="str">
        <f t="shared" si="9"/>
        <v>34.500</v>
      </c>
      <c r="N268" s="50" t="str">
        <f>IF(A268&lt;&gt;"",VLOOKUP(RIGHT(A268,3)*1,[4]Des_Loc!A:B,2,0),"")</f>
        <v>NATIVIDADE</v>
      </c>
    </row>
    <row r="269" spans="1:14" ht="18.75" customHeight="1" x14ac:dyDescent="0.25">
      <c r="A269" s="50">
        <v>7913661028</v>
      </c>
      <c r="B269" s="51" t="s">
        <v>1003</v>
      </c>
      <c r="C269" s="51" t="s">
        <v>1004</v>
      </c>
      <c r="D269" s="51" t="s">
        <v>1011</v>
      </c>
      <c r="E269" s="51" t="s">
        <v>1005</v>
      </c>
      <c r="F269" s="51" t="s">
        <v>1005</v>
      </c>
      <c r="G269" s="51" t="s">
        <v>1005</v>
      </c>
      <c r="H269" s="51" t="s">
        <v>1005</v>
      </c>
      <c r="I269" s="51" t="s">
        <v>1005</v>
      </c>
      <c r="J269" s="50" t="str">
        <f t="shared" si="8"/>
        <v>7913661028.pdf</v>
      </c>
      <c r="K269" s="51" t="s">
        <v>1009</v>
      </c>
      <c r="L269" s="51" t="s">
        <v>361</v>
      </c>
      <c r="M269" s="50" t="str">
        <f t="shared" si="9"/>
        <v>34.500</v>
      </c>
      <c r="N269" s="50" t="str">
        <f>IF(A269&lt;&gt;"",VLOOKUP(RIGHT(A269,3)*1,[4]Des_Loc!A:B,2,0),"")</f>
        <v>NATIVIDADE</v>
      </c>
    </row>
    <row r="270" spans="1:14" ht="18.75" customHeight="1" x14ac:dyDescent="0.25">
      <c r="A270" s="52">
        <v>7908715091</v>
      </c>
      <c r="B270" s="51" t="s">
        <v>1003</v>
      </c>
      <c r="C270" s="51" t="s">
        <v>1010</v>
      </c>
      <c r="D270" s="51" t="s">
        <v>1011</v>
      </c>
      <c r="E270" s="51" t="s">
        <v>1011</v>
      </c>
      <c r="F270" s="51" t="s">
        <v>1005</v>
      </c>
      <c r="G270" s="51" t="s">
        <v>1005</v>
      </c>
      <c r="H270" s="51" t="s">
        <v>1005</v>
      </c>
      <c r="I270" s="51" t="s">
        <v>1005</v>
      </c>
      <c r="J270" s="50" t="str">
        <f t="shared" si="8"/>
        <v>7908715091.pdf</v>
      </c>
      <c r="K270" s="51" t="s">
        <v>1009</v>
      </c>
      <c r="L270" s="51" t="s">
        <v>1086</v>
      </c>
      <c r="M270" s="50" t="str">
        <f t="shared" si="9"/>
        <v>34.500</v>
      </c>
      <c r="N270" s="50" t="str">
        <f>IF(A270&lt;&gt;"",VLOOKUP(RIGHT(A270,3)*1,[4]Des_Loc!A:B,2,0),"")</f>
        <v>ALMAS</v>
      </c>
    </row>
    <row r="271" spans="1:14" ht="18.75" customHeight="1" x14ac:dyDescent="0.25">
      <c r="A271" s="52">
        <v>7910039265</v>
      </c>
      <c r="B271" s="51" t="s">
        <v>1003</v>
      </c>
      <c r="C271" s="51" t="s">
        <v>1010</v>
      </c>
      <c r="D271" s="51" t="s">
        <v>1011</v>
      </c>
      <c r="E271" s="51" t="s">
        <v>1005</v>
      </c>
      <c r="F271" s="51" t="s">
        <v>1005</v>
      </c>
      <c r="G271" s="51" t="s">
        <v>1005</v>
      </c>
      <c r="H271" s="51" t="s">
        <v>1005</v>
      </c>
      <c r="I271" s="51" t="s">
        <v>1005</v>
      </c>
      <c r="J271" s="50" t="str">
        <f t="shared" si="8"/>
        <v>7910039265.pdf</v>
      </c>
      <c r="K271" s="51" t="s">
        <v>1006</v>
      </c>
      <c r="L271" s="51" t="s">
        <v>632</v>
      </c>
      <c r="M271" s="50" t="str">
        <f t="shared" si="9"/>
        <v>34.500</v>
      </c>
      <c r="N271" s="50" t="str">
        <f>IF(A271&lt;&gt;"",VLOOKUP(RIGHT(A271,3)*1,[4]Des_Loc!A:B,2,0),"")</f>
        <v>BARRA DO OURO</v>
      </c>
    </row>
    <row r="272" spans="1:14" ht="18.75" customHeight="1" x14ac:dyDescent="0.25">
      <c r="A272" s="52">
        <v>7908709122</v>
      </c>
      <c r="B272" s="51" t="s">
        <v>1003</v>
      </c>
      <c r="C272" s="51" t="s">
        <v>1021</v>
      </c>
      <c r="D272" s="51"/>
      <c r="E272" s="51" t="s">
        <v>1005</v>
      </c>
      <c r="F272" s="51"/>
      <c r="G272" s="51"/>
      <c r="H272" s="51" t="s">
        <v>1005</v>
      </c>
      <c r="I272" s="51" t="s">
        <v>1005</v>
      </c>
      <c r="J272" s="50" t="str">
        <f t="shared" si="8"/>
        <v>7908709122.pdf</v>
      </c>
      <c r="K272" s="51" t="s">
        <v>1009</v>
      </c>
      <c r="L272" s="51" t="s">
        <v>1072</v>
      </c>
      <c r="M272" s="50" t="str">
        <f t="shared" si="9"/>
        <v>13.800</v>
      </c>
      <c r="N272" s="50" t="str">
        <f>IF(A272&lt;&gt;"",VLOOKUP(RIGHT(A272,3)*1,[4]Des_Loc!A:B,2,0),"")</f>
        <v>PALMAS</v>
      </c>
    </row>
    <row r="273" spans="1:14" ht="18.75" customHeight="1" x14ac:dyDescent="0.25">
      <c r="A273" s="52">
        <v>7900136134</v>
      </c>
      <c r="B273" s="51" t="s">
        <v>1003</v>
      </c>
      <c r="C273" s="51">
        <v>3</v>
      </c>
      <c r="D273" s="51" t="s">
        <v>1011</v>
      </c>
      <c r="E273" s="51" t="s">
        <v>1005</v>
      </c>
      <c r="F273" s="51" t="s">
        <v>1005</v>
      </c>
      <c r="G273" s="51" t="s">
        <v>1005</v>
      </c>
      <c r="H273" s="51" t="s">
        <v>1005</v>
      </c>
      <c r="I273" s="51" t="s">
        <v>1005</v>
      </c>
      <c r="J273" s="50" t="str">
        <f t="shared" si="8"/>
        <v>7900136134.pdf</v>
      </c>
      <c r="K273" s="51" t="s">
        <v>1006</v>
      </c>
      <c r="L273" s="51" t="s">
        <v>1012</v>
      </c>
      <c r="M273" s="50" t="str">
        <f t="shared" si="9"/>
        <v>34.500</v>
      </c>
      <c r="N273" s="50" t="str">
        <f>IF(A273&lt;&gt;"",VLOOKUP(RIGHT(A273,3)*1,[4]Des_Loc!A:B,2,0),"")</f>
        <v>ESPERANTINA</v>
      </c>
    </row>
    <row r="274" spans="1:14" ht="18.75" customHeight="1" x14ac:dyDescent="0.25">
      <c r="A274" s="52">
        <v>7913655100</v>
      </c>
      <c r="B274" s="51" t="s">
        <v>1003</v>
      </c>
      <c r="C274" s="51">
        <v>2</v>
      </c>
      <c r="D274" s="51" t="s">
        <v>1108</v>
      </c>
      <c r="E274" s="51" t="s">
        <v>1005</v>
      </c>
      <c r="F274" s="51" t="s">
        <v>1011</v>
      </c>
      <c r="G274" s="51" t="s">
        <v>1005</v>
      </c>
      <c r="H274" s="51" t="s">
        <v>1005</v>
      </c>
      <c r="I274" s="51" t="s">
        <v>1011</v>
      </c>
      <c r="J274" s="50" t="str">
        <f t="shared" si="8"/>
        <v>7913655100.pdf</v>
      </c>
      <c r="K274" s="51" t="s">
        <v>1006</v>
      </c>
      <c r="L274" s="51" t="s">
        <v>1109</v>
      </c>
      <c r="M274" s="50" t="str">
        <f t="shared" si="9"/>
        <v>13.800</v>
      </c>
      <c r="N274" s="50" t="str">
        <f>IF(A274&lt;&gt;"",VLOOKUP(RIGHT(A274,3)*1,[4]Des_Loc!A:B,2,0),"")</f>
        <v>TAQUARUSSU DO PORTO</v>
      </c>
    </row>
    <row r="275" spans="1:14" ht="18.75" customHeight="1" x14ac:dyDescent="0.25">
      <c r="A275" s="52">
        <v>7913341063</v>
      </c>
      <c r="B275" s="51" t="s">
        <v>1003</v>
      </c>
      <c r="C275" s="51" t="s">
        <v>1010</v>
      </c>
      <c r="D275" s="51" t="s">
        <v>1011</v>
      </c>
      <c r="E275" s="51" t="s">
        <v>1011</v>
      </c>
      <c r="F275" s="51" t="s">
        <v>1011</v>
      </c>
      <c r="G275" s="51" t="s">
        <v>1005</v>
      </c>
      <c r="H275" s="51" t="s">
        <v>1005</v>
      </c>
      <c r="I275" s="51" t="s">
        <v>1011</v>
      </c>
      <c r="J275" s="50" t="str">
        <f t="shared" si="8"/>
        <v>7913341063.pdf</v>
      </c>
      <c r="K275" s="51" t="s">
        <v>1006</v>
      </c>
      <c r="L275" s="51" t="s">
        <v>1110</v>
      </c>
      <c r="M275" s="50" t="str">
        <f t="shared" si="9"/>
        <v>13.800</v>
      </c>
      <c r="N275" s="50" t="str">
        <f>IF(A275&lt;&gt;"",VLOOKUP(RIGHT(A275,3)*1,[4]Des_Loc!A:B,2,0),"")</f>
        <v>BANDEIRANTES DO TOCANTINS</v>
      </c>
    </row>
    <row r="276" spans="1:14" ht="18.75" customHeight="1" x14ac:dyDescent="0.25">
      <c r="A276" s="52">
        <v>7908711050</v>
      </c>
      <c r="B276" s="51" t="s">
        <v>1003</v>
      </c>
      <c r="C276" s="51" t="s">
        <v>1021</v>
      </c>
      <c r="D276" s="51"/>
      <c r="E276" s="51" t="s">
        <v>1005</v>
      </c>
      <c r="F276" s="51"/>
      <c r="G276" s="51"/>
      <c r="H276" s="51" t="s">
        <v>1005</v>
      </c>
      <c r="I276" s="51" t="s">
        <v>1005</v>
      </c>
      <c r="J276" s="50" t="str">
        <f t="shared" si="8"/>
        <v>7908711050.pdf</v>
      </c>
      <c r="K276" s="51" t="s">
        <v>1009</v>
      </c>
      <c r="L276" s="51" t="s">
        <v>1111</v>
      </c>
      <c r="M276" s="50" t="str">
        <f t="shared" si="9"/>
        <v>34.500</v>
      </c>
      <c r="N276" s="50" t="str">
        <f>IF(A276&lt;&gt;"",VLOOKUP(RIGHT(A276,3)*1,[4]Des_Loc!A:B,2,0),"")</f>
        <v>COMBINADO</v>
      </c>
    </row>
    <row r="277" spans="1:14" ht="18.75" customHeight="1" x14ac:dyDescent="0.25">
      <c r="A277" s="52">
        <v>7913667006</v>
      </c>
      <c r="B277" s="51" t="s">
        <v>1003</v>
      </c>
      <c r="C277" s="51">
        <v>3</v>
      </c>
      <c r="D277" s="51" t="s">
        <v>1011</v>
      </c>
      <c r="E277" s="51" t="s">
        <v>1005</v>
      </c>
      <c r="F277" s="51" t="s">
        <v>1005</v>
      </c>
      <c r="G277" s="51" t="s">
        <v>1005</v>
      </c>
      <c r="H277" s="51" t="s">
        <v>1005</v>
      </c>
      <c r="I277" s="51" t="s">
        <v>1005</v>
      </c>
      <c r="J277" s="50" t="str">
        <f t="shared" si="8"/>
        <v>7913667006.pdf</v>
      </c>
      <c r="K277" s="51" t="s">
        <v>1009</v>
      </c>
      <c r="L277" s="51" t="s">
        <v>1031</v>
      </c>
      <c r="M277" s="50" t="str">
        <f t="shared" si="9"/>
        <v>13.800</v>
      </c>
      <c r="N277" s="50" t="str">
        <f>IF(A277&lt;&gt;"",VLOOKUP(RIGHT(A277,3)*1,[4]Des_Loc!A:B,2,0),"")</f>
        <v>TOCANTINIA</v>
      </c>
    </row>
    <row r="278" spans="1:14" ht="18.75" customHeight="1" x14ac:dyDescent="0.25">
      <c r="A278" s="52">
        <v>7919146006</v>
      </c>
      <c r="B278" s="51" t="s">
        <v>1003</v>
      </c>
      <c r="C278" s="51" t="s">
        <v>1112</v>
      </c>
      <c r="D278" s="51"/>
      <c r="E278" s="51" t="s">
        <v>1005</v>
      </c>
      <c r="F278" s="51"/>
      <c r="G278" s="51"/>
      <c r="H278" s="51" t="s">
        <v>1005</v>
      </c>
      <c r="I278" s="51" t="s">
        <v>1005</v>
      </c>
      <c r="J278" s="50" t="str">
        <f t="shared" si="8"/>
        <v>7919146006.pdf</v>
      </c>
      <c r="K278" s="51" t="s">
        <v>1006</v>
      </c>
      <c r="L278" s="51" t="s">
        <v>425</v>
      </c>
      <c r="M278" s="50" t="str">
        <f t="shared" si="9"/>
        <v>34.500</v>
      </c>
      <c r="N278" s="50" t="str">
        <f>IF(A278&lt;&gt;"",VLOOKUP(RIGHT(A278,3)*1,[4]Des_Loc!A:B,2,0),"")</f>
        <v>TOCANTINIA</v>
      </c>
    </row>
    <row r="279" spans="1:14" ht="18.75" customHeight="1" x14ac:dyDescent="0.25">
      <c r="A279" s="52">
        <v>7900543010</v>
      </c>
      <c r="B279" s="51" t="s">
        <v>1003</v>
      </c>
      <c r="C279" s="51">
        <v>3</v>
      </c>
      <c r="D279" s="51"/>
      <c r="E279" s="51" t="s">
        <v>1005</v>
      </c>
      <c r="F279" s="51"/>
      <c r="G279" s="51"/>
      <c r="H279" s="51" t="s">
        <v>1005</v>
      </c>
      <c r="I279" s="51" t="s">
        <v>1005</v>
      </c>
      <c r="J279" s="50" t="str">
        <f t="shared" si="8"/>
        <v>7900543010.pdf</v>
      </c>
      <c r="K279" s="51" t="s">
        <v>1006</v>
      </c>
      <c r="L279" s="51" t="s">
        <v>1068</v>
      </c>
      <c r="M279" s="50" t="str">
        <f t="shared" si="9"/>
        <v>34.500</v>
      </c>
      <c r="N279" s="50" t="str">
        <f>IF(A279&lt;&gt;"",VLOOKUP(RIGHT(A279,3)*1,[4]Des_Loc!A:B,2,0),"")</f>
        <v>LAJEADO</v>
      </c>
    </row>
    <row r="280" spans="1:14" ht="18.75" customHeight="1" x14ac:dyDescent="0.25">
      <c r="A280" s="52">
        <v>7908249152</v>
      </c>
      <c r="B280" s="51" t="s">
        <v>1003</v>
      </c>
      <c r="C280" s="51">
        <v>3</v>
      </c>
      <c r="D280" s="51" t="s">
        <v>1005</v>
      </c>
      <c r="E280" s="51" t="s">
        <v>1005</v>
      </c>
      <c r="F280" s="51" t="s">
        <v>1005</v>
      </c>
      <c r="G280" s="51" t="s">
        <v>1005</v>
      </c>
      <c r="H280" s="51" t="s">
        <v>1005</v>
      </c>
      <c r="I280" s="51" t="s">
        <v>1005</v>
      </c>
      <c r="J280" s="50" t="str">
        <f t="shared" si="8"/>
        <v>7908249152.pdf</v>
      </c>
      <c r="K280" s="51" t="s">
        <v>1009</v>
      </c>
      <c r="L280" s="51" t="s">
        <v>430</v>
      </c>
      <c r="M280" s="50" t="str">
        <f t="shared" si="9"/>
        <v>34.500</v>
      </c>
      <c r="N280" s="50" t="str">
        <f>IF(A280&lt;&gt;"",VLOOKUP(RIGHT(A280,3)*1,[4]Des_Loc!A:B,2,0),"")</f>
        <v>SANTA ROSA DO TOCANTINS</v>
      </c>
    </row>
    <row r="281" spans="1:14" ht="18.75" customHeight="1" x14ac:dyDescent="0.25">
      <c r="A281" s="52">
        <v>7915039094</v>
      </c>
      <c r="B281" s="51" t="s">
        <v>1003</v>
      </c>
      <c r="C281" s="51">
        <v>3</v>
      </c>
      <c r="D281" s="51"/>
      <c r="E281" s="51" t="s">
        <v>1011</v>
      </c>
      <c r="F281" s="51"/>
      <c r="G281" s="51"/>
      <c r="H281" s="51" t="s">
        <v>1005</v>
      </c>
      <c r="I281" s="51" t="s">
        <v>1005</v>
      </c>
      <c r="J281" s="50" t="str">
        <f t="shared" si="8"/>
        <v>7915039094.pdf</v>
      </c>
      <c r="K281" s="51" t="s">
        <v>1009</v>
      </c>
      <c r="L281" s="51" t="s">
        <v>406</v>
      </c>
      <c r="M281" s="50" t="str">
        <f t="shared" si="9"/>
        <v>34.500</v>
      </c>
      <c r="N281" s="50" t="str">
        <f>IF(A281&lt;&gt;"",VLOOKUP(RIGHT(A281,3)*1,[4]Des_Loc!A:B,2,0),"")</f>
        <v>PEIXE</v>
      </c>
    </row>
    <row r="282" spans="1:14" ht="18.75" customHeight="1" x14ac:dyDescent="0.25">
      <c r="A282" s="52">
        <v>7900666072</v>
      </c>
      <c r="B282" s="51" t="s">
        <v>1003</v>
      </c>
      <c r="C282" s="51">
        <v>2</v>
      </c>
      <c r="D282" s="51" t="s">
        <v>1011</v>
      </c>
      <c r="E282" s="51" t="s">
        <v>1005</v>
      </c>
      <c r="F282" s="51" t="s">
        <v>1005</v>
      </c>
      <c r="G282" s="51" t="s">
        <v>1005</v>
      </c>
      <c r="H282" s="51" t="s">
        <v>1005</v>
      </c>
      <c r="I282" s="51" t="s">
        <v>1005</v>
      </c>
      <c r="J282" s="50" t="str">
        <f t="shared" si="8"/>
        <v>7900666072.pdf</v>
      </c>
      <c r="K282" s="51" t="s">
        <v>1009</v>
      </c>
      <c r="L282" s="51" t="s">
        <v>616</v>
      </c>
      <c r="M282" s="50" t="str">
        <f t="shared" si="9"/>
        <v>34.500</v>
      </c>
      <c r="N282" s="50" t="str">
        <f>IF(A282&lt;&gt;"",VLOOKUP(RIGHT(A282,3)*1,[4]Des_Loc!A:B,2,0),"")</f>
        <v>CONCEICAO DO TOCANTINS</v>
      </c>
    </row>
    <row r="283" spans="1:14" ht="18.75" customHeight="1" x14ac:dyDescent="0.25">
      <c r="A283" s="52">
        <v>7900171018</v>
      </c>
      <c r="B283" s="51" t="s">
        <v>1003</v>
      </c>
      <c r="C283" s="51" t="s">
        <v>1010</v>
      </c>
      <c r="D283" s="51"/>
      <c r="E283" s="51" t="s">
        <v>1011</v>
      </c>
      <c r="F283" s="51"/>
      <c r="G283" s="51"/>
      <c r="H283" s="51" t="s">
        <v>1005</v>
      </c>
      <c r="I283" s="51" t="s">
        <v>1005</v>
      </c>
      <c r="J283" s="50" t="str">
        <f t="shared" si="8"/>
        <v>7900171018.pdf</v>
      </c>
      <c r="K283" s="51" t="s">
        <v>1009</v>
      </c>
      <c r="L283" s="51" t="s">
        <v>470</v>
      </c>
      <c r="M283" s="50" t="str">
        <f t="shared" si="9"/>
        <v>34.500</v>
      </c>
      <c r="N283" s="50" t="str">
        <f>IF(A283&lt;&gt;"",VLOOKUP(RIGHT(A283,3)*1,[4]Des_Loc!A:B,2,0),"")</f>
        <v>BOM JESUS DO TOCANTINS</v>
      </c>
    </row>
    <row r="284" spans="1:14" ht="18.75" customHeight="1" x14ac:dyDescent="0.25">
      <c r="A284" s="52">
        <v>7900085195</v>
      </c>
      <c r="B284" s="51" t="s">
        <v>1003</v>
      </c>
      <c r="C284" s="51" t="s">
        <v>1025</v>
      </c>
      <c r="D284" s="51"/>
      <c r="E284" s="51" t="s">
        <v>1005</v>
      </c>
      <c r="F284" s="51"/>
      <c r="G284" s="51"/>
      <c r="H284" s="51" t="s">
        <v>1005</v>
      </c>
      <c r="I284" s="51" t="s">
        <v>1005</v>
      </c>
      <c r="J284" s="50" t="str">
        <f t="shared" si="8"/>
        <v>7900085195.pdf</v>
      </c>
      <c r="K284" s="51" t="s">
        <v>1009</v>
      </c>
      <c r="L284" s="51" t="s">
        <v>470</v>
      </c>
      <c r="M284" s="50" t="str">
        <f t="shared" si="9"/>
        <v>34.500</v>
      </c>
      <c r="N284" s="50" t="str">
        <f>IF(A284&lt;&gt;"",VLOOKUP(RIGHT(A284,3)*1,[4]Des_Loc!A:B,2,0),"")</f>
        <v>CENTENARIO</v>
      </c>
    </row>
    <row r="285" spans="1:14" ht="18.75" customHeight="1" x14ac:dyDescent="0.25">
      <c r="A285" s="52">
        <v>7915029003</v>
      </c>
      <c r="B285" s="51" t="s">
        <v>1003</v>
      </c>
      <c r="C285" s="51">
        <v>2</v>
      </c>
      <c r="D285" s="51"/>
      <c r="E285" s="51" t="s">
        <v>1005</v>
      </c>
      <c r="F285" s="51"/>
      <c r="G285" s="51"/>
      <c r="H285" s="51" t="s">
        <v>1005</v>
      </c>
      <c r="I285" s="51" t="s">
        <v>1005</v>
      </c>
      <c r="J285" s="50" t="str">
        <f t="shared" si="8"/>
        <v>7915029003.pdf</v>
      </c>
      <c r="K285" s="54" t="s">
        <v>1022</v>
      </c>
      <c r="L285" s="51" t="s">
        <v>1096</v>
      </c>
      <c r="M285" s="50" t="str">
        <f t="shared" si="9"/>
        <v>13.800</v>
      </c>
      <c r="N285" s="50" t="str">
        <f>IF(A285&lt;&gt;"",VLOOKUP(RIGHT(A285,3)*1,[4]Des_Loc!A:B,2,0),"")</f>
        <v>GURUPI</v>
      </c>
    </row>
    <row r="286" spans="1:14" ht="18.75" customHeight="1" x14ac:dyDescent="0.25">
      <c r="A286" s="52">
        <v>7908688001</v>
      </c>
      <c r="B286" s="51" t="s">
        <v>1003</v>
      </c>
      <c r="C286" s="51">
        <v>2</v>
      </c>
      <c r="D286" s="51"/>
      <c r="E286" s="51" t="s">
        <v>1005</v>
      </c>
      <c r="F286" s="51"/>
      <c r="G286" s="51"/>
      <c r="H286" s="51" t="s">
        <v>1005</v>
      </c>
      <c r="I286" s="51" t="s">
        <v>1005</v>
      </c>
      <c r="J286" s="50" t="str">
        <f t="shared" si="8"/>
        <v>7908688001.pdf</v>
      </c>
      <c r="K286" s="51" t="s">
        <v>1009</v>
      </c>
      <c r="L286" s="51" t="s">
        <v>1113</v>
      </c>
      <c r="M286" s="50" t="str">
        <f t="shared" si="9"/>
        <v>13.800</v>
      </c>
      <c r="N286" s="50" t="str">
        <f>IF(A286&lt;&gt;"",VLOOKUP(RIGHT(A286,3)*1,[4]Des_Loc!A:B,2,0),"")</f>
        <v>PORTO NACIONAL</v>
      </c>
    </row>
    <row r="287" spans="1:14" ht="18.75" customHeight="1" x14ac:dyDescent="0.25">
      <c r="A287" s="52">
        <v>7920045016</v>
      </c>
      <c r="B287" s="51" t="s">
        <v>1003</v>
      </c>
      <c r="C287" s="51">
        <v>3</v>
      </c>
      <c r="D287" s="51" t="s">
        <v>1011</v>
      </c>
      <c r="E287" s="51" t="s">
        <v>1011</v>
      </c>
      <c r="F287" s="51" t="s">
        <v>1005</v>
      </c>
      <c r="G287" s="51" t="s">
        <v>1005</v>
      </c>
      <c r="H287" s="51" t="s">
        <v>1005</v>
      </c>
      <c r="I287" s="51" t="s">
        <v>1005</v>
      </c>
      <c r="J287" s="50" t="str">
        <f t="shared" si="8"/>
        <v>7920045016.pdf</v>
      </c>
      <c r="K287" s="51" t="s">
        <v>1006</v>
      </c>
      <c r="L287" s="51" t="s">
        <v>1114</v>
      </c>
      <c r="M287" s="50" t="str">
        <f t="shared" si="9"/>
        <v>34.500</v>
      </c>
      <c r="N287" s="50" t="str">
        <f>IF(A287&lt;&gt;"",VLOOKUP(RIGHT(A287,3)*1,[4]Des_Loc!A:B,2,0),"")</f>
        <v>WANDERLANDIA</v>
      </c>
    </row>
    <row r="288" spans="1:14" ht="18.75" customHeight="1" x14ac:dyDescent="0.25">
      <c r="A288" s="52">
        <v>7909577092</v>
      </c>
      <c r="B288" s="51" t="s">
        <v>1003</v>
      </c>
      <c r="C288" s="51">
        <v>2</v>
      </c>
      <c r="D288" s="51" t="s">
        <v>1011</v>
      </c>
      <c r="E288" s="51" t="s">
        <v>1005</v>
      </c>
      <c r="F288" s="51" t="s">
        <v>1115</v>
      </c>
      <c r="G288" s="51" t="s">
        <v>1005</v>
      </c>
      <c r="H288" s="51" t="s">
        <v>1005</v>
      </c>
      <c r="I288" s="51" t="s">
        <v>1005</v>
      </c>
      <c r="J288" s="50" t="str">
        <f t="shared" si="8"/>
        <v>7909577092.pdf</v>
      </c>
      <c r="K288" s="54" t="s">
        <v>1022</v>
      </c>
      <c r="L288" s="51" t="s">
        <v>1015</v>
      </c>
      <c r="M288" s="50" t="str">
        <f t="shared" si="9"/>
        <v>34.500</v>
      </c>
      <c r="N288" s="50" t="str">
        <f>IF(A288&lt;&gt;"",VLOOKUP(RIGHT(A288,3)*1,[4]Des_Loc!A:B,2,0),"")</f>
        <v>NOVO ACORDO</v>
      </c>
    </row>
    <row r="289" spans="1:14" ht="18.75" customHeight="1" x14ac:dyDescent="0.25">
      <c r="A289" s="52">
        <v>7913662076</v>
      </c>
      <c r="B289" s="51" t="s">
        <v>1003</v>
      </c>
      <c r="C289" s="51">
        <v>2</v>
      </c>
      <c r="D289" s="51" t="s">
        <v>1005</v>
      </c>
      <c r="E289" s="51" t="s">
        <v>1005</v>
      </c>
      <c r="F289" s="51" t="s">
        <v>1005</v>
      </c>
      <c r="G289" s="51" t="s">
        <v>1005</v>
      </c>
      <c r="H289" s="51" t="s">
        <v>1005</v>
      </c>
      <c r="I289" s="51" t="s">
        <v>1005</v>
      </c>
      <c r="J289" s="50" t="str">
        <f t="shared" si="8"/>
        <v>7913662076.pdf</v>
      </c>
      <c r="K289" s="51" t="s">
        <v>1006</v>
      </c>
      <c r="L289" s="51" t="s">
        <v>583</v>
      </c>
      <c r="M289" s="50" t="str">
        <f t="shared" si="9"/>
        <v>13.800</v>
      </c>
      <c r="N289" s="50" t="str">
        <f>IF(A289&lt;&gt;"",VLOOKUP(RIGHT(A289,3)*1,[4]Des_Loc!A:B,2,0),"")</f>
        <v>DUERE</v>
      </c>
    </row>
    <row r="290" spans="1:14" ht="18.75" customHeight="1" x14ac:dyDescent="0.25">
      <c r="A290" s="52">
        <v>7900095186</v>
      </c>
      <c r="B290" s="51" t="s">
        <v>1003</v>
      </c>
      <c r="C290" s="51">
        <v>3</v>
      </c>
      <c r="D290" s="51" t="s">
        <v>1011</v>
      </c>
      <c r="E290" s="51" t="s">
        <v>1011</v>
      </c>
      <c r="F290" s="51" t="s">
        <v>1005</v>
      </c>
      <c r="G290" s="51" t="s">
        <v>1005</v>
      </c>
      <c r="H290" s="51" t="s">
        <v>1005</v>
      </c>
      <c r="I290" s="51" t="s">
        <v>1005</v>
      </c>
      <c r="J290" s="50" t="str">
        <f t="shared" si="8"/>
        <v>7900095186.pdf</v>
      </c>
      <c r="K290" s="51" t="s">
        <v>1009</v>
      </c>
      <c r="L290" s="51" t="s">
        <v>1103</v>
      </c>
      <c r="M290" s="50" t="str">
        <f t="shared" si="9"/>
        <v>34.500</v>
      </c>
      <c r="N290" s="50" t="str">
        <f>IF(A290&lt;&gt;"",VLOOKUP(RIGHT(A290,3)*1,[4]Des_Loc!A:B,2,0),"")</f>
        <v>JAU DO TOCANTINS</v>
      </c>
    </row>
    <row r="291" spans="1:14" ht="18.75" customHeight="1" x14ac:dyDescent="0.25">
      <c r="A291" s="52">
        <v>7915025186</v>
      </c>
      <c r="B291" s="51" t="s">
        <v>1003</v>
      </c>
      <c r="C291" s="51">
        <v>3</v>
      </c>
      <c r="D291" s="51" t="s">
        <v>1011</v>
      </c>
      <c r="E291" s="51" t="s">
        <v>1011</v>
      </c>
      <c r="F291" s="51" t="s">
        <v>1005</v>
      </c>
      <c r="G291" s="51" t="s">
        <v>1005</v>
      </c>
      <c r="H291" s="51" t="s">
        <v>1005</v>
      </c>
      <c r="I291" s="51" t="s">
        <v>1005</v>
      </c>
      <c r="J291" s="50" t="str">
        <f t="shared" si="8"/>
        <v>7915025186.pdf</v>
      </c>
      <c r="K291" s="51" t="s">
        <v>1009</v>
      </c>
      <c r="L291" s="51" t="s">
        <v>1103</v>
      </c>
      <c r="M291" s="50" t="str">
        <f t="shared" si="9"/>
        <v>34.500</v>
      </c>
      <c r="N291" s="50" t="str">
        <f>IF(A291&lt;&gt;"",VLOOKUP(RIGHT(A291,3)*1,[4]Des_Loc!A:B,2,0),"")</f>
        <v>JAU DO TOCANTINS</v>
      </c>
    </row>
    <row r="292" spans="1:14" ht="18.75" customHeight="1" x14ac:dyDescent="0.25">
      <c r="A292" s="52">
        <v>7908693026</v>
      </c>
      <c r="B292" s="51" t="s">
        <v>1003</v>
      </c>
      <c r="C292" s="51" t="s">
        <v>1004</v>
      </c>
      <c r="D292" s="51"/>
      <c r="E292" s="51" t="s">
        <v>1005</v>
      </c>
      <c r="F292" s="51"/>
      <c r="G292" s="51"/>
      <c r="H292" s="51" t="s">
        <v>1005</v>
      </c>
      <c r="I292" s="51" t="s">
        <v>1005</v>
      </c>
      <c r="J292" s="50" t="str">
        <f t="shared" si="8"/>
        <v>7908693026.pdf</v>
      </c>
      <c r="K292" s="51" t="s">
        <v>1009</v>
      </c>
      <c r="L292" s="51" t="s">
        <v>518</v>
      </c>
      <c r="M292" s="50" t="str">
        <f t="shared" si="9"/>
        <v>34.500</v>
      </c>
      <c r="N292" s="50" t="str">
        <f>IF(A292&lt;&gt;"",VLOOKUP(RIGHT(A292,3)*1,[4]Des_Loc!A:B,2,0),"")</f>
        <v>PONTE ALTA TOCANTINS</v>
      </c>
    </row>
    <row r="293" spans="1:14" ht="18.75" customHeight="1" x14ac:dyDescent="0.25">
      <c r="A293" s="52">
        <v>7907258122</v>
      </c>
      <c r="B293" s="51" t="s">
        <v>1003</v>
      </c>
      <c r="C293" s="51">
        <v>2</v>
      </c>
      <c r="D293" s="51"/>
      <c r="E293" s="51" t="s">
        <v>1005</v>
      </c>
      <c r="F293" s="51"/>
      <c r="G293" s="51"/>
      <c r="H293" s="51" t="s">
        <v>1005</v>
      </c>
      <c r="I293" s="51" t="s">
        <v>1005</v>
      </c>
      <c r="J293" s="50" t="str">
        <f t="shared" si="8"/>
        <v>7907258122.pdf</v>
      </c>
      <c r="K293" s="54" t="s">
        <v>1022</v>
      </c>
      <c r="L293" s="51" t="s">
        <v>1116</v>
      </c>
      <c r="M293" s="50" t="str">
        <f t="shared" si="9"/>
        <v>13.800</v>
      </c>
      <c r="N293" s="50" t="str">
        <f>IF(A293&lt;&gt;"",VLOOKUP(RIGHT(A293,3)*1,[4]Des_Loc!A:B,2,0),"")</f>
        <v>PALMAS</v>
      </c>
    </row>
    <row r="294" spans="1:14" ht="18.75" customHeight="1" x14ac:dyDescent="0.25">
      <c r="A294" s="52">
        <v>7900045001</v>
      </c>
      <c r="B294" s="51" t="s">
        <v>1003</v>
      </c>
      <c r="C294" s="51">
        <v>2</v>
      </c>
      <c r="D294" s="51" t="s">
        <v>1011</v>
      </c>
      <c r="E294" s="51" t="s">
        <v>1005</v>
      </c>
      <c r="F294" s="51" t="s">
        <v>1011</v>
      </c>
      <c r="G294" s="51" t="s">
        <v>1005</v>
      </c>
      <c r="H294" s="51" t="s">
        <v>1005</v>
      </c>
      <c r="I294" s="51" t="s">
        <v>1011</v>
      </c>
      <c r="J294" s="50" t="str">
        <f t="shared" si="8"/>
        <v>7900045001.pdf</v>
      </c>
      <c r="K294" s="54" t="s">
        <v>1006</v>
      </c>
      <c r="L294" s="51" t="s">
        <v>1113</v>
      </c>
      <c r="M294" s="50" t="str">
        <f t="shared" si="9"/>
        <v>13.800</v>
      </c>
      <c r="N294" s="50" t="str">
        <f>IF(A294&lt;&gt;"",VLOOKUP(RIGHT(A294,3)*1,[4]Des_Loc!A:B,2,0),"")</f>
        <v>PORTO NACIONAL</v>
      </c>
    </row>
    <row r="295" spans="1:14" ht="18.75" customHeight="1" x14ac:dyDescent="0.25">
      <c r="A295" s="52">
        <v>7908256086</v>
      </c>
      <c r="B295" s="51" t="s">
        <v>1003</v>
      </c>
      <c r="C295" s="51" t="s">
        <v>1008</v>
      </c>
      <c r="D295" s="51" t="s">
        <v>1011</v>
      </c>
      <c r="E295" s="51" t="s">
        <v>1005</v>
      </c>
      <c r="F295" s="51" t="s">
        <v>1005</v>
      </c>
      <c r="G295" s="51" t="s">
        <v>1005</v>
      </c>
      <c r="H295" s="51" t="s">
        <v>1005</v>
      </c>
      <c r="I295" s="51" t="s">
        <v>1005</v>
      </c>
      <c r="J295" s="50" t="str">
        <f t="shared" si="8"/>
        <v>7908256086.pdf</v>
      </c>
      <c r="K295" s="51" t="s">
        <v>1009</v>
      </c>
      <c r="L295" s="51" t="s">
        <v>526</v>
      </c>
      <c r="M295" s="50" t="str">
        <f t="shared" si="9"/>
        <v>34.500</v>
      </c>
      <c r="N295" s="50" t="str">
        <f>IF(A295&lt;&gt;"",VLOOKUP(RIGHT(A295,3)*1,[4]Des_Loc!A:B,2,0),"")</f>
        <v>MARIANOPOLIS</v>
      </c>
    </row>
    <row r="296" spans="1:14" ht="18.75" customHeight="1" x14ac:dyDescent="0.25">
      <c r="A296" s="52">
        <v>7907571122</v>
      </c>
      <c r="B296" s="51" t="s">
        <v>1003</v>
      </c>
      <c r="C296" s="51">
        <v>2</v>
      </c>
      <c r="D296" s="51" t="s">
        <v>1005</v>
      </c>
      <c r="E296" s="51" t="s">
        <v>1005</v>
      </c>
      <c r="F296" s="51" t="s">
        <v>1005</v>
      </c>
      <c r="G296" s="51" t="s">
        <v>1005</v>
      </c>
      <c r="H296" s="51" t="s">
        <v>1005</v>
      </c>
      <c r="I296" s="51" t="s">
        <v>1005</v>
      </c>
      <c r="J296" s="50" t="str">
        <f t="shared" si="8"/>
        <v>7907571122.pdf</v>
      </c>
      <c r="K296" s="54" t="s">
        <v>1022</v>
      </c>
      <c r="L296" s="51" t="s">
        <v>1117</v>
      </c>
      <c r="M296" s="50" t="str">
        <f t="shared" si="9"/>
        <v>13.800</v>
      </c>
      <c r="N296" s="50" t="str">
        <f>IF(A296&lt;&gt;"",VLOOKUP(RIGHT(A296,3)*1,[4]Des_Loc!A:B,2,0),"")</f>
        <v>PALMAS</v>
      </c>
    </row>
    <row r="297" spans="1:14" ht="18.75" customHeight="1" x14ac:dyDescent="0.25">
      <c r="A297" s="52">
        <v>7908250250</v>
      </c>
      <c r="B297" s="51" t="s">
        <v>1003</v>
      </c>
      <c r="C297" s="51">
        <v>3</v>
      </c>
      <c r="D297" s="51"/>
      <c r="E297" s="51" t="s">
        <v>1005</v>
      </c>
      <c r="F297" s="51"/>
      <c r="G297" s="51"/>
      <c r="H297" s="51" t="s">
        <v>1005</v>
      </c>
      <c r="I297" s="51" t="s">
        <v>1005</v>
      </c>
      <c r="J297" s="50" t="str">
        <f t="shared" si="8"/>
        <v>7908250250.pdf</v>
      </c>
      <c r="K297" s="51" t="s">
        <v>1009</v>
      </c>
      <c r="L297" s="51" t="s">
        <v>430</v>
      </c>
      <c r="M297" s="50" t="str">
        <f t="shared" si="9"/>
        <v>34.500</v>
      </c>
      <c r="N297" s="50" t="str">
        <f>IF(A297&lt;&gt;"",VLOOKUP(RIGHT(A297,3)*1,[4]Des_Loc!A:B,2,0),"")</f>
        <v>IPUEIRAS</v>
      </c>
    </row>
    <row r="298" spans="1:14" ht="18.75" customHeight="1" x14ac:dyDescent="0.25">
      <c r="A298" s="52">
        <v>7910063075</v>
      </c>
      <c r="B298" s="51" t="s">
        <v>1003</v>
      </c>
      <c r="C298" s="51" t="s">
        <v>1010</v>
      </c>
      <c r="D298" s="51" t="s">
        <v>1005</v>
      </c>
      <c r="E298" s="51" t="s">
        <v>1011</v>
      </c>
      <c r="F298" s="51" t="s">
        <v>1005</v>
      </c>
      <c r="G298" s="51" t="s">
        <v>1005</v>
      </c>
      <c r="H298" s="51" t="s">
        <v>1005</v>
      </c>
      <c r="I298" s="51" t="s">
        <v>1005</v>
      </c>
      <c r="J298" s="50" t="str">
        <f t="shared" si="8"/>
        <v>7910063075.pdf</v>
      </c>
      <c r="K298" s="51" t="s">
        <v>1006</v>
      </c>
      <c r="L298" s="51" t="s">
        <v>1040</v>
      </c>
      <c r="M298" s="50" t="str">
        <f t="shared" si="9"/>
        <v>34.500</v>
      </c>
      <c r="N298" s="50" t="str">
        <f>IF(A298&lt;&gt;"",VLOOKUP(RIGHT(A298,3)*1,[4]Des_Loc!A:B,2,0),"")</f>
        <v>DOIS IRMAOS DO TOCANTINS</v>
      </c>
    </row>
    <row r="299" spans="1:14" ht="18.75" customHeight="1" x14ac:dyDescent="0.25">
      <c r="A299" s="52">
        <v>7908206074</v>
      </c>
      <c r="B299" s="51" t="s">
        <v>1003</v>
      </c>
      <c r="C299" s="51" t="s">
        <v>1010</v>
      </c>
      <c r="D299" s="51" t="s">
        <v>1011</v>
      </c>
      <c r="E299" s="51" t="s">
        <v>1005</v>
      </c>
      <c r="F299" s="51" t="s">
        <v>1005</v>
      </c>
      <c r="G299" s="51" t="s">
        <v>1005</v>
      </c>
      <c r="H299" s="51" t="s">
        <v>1005</v>
      </c>
      <c r="I299" s="51" t="s">
        <v>1005</v>
      </c>
      <c r="J299" s="50" t="str">
        <f t="shared" si="8"/>
        <v>7908206074.pdf</v>
      </c>
      <c r="K299" s="51" t="s">
        <v>1006</v>
      </c>
      <c r="L299" s="51" t="s">
        <v>331</v>
      </c>
      <c r="M299" s="50" t="str">
        <f t="shared" si="9"/>
        <v>34.500</v>
      </c>
      <c r="N299" s="50" t="str">
        <f>IF(A299&lt;&gt;"",VLOOKUP(RIGHT(A299,3)*1,[4]Des_Loc!A:B,2,0),"")</f>
        <v>DIANOPOLIS</v>
      </c>
    </row>
    <row r="300" spans="1:14" ht="18.75" customHeight="1" x14ac:dyDescent="0.25">
      <c r="A300" s="52">
        <v>7921278157</v>
      </c>
      <c r="B300" s="51" t="s">
        <v>1003</v>
      </c>
      <c r="C300" s="51" t="s">
        <v>1004</v>
      </c>
      <c r="D300" s="51"/>
      <c r="E300" s="51" t="s">
        <v>1005</v>
      </c>
      <c r="F300" s="51"/>
      <c r="G300" s="51"/>
      <c r="H300" s="51" t="s">
        <v>1005</v>
      </c>
      <c r="I300" s="51" t="s">
        <v>1005</v>
      </c>
      <c r="J300" s="50" t="str">
        <f t="shared" si="8"/>
        <v>7921278157.pdf</v>
      </c>
      <c r="K300" s="51" t="s">
        <v>1009</v>
      </c>
      <c r="L300" s="51" t="s">
        <v>1114</v>
      </c>
      <c r="M300" s="50" t="str">
        <f t="shared" si="9"/>
        <v>34.500</v>
      </c>
      <c r="N300" s="50" t="str">
        <f>IF(A300&lt;&gt;"",VLOOKUP(RIGHT(A300,3)*1,[4]Des_Loc!A:B,2,0),"")</f>
        <v>ARAGUANA</v>
      </c>
    </row>
    <row r="301" spans="1:14" ht="18.75" customHeight="1" x14ac:dyDescent="0.25">
      <c r="A301" s="52">
        <v>7921277157</v>
      </c>
      <c r="B301" s="51" t="s">
        <v>1003</v>
      </c>
      <c r="C301" s="51">
        <v>2</v>
      </c>
      <c r="D301" s="51"/>
      <c r="E301" s="51" t="s">
        <v>1005</v>
      </c>
      <c r="F301" s="51"/>
      <c r="G301" s="51"/>
      <c r="H301" s="51" t="s">
        <v>1005</v>
      </c>
      <c r="I301" s="51" t="s">
        <v>1005</v>
      </c>
      <c r="J301" s="50" t="str">
        <f t="shared" si="8"/>
        <v>7921277157.pdf</v>
      </c>
      <c r="K301" s="51" t="s">
        <v>1009</v>
      </c>
      <c r="L301" s="51" t="s">
        <v>1114</v>
      </c>
      <c r="M301" s="50" t="str">
        <f t="shared" si="9"/>
        <v>34.500</v>
      </c>
      <c r="N301" s="50" t="str">
        <f>IF(A301&lt;&gt;"",VLOOKUP(RIGHT(A301,3)*1,[4]Des_Loc!A:B,2,0),"")</f>
        <v>ARAGUANA</v>
      </c>
    </row>
    <row r="302" spans="1:14" ht="18.75" customHeight="1" x14ac:dyDescent="0.25">
      <c r="A302" s="52">
        <v>7900554139</v>
      </c>
      <c r="B302" s="51" t="s">
        <v>1003</v>
      </c>
      <c r="C302" s="51" t="s">
        <v>1010</v>
      </c>
      <c r="D302" s="51"/>
      <c r="E302" s="51" t="s">
        <v>1005</v>
      </c>
      <c r="F302" s="51"/>
      <c r="G302" s="51"/>
      <c r="H302" s="51" t="s">
        <v>1005</v>
      </c>
      <c r="I302" s="51" t="s">
        <v>1005</v>
      </c>
      <c r="J302" s="50" t="str">
        <f t="shared" si="8"/>
        <v>7900554139.pdf</v>
      </c>
      <c r="K302" s="51" t="s">
        <v>1009</v>
      </c>
      <c r="L302" s="51" t="s">
        <v>1076</v>
      </c>
      <c r="M302" s="50" t="str">
        <f t="shared" si="9"/>
        <v>34.500</v>
      </c>
      <c r="N302" s="50" t="str">
        <f>IF(A302&lt;&gt;"",VLOOKUP(RIGHT(A302,3)*1,[4]Des_Loc!A:B,2,0),"")</f>
        <v>DORILANDIA</v>
      </c>
    </row>
    <row r="303" spans="1:14" ht="18.75" customHeight="1" x14ac:dyDescent="0.25">
      <c r="A303" s="52">
        <v>7908475122</v>
      </c>
      <c r="B303" s="51" t="s">
        <v>1003</v>
      </c>
      <c r="C303" s="51">
        <v>2</v>
      </c>
      <c r="D303" s="51" t="s">
        <v>1011</v>
      </c>
      <c r="E303" s="51" t="s">
        <v>1005</v>
      </c>
      <c r="F303" s="51" t="s">
        <v>1011</v>
      </c>
      <c r="G303" s="51" t="s">
        <v>1005</v>
      </c>
      <c r="H303" s="51" t="s">
        <v>1005</v>
      </c>
      <c r="I303" s="51" t="s">
        <v>1011</v>
      </c>
      <c r="J303" s="50" t="str">
        <f t="shared" si="8"/>
        <v>7908475122.pdf</v>
      </c>
      <c r="K303" s="51" t="s">
        <v>1006</v>
      </c>
      <c r="L303" s="51" t="s">
        <v>1048</v>
      </c>
      <c r="M303" s="50" t="str">
        <f t="shared" si="9"/>
        <v>13.800</v>
      </c>
      <c r="N303" s="50" t="str">
        <f>IF(A303&lt;&gt;"",VLOOKUP(RIGHT(A303,3)*1,[4]Des_Loc!A:B,2,0),"")</f>
        <v>PALMAS</v>
      </c>
    </row>
    <row r="304" spans="1:14" ht="18.75" customHeight="1" x14ac:dyDescent="0.25">
      <c r="A304" s="52">
        <v>7908692026</v>
      </c>
      <c r="B304" s="51" t="s">
        <v>1003</v>
      </c>
      <c r="C304" s="51">
        <v>3</v>
      </c>
      <c r="D304" s="51" t="s">
        <v>1011</v>
      </c>
      <c r="E304" s="51" t="s">
        <v>1011</v>
      </c>
      <c r="F304" s="51" t="s">
        <v>1005</v>
      </c>
      <c r="G304" s="51" t="s">
        <v>1005</v>
      </c>
      <c r="H304" s="51" t="s">
        <v>1005</v>
      </c>
      <c r="I304" s="51" t="s">
        <v>1005</v>
      </c>
      <c r="J304" s="50" t="str">
        <f t="shared" si="8"/>
        <v>7908692026.pdf</v>
      </c>
      <c r="K304" s="51" t="s">
        <v>1006</v>
      </c>
      <c r="L304" s="51" t="s">
        <v>518</v>
      </c>
      <c r="M304" s="50" t="str">
        <f t="shared" si="9"/>
        <v>34.500</v>
      </c>
      <c r="N304" s="50" t="str">
        <f>IF(A304&lt;&gt;"",VLOOKUP(RIGHT(A304,3)*1,[4]Des_Loc!A:B,2,0),"")</f>
        <v>PONTE ALTA TOCANTINS</v>
      </c>
    </row>
    <row r="305" spans="1:14" ht="18.75" customHeight="1" x14ac:dyDescent="0.25">
      <c r="A305" s="52">
        <v>7910231015</v>
      </c>
      <c r="B305" s="51" t="s">
        <v>1003</v>
      </c>
      <c r="C305" s="51" t="s">
        <v>1010</v>
      </c>
      <c r="D305" s="51" t="s">
        <v>1011</v>
      </c>
      <c r="E305" s="51" t="s">
        <v>1011</v>
      </c>
      <c r="F305" s="51" t="s">
        <v>1005</v>
      </c>
      <c r="G305" s="51" t="s">
        <v>1005</v>
      </c>
      <c r="H305" s="51" t="s">
        <v>1005</v>
      </c>
      <c r="I305" s="51" t="s">
        <v>1005</v>
      </c>
      <c r="J305" s="50" t="str">
        <f t="shared" si="8"/>
        <v>7910231015.pdf</v>
      </c>
      <c r="K305" s="51" t="s">
        <v>1009</v>
      </c>
      <c r="L305" s="51" t="s">
        <v>754</v>
      </c>
      <c r="M305" s="50" t="str">
        <f t="shared" si="9"/>
        <v>34.500</v>
      </c>
      <c r="N305" s="50" t="str">
        <f>IF(A305&lt;&gt;"",VLOOKUP(RIGHT(A305,3)*1,[4]Des_Loc!A:B,2,0),"")</f>
        <v>PEDRO AFONSO</v>
      </c>
    </row>
    <row r="306" spans="1:14" ht="18.75" customHeight="1" x14ac:dyDescent="0.25">
      <c r="A306" s="52">
        <v>7921204014</v>
      </c>
      <c r="B306" s="51" t="s">
        <v>1003</v>
      </c>
      <c r="C306" s="51" t="s">
        <v>1008</v>
      </c>
      <c r="D306" s="51" t="s">
        <v>1005</v>
      </c>
      <c r="E306" s="51" t="s">
        <v>1005</v>
      </c>
      <c r="F306" s="51" t="s">
        <v>1005</v>
      </c>
      <c r="G306" s="51" t="s">
        <v>1005</v>
      </c>
      <c r="H306" s="51" t="s">
        <v>1005</v>
      </c>
      <c r="I306" s="51" t="s">
        <v>1005</v>
      </c>
      <c r="J306" s="50" t="str">
        <f t="shared" si="8"/>
        <v>7921204014.pdf</v>
      </c>
      <c r="K306" s="51" t="s">
        <v>1006</v>
      </c>
      <c r="L306" s="51" t="s">
        <v>599</v>
      </c>
      <c r="M306" s="50" t="str">
        <f t="shared" si="9"/>
        <v>34.500</v>
      </c>
      <c r="N306" s="50" t="str">
        <f>IF(A306&lt;&gt;"",VLOOKUP(RIGHT(A306,3)*1,[4]Des_Loc!A:B,2,0),"")</f>
        <v>PIUM</v>
      </c>
    </row>
    <row r="307" spans="1:14" ht="18.75" customHeight="1" x14ac:dyDescent="0.25">
      <c r="A307" s="52">
        <v>7921202014</v>
      </c>
      <c r="B307" s="51" t="s">
        <v>1003</v>
      </c>
      <c r="C307" s="51" t="s">
        <v>1008</v>
      </c>
      <c r="D307" s="51" t="s">
        <v>1005</v>
      </c>
      <c r="E307" s="51" t="s">
        <v>1005</v>
      </c>
      <c r="F307" s="51" t="s">
        <v>1005</v>
      </c>
      <c r="G307" s="51" t="s">
        <v>1005</v>
      </c>
      <c r="H307" s="51" t="s">
        <v>1005</v>
      </c>
      <c r="I307" s="51" t="s">
        <v>1005</v>
      </c>
      <c r="J307" s="50" t="str">
        <f t="shared" si="8"/>
        <v>7921202014.pdf</v>
      </c>
      <c r="K307" s="51" t="s">
        <v>1006</v>
      </c>
      <c r="L307" s="51" t="s">
        <v>599</v>
      </c>
      <c r="M307" s="50" t="str">
        <f t="shared" si="9"/>
        <v>34.500</v>
      </c>
      <c r="N307" s="50" t="str">
        <f>IF(A307&lt;&gt;"",VLOOKUP(RIGHT(A307,3)*1,[4]Des_Loc!A:B,2,0),"")</f>
        <v>PIUM</v>
      </c>
    </row>
    <row r="308" spans="1:14" ht="18.75" customHeight="1" x14ac:dyDescent="0.25">
      <c r="A308" s="52">
        <v>7901195014</v>
      </c>
      <c r="B308" s="51" t="s">
        <v>1003</v>
      </c>
      <c r="C308" s="51" t="s">
        <v>1010</v>
      </c>
      <c r="D308" s="51" t="s">
        <v>1011</v>
      </c>
      <c r="E308" s="51" t="s">
        <v>1005</v>
      </c>
      <c r="F308" s="51" t="s">
        <v>1005</v>
      </c>
      <c r="G308" s="51" t="s">
        <v>1005</v>
      </c>
      <c r="H308" s="51" t="s">
        <v>1005</v>
      </c>
      <c r="I308" s="51" t="s">
        <v>1005</v>
      </c>
      <c r="J308" s="50" t="str">
        <f t="shared" si="8"/>
        <v>7901195014.pdf</v>
      </c>
      <c r="K308" s="51" t="s">
        <v>1006</v>
      </c>
      <c r="L308" s="51" t="s">
        <v>639</v>
      </c>
      <c r="M308" s="50" t="str">
        <f t="shared" si="9"/>
        <v>34.500</v>
      </c>
      <c r="N308" s="50" t="str">
        <f>IF(A308&lt;&gt;"",VLOOKUP(RIGHT(A308,3)*1,[4]Des_Loc!A:B,2,0),"")</f>
        <v>PIUM</v>
      </c>
    </row>
    <row r="309" spans="1:14" ht="18.75" customHeight="1" x14ac:dyDescent="0.25">
      <c r="A309" s="52">
        <v>7908714038</v>
      </c>
      <c r="B309" s="51" t="s">
        <v>1003</v>
      </c>
      <c r="C309" s="51">
        <v>3</v>
      </c>
      <c r="D309" s="51" t="s">
        <v>1011</v>
      </c>
      <c r="E309" s="51" t="s">
        <v>1005</v>
      </c>
      <c r="F309" s="51" t="s">
        <v>1005</v>
      </c>
      <c r="G309" s="51" t="s">
        <v>1005</v>
      </c>
      <c r="H309" s="51" t="s">
        <v>1005</v>
      </c>
      <c r="I309" s="51" t="s">
        <v>1005</v>
      </c>
      <c r="J309" s="50" t="str">
        <f t="shared" si="8"/>
        <v>7908714038.pdf</v>
      </c>
      <c r="K309" s="51" t="s">
        <v>1009</v>
      </c>
      <c r="L309" s="51" t="s">
        <v>1094</v>
      </c>
      <c r="M309" s="50" t="str">
        <f t="shared" si="9"/>
        <v>34.500</v>
      </c>
      <c r="N309" s="50" t="str">
        <f>IF(A309&lt;&gt;"",VLOOKUP(RIGHT(A309,3)*1,[4]Des_Loc!A:B,2,0),"")</f>
        <v>TAGUATINGA</v>
      </c>
    </row>
    <row r="310" spans="1:14" ht="18.75" customHeight="1" x14ac:dyDescent="0.25">
      <c r="A310" s="52">
        <v>7900759045</v>
      </c>
      <c r="B310" s="51" t="s">
        <v>1003</v>
      </c>
      <c r="C310" s="51" t="s">
        <v>1025</v>
      </c>
      <c r="D310" s="51" t="s">
        <v>1005</v>
      </c>
      <c r="E310" s="51" t="s">
        <v>1005</v>
      </c>
      <c r="F310" s="51" t="s">
        <v>1005</v>
      </c>
      <c r="G310" s="51" t="s">
        <v>1005</v>
      </c>
      <c r="H310" s="51" t="s">
        <v>1005</v>
      </c>
      <c r="I310" s="51" t="s">
        <v>1005</v>
      </c>
      <c r="J310" s="50" t="str">
        <f t="shared" si="8"/>
        <v>7900759045.pdf</v>
      </c>
      <c r="K310" s="51" t="s">
        <v>1009</v>
      </c>
      <c r="L310" s="51" t="s">
        <v>1118</v>
      </c>
      <c r="M310" s="50" t="str">
        <f t="shared" si="9"/>
        <v>34.500</v>
      </c>
      <c r="N310" s="50" t="str">
        <f>IF(A310&lt;&gt;"",VLOOKUP(RIGHT(A310,3)*1,[4]Des_Loc!A:B,2,0),"")</f>
        <v>AUGUSTINOPOLIS</v>
      </c>
    </row>
    <row r="311" spans="1:14" ht="18.75" customHeight="1" x14ac:dyDescent="0.25">
      <c r="A311" s="52">
        <v>7910410013</v>
      </c>
      <c r="B311" s="51" t="s">
        <v>1003</v>
      </c>
      <c r="C311" s="51">
        <v>3</v>
      </c>
      <c r="D311" s="51" t="s">
        <v>1011</v>
      </c>
      <c r="E311" s="51" t="s">
        <v>1005</v>
      </c>
      <c r="F311" s="51" t="s">
        <v>1005</v>
      </c>
      <c r="G311" s="51" t="s">
        <v>1005</v>
      </c>
      <c r="H311" s="51" t="s">
        <v>1005</v>
      </c>
      <c r="I311" s="51" t="s">
        <v>1005</v>
      </c>
      <c r="J311" s="50" t="str">
        <f t="shared" si="8"/>
        <v>7910410013.pdf</v>
      </c>
      <c r="K311" s="54" t="s">
        <v>1006</v>
      </c>
      <c r="L311" s="51" t="s">
        <v>384</v>
      </c>
      <c r="M311" s="50" t="str">
        <f t="shared" si="9"/>
        <v>13.800</v>
      </c>
      <c r="N311" s="50" t="str">
        <f>IF(A311&lt;&gt;"",VLOOKUP(RIGHT(A311,3)*1,[4]Des_Loc!A:B,2,0),"")</f>
        <v>PARAISO DO TOCANTINS</v>
      </c>
    </row>
    <row r="312" spans="1:14" ht="18.75" customHeight="1" x14ac:dyDescent="0.25">
      <c r="A312" s="52">
        <v>7919385073</v>
      </c>
      <c r="B312" s="51" t="s">
        <v>1003</v>
      </c>
      <c r="C312" s="51" t="s">
        <v>1010</v>
      </c>
      <c r="D312" s="51" t="s">
        <v>1011</v>
      </c>
      <c r="E312" s="51" t="s">
        <v>1005</v>
      </c>
      <c r="F312" s="51" t="s">
        <v>1005</v>
      </c>
      <c r="G312" s="51" t="s">
        <v>1005</v>
      </c>
      <c r="H312" s="51" t="s">
        <v>1005</v>
      </c>
      <c r="I312" s="51" t="s">
        <v>1005</v>
      </c>
      <c r="J312" s="50" t="str">
        <f t="shared" si="8"/>
        <v>7919385073.pdf</v>
      </c>
      <c r="K312" s="51" t="s">
        <v>1006</v>
      </c>
      <c r="L312" s="51" t="s">
        <v>1030</v>
      </c>
      <c r="M312" s="50" t="str">
        <f t="shared" si="9"/>
        <v>34.500</v>
      </c>
      <c r="N312" s="50" t="str">
        <f>IF(A312&lt;&gt;"",VLOOKUP(RIGHT(A312,3)*1,[4]Des_Loc!A:B,2,0),"")</f>
        <v>LAGOA DA CONFUSAO</v>
      </c>
    </row>
    <row r="313" spans="1:14" ht="18.75" customHeight="1" x14ac:dyDescent="0.25">
      <c r="A313" s="52">
        <v>7900061092</v>
      </c>
      <c r="B313" s="51" t="s">
        <v>1003</v>
      </c>
      <c r="C313" s="51">
        <v>3</v>
      </c>
      <c r="D313" s="51" t="s">
        <v>1011</v>
      </c>
      <c r="E313" s="51" t="s">
        <v>1005</v>
      </c>
      <c r="F313" s="51" t="s">
        <v>1005</v>
      </c>
      <c r="G313" s="51" t="s">
        <v>1005</v>
      </c>
      <c r="H313" s="51" t="s">
        <v>1005</v>
      </c>
      <c r="I313" s="51" t="s">
        <v>1005</v>
      </c>
      <c r="J313" s="50" t="str">
        <f t="shared" si="8"/>
        <v>7900061092.pdf</v>
      </c>
      <c r="K313" s="51" t="s">
        <v>1009</v>
      </c>
      <c r="L313" s="51" t="s">
        <v>1015</v>
      </c>
      <c r="M313" s="50" t="str">
        <f t="shared" si="9"/>
        <v>34.500</v>
      </c>
      <c r="N313" s="50" t="str">
        <f>IF(A313&lt;&gt;"",VLOOKUP(RIGHT(A313,3)*1,[4]Des_Loc!A:B,2,0),"")</f>
        <v>NOVO ACORDO</v>
      </c>
    </row>
    <row r="314" spans="1:14" ht="18.75" customHeight="1" x14ac:dyDescent="0.25">
      <c r="A314" s="52">
        <v>7907536092</v>
      </c>
      <c r="B314" s="51" t="s">
        <v>1003</v>
      </c>
      <c r="C314" s="51" t="s">
        <v>1008</v>
      </c>
      <c r="D314" s="51"/>
      <c r="E314" s="51" t="s">
        <v>1005</v>
      </c>
      <c r="F314" s="51"/>
      <c r="G314" s="51"/>
      <c r="H314" s="51" t="s">
        <v>1005</v>
      </c>
      <c r="I314" s="51" t="s">
        <v>1005</v>
      </c>
      <c r="J314" s="50" t="str">
        <f t="shared" si="8"/>
        <v>7907536092.pdf</v>
      </c>
      <c r="K314" s="51" t="s">
        <v>1006</v>
      </c>
      <c r="L314" s="51" t="s">
        <v>1015</v>
      </c>
      <c r="M314" s="50" t="str">
        <f t="shared" si="9"/>
        <v>34.500</v>
      </c>
      <c r="N314" s="50" t="str">
        <f>IF(A314&lt;&gt;"",VLOOKUP(RIGHT(A314,3)*1,[4]Des_Loc!A:B,2,0),"")</f>
        <v>NOVO ACORDO</v>
      </c>
    </row>
    <row r="315" spans="1:14" ht="18.75" customHeight="1" x14ac:dyDescent="0.25">
      <c r="A315" s="52">
        <v>7921201014</v>
      </c>
      <c r="B315" s="51" t="s">
        <v>1003</v>
      </c>
      <c r="C315" s="51" t="s">
        <v>1008</v>
      </c>
      <c r="D315" s="51"/>
      <c r="E315" s="51" t="s">
        <v>1005</v>
      </c>
      <c r="F315" s="51"/>
      <c r="G315" s="51"/>
      <c r="H315" s="51" t="s">
        <v>1005</v>
      </c>
      <c r="I315" s="51" t="s">
        <v>1005</v>
      </c>
      <c r="J315" s="50" t="str">
        <f t="shared" si="8"/>
        <v>7921201014.pdf</v>
      </c>
      <c r="K315" s="51" t="s">
        <v>1009</v>
      </c>
      <c r="L315" s="51" t="s">
        <v>1030</v>
      </c>
      <c r="M315" s="50" t="str">
        <f t="shared" si="9"/>
        <v>34.500</v>
      </c>
      <c r="N315" s="50" t="str">
        <f>IF(A315&lt;&gt;"",VLOOKUP(RIGHT(A315,3)*1,[4]Des_Loc!A:B,2,0),"")</f>
        <v>PIUM</v>
      </c>
    </row>
    <row r="316" spans="1:14" ht="18.75" customHeight="1" x14ac:dyDescent="0.25">
      <c r="A316" s="52">
        <v>7908694196</v>
      </c>
      <c r="B316" s="51" t="s">
        <v>1003</v>
      </c>
      <c r="C316" s="51" t="s">
        <v>1021</v>
      </c>
      <c r="D316" s="51"/>
      <c r="E316" s="51" t="s">
        <v>1005</v>
      </c>
      <c r="F316" s="51"/>
      <c r="G316" s="51"/>
      <c r="H316" s="51" t="s">
        <v>1005</v>
      </c>
      <c r="I316" s="51" t="s">
        <v>1005</v>
      </c>
      <c r="J316" s="50" t="str">
        <f t="shared" si="8"/>
        <v>7908694196.pdf</v>
      </c>
      <c r="K316" s="51" t="s">
        <v>1006</v>
      </c>
      <c r="L316" s="51" t="s">
        <v>571</v>
      </c>
      <c r="M316" s="50" t="str">
        <f t="shared" si="9"/>
        <v>34.500</v>
      </c>
      <c r="N316" s="50" t="str">
        <f>IF(A316&lt;&gt;"",VLOOKUP(RIGHT(A316,3)*1,[4]Des_Loc!A:B,2,0),"")</f>
        <v>LAGOA DO TOCANTINS</v>
      </c>
    </row>
    <row r="317" spans="1:14" ht="18.75" customHeight="1" x14ac:dyDescent="0.25">
      <c r="A317" s="52">
        <v>7921205014</v>
      </c>
      <c r="B317" s="51" t="s">
        <v>1003</v>
      </c>
      <c r="C317" s="51">
        <v>3</v>
      </c>
      <c r="D317" s="51" t="s">
        <v>1005</v>
      </c>
      <c r="E317" s="51" t="s">
        <v>1005</v>
      </c>
      <c r="F317" s="51" t="s">
        <v>1005</v>
      </c>
      <c r="G317" s="51" t="s">
        <v>1005</v>
      </c>
      <c r="H317" s="51" t="s">
        <v>1005</v>
      </c>
      <c r="I317" s="51" t="s">
        <v>1005</v>
      </c>
      <c r="J317" s="50" t="str">
        <f t="shared" si="8"/>
        <v>7921205014.pdf</v>
      </c>
      <c r="K317" s="51" t="s">
        <v>1006</v>
      </c>
      <c r="L317" s="51" t="s">
        <v>599</v>
      </c>
      <c r="M317" s="50" t="str">
        <f t="shared" si="9"/>
        <v>34.500</v>
      </c>
      <c r="N317" s="50" t="str">
        <f>IF(A317&lt;&gt;"",VLOOKUP(RIGHT(A317,3)*1,[4]Des_Loc!A:B,2,0),"")</f>
        <v>PIUM</v>
      </c>
    </row>
    <row r="318" spans="1:14" ht="18.75" customHeight="1" x14ac:dyDescent="0.25">
      <c r="A318" s="52">
        <v>7900019160</v>
      </c>
      <c r="B318" s="51" t="s">
        <v>1003</v>
      </c>
      <c r="C318" s="51">
        <v>3</v>
      </c>
      <c r="D318" s="51" t="s">
        <v>1005</v>
      </c>
      <c r="E318" s="51" t="s">
        <v>1005</v>
      </c>
      <c r="F318" s="51" t="s">
        <v>1005</v>
      </c>
      <c r="G318" s="51" t="s">
        <v>1005</v>
      </c>
      <c r="H318" s="51" t="s">
        <v>1005</v>
      </c>
      <c r="I318" s="51" t="s">
        <v>1005</v>
      </c>
      <c r="J318" s="50" t="str">
        <f t="shared" si="8"/>
        <v>7900019160.pdf</v>
      </c>
      <c r="K318" s="51" t="s">
        <v>1006</v>
      </c>
      <c r="L318" s="51" t="s">
        <v>505</v>
      </c>
      <c r="M318" s="50" t="str">
        <f t="shared" si="9"/>
        <v>34.500</v>
      </c>
      <c r="N318" s="50" t="str">
        <f>IF(A318&lt;&gt;"",VLOOKUP(RIGHT(A318,3)*1,[4]Des_Loc!A:B,2,0),"")</f>
        <v>JACILANDIA</v>
      </c>
    </row>
    <row r="319" spans="1:14" ht="18.75" customHeight="1" x14ac:dyDescent="0.25">
      <c r="A319" s="52">
        <v>7900018004</v>
      </c>
      <c r="B319" s="51" t="s">
        <v>1003</v>
      </c>
      <c r="C319" s="51">
        <v>3</v>
      </c>
      <c r="D319" s="51" t="s">
        <v>1011</v>
      </c>
      <c r="E319" s="51" t="s">
        <v>1005</v>
      </c>
      <c r="F319" s="51" t="s">
        <v>1005</v>
      </c>
      <c r="G319" s="51" t="s">
        <v>1005</v>
      </c>
      <c r="H319" s="51" t="s">
        <v>1005</v>
      </c>
      <c r="I319" s="51" t="s">
        <v>1005</v>
      </c>
      <c r="J319" s="50" t="str">
        <f t="shared" si="8"/>
        <v>7900018004.pdf</v>
      </c>
      <c r="K319" s="51" t="s">
        <v>1006</v>
      </c>
      <c r="L319" s="51" t="s">
        <v>1119</v>
      </c>
      <c r="M319" s="50" t="str">
        <f t="shared" si="9"/>
        <v>34.500</v>
      </c>
      <c r="N319" s="50" t="str">
        <f>IF(A319&lt;&gt;"",VLOOKUP(RIGHT(A319,3)*1,[4]Des_Loc!A:B,2,0),"")</f>
        <v>ARAGUAINA</v>
      </c>
    </row>
    <row r="320" spans="1:14" ht="18.75" customHeight="1" x14ac:dyDescent="0.25">
      <c r="A320" s="52">
        <v>7919270014</v>
      </c>
      <c r="B320" s="51" t="s">
        <v>1003</v>
      </c>
      <c r="C320" s="51" t="s">
        <v>1010</v>
      </c>
      <c r="D320" s="51" t="s">
        <v>1011</v>
      </c>
      <c r="E320" s="51" t="s">
        <v>1011</v>
      </c>
      <c r="F320" s="51" t="s">
        <v>1005</v>
      </c>
      <c r="G320" s="51" t="s">
        <v>1005</v>
      </c>
      <c r="H320" s="51" t="s">
        <v>1005</v>
      </c>
      <c r="I320" s="51" t="s">
        <v>1005</v>
      </c>
      <c r="J320" s="50" t="str">
        <f t="shared" si="8"/>
        <v>7919270014.pdf</v>
      </c>
      <c r="K320" s="51" t="s">
        <v>1009</v>
      </c>
      <c r="L320" s="51" t="s">
        <v>588</v>
      </c>
      <c r="M320" s="50" t="str">
        <f t="shared" si="9"/>
        <v>34.500</v>
      </c>
      <c r="N320" s="50" t="str">
        <f>IF(A320&lt;&gt;"",VLOOKUP(RIGHT(A320,3)*1,[4]Des_Loc!A:B,2,0),"")</f>
        <v>PIUM</v>
      </c>
    </row>
    <row r="321" spans="1:14" ht="18.75" customHeight="1" x14ac:dyDescent="0.25">
      <c r="A321" s="52">
        <v>7919269073</v>
      </c>
      <c r="B321" s="51" t="s">
        <v>1003</v>
      </c>
      <c r="C321" s="51" t="s">
        <v>1010</v>
      </c>
      <c r="D321" s="51" t="s">
        <v>1011</v>
      </c>
      <c r="E321" s="51" t="s">
        <v>1011</v>
      </c>
      <c r="F321" s="51" t="s">
        <v>1005</v>
      </c>
      <c r="G321" s="51" t="s">
        <v>1005</v>
      </c>
      <c r="H321" s="51" t="s">
        <v>1005</v>
      </c>
      <c r="I321" s="51" t="s">
        <v>1005</v>
      </c>
      <c r="J321" s="50" t="str">
        <f t="shared" si="8"/>
        <v>7919269073.pdf</v>
      </c>
      <c r="K321" s="51" t="s">
        <v>1006</v>
      </c>
      <c r="L321" s="51" t="s">
        <v>588</v>
      </c>
      <c r="M321" s="50" t="str">
        <f t="shared" si="9"/>
        <v>34.500</v>
      </c>
      <c r="N321" s="50" t="str">
        <f>IF(A321&lt;&gt;"",VLOOKUP(RIGHT(A321,3)*1,[4]Des_Loc!A:B,2,0),"")</f>
        <v>LAGOA DA CONFUSAO</v>
      </c>
    </row>
    <row r="322" spans="1:14" ht="18.75" customHeight="1" x14ac:dyDescent="0.25">
      <c r="A322" s="52">
        <v>7900939008</v>
      </c>
      <c r="B322" s="51" t="s">
        <v>1003</v>
      </c>
      <c r="C322" s="51">
        <v>3</v>
      </c>
      <c r="D322" s="51" t="s">
        <v>1005</v>
      </c>
      <c r="E322" s="51" t="s">
        <v>1005</v>
      </c>
      <c r="F322" s="51" t="s">
        <v>1011</v>
      </c>
      <c r="G322" s="51" t="s">
        <v>1005</v>
      </c>
      <c r="H322" s="51" t="s">
        <v>1005</v>
      </c>
      <c r="I322" s="51" t="s">
        <v>1011</v>
      </c>
      <c r="J322" s="50" t="str">
        <f t="shared" ref="J322:J385" si="10">CONCATENATE(A322,".pdf")</f>
        <v>7900939008.pdf</v>
      </c>
      <c r="K322" s="51" t="s">
        <v>1006</v>
      </c>
      <c r="L322" s="51" t="s">
        <v>1040</v>
      </c>
      <c r="M322" s="50" t="str">
        <f t="shared" ref="M322:M385" si="11">IF(L322&lt;&gt;"",IF(LEFT(L322,2)="AL","13.800","34.500"),"")</f>
        <v>34.500</v>
      </c>
      <c r="N322" s="50" t="str">
        <f>IF(A322&lt;&gt;"",VLOOKUP(RIGHT(A322,3)*1,[4]Des_Loc!A:B,2,0),"")</f>
        <v>MIRANORTE</v>
      </c>
    </row>
    <row r="323" spans="1:14" ht="18.75" customHeight="1" x14ac:dyDescent="0.25">
      <c r="A323" s="52">
        <v>7919265012</v>
      </c>
      <c r="B323" s="51" t="s">
        <v>1003</v>
      </c>
      <c r="C323" s="51">
        <v>3</v>
      </c>
      <c r="D323" s="51" t="s">
        <v>1011</v>
      </c>
      <c r="E323" s="51" t="s">
        <v>1011</v>
      </c>
      <c r="F323" s="51" t="s">
        <v>1005</v>
      </c>
      <c r="G323" s="51" t="s">
        <v>1005</v>
      </c>
      <c r="H323" s="51" t="s">
        <v>1005</v>
      </c>
      <c r="I323" s="51" t="s">
        <v>1005</v>
      </c>
      <c r="J323" s="50" t="str">
        <f t="shared" si="10"/>
        <v>7919265012.pdf</v>
      </c>
      <c r="K323" s="51" t="s">
        <v>1009</v>
      </c>
      <c r="L323" s="51" t="s">
        <v>599</v>
      </c>
      <c r="M323" s="50" t="str">
        <f t="shared" si="11"/>
        <v>34.500</v>
      </c>
      <c r="N323" s="50" t="str">
        <f>IF(A323&lt;&gt;"",VLOOKUP(RIGHT(A323,3)*1,[4]Des_Loc!A:B,2,0),"")</f>
        <v>CRISTALANDIA</v>
      </c>
    </row>
    <row r="324" spans="1:14" ht="18.75" customHeight="1" x14ac:dyDescent="0.25">
      <c r="A324" s="52">
        <v>7920851094</v>
      </c>
      <c r="B324" s="51" t="s">
        <v>1003</v>
      </c>
      <c r="C324" s="51" t="s">
        <v>1010</v>
      </c>
      <c r="D324" s="51" t="s">
        <v>1011</v>
      </c>
      <c r="E324" s="51" t="s">
        <v>1005</v>
      </c>
      <c r="F324" s="51" t="s">
        <v>1005</v>
      </c>
      <c r="G324" s="51" t="s">
        <v>1005</v>
      </c>
      <c r="H324" s="51" t="s">
        <v>1005</v>
      </c>
      <c r="I324" s="51" t="s">
        <v>1005</v>
      </c>
      <c r="J324" s="50" t="str">
        <f t="shared" si="10"/>
        <v>7920851094.pdf</v>
      </c>
      <c r="K324" s="51" t="s">
        <v>1009</v>
      </c>
      <c r="L324" s="51" t="s">
        <v>406</v>
      </c>
      <c r="M324" s="50" t="str">
        <f t="shared" si="11"/>
        <v>34.500</v>
      </c>
      <c r="N324" s="50" t="str">
        <f>IF(A324&lt;&gt;"",VLOOKUP(RIGHT(A324,3)*1,[4]Des_Loc!A:B,2,0),"")</f>
        <v>PEIXE</v>
      </c>
    </row>
    <row r="325" spans="1:14" ht="18.75" customHeight="1" x14ac:dyDescent="0.25">
      <c r="A325" s="52">
        <v>7920080052</v>
      </c>
      <c r="B325" s="51" t="s">
        <v>1003</v>
      </c>
      <c r="C325" s="51" t="s">
        <v>1010</v>
      </c>
      <c r="D325" s="51" t="s">
        <v>1011</v>
      </c>
      <c r="E325" s="51" t="s">
        <v>1005</v>
      </c>
      <c r="F325" s="51" t="s">
        <v>1005</v>
      </c>
      <c r="G325" s="51" t="s">
        <v>1005</v>
      </c>
      <c r="H325" s="51" t="s">
        <v>1005</v>
      </c>
      <c r="I325" s="51" t="s">
        <v>1005</v>
      </c>
      <c r="J325" s="50" t="str">
        <f t="shared" si="10"/>
        <v>7920080052.pdf</v>
      </c>
      <c r="K325" s="51" t="s">
        <v>1006</v>
      </c>
      <c r="L325" s="51" t="s">
        <v>1076</v>
      </c>
      <c r="M325" s="50" t="str">
        <f t="shared" si="11"/>
        <v>34.500</v>
      </c>
      <c r="N325" s="50" t="str">
        <f>IF(A325&lt;&gt;"",VLOOKUP(RIGHT(A325,3)*1,[4]Des_Loc!A:B,2,0),"")</f>
        <v>FORMOSO DO ARAGUAIA</v>
      </c>
    </row>
    <row r="326" spans="1:14" ht="18.75" customHeight="1" x14ac:dyDescent="0.25">
      <c r="A326" s="52">
        <v>7900275024</v>
      </c>
      <c r="B326" s="51" t="s">
        <v>1003</v>
      </c>
      <c r="C326" s="51">
        <v>2</v>
      </c>
      <c r="D326" s="51"/>
      <c r="E326" s="51" t="s">
        <v>1005</v>
      </c>
      <c r="F326" s="51"/>
      <c r="G326" s="51"/>
      <c r="H326" s="51" t="s">
        <v>1005</v>
      </c>
      <c r="I326" s="51" t="s">
        <v>1005</v>
      </c>
      <c r="J326" s="50" t="str">
        <f t="shared" si="10"/>
        <v>7900275024.pdf</v>
      </c>
      <c r="K326" s="54" t="s">
        <v>1017</v>
      </c>
      <c r="L326" s="51" t="s">
        <v>1120</v>
      </c>
      <c r="M326" s="50" t="str">
        <f t="shared" si="11"/>
        <v>13.800</v>
      </c>
      <c r="N326" s="50" t="str">
        <f>IF(A326&lt;&gt;"",VLOOKUP(RIGHT(A326,3)*1,[4]Des_Loc!A:B,2,0),"")</f>
        <v>ITAPORA DO TOCANTINS</v>
      </c>
    </row>
    <row r="327" spans="1:14" ht="18.75" customHeight="1" x14ac:dyDescent="0.25">
      <c r="A327" s="52">
        <v>7900285090</v>
      </c>
      <c r="B327" s="51" t="s">
        <v>1003</v>
      </c>
      <c r="C327" s="51">
        <v>2</v>
      </c>
      <c r="D327" s="51" t="s">
        <v>1005</v>
      </c>
      <c r="E327" s="51" t="s">
        <v>1005</v>
      </c>
      <c r="F327" s="51" t="s">
        <v>1011</v>
      </c>
      <c r="G327" s="51" t="s">
        <v>1005</v>
      </c>
      <c r="H327" s="51" t="s">
        <v>1005</v>
      </c>
      <c r="I327" s="51" t="s">
        <v>1011</v>
      </c>
      <c r="J327" s="50" t="str">
        <f t="shared" si="10"/>
        <v>7900285090.pdf</v>
      </c>
      <c r="K327" s="54" t="s">
        <v>1006</v>
      </c>
      <c r="L327" s="51" t="s">
        <v>1104</v>
      </c>
      <c r="M327" s="50" t="str">
        <f t="shared" si="11"/>
        <v>13.800</v>
      </c>
      <c r="N327" s="50" t="str">
        <f>IF(A327&lt;&gt;"",VLOOKUP(RIGHT(A327,3)*1,[4]Des_Loc!A:B,2,0),"")</f>
        <v>NAZARE</v>
      </c>
    </row>
    <row r="328" spans="1:14" ht="18.75" customHeight="1" x14ac:dyDescent="0.25">
      <c r="A328" s="52">
        <v>7911676038</v>
      </c>
      <c r="B328" s="51" t="s">
        <v>1003</v>
      </c>
      <c r="C328" s="51" t="s">
        <v>1025</v>
      </c>
      <c r="D328" s="51" t="s">
        <v>1011</v>
      </c>
      <c r="E328" s="51" t="s">
        <v>1005</v>
      </c>
      <c r="F328" s="51" t="s">
        <v>1005</v>
      </c>
      <c r="G328" s="51" t="s">
        <v>1005</v>
      </c>
      <c r="H328" s="51" t="s">
        <v>1005</v>
      </c>
      <c r="I328" s="51" t="s">
        <v>1005</v>
      </c>
      <c r="J328" s="50" t="str">
        <f t="shared" si="10"/>
        <v>7911676038.pdf</v>
      </c>
      <c r="K328" s="51" t="s">
        <v>1009</v>
      </c>
      <c r="L328" s="51" t="s">
        <v>1094</v>
      </c>
      <c r="M328" s="50" t="str">
        <f t="shared" si="11"/>
        <v>34.500</v>
      </c>
      <c r="N328" s="50" t="str">
        <f>IF(A328&lt;&gt;"",VLOOKUP(RIGHT(A328,3)*1,[4]Des_Loc!A:B,2,0),"")</f>
        <v>TAGUATINGA</v>
      </c>
    </row>
    <row r="329" spans="1:14" ht="18.75" customHeight="1" x14ac:dyDescent="0.25">
      <c r="A329" s="52">
        <v>7908706027</v>
      </c>
      <c r="B329" s="51" t="s">
        <v>1003</v>
      </c>
      <c r="C329" s="51" t="s">
        <v>1025</v>
      </c>
      <c r="D329" s="51" t="s">
        <v>1011</v>
      </c>
      <c r="E329" s="51" t="s">
        <v>1005</v>
      </c>
      <c r="F329" s="51" t="s">
        <v>1005</v>
      </c>
      <c r="G329" s="51" t="s">
        <v>1005</v>
      </c>
      <c r="H329" s="51" t="s">
        <v>1005</v>
      </c>
      <c r="I329" s="51" t="s">
        <v>1005</v>
      </c>
      <c r="J329" s="50" t="str">
        <f t="shared" si="10"/>
        <v>7908706027.pdf</v>
      </c>
      <c r="K329" s="51" t="s">
        <v>1009</v>
      </c>
      <c r="L329" s="51" t="s">
        <v>1094</v>
      </c>
      <c r="M329" s="50" t="str">
        <f t="shared" si="11"/>
        <v>34.500</v>
      </c>
      <c r="N329" s="50" t="str">
        <f>IF(A329&lt;&gt;"",VLOOKUP(RIGHT(A329,3)*1,[4]Des_Loc!A:B,2,0),"")</f>
        <v>PONTE ALTA BOM JESUS</v>
      </c>
    </row>
    <row r="330" spans="1:14" ht="18.75" customHeight="1" x14ac:dyDescent="0.25">
      <c r="A330" s="52">
        <v>7823244233</v>
      </c>
      <c r="B330" s="51" t="s">
        <v>1003</v>
      </c>
      <c r="C330" s="51">
        <v>3</v>
      </c>
      <c r="D330" s="51" t="s">
        <v>1005</v>
      </c>
      <c r="E330" s="51" t="s">
        <v>1005</v>
      </c>
      <c r="F330" s="51" t="s">
        <v>1005</v>
      </c>
      <c r="G330" s="51" t="s">
        <v>1005</v>
      </c>
      <c r="H330" s="51" t="s">
        <v>1005</v>
      </c>
      <c r="I330" s="51" t="s">
        <v>1005</v>
      </c>
      <c r="J330" s="50" t="str">
        <f t="shared" si="10"/>
        <v>7823244233.pdf</v>
      </c>
      <c r="K330" s="51" t="s">
        <v>1022</v>
      </c>
      <c r="L330" s="51" t="s">
        <v>1023</v>
      </c>
      <c r="M330" s="50" t="str">
        <f t="shared" si="11"/>
        <v>34.500</v>
      </c>
      <c r="N330" s="50" t="str">
        <f>IF(A330&lt;&gt;"",VLOOKUP(RIGHT(A330,3)*1,[4]Des_Loc!A:B,2,0),"")</f>
        <v>ABREULANDIA</v>
      </c>
    </row>
    <row r="331" spans="1:14" ht="18.75" customHeight="1" x14ac:dyDescent="0.25">
      <c r="A331" s="52">
        <v>7927112073</v>
      </c>
      <c r="B331" s="51" t="s">
        <v>1003</v>
      </c>
      <c r="C331" s="51">
        <v>3</v>
      </c>
      <c r="D331" s="51"/>
      <c r="E331" s="51" t="s">
        <v>1005</v>
      </c>
      <c r="F331" s="51"/>
      <c r="G331" s="51"/>
      <c r="H331" s="51" t="s">
        <v>1005</v>
      </c>
      <c r="I331" s="51" t="s">
        <v>1005</v>
      </c>
      <c r="J331" s="50" t="str">
        <f t="shared" si="10"/>
        <v>7927112073.pdf</v>
      </c>
      <c r="K331" s="51" t="s">
        <v>1009</v>
      </c>
      <c r="L331" s="51" t="s">
        <v>1030</v>
      </c>
      <c r="M331" s="50" t="str">
        <f t="shared" si="11"/>
        <v>34.500</v>
      </c>
      <c r="N331" s="50" t="str">
        <f>IF(A331&lt;&gt;"",VLOOKUP(RIGHT(A331,3)*1,[4]Des_Loc!A:B,2,0),"")</f>
        <v>LAGOA DA CONFUSAO</v>
      </c>
    </row>
    <row r="332" spans="1:14" ht="18.75" customHeight="1" x14ac:dyDescent="0.25">
      <c r="A332" s="52">
        <v>7923672004</v>
      </c>
      <c r="B332" s="51" t="s">
        <v>1003</v>
      </c>
      <c r="C332" s="51" t="s">
        <v>1021</v>
      </c>
      <c r="D332" s="51"/>
      <c r="E332" s="51" t="s">
        <v>1005</v>
      </c>
      <c r="F332" s="51"/>
      <c r="G332" s="51"/>
      <c r="H332" s="51" t="s">
        <v>1005</v>
      </c>
      <c r="I332" s="51" t="s">
        <v>1005</v>
      </c>
      <c r="J332" s="50" t="str">
        <f t="shared" si="10"/>
        <v>7923672004.pdf</v>
      </c>
      <c r="K332" s="54" t="s">
        <v>1084</v>
      </c>
      <c r="L332" s="51" t="s">
        <v>1121</v>
      </c>
      <c r="M332" s="50" t="str">
        <f t="shared" si="11"/>
        <v>13.800</v>
      </c>
      <c r="N332" s="50" t="str">
        <f>IF(A332&lt;&gt;"",VLOOKUP(RIGHT(A332,3)*1,[4]Des_Loc!A:B,2,0),"")</f>
        <v>ARAGUAINA</v>
      </c>
    </row>
    <row r="333" spans="1:14" ht="18.75" customHeight="1" x14ac:dyDescent="0.25">
      <c r="A333" s="50">
        <v>7943291004</v>
      </c>
      <c r="B333" s="51" t="s">
        <v>1003</v>
      </c>
      <c r="C333" s="51">
        <v>2</v>
      </c>
      <c r="D333" s="51" t="s">
        <v>1005</v>
      </c>
      <c r="E333" s="51" t="s">
        <v>1005</v>
      </c>
      <c r="F333" s="51" t="s">
        <v>1005</v>
      </c>
      <c r="G333" s="51" t="s">
        <v>1005</v>
      </c>
      <c r="H333" s="51" t="s">
        <v>1005</v>
      </c>
      <c r="I333" s="51" t="s">
        <v>1005</v>
      </c>
      <c r="J333" s="50" t="str">
        <f t="shared" si="10"/>
        <v>7943291004.pdf</v>
      </c>
      <c r="K333" s="54" t="s">
        <v>1084</v>
      </c>
      <c r="L333" s="51" t="s">
        <v>1122</v>
      </c>
      <c r="M333" s="50" t="str">
        <f t="shared" si="11"/>
        <v>13.800</v>
      </c>
      <c r="N333" s="50" t="str">
        <f>IF(A333&lt;&gt;"",VLOOKUP(RIGHT(A333,3)*1,[4]Des_Loc!A:B,2,0),"")</f>
        <v>ARAGUAINA</v>
      </c>
    </row>
    <row r="334" spans="1:14" ht="18.75" customHeight="1" x14ac:dyDescent="0.25">
      <c r="A334" s="52">
        <v>7923674004</v>
      </c>
      <c r="B334" s="51" t="s">
        <v>1003</v>
      </c>
      <c r="C334" s="51" t="s">
        <v>1010</v>
      </c>
      <c r="D334" s="51" t="s">
        <v>1011</v>
      </c>
      <c r="E334" s="51" t="s">
        <v>1011</v>
      </c>
      <c r="F334" s="51" t="s">
        <v>1011</v>
      </c>
      <c r="G334" s="51" t="s">
        <v>1005</v>
      </c>
      <c r="H334" s="51" t="s">
        <v>1005</v>
      </c>
      <c r="I334" s="51" t="s">
        <v>1005</v>
      </c>
      <c r="J334" s="50" t="str">
        <f t="shared" si="10"/>
        <v>7923674004.pdf</v>
      </c>
      <c r="K334" s="51" t="s">
        <v>1006</v>
      </c>
      <c r="L334" s="51" t="s">
        <v>1123</v>
      </c>
      <c r="M334" s="50" t="str">
        <f t="shared" si="11"/>
        <v>13.800</v>
      </c>
      <c r="N334" s="50" t="str">
        <f>IF(A334&lt;&gt;"",VLOOKUP(RIGHT(A334,3)*1,[4]Des_Loc!A:B,2,0),"")</f>
        <v>ARAGUAINA</v>
      </c>
    </row>
    <row r="335" spans="1:14" ht="18.75" customHeight="1" x14ac:dyDescent="0.25">
      <c r="A335" s="52">
        <v>7923679004</v>
      </c>
      <c r="B335" s="51" t="s">
        <v>1003</v>
      </c>
      <c r="C335" s="51" t="s">
        <v>1010</v>
      </c>
      <c r="D335" s="51" t="s">
        <v>1011</v>
      </c>
      <c r="E335" s="51" t="s">
        <v>1011</v>
      </c>
      <c r="F335" s="51" t="s">
        <v>1011</v>
      </c>
      <c r="G335" s="51" t="s">
        <v>1005</v>
      </c>
      <c r="H335" s="51" t="s">
        <v>1005</v>
      </c>
      <c r="I335" s="51" t="s">
        <v>1005</v>
      </c>
      <c r="J335" s="50" t="str">
        <f t="shared" si="10"/>
        <v>7923679004.pdf</v>
      </c>
      <c r="K335" s="51" t="s">
        <v>1006</v>
      </c>
      <c r="L335" s="51" t="s">
        <v>1123</v>
      </c>
      <c r="M335" s="50" t="str">
        <f t="shared" si="11"/>
        <v>13.800</v>
      </c>
      <c r="N335" s="50" t="str">
        <f>IF(A335&lt;&gt;"",VLOOKUP(RIGHT(A335,3)*1,[4]Des_Loc!A:B,2,0),"")</f>
        <v>ARAGUAINA</v>
      </c>
    </row>
    <row r="336" spans="1:14" ht="18.75" customHeight="1" x14ac:dyDescent="0.25">
      <c r="A336" s="52">
        <v>7923673004</v>
      </c>
      <c r="B336" s="51" t="s">
        <v>1003</v>
      </c>
      <c r="C336" s="51">
        <v>2</v>
      </c>
      <c r="D336" s="51"/>
      <c r="E336" s="51" t="s">
        <v>1005</v>
      </c>
      <c r="F336" s="51"/>
      <c r="G336" s="51"/>
      <c r="H336" s="51" t="s">
        <v>1005</v>
      </c>
      <c r="I336" s="51" t="s">
        <v>1005</v>
      </c>
      <c r="J336" s="50" t="str">
        <f t="shared" si="10"/>
        <v>7923673004.pdf</v>
      </c>
      <c r="K336" s="54" t="s">
        <v>1084</v>
      </c>
      <c r="L336" s="51" t="s">
        <v>606</v>
      </c>
      <c r="M336" s="50" t="str">
        <f t="shared" si="11"/>
        <v>13.800</v>
      </c>
      <c r="N336" s="50" t="str">
        <f>IF(A336&lt;&gt;"",VLOOKUP(RIGHT(A336,3)*1,[4]Des_Loc!A:B,2,0),"")</f>
        <v>ARAGUAINA</v>
      </c>
    </row>
    <row r="337" spans="1:14" ht="18.75" customHeight="1" x14ac:dyDescent="0.25">
      <c r="A337" s="52">
        <v>7924268059</v>
      </c>
      <c r="B337" s="51" t="s">
        <v>1003</v>
      </c>
      <c r="C337" s="51">
        <v>2</v>
      </c>
      <c r="D337" s="51" t="s">
        <v>1011</v>
      </c>
      <c r="E337" s="51" t="s">
        <v>1005</v>
      </c>
      <c r="F337" s="51" t="s">
        <v>1011</v>
      </c>
      <c r="G337" s="51" t="s">
        <v>1005</v>
      </c>
      <c r="H337" s="51" t="s">
        <v>1005</v>
      </c>
      <c r="I337" s="51" t="s">
        <v>1011</v>
      </c>
      <c r="J337" s="50" t="str">
        <f t="shared" si="10"/>
        <v>7924268059.pdf</v>
      </c>
      <c r="K337" s="51" t="s">
        <v>1006</v>
      </c>
      <c r="L337" s="51" t="s">
        <v>1095</v>
      </c>
      <c r="M337" s="50" t="str">
        <f t="shared" si="11"/>
        <v>13.800</v>
      </c>
      <c r="N337" s="50" t="str">
        <f>IF(A337&lt;&gt;"",VLOOKUP(RIGHT(A337,3)*1,[4]Des_Loc!A:B,2,0),"")</f>
        <v>TAQUARALTO</v>
      </c>
    </row>
    <row r="338" spans="1:14" ht="18.75" customHeight="1" x14ac:dyDescent="0.25">
      <c r="A338" s="52">
        <v>7924349007</v>
      </c>
      <c r="B338" s="51" t="s">
        <v>1003</v>
      </c>
      <c r="C338" s="51" t="s">
        <v>1004</v>
      </c>
      <c r="D338" s="51"/>
      <c r="E338" s="51" t="s">
        <v>1005</v>
      </c>
      <c r="F338" s="51"/>
      <c r="G338" s="51"/>
      <c r="H338" s="51" t="s">
        <v>1005</v>
      </c>
      <c r="I338" s="51" t="s">
        <v>1005</v>
      </c>
      <c r="J338" s="50" t="str">
        <f t="shared" si="10"/>
        <v>7924349007.pdf</v>
      </c>
      <c r="K338" s="51" t="s">
        <v>1009</v>
      </c>
      <c r="L338" s="51" t="s">
        <v>1063</v>
      </c>
      <c r="M338" s="50" t="str">
        <f t="shared" si="11"/>
        <v>34.500</v>
      </c>
      <c r="N338" s="50" t="str">
        <f>IF(A338&lt;&gt;"",VLOOKUP(RIGHT(A338,3)*1,[4]Des_Loc!A:B,2,0),"")</f>
        <v>MIRACEMA DO TOCANTINS</v>
      </c>
    </row>
    <row r="339" spans="1:14" ht="18.75" customHeight="1" x14ac:dyDescent="0.25">
      <c r="A339" s="52">
        <v>7922965090</v>
      </c>
      <c r="B339" s="51" t="s">
        <v>1003</v>
      </c>
      <c r="C339" s="51" t="s">
        <v>1010</v>
      </c>
      <c r="D339" s="51" t="s">
        <v>1011</v>
      </c>
      <c r="E339" s="51" t="s">
        <v>1005</v>
      </c>
      <c r="F339" s="51" t="s">
        <v>1005</v>
      </c>
      <c r="G339" s="51" t="s">
        <v>1005</v>
      </c>
      <c r="H339" s="51" t="s">
        <v>1005</v>
      </c>
      <c r="I339" s="51" t="s">
        <v>1005</v>
      </c>
      <c r="J339" s="50" t="str">
        <f t="shared" si="10"/>
        <v>7922965090.pdf</v>
      </c>
      <c r="K339" s="51" t="s">
        <v>1006</v>
      </c>
      <c r="L339" s="51" t="s">
        <v>453</v>
      </c>
      <c r="M339" s="50" t="str">
        <f t="shared" si="11"/>
        <v>34.500</v>
      </c>
      <c r="N339" s="50" t="str">
        <f>IF(A339&lt;&gt;"",VLOOKUP(RIGHT(A339,3)*1,[4]Des_Loc!A:B,2,0),"")</f>
        <v>NAZARE</v>
      </c>
    </row>
    <row r="340" spans="1:14" ht="18.75" customHeight="1" x14ac:dyDescent="0.25">
      <c r="A340" s="52">
        <v>7923925059</v>
      </c>
      <c r="B340" s="51" t="s">
        <v>1003</v>
      </c>
      <c r="C340" s="51" t="s">
        <v>1021</v>
      </c>
      <c r="D340" s="51" t="s">
        <v>1005</v>
      </c>
      <c r="E340" s="51" t="s">
        <v>1005</v>
      </c>
      <c r="F340" s="51" t="s">
        <v>1005</v>
      </c>
      <c r="G340" s="51" t="s">
        <v>1005</v>
      </c>
      <c r="H340" s="51" t="s">
        <v>1005</v>
      </c>
      <c r="I340" s="51" t="s">
        <v>1005</v>
      </c>
      <c r="J340" s="50" t="str">
        <f t="shared" si="10"/>
        <v>7923925059.pdf</v>
      </c>
      <c r="K340" s="51" t="s">
        <v>1006</v>
      </c>
      <c r="L340" s="51" t="s">
        <v>571</v>
      </c>
      <c r="M340" s="50" t="str">
        <f t="shared" si="11"/>
        <v>34.500</v>
      </c>
      <c r="N340" s="50" t="str">
        <f>IF(A340&lt;&gt;"",VLOOKUP(RIGHT(A340,3)*1,[4]Des_Loc!A:B,2,0),"")</f>
        <v>TAQUARALTO</v>
      </c>
    </row>
    <row r="341" spans="1:14" ht="18.75" customHeight="1" x14ac:dyDescent="0.25">
      <c r="A341" s="52">
        <v>7924271059</v>
      </c>
      <c r="B341" s="51" t="s">
        <v>1003</v>
      </c>
      <c r="C341" s="51" t="s">
        <v>1008</v>
      </c>
      <c r="D341" s="51" t="s">
        <v>1005</v>
      </c>
      <c r="E341" s="51" t="s">
        <v>1005</v>
      </c>
      <c r="F341" s="51" t="s">
        <v>1005</v>
      </c>
      <c r="G341" s="51" t="s">
        <v>1005</v>
      </c>
      <c r="H341" s="51" t="s">
        <v>1005</v>
      </c>
      <c r="I341" s="51" t="s">
        <v>1005</v>
      </c>
      <c r="J341" s="50" t="str">
        <f t="shared" si="10"/>
        <v>7924271059.pdf</v>
      </c>
      <c r="K341" s="54" t="s">
        <v>1022</v>
      </c>
      <c r="L341" s="51" t="s">
        <v>1043</v>
      </c>
      <c r="M341" s="50" t="str">
        <f t="shared" si="11"/>
        <v>34.500</v>
      </c>
      <c r="N341" s="50" t="str">
        <f>IF(A341&lt;&gt;"",VLOOKUP(RIGHT(A341,3)*1,[4]Des_Loc!A:B,2,0),"")</f>
        <v>TAQUARALTO</v>
      </c>
    </row>
    <row r="342" spans="1:14" ht="18.75" customHeight="1" x14ac:dyDescent="0.25">
      <c r="A342" s="52">
        <v>7924700007</v>
      </c>
      <c r="B342" s="51" t="s">
        <v>1003</v>
      </c>
      <c r="C342" s="51" t="s">
        <v>1004</v>
      </c>
      <c r="D342" s="51" t="s">
        <v>1005</v>
      </c>
      <c r="E342" s="51" t="s">
        <v>1005</v>
      </c>
      <c r="F342" s="51" t="s">
        <v>1005</v>
      </c>
      <c r="G342" s="51" t="s">
        <v>1005</v>
      </c>
      <c r="H342" s="51" t="s">
        <v>1005</v>
      </c>
      <c r="I342" s="51" t="s">
        <v>1005</v>
      </c>
      <c r="J342" s="50" t="str">
        <f t="shared" si="10"/>
        <v>7924700007.pdf</v>
      </c>
      <c r="K342" s="51" t="s">
        <v>1006</v>
      </c>
      <c r="L342" s="51" t="s">
        <v>425</v>
      </c>
      <c r="M342" s="50" t="str">
        <f t="shared" si="11"/>
        <v>34.500</v>
      </c>
      <c r="N342" s="50" t="str">
        <f>IF(A342&lt;&gt;"",VLOOKUP(RIGHT(A342,3)*1,[4]Des_Loc!A:B,2,0),"")</f>
        <v>MIRACEMA DO TOCANTINS</v>
      </c>
    </row>
    <row r="343" spans="1:14" ht="18.75" customHeight="1" x14ac:dyDescent="0.25">
      <c r="A343" s="52">
        <v>7925563149</v>
      </c>
      <c r="B343" s="51" t="s">
        <v>1003</v>
      </c>
      <c r="C343" s="51" t="s">
        <v>1008</v>
      </c>
      <c r="D343" s="51" t="s">
        <v>1005</v>
      </c>
      <c r="E343" s="51" t="s">
        <v>1005</v>
      </c>
      <c r="F343" s="51" t="s">
        <v>1005</v>
      </c>
      <c r="G343" s="51" t="s">
        <v>1005</v>
      </c>
      <c r="H343" s="51" t="s">
        <v>1005</v>
      </c>
      <c r="I343" s="51" t="s">
        <v>1005</v>
      </c>
      <c r="J343" s="50" t="str">
        <f t="shared" si="10"/>
        <v>7925563149.pdf</v>
      </c>
      <c r="K343" s="51" t="s">
        <v>1006</v>
      </c>
      <c r="L343" s="51" t="s">
        <v>749</v>
      </c>
      <c r="M343" s="50" t="str">
        <f t="shared" si="11"/>
        <v>34.500</v>
      </c>
      <c r="N343" s="50" t="str">
        <f>IF(A343&lt;&gt;"",VLOOKUP(RIGHT(A343,3)*1,[4]Des_Loc!A:B,2,0),"")</f>
        <v>CASEARA</v>
      </c>
    </row>
    <row r="344" spans="1:14" ht="18.75" customHeight="1" x14ac:dyDescent="0.25">
      <c r="A344" s="52">
        <v>7921040031</v>
      </c>
      <c r="B344" s="51" t="s">
        <v>1003</v>
      </c>
      <c r="C344" s="51" t="s">
        <v>1008</v>
      </c>
      <c r="D344" s="51" t="s">
        <v>1005</v>
      </c>
      <c r="E344" s="51" t="s">
        <v>1005</v>
      </c>
      <c r="F344" s="51" t="s">
        <v>1005</v>
      </c>
      <c r="G344" s="51" t="s">
        <v>1005</v>
      </c>
      <c r="H344" s="51" t="s">
        <v>1005</v>
      </c>
      <c r="I344" s="51" t="s">
        <v>1005</v>
      </c>
      <c r="J344" s="50" t="str">
        <f t="shared" si="10"/>
        <v>7921040031.pdf</v>
      </c>
      <c r="K344" s="51" t="s">
        <v>1006</v>
      </c>
      <c r="L344" s="51" t="s">
        <v>1124</v>
      </c>
      <c r="M344" s="50" t="str">
        <f t="shared" si="11"/>
        <v>34.500</v>
      </c>
      <c r="N344" s="50" t="str">
        <f>IF(A344&lt;&gt;"",VLOOKUP(RIGHT(A344,3)*1,[4]Des_Loc!A:B,2,0),"")</f>
        <v>RIO DOS BOIS</v>
      </c>
    </row>
    <row r="345" spans="1:14" ht="18.75" customHeight="1" x14ac:dyDescent="0.25">
      <c r="A345" s="52">
        <v>7925146040</v>
      </c>
      <c r="B345" s="51" t="s">
        <v>1003</v>
      </c>
      <c r="C345" s="51" t="s">
        <v>1008</v>
      </c>
      <c r="D345" s="51"/>
      <c r="E345" s="51" t="s">
        <v>1005</v>
      </c>
      <c r="F345" s="51"/>
      <c r="G345" s="51"/>
      <c r="H345" s="51" t="s">
        <v>1005</v>
      </c>
      <c r="I345" s="51" t="s">
        <v>1005</v>
      </c>
      <c r="J345" s="50" t="str">
        <f t="shared" si="10"/>
        <v>7925146040.pdf</v>
      </c>
      <c r="K345" s="51" t="s">
        <v>1006</v>
      </c>
      <c r="L345" s="51" t="s">
        <v>505</v>
      </c>
      <c r="M345" s="50" t="str">
        <f t="shared" si="11"/>
        <v>34.500</v>
      </c>
      <c r="N345" s="50" t="str">
        <f>IF(A345&lt;&gt;"",VLOOKUP(RIGHT(A345,3)*1,[4]Des_Loc!A:B,2,0),"")</f>
        <v>ARAGOMINAS</v>
      </c>
    </row>
    <row r="346" spans="1:14" ht="18.75" customHeight="1" x14ac:dyDescent="0.25">
      <c r="A346" s="52">
        <v>7925140058</v>
      </c>
      <c r="B346" s="51" t="s">
        <v>1003</v>
      </c>
      <c r="C346" s="51" t="s">
        <v>1025</v>
      </c>
      <c r="D346" s="51"/>
      <c r="E346" s="51" t="s">
        <v>1005</v>
      </c>
      <c r="F346" s="51"/>
      <c r="G346" s="51"/>
      <c r="H346" s="51" t="s">
        <v>1005</v>
      </c>
      <c r="I346" s="51" t="s">
        <v>1005</v>
      </c>
      <c r="J346" s="50" t="str">
        <f t="shared" si="10"/>
        <v>7925140058.pdf</v>
      </c>
      <c r="K346" s="51" t="s">
        <v>1006</v>
      </c>
      <c r="L346" s="51" t="s">
        <v>1119</v>
      </c>
      <c r="M346" s="50" t="str">
        <f t="shared" si="11"/>
        <v>34.500</v>
      </c>
      <c r="N346" s="50" t="str">
        <f>IF(A346&lt;&gt;"",VLOOKUP(RIGHT(A346,3)*1,[4]Des_Loc!A:B,2,0),"")</f>
        <v>SANTA FE DO ARAGUAIA</v>
      </c>
    </row>
    <row r="347" spans="1:14" ht="18.75" customHeight="1" x14ac:dyDescent="0.25">
      <c r="A347" s="52">
        <v>7924844060</v>
      </c>
      <c r="B347" s="51" t="s">
        <v>1003</v>
      </c>
      <c r="C347" s="51" t="s">
        <v>1010</v>
      </c>
      <c r="D347" s="51" t="s">
        <v>1011</v>
      </c>
      <c r="E347" s="51" t="s">
        <v>1005</v>
      </c>
      <c r="F347" s="51" t="s">
        <v>1011</v>
      </c>
      <c r="G347" s="51" t="s">
        <v>1005</v>
      </c>
      <c r="H347" s="51" t="s">
        <v>1005</v>
      </c>
      <c r="I347" s="51" t="s">
        <v>1011</v>
      </c>
      <c r="J347" s="50" t="str">
        <f t="shared" si="10"/>
        <v>7924844060.pdf</v>
      </c>
      <c r="K347" s="51" t="s">
        <v>1006</v>
      </c>
      <c r="L347" s="51" t="s">
        <v>412</v>
      </c>
      <c r="M347" s="50" t="str">
        <f t="shared" si="11"/>
        <v>13.800</v>
      </c>
      <c r="N347" s="50" t="str">
        <f>IF(A347&lt;&gt;"",VLOOKUP(RIGHT(A347,3)*1,[4]Des_Loc!A:B,2,0),"")</f>
        <v>NOVA OLINDA</v>
      </c>
    </row>
    <row r="348" spans="1:14" ht="18.75" customHeight="1" x14ac:dyDescent="0.25">
      <c r="A348" s="52">
        <v>7925111033</v>
      </c>
      <c r="B348" s="51" t="s">
        <v>1003</v>
      </c>
      <c r="C348" s="51" t="s">
        <v>1021</v>
      </c>
      <c r="D348" s="51" t="s">
        <v>1005</v>
      </c>
      <c r="E348" s="51" t="s">
        <v>1005</v>
      </c>
      <c r="F348" s="51" t="s">
        <v>1005</v>
      </c>
      <c r="G348" s="51" t="s">
        <v>1005</v>
      </c>
      <c r="H348" s="51" t="s">
        <v>1005</v>
      </c>
      <c r="I348" s="51" t="s">
        <v>1005</v>
      </c>
      <c r="J348" s="50" t="str">
        <f t="shared" si="10"/>
        <v>7925111033.pdf</v>
      </c>
      <c r="K348" s="51" t="s">
        <v>1006</v>
      </c>
      <c r="L348" s="51" t="s">
        <v>1045</v>
      </c>
      <c r="M348" s="50" t="str">
        <f t="shared" si="11"/>
        <v>34.500</v>
      </c>
      <c r="N348" s="50" t="str">
        <f>IF(A348&lt;&gt;"",VLOOKUP(RIGHT(A348,3)*1,[4]Des_Loc!A:B,2,0),"")</f>
        <v>COLMEIA</v>
      </c>
    </row>
    <row r="349" spans="1:14" ht="18.75" customHeight="1" x14ac:dyDescent="0.25">
      <c r="A349" s="52">
        <v>7924115034</v>
      </c>
      <c r="B349" s="51" t="s">
        <v>1003</v>
      </c>
      <c r="C349" s="51" t="s">
        <v>1008</v>
      </c>
      <c r="D349" s="51"/>
      <c r="E349" s="51" t="s">
        <v>1005</v>
      </c>
      <c r="F349" s="51"/>
      <c r="G349" s="51"/>
      <c r="H349" s="51" t="s">
        <v>1005</v>
      </c>
      <c r="I349" s="51" t="s">
        <v>1005</v>
      </c>
      <c r="J349" s="50" t="str">
        <f t="shared" si="10"/>
        <v>7924115034.pdf</v>
      </c>
      <c r="K349" s="51" t="s">
        <v>1006</v>
      </c>
      <c r="L349" s="51" t="s">
        <v>1083</v>
      </c>
      <c r="M349" s="50" t="str">
        <f t="shared" si="11"/>
        <v>34.500</v>
      </c>
      <c r="N349" s="50" t="str">
        <f>IF(A349&lt;&gt;"",VLOOKUP(RIGHT(A349,3)*1,[4]Des_Loc!A:B,2,0),"")</f>
        <v>PRESIDENTE KENNEDY</v>
      </c>
    </row>
    <row r="350" spans="1:14" ht="18.75" customHeight="1" x14ac:dyDescent="0.25">
      <c r="A350" s="52">
        <v>7925120024</v>
      </c>
      <c r="B350" s="51" t="s">
        <v>1003</v>
      </c>
      <c r="C350" s="51">
        <v>3</v>
      </c>
      <c r="D350" s="51"/>
      <c r="E350" s="51" t="s">
        <v>1011</v>
      </c>
      <c r="F350" s="51"/>
      <c r="G350" s="51"/>
      <c r="H350" s="51" t="s">
        <v>1005</v>
      </c>
      <c r="I350" s="51" t="s">
        <v>1005</v>
      </c>
      <c r="J350" s="50" t="str">
        <f t="shared" si="10"/>
        <v>7925120024.pdf</v>
      </c>
      <c r="K350" s="51" t="s">
        <v>1006</v>
      </c>
      <c r="L350" s="51" t="s">
        <v>1047</v>
      </c>
      <c r="M350" s="50" t="str">
        <f t="shared" si="11"/>
        <v>34.500</v>
      </c>
      <c r="N350" s="50" t="str">
        <f>IF(A350&lt;&gt;"",VLOOKUP(RIGHT(A350,3)*1,[4]Des_Loc!A:B,2,0),"")</f>
        <v>ITAPORA DO TOCANTINS</v>
      </c>
    </row>
    <row r="351" spans="1:14" ht="18.75" customHeight="1" x14ac:dyDescent="0.25">
      <c r="A351" s="52">
        <v>7925107033</v>
      </c>
      <c r="B351" s="51" t="s">
        <v>1003</v>
      </c>
      <c r="C351" s="51" t="s">
        <v>1021</v>
      </c>
      <c r="D351" s="51" t="s">
        <v>1005</v>
      </c>
      <c r="E351" s="51" t="s">
        <v>1005</v>
      </c>
      <c r="F351" s="51" t="s">
        <v>1005</v>
      </c>
      <c r="G351" s="51" t="s">
        <v>1005</v>
      </c>
      <c r="H351" s="51" t="s">
        <v>1005</v>
      </c>
      <c r="I351" s="51" t="s">
        <v>1005</v>
      </c>
      <c r="J351" s="50" t="str">
        <f t="shared" si="10"/>
        <v>7925107033.pdf</v>
      </c>
      <c r="K351" s="51" t="s">
        <v>1006</v>
      </c>
      <c r="L351" s="51" t="s">
        <v>1045</v>
      </c>
      <c r="M351" s="50" t="str">
        <f t="shared" si="11"/>
        <v>34.500</v>
      </c>
      <c r="N351" s="50" t="str">
        <f>IF(A351&lt;&gt;"",VLOOKUP(RIGHT(A351,3)*1,[4]Des_Loc!A:B,2,0),"")</f>
        <v>COLMEIA</v>
      </c>
    </row>
    <row r="352" spans="1:14" ht="18.75" customHeight="1" x14ac:dyDescent="0.25">
      <c r="A352" s="52">
        <v>7925562149</v>
      </c>
      <c r="B352" s="51" t="s">
        <v>1003</v>
      </c>
      <c r="C352" s="51" t="s">
        <v>1010</v>
      </c>
      <c r="D352" s="51" t="s">
        <v>1011</v>
      </c>
      <c r="E352" s="51" t="s">
        <v>1005</v>
      </c>
      <c r="F352" s="51" t="s">
        <v>1005</v>
      </c>
      <c r="G352" s="51" t="s">
        <v>1005</v>
      </c>
      <c r="H352" s="51" t="s">
        <v>1005</v>
      </c>
      <c r="I352" s="51" t="s">
        <v>1005</v>
      </c>
      <c r="J352" s="50" t="str">
        <f t="shared" si="10"/>
        <v>7925562149.pdf</v>
      </c>
      <c r="K352" s="51" t="s">
        <v>1006</v>
      </c>
      <c r="L352" s="51" t="s">
        <v>1042</v>
      </c>
      <c r="M352" s="50" t="str">
        <f t="shared" si="11"/>
        <v>34.500</v>
      </c>
      <c r="N352" s="50" t="str">
        <f>IF(A352&lt;&gt;"",VLOOKUP(RIGHT(A352,3)*1,[4]Des_Loc!A:B,2,0),"")</f>
        <v>CASEARA</v>
      </c>
    </row>
    <row r="353" spans="1:14" ht="18.75" customHeight="1" x14ac:dyDescent="0.25">
      <c r="A353" s="52">
        <v>7900888055</v>
      </c>
      <c r="B353" s="51" t="s">
        <v>1003</v>
      </c>
      <c r="C353" s="51" t="s">
        <v>1010</v>
      </c>
      <c r="D353" s="51" t="s">
        <v>1011</v>
      </c>
      <c r="E353" s="51" t="s">
        <v>1005</v>
      </c>
      <c r="F353" s="51" t="s">
        <v>1005</v>
      </c>
      <c r="G353" s="51" t="s">
        <v>1005</v>
      </c>
      <c r="H353" s="51" t="s">
        <v>1011</v>
      </c>
      <c r="I353" s="51" t="s">
        <v>1005</v>
      </c>
      <c r="J353" s="50" t="str">
        <f t="shared" si="10"/>
        <v>7900888055.pdf</v>
      </c>
      <c r="K353" s="51" t="s">
        <v>1006</v>
      </c>
      <c r="L353" s="51" t="s">
        <v>1040</v>
      </c>
      <c r="M353" s="50" t="str">
        <f t="shared" si="11"/>
        <v>34.500</v>
      </c>
      <c r="N353" s="50" t="str">
        <f>IF(A353&lt;&gt;"",VLOOKUP(RIGHT(A353,3)*1,[4]Des_Loc!A:B,2,0),"")</f>
        <v>ARAGUACEMA</v>
      </c>
    </row>
    <row r="354" spans="1:14" ht="18.75" customHeight="1" x14ac:dyDescent="0.25">
      <c r="A354" s="52">
        <v>7925586075</v>
      </c>
      <c r="B354" s="51" t="s">
        <v>1003</v>
      </c>
      <c r="C354" s="51" t="s">
        <v>1008</v>
      </c>
      <c r="D354" s="51"/>
      <c r="E354" s="51" t="s">
        <v>1005</v>
      </c>
      <c r="F354" s="51"/>
      <c r="G354" s="51"/>
      <c r="H354" s="51" t="s">
        <v>1005</v>
      </c>
      <c r="I354" s="51" t="s">
        <v>1005</v>
      </c>
      <c r="J354" s="50" t="str">
        <f t="shared" si="10"/>
        <v>7925586075.pdf</v>
      </c>
      <c r="K354" s="51" t="s">
        <v>1006</v>
      </c>
      <c r="L354" s="51" t="s">
        <v>1040</v>
      </c>
      <c r="M354" s="50" t="str">
        <f t="shared" si="11"/>
        <v>34.500</v>
      </c>
      <c r="N354" s="50" t="str">
        <f>IF(A354&lt;&gt;"",VLOOKUP(RIGHT(A354,3)*1,[4]Des_Loc!A:B,2,0),"")</f>
        <v>DOIS IRMAOS DO TOCANTINS</v>
      </c>
    </row>
    <row r="355" spans="1:14" ht="18.75" customHeight="1" x14ac:dyDescent="0.25">
      <c r="A355" s="52">
        <v>7921039031</v>
      </c>
      <c r="B355" s="51" t="s">
        <v>1003</v>
      </c>
      <c r="C355" s="51" t="s">
        <v>1010</v>
      </c>
      <c r="D355" s="51" t="s">
        <v>1005</v>
      </c>
      <c r="E355" s="51" t="s">
        <v>1005</v>
      </c>
      <c r="F355" s="51" t="s">
        <v>1005</v>
      </c>
      <c r="G355" s="51" t="s">
        <v>1005</v>
      </c>
      <c r="H355" s="51" t="s">
        <v>1005</v>
      </c>
      <c r="I355" s="51" t="s">
        <v>1005</v>
      </c>
      <c r="J355" s="50" t="str">
        <f t="shared" si="10"/>
        <v>7921039031.pdf</v>
      </c>
      <c r="K355" s="51" t="s">
        <v>1006</v>
      </c>
      <c r="L355" s="51" t="s">
        <v>1124</v>
      </c>
      <c r="M355" s="50" t="str">
        <f t="shared" si="11"/>
        <v>34.500</v>
      </c>
      <c r="N355" s="50" t="str">
        <f>IF(A355&lt;&gt;"",VLOOKUP(RIGHT(A355,3)*1,[4]Des_Loc!A:B,2,0),"")</f>
        <v>RIO DOS BOIS</v>
      </c>
    </row>
    <row r="356" spans="1:14" ht="18.75" customHeight="1" x14ac:dyDescent="0.25">
      <c r="A356" s="52">
        <v>7925104024</v>
      </c>
      <c r="B356" s="51" t="s">
        <v>1003</v>
      </c>
      <c r="C356" s="51" t="s">
        <v>1021</v>
      </c>
      <c r="D356" s="51"/>
      <c r="E356" s="51" t="s">
        <v>1005</v>
      </c>
      <c r="F356" s="51"/>
      <c r="G356" s="51"/>
      <c r="H356" s="51" t="s">
        <v>1005</v>
      </c>
      <c r="I356" s="51" t="s">
        <v>1005</v>
      </c>
      <c r="J356" s="50" t="str">
        <f t="shared" si="10"/>
        <v>7925104024.pdf</v>
      </c>
      <c r="K356" s="51" t="s">
        <v>1006</v>
      </c>
      <c r="L356" s="51" t="s">
        <v>1047</v>
      </c>
      <c r="M356" s="50" t="str">
        <f t="shared" si="11"/>
        <v>34.500</v>
      </c>
      <c r="N356" s="50" t="str">
        <f>IF(A356&lt;&gt;"",VLOOKUP(RIGHT(A356,3)*1,[4]Des_Loc!A:B,2,0),"")</f>
        <v>ITAPORA DO TOCANTINS</v>
      </c>
    </row>
    <row r="357" spans="1:14" ht="18.75" customHeight="1" x14ac:dyDescent="0.25">
      <c r="A357" s="52">
        <v>7924624186</v>
      </c>
      <c r="B357" s="51" t="s">
        <v>1003</v>
      </c>
      <c r="C357" s="51" t="s">
        <v>1021</v>
      </c>
      <c r="D357" s="51" t="s">
        <v>1005</v>
      </c>
      <c r="E357" s="51" t="s">
        <v>1005</v>
      </c>
      <c r="F357" s="51" t="s">
        <v>1005</v>
      </c>
      <c r="G357" s="51" t="s">
        <v>1005</v>
      </c>
      <c r="H357" s="51" t="s">
        <v>1005</v>
      </c>
      <c r="I357" s="51" t="s">
        <v>1005</v>
      </c>
      <c r="J357" s="50" t="str">
        <f t="shared" si="10"/>
        <v>7924624186.pdf</v>
      </c>
      <c r="K357" s="51" t="s">
        <v>1006</v>
      </c>
      <c r="L357" s="51" t="s">
        <v>1103</v>
      </c>
      <c r="M357" s="50" t="str">
        <f t="shared" si="11"/>
        <v>34.500</v>
      </c>
      <c r="N357" s="50" t="str">
        <f>IF(A357&lt;&gt;"",VLOOKUP(RIGHT(A357,3)*1,[4]Des_Loc!A:B,2,0),"")</f>
        <v>JAU DO TOCANTINS</v>
      </c>
    </row>
    <row r="358" spans="1:14" ht="18.75" customHeight="1" x14ac:dyDescent="0.25">
      <c r="A358" s="52">
        <v>7924625186</v>
      </c>
      <c r="B358" s="51" t="s">
        <v>1003</v>
      </c>
      <c r="C358" s="51" t="s">
        <v>1010</v>
      </c>
      <c r="D358" s="51"/>
      <c r="E358" s="51" t="s">
        <v>1005</v>
      </c>
      <c r="F358" s="51"/>
      <c r="G358" s="51"/>
      <c r="H358" s="51" t="s">
        <v>1005</v>
      </c>
      <c r="I358" s="51" t="s">
        <v>1005</v>
      </c>
      <c r="J358" s="50" t="str">
        <f t="shared" si="10"/>
        <v>7924625186.pdf</v>
      </c>
      <c r="K358" s="51" t="s">
        <v>1006</v>
      </c>
      <c r="L358" s="51" t="s">
        <v>1103</v>
      </c>
      <c r="M358" s="50" t="str">
        <f t="shared" si="11"/>
        <v>34.500</v>
      </c>
      <c r="N358" s="50" t="str">
        <f>IF(A358&lt;&gt;"",VLOOKUP(RIGHT(A358,3)*1,[4]Des_Loc!A:B,2,0),"")</f>
        <v>JAU DO TOCANTINS</v>
      </c>
    </row>
    <row r="359" spans="1:14" ht="18.75" customHeight="1" x14ac:dyDescent="0.25">
      <c r="A359" s="52">
        <v>7925150058</v>
      </c>
      <c r="B359" s="51" t="s">
        <v>1003</v>
      </c>
      <c r="C359" s="51" t="s">
        <v>1010</v>
      </c>
      <c r="D359" s="51" t="s">
        <v>1011</v>
      </c>
      <c r="E359" s="51" t="s">
        <v>1005</v>
      </c>
      <c r="F359" s="51" t="s">
        <v>1005</v>
      </c>
      <c r="G359" s="51" t="s">
        <v>1005</v>
      </c>
      <c r="H359" s="51" t="s">
        <v>1005</v>
      </c>
      <c r="I359" s="51" t="s">
        <v>1005</v>
      </c>
      <c r="J359" s="50" t="str">
        <f t="shared" si="10"/>
        <v>7925150058.pdf</v>
      </c>
      <c r="K359" s="51" t="s">
        <v>1006</v>
      </c>
      <c r="L359" s="51" t="s">
        <v>505</v>
      </c>
      <c r="M359" s="50" t="str">
        <f t="shared" si="11"/>
        <v>34.500</v>
      </c>
      <c r="N359" s="50" t="str">
        <f>IF(A359&lt;&gt;"",VLOOKUP(RIGHT(A359,3)*1,[4]Des_Loc!A:B,2,0),"")</f>
        <v>SANTA FE DO ARAGUAIA</v>
      </c>
    </row>
    <row r="360" spans="1:14" ht="18.75" customHeight="1" x14ac:dyDescent="0.25">
      <c r="A360" s="52">
        <v>7925126060</v>
      </c>
      <c r="B360" s="51" t="s">
        <v>1003</v>
      </c>
      <c r="C360" s="51" t="s">
        <v>1025</v>
      </c>
      <c r="D360" s="51" t="s">
        <v>1011</v>
      </c>
      <c r="E360" s="51" t="s">
        <v>1011</v>
      </c>
      <c r="F360" s="51" t="s">
        <v>1011</v>
      </c>
      <c r="G360" s="51" t="s">
        <v>1005</v>
      </c>
      <c r="H360" s="51" t="s">
        <v>1005</v>
      </c>
      <c r="I360" s="51" t="s">
        <v>1011</v>
      </c>
      <c r="J360" s="50" t="str">
        <f t="shared" si="10"/>
        <v>7925126060.pdf</v>
      </c>
      <c r="K360" s="51" t="s">
        <v>1006</v>
      </c>
      <c r="L360" s="51" t="s">
        <v>1125</v>
      </c>
      <c r="M360" s="50" t="str">
        <f t="shared" si="11"/>
        <v>13.800</v>
      </c>
      <c r="N360" s="50" t="str">
        <f>IF(A360&lt;&gt;"",VLOOKUP(RIGHT(A360,3)*1,[4]Des_Loc!A:B,2,0),"")</f>
        <v>NOVA OLINDA</v>
      </c>
    </row>
    <row r="361" spans="1:14" ht="18.75" customHeight="1" x14ac:dyDescent="0.25">
      <c r="A361" s="52">
        <v>7925580059</v>
      </c>
      <c r="B361" s="51" t="s">
        <v>1003</v>
      </c>
      <c r="C361" s="51" t="s">
        <v>1010</v>
      </c>
      <c r="D361" s="51" t="s">
        <v>1011</v>
      </c>
      <c r="E361" s="51" t="s">
        <v>1011</v>
      </c>
      <c r="F361" s="51" t="s">
        <v>1005</v>
      </c>
      <c r="G361" s="51" t="s">
        <v>1005</v>
      </c>
      <c r="H361" s="51" t="s">
        <v>1005</v>
      </c>
      <c r="I361" s="51" t="s">
        <v>1005</v>
      </c>
      <c r="J361" s="50" t="str">
        <f t="shared" si="10"/>
        <v>7925580059.pdf</v>
      </c>
      <c r="K361" s="51" t="s">
        <v>1006</v>
      </c>
      <c r="L361" s="51" t="s">
        <v>571</v>
      </c>
      <c r="M361" s="50" t="str">
        <f t="shared" si="11"/>
        <v>34.500</v>
      </c>
      <c r="N361" s="50" t="str">
        <f>IF(A361&lt;&gt;"",VLOOKUP(RIGHT(A361,3)*1,[4]Des_Loc!A:B,2,0),"")</f>
        <v>TAQUARALTO</v>
      </c>
    </row>
    <row r="362" spans="1:14" ht="18.75" customHeight="1" x14ac:dyDescent="0.25">
      <c r="A362" s="52">
        <v>7925569059</v>
      </c>
      <c r="B362" s="51" t="s">
        <v>1003</v>
      </c>
      <c r="C362" s="51">
        <v>3</v>
      </c>
      <c r="D362" s="51" t="s">
        <v>1011</v>
      </c>
      <c r="E362" s="51" t="s">
        <v>1005</v>
      </c>
      <c r="F362" s="51" t="s">
        <v>1005</v>
      </c>
      <c r="G362" s="51" t="s">
        <v>1005</v>
      </c>
      <c r="H362" s="51" t="s">
        <v>1005</v>
      </c>
      <c r="I362" s="51" t="s">
        <v>1005</v>
      </c>
      <c r="J362" s="50" t="str">
        <f t="shared" si="10"/>
        <v>7925569059.pdf</v>
      </c>
      <c r="K362" s="51" t="s">
        <v>1006</v>
      </c>
      <c r="L362" s="51" t="s">
        <v>571</v>
      </c>
      <c r="M362" s="50" t="str">
        <f t="shared" si="11"/>
        <v>34.500</v>
      </c>
      <c r="N362" s="50" t="str">
        <f>IF(A362&lt;&gt;"",VLOOKUP(RIGHT(A362,3)*1,[4]Des_Loc!A:B,2,0),"")</f>
        <v>TAQUARALTO</v>
      </c>
    </row>
    <row r="363" spans="1:14" ht="18.75" customHeight="1" x14ac:dyDescent="0.25">
      <c r="A363" s="52">
        <v>7923110021</v>
      </c>
      <c r="B363" s="51" t="s">
        <v>1003</v>
      </c>
      <c r="C363" s="51">
        <v>3</v>
      </c>
      <c r="D363" s="51" t="s">
        <v>1011</v>
      </c>
      <c r="E363" s="51" t="s">
        <v>1005</v>
      </c>
      <c r="F363" s="51" t="s">
        <v>1011</v>
      </c>
      <c r="G363" s="51" t="s">
        <v>1005</v>
      </c>
      <c r="H363" s="51" t="s">
        <v>1005</v>
      </c>
      <c r="I363" s="51" t="s">
        <v>1011</v>
      </c>
      <c r="J363" s="50" t="str">
        <f t="shared" si="10"/>
        <v>7923110021.pdf</v>
      </c>
      <c r="K363" s="51" t="s">
        <v>1006</v>
      </c>
      <c r="L363" s="51" t="s">
        <v>1077</v>
      </c>
      <c r="M363" s="50" t="str">
        <f t="shared" si="11"/>
        <v>34.500</v>
      </c>
      <c r="N363" s="50" t="str">
        <f>IF(A363&lt;&gt;"",VLOOKUP(RIGHT(A363,3)*1,[4]Des_Loc!A:B,2,0),"")</f>
        <v>PARANA</v>
      </c>
    </row>
    <row r="364" spans="1:14" ht="18.75" customHeight="1" x14ac:dyDescent="0.25">
      <c r="A364" s="52">
        <v>7921021048</v>
      </c>
      <c r="B364" s="51" t="s">
        <v>1003</v>
      </c>
      <c r="C364" s="51" t="s">
        <v>1008</v>
      </c>
      <c r="D364" s="51" t="s">
        <v>1005</v>
      </c>
      <c r="E364" s="51" t="s">
        <v>1005</v>
      </c>
      <c r="F364" s="51" t="s">
        <v>1005</v>
      </c>
      <c r="G364" s="51" t="s">
        <v>1005</v>
      </c>
      <c r="H364" s="51" t="s">
        <v>1005</v>
      </c>
      <c r="I364" s="51" t="s">
        <v>1005</v>
      </c>
      <c r="J364" s="50" t="str">
        <f t="shared" si="10"/>
        <v>7921021048.pdf</v>
      </c>
      <c r="K364" s="51" t="s">
        <v>1006</v>
      </c>
      <c r="L364" s="51" t="s">
        <v>1126</v>
      </c>
      <c r="M364" s="50" t="str">
        <f t="shared" si="11"/>
        <v>34.500</v>
      </c>
      <c r="N364" s="50" t="str">
        <f>IF(A364&lt;&gt;"",VLOOKUP(RIGHT(A364,3)*1,[4]Des_Loc!A:B,2,0),"")</f>
        <v>FORTALEZA DO TABOCAO</v>
      </c>
    </row>
    <row r="365" spans="1:14" ht="18.75" customHeight="1" x14ac:dyDescent="0.25">
      <c r="A365" s="52">
        <v>7924850004</v>
      </c>
      <c r="B365" s="51" t="s">
        <v>1003</v>
      </c>
      <c r="C365" s="51" t="s">
        <v>1021</v>
      </c>
      <c r="D365" s="51" t="s">
        <v>1005</v>
      </c>
      <c r="E365" s="51" t="s">
        <v>1005</v>
      </c>
      <c r="F365" s="51" t="s">
        <v>1005</v>
      </c>
      <c r="G365" s="51" t="s">
        <v>1005</v>
      </c>
      <c r="H365" s="51" t="s">
        <v>1005</v>
      </c>
      <c r="I365" s="51" t="s">
        <v>1005</v>
      </c>
      <c r="J365" s="50" t="str">
        <f t="shared" si="10"/>
        <v>7924850004.pdf</v>
      </c>
      <c r="K365" s="51" t="s">
        <v>1006</v>
      </c>
      <c r="L365" s="51" t="s">
        <v>505</v>
      </c>
      <c r="M365" s="50" t="str">
        <f t="shared" si="11"/>
        <v>34.500</v>
      </c>
      <c r="N365" s="50" t="str">
        <f>IF(A365&lt;&gt;"",VLOOKUP(RIGHT(A365,3)*1,[4]Des_Loc!A:B,2,0),"")</f>
        <v>ARAGUAINA</v>
      </c>
    </row>
    <row r="366" spans="1:14" ht="18.75" customHeight="1" x14ac:dyDescent="0.25">
      <c r="A366" s="52">
        <v>7924622052</v>
      </c>
      <c r="B366" s="51" t="s">
        <v>1003</v>
      </c>
      <c r="C366" s="51" t="s">
        <v>1010</v>
      </c>
      <c r="D366" s="51" t="s">
        <v>1011</v>
      </c>
      <c r="E366" s="51" t="s">
        <v>1005</v>
      </c>
      <c r="F366" s="51" t="s">
        <v>1005</v>
      </c>
      <c r="G366" s="51" t="s">
        <v>1005</v>
      </c>
      <c r="H366" s="51" t="s">
        <v>1005</v>
      </c>
      <c r="I366" s="51" t="s">
        <v>1005</v>
      </c>
      <c r="J366" s="50" t="str">
        <f t="shared" si="10"/>
        <v>7924622052.pdf</v>
      </c>
      <c r="K366" s="51" t="s">
        <v>1006</v>
      </c>
      <c r="L366" s="51" t="s">
        <v>1056</v>
      </c>
      <c r="M366" s="50" t="str">
        <f t="shared" si="11"/>
        <v>34.500</v>
      </c>
      <c r="N366" s="50" t="str">
        <f>IF(A366&lt;&gt;"",VLOOKUP(RIGHT(A366,3)*1,[4]Des_Loc!A:B,2,0),"")</f>
        <v>FORMOSO DO ARAGUAIA</v>
      </c>
    </row>
    <row r="367" spans="1:14" ht="18.75" customHeight="1" x14ac:dyDescent="0.25">
      <c r="A367" s="52">
        <v>7925588055</v>
      </c>
      <c r="B367" s="51" t="s">
        <v>1003</v>
      </c>
      <c r="C367" s="51" t="s">
        <v>1010</v>
      </c>
      <c r="D367" s="51" t="s">
        <v>1011</v>
      </c>
      <c r="E367" s="51" t="s">
        <v>1005</v>
      </c>
      <c r="F367" s="51" t="s">
        <v>1011</v>
      </c>
      <c r="G367" s="51" t="s">
        <v>1005</v>
      </c>
      <c r="H367" s="51" t="s">
        <v>1005</v>
      </c>
      <c r="I367" s="51" t="s">
        <v>1005</v>
      </c>
      <c r="J367" s="50" t="str">
        <f t="shared" si="10"/>
        <v>7925588055.pdf</v>
      </c>
      <c r="K367" s="51" t="s">
        <v>1006</v>
      </c>
      <c r="L367" s="51" t="s">
        <v>1040</v>
      </c>
      <c r="M367" s="50" t="str">
        <f t="shared" si="11"/>
        <v>34.500</v>
      </c>
      <c r="N367" s="50" t="str">
        <f>IF(A367&lt;&gt;"",VLOOKUP(RIGHT(A367,3)*1,[4]Des_Loc!A:B,2,0),"")</f>
        <v>ARAGUACEMA</v>
      </c>
    </row>
    <row r="368" spans="1:14" ht="18.75" customHeight="1" x14ac:dyDescent="0.25">
      <c r="A368" s="52">
        <v>7924623200</v>
      </c>
      <c r="B368" s="51" t="s">
        <v>1003</v>
      </c>
      <c r="C368" s="51" t="s">
        <v>1021</v>
      </c>
      <c r="D368" s="51"/>
      <c r="E368" s="51" t="s">
        <v>1005</v>
      </c>
      <c r="F368" s="51"/>
      <c r="G368" s="51"/>
      <c r="H368" s="51" t="s">
        <v>1005</v>
      </c>
      <c r="I368" s="51" t="s">
        <v>1005</v>
      </c>
      <c r="J368" s="50" t="str">
        <f t="shared" si="10"/>
        <v>7924623200.pdf</v>
      </c>
      <c r="K368" s="51" t="s">
        <v>1006</v>
      </c>
      <c r="L368" s="51" t="s">
        <v>672</v>
      </c>
      <c r="M368" s="50" t="str">
        <f t="shared" si="11"/>
        <v>34.500</v>
      </c>
      <c r="N368" s="50" t="str">
        <f>IF(A368&lt;&gt;"",VLOOKUP(RIGHT(A368,3)*1,[4]Des_Loc!A:B,2,0),"")</f>
        <v>SAO SALVADOR DO TOCANTINS</v>
      </c>
    </row>
    <row r="369" spans="1:14" ht="18.75" customHeight="1" x14ac:dyDescent="0.25">
      <c r="A369" s="52">
        <v>7925570055</v>
      </c>
      <c r="B369" s="51" t="s">
        <v>1003</v>
      </c>
      <c r="C369" s="51">
        <v>3</v>
      </c>
      <c r="D369" s="51" t="s">
        <v>1011</v>
      </c>
      <c r="E369" s="51" t="s">
        <v>1005</v>
      </c>
      <c r="F369" s="51" t="s">
        <v>1011</v>
      </c>
      <c r="G369" s="51" t="s">
        <v>1005</v>
      </c>
      <c r="H369" s="51" t="s">
        <v>1005</v>
      </c>
      <c r="I369" s="51" t="s">
        <v>1005</v>
      </c>
      <c r="J369" s="50" t="str">
        <f t="shared" si="10"/>
        <v>7925570055.pdf</v>
      </c>
      <c r="K369" s="51" t="s">
        <v>1006</v>
      </c>
      <c r="L369" s="51" t="s">
        <v>749</v>
      </c>
      <c r="M369" s="50" t="str">
        <f t="shared" si="11"/>
        <v>34.500</v>
      </c>
      <c r="N369" s="50" t="str">
        <f>IF(A369&lt;&gt;"",VLOOKUP(RIGHT(A369,3)*1,[4]Des_Loc!A:B,2,0),"")</f>
        <v>ARAGUACEMA</v>
      </c>
    </row>
    <row r="370" spans="1:14" ht="18.75" customHeight="1" x14ac:dyDescent="0.25">
      <c r="A370" s="52">
        <v>7923683058</v>
      </c>
      <c r="B370" s="51" t="s">
        <v>1003</v>
      </c>
      <c r="C370" s="51" t="s">
        <v>1004</v>
      </c>
      <c r="D370" s="51" t="s">
        <v>1005</v>
      </c>
      <c r="E370" s="51" t="s">
        <v>1005</v>
      </c>
      <c r="F370" s="51" t="s">
        <v>1005</v>
      </c>
      <c r="G370" s="51" t="s">
        <v>1005</v>
      </c>
      <c r="H370" s="51" t="s">
        <v>1005</v>
      </c>
      <c r="I370" s="51" t="s">
        <v>1005</v>
      </c>
      <c r="J370" s="50" t="str">
        <f t="shared" si="10"/>
        <v>7923683058.pdf</v>
      </c>
      <c r="K370" s="51" t="s">
        <v>1006</v>
      </c>
      <c r="L370" s="51" t="s">
        <v>505</v>
      </c>
      <c r="M370" s="50" t="str">
        <f t="shared" si="11"/>
        <v>34.500</v>
      </c>
      <c r="N370" s="50" t="str">
        <f>IF(A370&lt;&gt;"",VLOOKUP(RIGHT(A370,3)*1,[4]Des_Loc!A:B,2,0),"")</f>
        <v>SANTA FE DO ARAGUAIA</v>
      </c>
    </row>
    <row r="371" spans="1:14" ht="18.75" customHeight="1" x14ac:dyDescent="0.25">
      <c r="A371" s="52">
        <v>7925573007</v>
      </c>
      <c r="B371" s="51" t="s">
        <v>1003</v>
      </c>
      <c r="C371" s="51">
        <v>2</v>
      </c>
      <c r="D371" s="51" t="s">
        <v>1011</v>
      </c>
      <c r="E371" s="51" t="s">
        <v>1005</v>
      </c>
      <c r="F371" s="51" t="s">
        <v>1011</v>
      </c>
      <c r="G371" s="51" t="s">
        <v>1005</v>
      </c>
      <c r="H371" s="51" t="s">
        <v>1005</v>
      </c>
      <c r="I371" s="51" t="s">
        <v>1011</v>
      </c>
      <c r="J371" s="50" t="str">
        <f t="shared" si="10"/>
        <v>7925573007.pdf</v>
      </c>
      <c r="K371" s="51" t="s">
        <v>1006</v>
      </c>
      <c r="L371" s="51" t="s">
        <v>1127</v>
      </c>
      <c r="M371" s="50" t="str">
        <f t="shared" si="11"/>
        <v>13.800</v>
      </c>
      <c r="N371" s="50" t="str">
        <f>IF(A371&lt;&gt;"",VLOOKUP(RIGHT(A371,3)*1,[4]Des_Loc!A:B,2,0),"")</f>
        <v>MIRACEMA DO TOCANTINS</v>
      </c>
    </row>
    <row r="372" spans="1:14" ht="18.75" customHeight="1" x14ac:dyDescent="0.25">
      <c r="A372" s="52">
        <v>7922502271</v>
      </c>
      <c r="B372" s="51" t="s">
        <v>1003</v>
      </c>
      <c r="C372" s="51">
        <v>3</v>
      </c>
      <c r="D372" s="51"/>
      <c r="E372" s="51" t="s">
        <v>1005</v>
      </c>
      <c r="F372" s="51"/>
      <c r="G372" s="51"/>
      <c r="H372" s="51" t="s">
        <v>1005</v>
      </c>
      <c r="I372" s="51" t="s">
        <v>1005</v>
      </c>
      <c r="J372" s="50" t="str">
        <f t="shared" si="10"/>
        <v>7922502271.pdf</v>
      </c>
      <c r="K372" s="51" t="s">
        <v>1006</v>
      </c>
      <c r="L372" s="51" t="s">
        <v>1128</v>
      </c>
      <c r="M372" s="50" t="str">
        <f t="shared" si="11"/>
        <v>13.800</v>
      </c>
      <c r="N372" s="50" t="str">
        <f>IF(A372&lt;&gt;"",VLOOKUP(RIGHT(A372,3)*1,[4]Des_Loc!A:B,2,0),"")</f>
        <v>VILA LUZIMANGUES</v>
      </c>
    </row>
    <row r="373" spans="1:14" ht="18.75" customHeight="1" x14ac:dyDescent="0.25">
      <c r="A373" s="52">
        <v>7925572007</v>
      </c>
      <c r="B373" s="51" t="s">
        <v>1003</v>
      </c>
      <c r="C373" s="51">
        <v>2</v>
      </c>
      <c r="D373" s="51" t="s">
        <v>1011</v>
      </c>
      <c r="E373" s="51" t="s">
        <v>1005</v>
      </c>
      <c r="F373" s="51" t="s">
        <v>1011</v>
      </c>
      <c r="G373" s="51" t="s">
        <v>1005</v>
      </c>
      <c r="H373" s="51" t="s">
        <v>1005</v>
      </c>
      <c r="I373" s="51" t="s">
        <v>1011</v>
      </c>
      <c r="J373" s="50" t="str">
        <f t="shared" si="10"/>
        <v>7925572007.pdf</v>
      </c>
      <c r="K373" s="51" t="s">
        <v>1006</v>
      </c>
      <c r="L373" s="51" t="s">
        <v>1129</v>
      </c>
      <c r="M373" s="50" t="str">
        <f t="shared" si="11"/>
        <v>13.800</v>
      </c>
      <c r="N373" s="50" t="str">
        <f>IF(A373&lt;&gt;"",VLOOKUP(RIGHT(A373,3)*1,[4]Des_Loc!A:B,2,0),"")</f>
        <v>MIRACEMA DO TOCANTINS</v>
      </c>
    </row>
    <row r="374" spans="1:14" ht="18.75" customHeight="1" x14ac:dyDescent="0.25">
      <c r="A374" s="52">
        <v>7900732001</v>
      </c>
      <c r="B374" s="51" t="s">
        <v>1003</v>
      </c>
      <c r="C374" s="51" t="s">
        <v>1010</v>
      </c>
      <c r="D374" s="51" t="s">
        <v>1011</v>
      </c>
      <c r="E374" s="51" t="s">
        <v>1005</v>
      </c>
      <c r="F374" s="51" t="s">
        <v>1011</v>
      </c>
      <c r="G374" s="51" t="s">
        <v>1005</v>
      </c>
      <c r="H374" s="51" t="s">
        <v>1005</v>
      </c>
      <c r="I374" s="51" t="s">
        <v>1011</v>
      </c>
      <c r="J374" s="50" t="str">
        <f t="shared" si="10"/>
        <v>7900732001.pdf</v>
      </c>
      <c r="K374" s="51" t="s">
        <v>1006</v>
      </c>
      <c r="L374" s="51" t="s">
        <v>1128</v>
      </c>
      <c r="M374" s="50" t="str">
        <f t="shared" si="11"/>
        <v>13.800</v>
      </c>
      <c r="N374" s="50" t="str">
        <f>IF(A374&lt;&gt;"",VLOOKUP(RIGHT(A374,3)*1,[4]Des_Loc!A:B,2,0),"")</f>
        <v>PORTO NACIONAL</v>
      </c>
    </row>
    <row r="375" spans="1:14" ht="18.75" customHeight="1" x14ac:dyDescent="0.25">
      <c r="A375" s="52">
        <v>7924620047</v>
      </c>
      <c r="B375" s="51" t="s">
        <v>1003</v>
      </c>
      <c r="C375" s="51">
        <v>3</v>
      </c>
      <c r="D375" s="51" t="s">
        <v>1011</v>
      </c>
      <c r="E375" s="51" t="s">
        <v>1005</v>
      </c>
      <c r="F375" s="51" t="s">
        <v>1005</v>
      </c>
      <c r="G375" s="51" t="s">
        <v>1005</v>
      </c>
      <c r="H375" s="51" t="s">
        <v>1005</v>
      </c>
      <c r="I375" s="51" t="s">
        <v>1011</v>
      </c>
      <c r="J375" s="50" t="str">
        <f t="shared" si="10"/>
        <v>7924620047.pdf</v>
      </c>
      <c r="K375" s="51" t="s">
        <v>1006</v>
      </c>
      <c r="L375" s="51" t="s">
        <v>1130</v>
      </c>
      <c r="M375" s="50" t="str">
        <f t="shared" si="11"/>
        <v>13.800</v>
      </c>
      <c r="N375" s="50" t="str">
        <f>IF(A375&lt;&gt;"",VLOOKUP(RIGHT(A375,3)*1,[4]Des_Loc!A:B,2,0),"")</f>
        <v>FIGUEIROPOLIS</v>
      </c>
    </row>
    <row r="376" spans="1:14" ht="18.75" customHeight="1" x14ac:dyDescent="0.25">
      <c r="A376" s="50">
        <v>7925325007</v>
      </c>
      <c r="B376" s="51" t="s">
        <v>1003</v>
      </c>
      <c r="C376" s="51" t="s">
        <v>1004</v>
      </c>
      <c r="D376" s="51" t="s">
        <v>1005</v>
      </c>
      <c r="E376" s="51" t="s">
        <v>1005</v>
      </c>
      <c r="F376" s="51" t="s">
        <v>1005</v>
      </c>
      <c r="G376" s="51" t="s">
        <v>1005</v>
      </c>
      <c r="H376" s="51" t="s">
        <v>1005</v>
      </c>
      <c r="I376" s="51" t="s">
        <v>1005</v>
      </c>
      <c r="J376" s="50" t="str">
        <f t="shared" si="10"/>
        <v>7925325007.pdf</v>
      </c>
      <c r="K376" s="51" t="s">
        <v>1006</v>
      </c>
      <c r="L376" s="51" t="s">
        <v>1127</v>
      </c>
      <c r="M376" s="50" t="str">
        <f t="shared" si="11"/>
        <v>13.800</v>
      </c>
      <c r="N376" s="50" t="str">
        <f>IF(A376&lt;&gt;"",VLOOKUP(RIGHT(A376,3)*1,[4]Des_Loc!A:B,2,0),"")</f>
        <v>MIRACEMA DO TOCANTINS</v>
      </c>
    </row>
    <row r="377" spans="1:14" ht="18.75" customHeight="1" x14ac:dyDescent="0.25">
      <c r="A377" s="52">
        <v>7924621097</v>
      </c>
      <c r="B377" s="51" t="s">
        <v>1003</v>
      </c>
      <c r="C377" s="51" t="s">
        <v>1010</v>
      </c>
      <c r="D377" s="51" t="s">
        <v>1011</v>
      </c>
      <c r="E377" s="51" t="s">
        <v>1005</v>
      </c>
      <c r="F377" s="51" t="s">
        <v>1005</v>
      </c>
      <c r="G377" s="51" t="s">
        <v>1005</v>
      </c>
      <c r="H377" s="51" t="s">
        <v>1005</v>
      </c>
      <c r="I377" s="51" t="s">
        <v>1005</v>
      </c>
      <c r="J377" s="50" t="str">
        <f t="shared" si="10"/>
        <v>7924621097.pdf</v>
      </c>
      <c r="K377" s="51" t="s">
        <v>1006</v>
      </c>
      <c r="L377" s="51" t="s">
        <v>1026</v>
      </c>
      <c r="M377" s="50" t="str">
        <f t="shared" si="11"/>
        <v>13.800</v>
      </c>
      <c r="N377" s="50" t="str">
        <f>IF(A377&lt;&gt;"",VLOOKUP(RIGHT(A377,3)*1,[4]Des_Loc!A:B,2,0),"")</f>
        <v>TALISMA</v>
      </c>
    </row>
    <row r="378" spans="1:14" ht="18.75" customHeight="1" x14ac:dyDescent="0.25">
      <c r="A378" s="52">
        <v>7901179122</v>
      </c>
      <c r="B378" s="51" t="s">
        <v>1003</v>
      </c>
      <c r="C378" s="51">
        <v>2</v>
      </c>
      <c r="D378" s="51" t="s">
        <v>1011</v>
      </c>
      <c r="E378" s="51" t="s">
        <v>1005</v>
      </c>
      <c r="F378" s="51" t="s">
        <v>1011</v>
      </c>
      <c r="G378" s="51" t="s">
        <v>1005</v>
      </c>
      <c r="H378" s="51" t="s">
        <v>1005</v>
      </c>
      <c r="I378" s="51" t="s">
        <v>1011</v>
      </c>
      <c r="J378" s="50" t="str">
        <f t="shared" si="10"/>
        <v>7901179122.pdf</v>
      </c>
      <c r="K378" s="51" t="s">
        <v>1006</v>
      </c>
      <c r="L378" s="51" t="s">
        <v>1131</v>
      </c>
      <c r="M378" s="50" t="str">
        <f t="shared" si="11"/>
        <v>13.800</v>
      </c>
      <c r="N378" s="50" t="str">
        <f>IF(A378&lt;&gt;"",VLOOKUP(RIGHT(A378,3)*1,[4]Des_Loc!A:B,2,0),"")</f>
        <v>PALMAS</v>
      </c>
    </row>
    <row r="379" spans="1:14" ht="18.75" customHeight="1" x14ac:dyDescent="0.25">
      <c r="A379" s="52">
        <v>7925601111</v>
      </c>
      <c r="B379" s="51" t="s">
        <v>1003</v>
      </c>
      <c r="C379" s="51" t="s">
        <v>1010</v>
      </c>
      <c r="D379" s="51" t="s">
        <v>1005</v>
      </c>
      <c r="E379" s="51" t="s">
        <v>1005</v>
      </c>
      <c r="F379" s="51" t="s">
        <v>1005</v>
      </c>
      <c r="G379" s="51" t="s">
        <v>1005</v>
      </c>
      <c r="H379" s="51" t="s">
        <v>1005</v>
      </c>
      <c r="I379" s="51" t="s">
        <v>1005</v>
      </c>
      <c r="J379" s="50" t="str">
        <f t="shared" si="10"/>
        <v>7925601111.pdf</v>
      </c>
      <c r="K379" s="51" t="s">
        <v>1006</v>
      </c>
      <c r="L379" s="51" t="s">
        <v>1047</v>
      </c>
      <c r="M379" s="50" t="str">
        <f t="shared" si="11"/>
        <v>34.500</v>
      </c>
      <c r="N379" s="50" t="str">
        <f>IF(A379&lt;&gt;"",VLOOKUP(RIGHT(A379,3)*1,[4]Des_Loc!A:B,2,0),"")</f>
        <v>PEQUIZEIRO</v>
      </c>
    </row>
    <row r="380" spans="1:14" ht="18.75" customHeight="1" x14ac:dyDescent="0.25">
      <c r="A380" s="52">
        <v>7925708111</v>
      </c>
      <c r="B380" s="51" t="s">
        <v>1003</v>
      </c>
      <c r="C380" s="51" t="s">
        <v>1008</v>
      </c>
      <c r="D380" s="51" t="s">
        <v>1005</v>
      </c>
      <c r="E380" s="51" t="s">
        <v>1005</v>
      </c>
      <c r="F380" s="51" t="s">
        <v>1005</v>
      </c>
      <c r="G380" s="51" t="s">
        <v>1005</v>
      </c>
      <c r="H380" s="51" t="s">
        <v>1005</v>
      </c>
      <c r="I380" s="51" t="s">
        <v>1005</v>
      </c>
      <c r="J380" s="50" t="str">
        <f t="shared" si="10"/>
        <v>7925708111.pdf</v>
      </c>
      <c r="K380" s="51" t="s">
        <v>1006</v>
      </c>
      <c r="L380" s="51" t="s">
        <v>627</v>
      </c>
      <c r="M380" s="50" t="str">
        <f t="shared" si="11"/>
        <v>34.500</v>
      </c>
      <c r="N380" s="50" t="str">
        <f>IF(A380&lt;&gt;"",VLOOKUP(RIGHT(A380,3)*1,[4]Des_Loc!A:B,2,0),"")</f>
        <v>PEQUIZEIRO</v>
      </c>
    </row>
    <row r="381" spans="1:14" ht="18.75" customHeight="1" x14ac:dyDescent="0.25">
      <c r="A381" s="52">
        <v>7902454122</v>
      </c>
      <c r="B381" s="51" t="s">
        <v>1003</v>
      </c>
      <c r="C381" s="51" t="s">
        <v>1025</v>
      </c>
      <c r="D381" s="51" t="s">
        <v>1011</v>
      </c>
      <c r="E381" s="51" t="s">
        <v>1005</v>
      </c>
      <c r="F381" s="51" t="s">
        <v>1011</v>
      </c>
      <c r="G381" s="51" t="s">
        <v>1005</v>
      </c>
      <c r="H381" s="51" t="s">
        <v>1005</v>
      </c>
      <c r="I381" s="51" t="s">
        <v>1011</v>
      </c>
      <c r="J381" s="50" t="str">
        <f t="shared" si="10"/>
        <v>7902454122.pdf</v>
      </c>
      <c r="K381" s="51" t="s">
        <v>1006</v>
      </c>
      <c r="L381" s="51" t="s">
        <v>539</v>
      </c>
      <c r="M381" s="50" t="str">
        <f t="shared" si="11"/>
        <v>13.800</v>
      </c>
      <c r="N381" s="50" t="str">
        <f>IF(A381&lt;&gt;"",VLOOKUP(RIGHT(A381,3)*1,[4]Des_Loc!A:B,2,0),"")</f>
        <v>PALMAS</v>
      </c>
    </row>
    <row r="382" spans="1:14" ht="18.75" customHeight="1" x14ac:dyDescent="0.25">
      <c r="A382" s="52">
        <v>7925706087</v>
      </c>
      <c r="B382" s="51" t="s">
        <v>1003</v>
      </c>
      <c r="C382" s="51" t="s">
        <v>1010</v>
      </c>
      <c r="D382" s="51" t="s">
        <v>1011</v>
      </c>
      <c r="E382" s="51" t="s">
        <v>1005</v>
      </c>
      <c r="F382" s="51" t="s">
        <v>1005</v>
      </c>
      <c r="G382" s="51" t="s">
        <v>1005</v>
      </c>
      <c r="H382" s="51" t="s">
        <v>1005</v>
      </c>
      <c r="I382" s="51" t="s">
        <v>1005</v>
      </c>
      <c r="J382" s="50" t="str">
        <f t="shared" si="10"/>
        <v>7925706087.pdf</v>
      </c>
      <c r="K382" s="51" t="s">
        <v>1006</v>
      </c>
      <c r="L382" s="51" t="s">
        <v>627</v>
      </c>
      <c r="M382" s="50" t="str">
        <f t="shared" si="11"/>
        <v>34.500</v>
      </c>
      <c r="N382" s="50" t="str">
        <f>IF(A382&lt;&gt;"",VLOOKUP(RIGHT(A382,3)*1,[4]Des_Loc!A:B,2,0),"")</f>
        <v>GOIANORTE</v>
      </c>
    </row>
    <row r="383" spans="1:14" ht="18.75" customHeight="1" x14ac:dyDescent="0.25">
      <c r="A383" s="52">
        <v>7925602033</v>
      </c>
      <c r="B383" s="51" t="s">
        <v>1003</v>
      </c>
      <c r="C383" s="51" t="s">
        <v>1010</v>
      </c>
      <c r="D383" s="51" t="s">
        <v>1005</v>
      </c>
      <c r="E383" s="51" t="s">
        <v>1005</v>
      </c>
      <c r="F383" s="51" t="s">
        <v>1005</v>
      </c>
      <c r="G383" s="51" t="s">
        <v>1005</v>
      </c>
      <c r="H383" s="51" t="s">
        <v>1005</v>
      </c>
      <c r="I383" s="51" t="s">
        <v>1005</v>
      </c>
      <c r="J383" s="50" t="str">
        <f t="shared" si="10"/>
        <v>7925602033.pdf</v>
      </c>
      <c r="K383" s="51" t="s">
        <v>1006</v>
      </c>
      <c r="L383" s="51" t="s">
        <v>627</v>
      </c>
      <c r="M383" s="50" t="str">
        <f t="shared" si="11"/>
        <v>34.500</v>
      </c>
      <c r="N383" s="50" t="str">
        <f>IF(A383&lt;&gt;"",VLOOKUP(RIGHT(A383,3)*1,[4]Des_Loc!A:B,2,0),"")</f>
        <v>COLMEIA</v>
      </c>
    </row>
    <row r="384" spans="1:14" ht="18.75" customHeight="1" x14ac:dyDescent="0.25">
      <c r="A384" s="52">
        <v>7925719023</v>
      </c>
      <c r="B384" s="51" t="s">
        <v>1003</v>
      </c>
      <c r="C384" s="51" t="s">
        <v>1004</v>
      </c>
      <c r="D384" s="51"/>
      <c r="E384" s="51" t="s">
        <v>1005</v>
      </c>
      <c r="F384" s="51"/>
      <c r="G384" s="51"/>
      <c r="H384" s="51" t="s">
        <v>1005</v>
      </c>
      <c r="I384" s="51" t="s">
        <v>1005</v>
      </c>
      <c r="J384" s="50" t="str">
        <f t="shared" si="10"/>
        <v>7925719023.pdf</v>
      </c>
      <c r="K384" s="51" t="s">
        <v>1006</v>
      </c>
      <c r="L384" s="51" t="s">
        <v>1132</v>
      </c>
      <c r="M384" s="50" t="str">
        <f t="shared" si="11"/>
        <v>13.800</v>
      </c>
      <c r="N384" s="50" t="str">
        <f>IF(A384&lt;&gt;"",VLOOKUP(RIGHT(A384,3)*1,[4]Des_Loc!A:B,2,0),"")</f>
        <v>COLINAS DO TOCANTINS</v>
      </c>
    </row>
    <row r="385" spans="1:14" ht="18.75" customHeight="1" x14ac:dyDescent="0.25">
      <c r="A385" s="52">
        <v>7925722023</v>
      </c>
      <c r="B385" s="51" t="s">
        <v>1003</v>
      </c>
      <c r="C385" s="51">
        <v>2</v>
      </c>
      <c r="D385" s="51" t="s">
        <v>1011</v>
      </c>
      <c r="E385" s="51" t="s">
        <v>1005</v>
      </c>
      <c r="F385" s="51" t="s">
        <v>1011</v>
      </c>
      <c r="G385" s="51" t="s">
        <v>1005</v>
      </c>
      <c r="H385" s="51" t="s">
        <v>1005</v>
      </c>
      <c r="I385" s="51" t="s">
        <v>1005</v>
      </c>
      <c r="J385" s="50" t="str">
        <f t="shared" si="10"/>
        <v>7925722023.pdf</v>
      </c>
      <c r="K385" s="51" t="s">
        <v>1006</v>
      </c>
      <c r="L385" s="51" t="s">
        <v>1133</v>
      </c>
      <c r="M385" s="50" t="str">
        <f t="shared" si="11"/>
        <v>13.800</v>
      </c>
      <c r="N385" s="50" t="str">
        <f>IF(A385&lt;&gt;"",VLOOKUP(RIGHT(A385,3)*1,[4]Des_Loc!A:B,2,0),"")</f>
        <v>COLINAS DO TOCANTINS</v>
      </c>
    </row>
    <row r="386" spans="1:14" ht="18.75" customHeight="1" x14ac:dyDescent="0.25">
      <c r="A386" s="52">
        <v>7924823034</v>
      </c>
      <c r="B386" s="51" t="s">
        <v>1003</v>
      </c>
      <c r="C386" s="51" t="s">
        <v>1021</v>
      </c>
      <c r="D386" s="51"/>
      <c r="E386" s="51" t="s">
        <v>1005</v>
      </c>
      <c r="F386" s="51"/>
      <c r="G386" s="51"/>
      <c r="H386" s="51" t="s">
        <v>1005</v>
      </c>
      <c r="I386" s="51" t="s">
        <v>1005</v>
      </c>
      <c r="J386" s="50" t="str">
        <f t="shared" ref="J386:J449" si="12">CONCATENATE(A386,".pdf")</f>
        <v>7924823034.pdf</v>
      </c>
      <c r="K386" s="51" t="s">
        <v>1006</v>
      </c>
      <c r="L386" s="51" t="s">
        <v>1047</v>
      </c>
      <c r="M386" s="50" t="str">
        <f t="shared" ref="M386:M449" si="13">IF(L386&lt;&gt;"",IF(LEFT(L386,2)="AL","13.800","34.500"),"")</f>
        <v>34.500</v>
      </c>
      <c r="N386" s="50" t="str">
        <f>IF(A386&lt;&gt;"",VLOOKUP(RIGHT(A386,3)*1,[4]Des_Loc!A:B,2,0),"")</f>
        <v>PRESIDENTE KENNEDY</v>
      </c>
    </row>
    <row r="387" spans="1:14" ht="18.75" customHeight="1" x14ac:dyDescent="0.25">
      <c r="A387" s="52">
        <v>7925744087</v>
      </c>
      <c r="B387" s="51" t="s">
        <v>1003</v>
      </c>
      <c r="C387" s="51" t="s">
        <v>1025</v>
      </c>
      <c r="D387" s="51"/>
      <c r="E387" s="51" t="s">
        <v>1011</v>
      </c>
      <c r="F387" s="51"/>
      <c r="G387" s="51"/>
      <c r="H387" s="51" t="s">
        <v>1005</v>
      </c>
      <c r="I387" s="51" t="s">
        <v>1005</v>
      </c>
      <c r="J387" s="50" t="str">
        <f t="shared" si="12"/>
        <v>7925744087.pdf</v>
      </c>
      <c r="K387" s="51" t="s">
        <v>1006</v>
      </c>
      <c r="L387" s="51" t="s">
        <v>627</v>
      </c>
      <c r="M387" s="50" t="str">
        <f t="shared" si="13"/>
        <v>34.500</v>
      </c>
      <c r="N387" s="50" t="str">
        <f>IF(A387&lt;&gt;"",VLOOKUP(RIGHT(A387,3)*1,[4]Des_Loc!A:B,2,0),"")</f>
        <v>GOIANORTE</v>
      </c>
    </row>
    <row r="388" spans="1:14" ht="18.75" customHeight="1" x14ac:dyDescent="0.25">
      <c r="A388" s="52">
        <v>7923927122</v>
      </c>
      <c r="B388" s="51" t="s">
        <v>1003</v>
      </c>
      <c r="C388" s="51" t="s">
        <v>1008</v>
      </c>
      <c r="D388" s="51" t="s">
        <v>1005</v>
      </c>
      <c r="E388" s="51" t="s">
        <v>1005</v>
      </c>
      <c r="F388" s="51" t="s">
        <v>1005</v>
      </c>
      <c r="G388" s="51" t="s">
        <v>1005</v>
      </c>
      <c r="H388" s="51" t="s">
        <v>1005</v>
      </c>
      <c r="I388" s="51" t="s">
        <v>1005</v>
      </c>
      <c r="J388" s="50" t="str">
        <f t="shared" si="12"/>
        <v>7923927122.pdf</v>
      </c>
      <c r="K388" s="51" t="s">
        <v>1006</v>
      </c>
      <c r="L388" s="51" t="s">
        <v>571</v>
      </c>
      <c r="M388" s="50" t="str">
        <f t="shared" si="13"/>
        <v>34.500</v>
      </c>
      <c r="N388" s="50" t="str">
        <f>IF(A388&lt;&gt;"",VLOOKUP(RIGHT(A388,3)*1,[4]Des_Loc!A:B,2,0),"")</f>
        <v>PALMAS</v>
      </c>
    </row>
    <row r="389" spans="1:14" ht="18.75" customHeight="1" x14ac:dyDescent="0.25">
      <c r="A389" s="52">
        <v>7923686078</v>
      </c>
      <c r="B389" s="51" t="s">
        <v>1003</v>
      </c>
      <c r="C389" s="51">
        <v>3</v>
      </c>
      <c r="D389" s="51" t="s">
        <v>1011</v>
      </c>
      <c r="E389" s="51" t="s">
        <v>1005</v>
      </c>
      <c r="F389" s="51" t="s">
        <v>1005</v>
      </c>
      <c r="G389" s="51" t="s">
        <v>1005</v>
      </c>
      <c r="H389" s="51" t="s">
        <v>1005</v>
      </c>
      <c r="I389" s="51" t="s">
        <v>1005</v>
      </c>
      <c r="J389" s="50" t="str">
        <f t="shared" si="12"/>
        <v>7923686078.pdf</v>
      </c>
      <c r="K389" s="51" t="s">
        <v>1006</v>
      </c>
      <c r="L389" s="51" t="s">
        <v>1047</v>
      </c>
      <c r="M389" s="50" t="str">
        <f t="shared" si="13"/>
        <v>34.500</v>
      </c>
      <c r="N389" s="50" t="str">
        <f>IF(A389&lt;&gt;"",VLOOKUP(RIGHT(A389,3)*1,[4]Des_Loc!A:B,2,0),"")</f>
        <v>ITACAJA</v>
      </c>
    </row>
    <row r="390" spans="1:14" ht="18.75" customHeight="1" x14ac:dyDescent="0.25">
      <c r="A390" s="52">
        <v>7921049024</v>
      </c>
      <c r="B390" s="51" t="s">
        <v>1003</v>
      </c>
      <c r="C390" s="51">
        <v>3</v>
      </c>
      <c r="D390" s="51"/>
      <c r="E390" s="51" t="s">
        <v>1005</v>
      </c>
      <c r="F390" s="51"/>
      <c r="G390" s="51"/>
      <c r="H390" s="51" t="s">
        <v>1005</v>
      </c>
      <c r="I390" s="51" t="s">
        <v>1005</v>
      </c>
      <c r="J390" s="50" t="str">
        <f t="shared" si="12"/>
        <v>7921049024.pdf</v>
      </c>
      <c r="K390" s="54" t="s">
        <v>1022</v>
      </c>
      <c r="L390" s="51" t="s">
        <v>1047</v>
      </c>
      <c r="M390" s="50" t="str">
        <f t="shared" si="13"/>
        <v>34.500</v>
      </c>
      <c r="N390" s="50" t="str">
        <f>IF(A390&lt;&gt;"",VLOOKUP(RIGHT(A390,3)*1,[4]Des_Loc!A:B,2,0),"")</f>
        <v>ITAPORA DO TOCANTINS</v>
      </c>
    </row>
    <row r="391" spans="1:14" ht="18.75" customHeight="1" x14ac:dyDescent="0.25">
      <c r="A391" s="52">
        <v>7925729023</v>
      </c>
      <c r="B391" s="51" t="s">
        <v>1003</v>
      </c>
      <c r="C391" s="51">
        <v>2</v>
      </c>
      <c r="D391" s="51"/>
      <c r="E391" s="51" t="s">
        <v>1005</v>
      </c>
      <c r="F391" s="51"/>
      <c r="G391" s="51"/>
      <c r="H391" s="51" t="s">
        <v>1005</v>
      </c>
      <c r="I391" s="51" t="s">
        <v>1005</v>
      </c>
      <c r="J391" s="50" t="str">
        <f t="shared" si="12"/>
        <v>7925729023.pdf</v>
      </c>
      <c r="K391" s="51" t="s">
        <v>1006</v>
      </c>
      <c r="L391" s="51" t="s">
        <v>1132</v>
      </c>
      <c r="M391" s="50" t="str">
        <f t="shared" si="13"/>
        <v>13.800</v>
      </c>
      <c r="N391" s="50" t="str">
        <f>IF(A391&lt;&gt;"",VLOOKUP(RIGHT(A391,3)*1,[4]Des_Loc!A:B,2,0),"")</f>
        <v>COLINAS DO TOCANTINS</v>
      </c>
    </row>
    <row r="392" spans="1:14" ht="18.75" customHeight="1" x14ac:dyDescent="0.25">
      <c r="A392" s="52">
        <v>7925522025</v>
      </c>
      <c r="B392" s="51" t="s">
        <v>1003</v>
      </c>
      <c r="C392" s="51">
        <v>3</v>
      </c>
      <c r="D392" s="51" t="s">
        <v>1011</v>
      </c>
      <c r="E392" s="51" t="s">
        <v>1005</v>
      </c>
      <c r="F392" s="51" t="s">
        <v>1005</v>
      </c>
      <c r="G392" s="51" t="s">
        <v>1005</v>
      </c>
      <c r="H392" s="51" t="s">
        <v>1005</v>
      </c>
      <c r="I392" s="51" t="s">
        <v>1005</v>
      </c>
      <c r="J392" s="50" t="str">
        <f t="shared" si="12"/>
        <v>7925522025.pdf</v>
      </c>
      <c r="K392" s="51" t="s">
        <v>1006</v>
      </c>
      <c r="L392" s="51" t="s">
        <v>1101</v>
      </c>
      <c r="M392" s="50" t="str">
        <f t="shared" si="13"/>
        <v>34.500</v>
      </c>
      <c r="N392" s="50" t="str">
        <f>IF(A392&lt;&gt;"",VLOOKUP(RIGHT(A392,3)*1,[4]Des_Loc!A:B,2,0),"")</f>
        <v>ARAPOEMA</v>
      </c>
    </row>
    <row r="393" spans="1:14" ht="18.75" customHeight="1" x14ac:dyDescent="0.25">
      <c r="A393" s="52">
        <v>7925730078</v>
      </c>
      <c r="B393" s="51" t="s">
        <v>1003</v>
      </c>
      <c r="C393" s="51" t="s">
        <v>1010</v>
      </c>
      <c r="D393" s="51"/>
      <c r="E393" s="51" t="s">
        <v>1005</v>
      </c>
      <c r="F393" s="51"/>
      <c r="G393" s="51"/>
      <c r="H393" s="51" t="s">
        <v>1005</v>
      </c>
      <c r="I393" s="51" t="s">
        <v>1005</v>
      </c>
      <c r="J393" s="50" t="str">
        <f t="shared" si="12"/>
        <v>7925730078.pdf</v>
      </c>
      <c r="K393" s="51" t="s">
        <v>1006</v>
      </c>
      <c r="L393" s="51" t="s">
        <v>470</v>
      </c>
      <c r="M393" s="50" t="str">
        <f t="shared" si="13"/>
        <v>34.500</v>
      </c>
      <c r="N393" s="50" t="str">
        <f>IF(A393&lt;&gt;"",VLOOKUP(RIGHT(A393,3)*1,[4]Des_Loc!A:B,2,0),"")</f>
        <v>ITACAJA</v>
      </c>
    </row>
    <row r="394" spans="1:14" ht="18.75" customHeight="1" x14ac:dyDescent="0.25">
      <c r="A394" s="52">
        <v>7949585053</v>
      </c>
      <c r="B394" s="51" t="s">
        <v>1003</v>
      </c>
      <c r="C394" s="51" t="s">
        <v>1025</v>
      </c>
      <c r="D394" s="51" t="s">
        <v>1011</v>
      </c>
      <c r="E394" s="51" t="s">
        <v>1005</v>
      </c>
      <c r="F394" s="51" t="s">
        <v>1005</v>
      </c>
      <c r="G394" s="51" t="s">
        <v>1005</v>
      </c>
      <c r="H394" s="51" t="s">
        <v>1005</v>
      </c>
      <c r="I394" s="51" t="s">
        <v>1005</v>
      </c>
      <c r="J394" s="50" t="str">
        <f t="shared" si="12"/>
        <v>7949585053.pdf</v>
      </c>
      <c r="K394" s="51" t="s">
        <v>1006</v>
      </c>
      <c r="L394" s="51" t="s">
        <v>1114</v>
      </c>
      <c r="M394" s="50" t="str">
        <f t="shared" si="13"/>
        <v>34.500</v>
      </c>
      <c r="N394" s="50" t="str">
        <f>IF(A394&lt;&gt;"",VLOOKUP(RIGHT(A394,3)*1,[4]Des_Loc!A:B,2,0),"")</f>
        <v>PIRAQUE</v>
      </c>
    </row>
    <row r="395" spans="1:14" ht="18.75" customHeight="1" x14ac:dyDescent="0.25">
      <c r="A395" s="52">
        <v>7924841030</v>
      </c>
      <c r="B395" s="51" t="s">
        <v>1003</v>
      </c>
      <c r="C395" s="51">
        <v>3</v>
      </c>
      <c r="D395" s="51"/>
      <c r="E395" s="51" t="s">
        <v>1005</v>
      </c>
      <c r="F395" s="51"/>
      <c r="G395" s="51"/>
      <c r="H395" s="51" t="s">
        <v>1005</v>
      </c>
      <c r="I395" s="51" t="s">
        <v>1005</v>
      </c>
      <c r="J395" s="50" t="str">
        <f t="shared" si="12"/>
        <v>7924841030.pdf</v>
      </c>
      <c r="K395" s="51" t="s">
        <v>1006</v>
      </c>
      <c r="L395" s="51" t="s">
        <v>1114</v>
      </c>
      <c r="M395" s="50" t="str">
        <f t="shared" si="13"/>
        <v>34.500</v>
      </c>
      <c r="N395" s="50" t="str">
        <f>IF(A395&lt;&gt;"",VLOOKUP(RIGHT(A395,3)*1,[4]Des_Loc!A:B,2,0),"")</f>
        <v>XAMBIOA</v>
      </c>
    </row>
    <row r="396" spans="1:14" ht="18.75" customHeight="1" x14ac:dyDescent="0.25">
      <c r="A396" s="52">
        <v>7925748016</v>
      </c>
      <c r="B396" s="51" t="s">
        <v>1003</v>
      </c>
      <c r="C396" s="51" t="s">
        <v>1004</v>
      </c>
      <c r="D396" s="51" t="s">
        <v>1005</v>
      </c>
      <c r="E396" s="51" t="s">
        <v>1005</v>
      </c>
      <c r="F396" s="51" t="s">
        <v>1005</v>
      </c>
      <c r="G396" s="51" t="s">
        <v>1005</v>
      </c>
      <c r="H396" s="51" t="s">
        <v>1005</v>
      </c>
      <c r="I396" s="51" t="s">
        <v>1005</v>
      </c>
      <c r="J396" s="50" t="str">
        <f t="shared" si="12"/>
        <v>7925748016.pdf</v>
      </c>
      <c r="K396" s="51" t="s">
        <v>1006</v>
      </c>
      <c r="L396" s="51" t="s">
        <v>1114</v>
      </c>
      <c r="M396" s="50" t="str">
        <f t="shared" si="13"/>
        <v>34.500</v>
      </c>
      <c r="N396" s="50" t="str">
        <f>IF(A396&lt;&gt;"",VLOOKUP(RIGHT(A396,3)*1,[4]Des_Loc!A:B,2,0),"")</f>
        <v>WANDERLANDIA</v>
      </c>
    </row>
    <row r="397" spans="1:14" ht="18.75" customHeight="1" x14ac:dyDescent="0.25">
      <c r="A397" s="52">
        <v>7922960016</v>
      </c>
      <c r="B397" s="51" t="s">
        <v>1003</v>
      </c>
      <c r="C397" s="51" t="s">
        <v>1010</v>
      </c>
      <c r="D397" s="51" t="s">
        <v>1005</v>
      </c>
      <c r="E397" s="51" t="s">
        <v>1005</v>
      </c>
      <c r="F397" s="51" t="s">
        <v>1005</v>
      </c>
      <c r="G397" s="51" t="s">
        <v>1005</v>
      </c>
      <c r="H397" s="51" t="s">
        <v>1005</v>
      </c>
      <c r="I397" s="51" t="s">
        <v>1005</v>
      </c>
      <c r="J397" s="50" t="str">
        <f t="shared" si="12"/>
        <v>7922960016.pdf</v>
      </c>
      <c r="K397" s="51" t="s">
        <v>1006</v>
      </c>
      <c r="L397" s="51" t="s">
        <v>497</v>
      </c>
      <c r="M397" s="50" t="str">
        <f t="shared" si="13"/>
        <v>34.500</v>
      </c>
      <c r="N397" s="50" t="str">
        <f>IF(A397&lt;&gt;"",VLOOKUP(RIGHT(A397,3)*1,[4]Des_Loc!A:B,2,0),"")</f>
        <v>WANDERLANDIA</v>
      </c>
    </row>
    <row r="398" spans="1:14" ht="18.75" customHeight="1" x14ac:dyDescent="0.25">
      <c r="A398" s="52">
        <v>7925725002</v>
      </c>
      <c r="B398" s="51" t="s">
        <v>1003</v>
      </c>
      <c r="C398" s="51" t="s">
        <v>1021</v>
      </c>
      <c r="D398" s="51" t="s">
        <v>1005</v>
      </c>
      <c r="E398" s="51" t="s">
        <v>1005</v>
      </c>
      <c r="F398" s="51" t="s">
        <v>1005</v>
      </c>
      <c r="G398" s="51" t="s">
        <v>1005</v>
      </c>
      <c r="H398" s="51" t="s">
        <v>1005</v>
      </c>
      <c r="I398" s="51" t="s">
        <v>1005</v>
      </c>
      <c r="J398" s="50" t="str">
        <f t="shared" si="12"/>
        <v>7925725002.pdf</v>
      </c>
      <c r="K398" s="51" t="s">
        <v>1022</v>
      </c>
      <c r="L398" s="51" t="s">
        <v>1093</v>
      </c>
      <c r="M398" s="50" t="str">
        <f t="shared" si="13"/>
        <v>13.800</v>
      </c>
      <c r="N398" s="50" t="str">
        <f>IF(A398&lt;&gt;"",VLOOKUP(RIGHT(A398,3)*1,[4]Des_Loc!A:B,2,0),"")</f>
        <v>TOCANTINOPOLIS</v>
      </c>
    </row>
    <row r="399" spans="1:14" ht="18.75" customHeight="1" x14ac:dyDescent="0.25">
      <c r="A399" s="52">
        <v>7925726002</v>
      </c>
      <c r="B399" s="51" t="s">
        <v>1003</v>
      </c>
      <c r="C399" s="51">
        <v>2</v>
      </c>
      <c r="D399" s="51"/>
      <c r="E399" s="51" t="s">
        <v>1005</v>
      </c>
      <c r="F399" s="51"/>
      <c r="G399" s="51"/>
      <c r="H399" s="51" t="s">
        <v>1005</v>
      </c>
      <c r="I399" s="51" t="s">
        <v>1005</v>
      </c>
      <c r="J399" s="50" t="str">
        <f t="shared" si="12"/>
        <v>7925726002.pdf</v>
      </c>
      <c r="K399" s="51" t="s">
        <v>1006</v>
      </c>
      <c r="L399" s="51" t="s">
        <v>1093</v>
      </c>
      <c r="M399" s="50" t="str">
        <f t="shared" si="13"/>
        <v>13.800</v>
      </c>
      <c r="N399" s="50" t="str">
        <f>IF(A399&lt;&gt;"",VLOOKUP(RIGHT(A399,3)*1,[4]Des_Loc!A:B,2,0),"")</f>
        <v>TOCANTINOPOLIS</v>
      </c>
    </row>
    <row r="400" spans="1:14" ht="18.75" customHeight="1" x14ac:dyDescent="0.25">
      <c r="A400" s="52">
        <v>7925727002</v>
      </c>
      <c r="B400" s="51" t="s">
        <v>1003</v>
      </c>
      <c r="C400" s="51">
        <v>2</v>
      </c>
      <c r="D400" s="51"/>
      <c r="E400" s="51" t="s">
        <v>1005</v>
      </c>
      <c r="F400" s="51"/>
      <c r="G400" s="51"/>
      <c r="H400" s="51" t="s">
        <v>1005</v>
      </c>
      <c r="I400" s="51" t="s">
        <v>1005</v>
      </c>
      <c r="J400" s="50" t="str">
        <f t="shared" si="12"/>
        <v>7925727002.pdf</v>
      </c>
      <c r="K400" s="51" t="s">
        <v>1006</v>
      </c>
      <c r="L400" s="51" t="s">
        <v>1134</v>
      </c>
      <c r="M400" s="50" t="str">
        <f t="shared" si="13"/>
        <v>13.800</v>
      </c>
      <c r="N400" s="50" t="str">
        <f>IF(A400&lt;&gt;"",VLOOKUP(RIGHT(A400,3)*1,[4]Des_Loc!A:B,2,0),"")</f>
        <v>TOCANTINOPOLIS</v>
      </c>
    </row>
    <row r="401" spans="1:14" ht="18.75" customHeight="1" x14ac:dyDescent="0.25">
      <c r="A401" s="52">
        <v>7925709087</v>
      </c>
      <c r="B401" s="51" t="s">
        <v>1003</v>
      </c>
      <c r="C401" s="51">
        <v>2</v>
      </c>
      <c r="D401" s="51" t="s">
        <v>1011</v>
      </c>
      <c r="E401" s="51" t="s">
        <v>1005</v>
      </c>
      <c r="F401" s="51" t="s">
        <v>1005</v>
      </c>
      <c r="G401" s="51" t="s">
        <v>1005</v>
      </c>
      <c r="H401" s="51" t="s">
        <v>1005</v>
      </c>
      <c r="I401" s="51" t="s">
        <v>1005</v>
      </c>
      <c r="J401" s="50" t="str">
        <f t="shared" si="12"/>
        <v>7925709087.pdf</v>
      </c>
      <c r="K401" s="51" t="s">
        <v>1006</v>
      </c>
      <c r="L401" s="51" t="s">
        <v>1062</v>
      </c>
      <c r="M401" s="50" t="str">
        <f t="shared" si="13"/>
        <v>34.500</v>
      </c>
      <c r="N401" s="50" t="str">
        <f>IF(A401&lt;&gt;"",VLOOKUP(RIGHT(A401,3)*1,[4]Des_Loc!A:B,2,0),"")</f>
        <v>GOIANORTE</v>
      </c>
    </row>
    <row r="402" spans="1:14" ht="18.75" customHeight="1" x14ac:dyDescent="0.25">
      <c r="A402" s="52">
        <v>7925621104</v>
      </c>
      <c r="B402" s="51" t="s">
        <v>1003</v>
      </c>
      <c r="C402" s="51" t="s">
        <v>1025</v>
      </c>
      <c r="D402" s="51" t="s">
        <v>1011</v>
      </c>
      <c r="E402" s="51" t="s">
        <v>1005</v>
      </c>
      <c r="F402" s="51" t="s">
        <v>1005</v>
      </c>
      <c r="G402" s="51" t="s">
        <v>1005</v>
      </c>
      <c r="H402" s="51" t="s">
        <v>1005</v>
      </c>
      <c r="I402" s="51" t="s">
        <v>1005</v>
      </c>
      <c r="J402" s="50" t="str">
        <f t="shared" si="12"/>
        <v>7925621104.pdf</v>
      </c>
      <c r="K402" s="51" t="s">
        <v>1006</v>
      </c>
      <c r="L402" s="51" t="s">
        <v>470</v>
      </c>
      <c r="M402" s="50" t="str">
        <f t="shared" si="13"/>
        <v>34.500</v>
      </c>
      <c r="N402" s="50" t="str">
        <f>IF(A402&lt;&gt;"",VLOOKUP(RIGHT(A402,3)*1,[4]Des_Loc!A:B,2,0),"")</f>
        <v>SANTA MARIA DO TOCANTINS</v>
      </c>
    </row>
    <row r="403" spans="1:14" ht="18.75" customHeight="1" x14ac:dyDescent="0.25">
      <c r="A403" s="52">
        <v>7925622104</v>
      </c>
      <c r="B403" s="51" t="s">
        <v>1003</v>
      </c>
      <c r="C403" s="51" t="s">
        <v>1010</v>
      </c>
      <c r="D403" s="51" t="s">
        <v>1005</v>
      </c>
      <c r="E403" s="51" t="s">
        <v>1005</v>
      </c>
      <c r="F403" s="51" t="s">
        <v>1005</v>
      </c>
      <c r="G403" s="51" t="s">
        <v>1005</v>
      </c>
      <c r="H403" s="51" t="s">
        <v>1005</v>
      </c>
      <c r="I403" s="51" t="s">
        <v>1005</v>
      </c>
      <c r="J403" s="50" t="str">
        <f t="shared" si="12"/>
        <v>7925622104.pdf</v>
      </c>
      <c r="K403" s="51" t="s">
        <v>1006</v>
      </c>
      <c r="L403" s="51" t="s">
        <v>470</v>
      </c>
      <c r="M403" s="50" t="str">
        <f t="shared" si="13"/>
        <v>34.500</v>
      </c>
      <c r="N403" s="50" t="str">
        <f>IF(A403&lt;&gt;"",VLOOKUP(RIGHT(A403,3)*1,[4]Des_Loc!A:B,2,0),"")</f>
        <v>SANTA MARIA DO TOCANTINS</v>
      </c>
    </row>
    <row r="404" spans="1:14" ht="18.75" customHeight="1" x14ac:dyDescent="0.25">
      <c r="A404" s="52">
        <v>7925731057</v>
      </c>
      <c r="B404" s="51" t="s">
        <v>1003</v>
      </c>
      <c r="C404" s="51" t="s">
        <v>1010</v>
      </c>
      <c r="D404" s="51" t="s">
        <v>1005</v>
      </c>
      <c r="E404" s="51" t="s">
        <v>1005</v>
      </c>
      <c r="F404" s="51" t="s">
        <v>1005</v>
      </c>
      <c r="G404" s="51" t="s">
        <v>1005</v>
      </c>
      <c r="H404" s="51" t="s">
        <v>1005</v>
      </c>
      <c r="I404" s="51" t="s">
        <v>1005</v>
      </c>
      <c r="J404" s="50" t="str">
        <f t="shared" si="12"/>
        <v>7925731057.pdf</v>
      </c>
      <c r="K404" s="51" t="s">
        <v>1006</v>
      </c>
      <c r="L404" s="51" t="s">
        <v>505</v>
      </c>
      <c r="M404" s="50" t="str">
        <f t="shared" si="13"/>
        <v>34.500</v>
      </c>
      <c r="N404" s="50" t="str">
        <f>IF(A404&lt;&gt;"",VLOOKUP(RIGHT(A404,3)*1,[4]Des_Loc!A:B,2,0),"")</f>
        <v>NOVO HORIZONTE</v>
      </c>
    </row>
    <row r="405" spans="1:14" ht="18.75" customHeight="1" x14ac:dyDescent="0.25">
      <c r="A405" s="52">
        <v>7925734195</v>
      </c>
      <c r="B405" s="51" t="s">
        <v>1003</v>
      </c>
      <c r="C405" s="51" t="s">
        <v>1010</v>
      </c>
      <c r="D405" s="51"/>
      <c r="E405" s="51" t="s">
        <v>1005</v>
      </c>
      <c r="F405" s="51"/>
      <c r="G405" s="51"/>
      <c r="H405" s="51" t="s">
        <v>1005</v>
      </c>
      <c r="I405" s="51" t="s">
        <v>1005</v>
      </c>
      <c r="J405" s="50" t="str">
        <f t="shared" si="12"/>
        <v>7925734195.pdf</v>
      </c>
      <c r="K405" s="51" t="s">
        <v>1006</v>
      </c>
      <c r="L405" s="51" t="s">
        <v>470</v>
      </c>
      <c r="M405" s="50" t="str">
        <f t="shared" si="13"/>
        <v>34.500</v>
      </c>
      <c r="N405" s="50" t="str">
        <f>IF(A405&lt;&gt;"",VLOOKUP(RIGHT(A405,3)*1,[4]Des_Loc!A:B,2,0),"")</f>
        <v>CENTENARIO</v>
      </c>
    </row>
    <row r="406" spans="1:14" ht="18.75" customHeight="1" x14ac:dyDescent="0.25">
      <c r="A406" s="52">
        <v>7921011227</v>
      </c>
      <c r="B406" s="51" t="s">
        <v>1003</v>
      </c>
      <c r="C406" s="51">
        <v>3</v>
      </c>
      <c r="D406" s="51"/>
      <c r="E406" s="51" t="s">
        <v>1005</v>
      </c>
      <c r="F406" s="51"/>
      <c r="G406" s="51"/>
      <c r="H406" s="51" t="s">
        <v>1005</v>
      </c>
      <c r="I406" s="51" t="s">
        <v>1005</v>
      </c>
      <c r="J406" s="50" t="str">
        <f t="shared" si="12"/>
        <v>7921011227.pdf</v>
      </c>
      <c r="K406" s="51" t="s">
        <v>1006</v>
      </c>
      <c r="L406" s="51" t="s">
        <v>470</v>
      </c>
      <c r="M406" s="50" t="str">
        <f t="shared" si="13"/>
        <v>34.500</v>
      </c>
      <c r="N406" s="50" t="str">
        <f>IF(A406&lt;&gt;"",VLOOKUP(RIGHT(A406,3)*1,[4]Des_Loc!A:B,2,0),"")</f>
        <v>RECURSOLANDIA</v>
      </c>
    </row>
    <row r="407" spans="1:14" ht="18.75" customHeight="1" x14ac:dyDescent="0.25">
      <c r="A407" s="52">
        <v>7926078046</v>
      </c>
      <c r="B407" s="51" t="s">
        <v>1003</v>
      </c>
      <c r="C407" s="51">
        <v>3</v>
      </c>
      <c r="D407" s="51" t="s">
        <v>1011</v>
      </c>
      <c r="E407" s="51" t="s">
        <v>1011</v>
      </c>
      <c r="F407" s="51" t="s">
        <v>1011</v>
      </c>
      <c r="G407" s="51" t="s">
        <v>1005</v>
      </c>
      <c r="H407" s="51" t="s">
        <v>1005</v>
      </c>
      <c r="I407" s="51" t="s">
        <v>1011</v>
      </c>
      <c r="J407" s="50" t="str">
        <f t="shared" si="12"/>
        <v>7926078046.pdf</v>
      </c>
      <c r="K407" s="51" t="s">
        <v>1006</v>
      </c>
      <c r="L407" s="51" t="s">
        <v>1019</v>
      </c>
      <c r="M407" s="50" t="str">
        <f t="shared" si="13"/>
        <v>34.500</v>
      </c>
      <c r="N407" s="50" t="str">
        <f>IF(A407&lt;&gt;"",VLOOKUP(RIGHT(A407,3)*1,[4]Des_Loc!A:B,2,0),"")</f>
        <v>NOVA ROSALANDIA</v>
      </c>
    </row>
    <row r="408" spans="1:14" ht="18.75" customHeight="1" x14ac:dyDescent="0.25">
      <c r="A408" s="52">
        <v>7925623011</v>
      </c>
      <c r="B408" s="51" t="s">
        <v>1003</v>
      </c>
      <c r="C408" s="51">
        <v>2</v>
      </c>
      <c r="D408" s="51" t="s">
        <v>1005</v>
      </c>
      <c r="E408" s="51" t="s">
        <v>1005</v>
      </c>
      <c r="F408" s="51" t="s">
        <v>1005</v>
      </c>
      <c r="G408" s="51" t="s">
        <v>1005</v>
      </c>
      <c r="H408" s="51" t="s">
        <v>1005</v>
      </c>
      <c r="I408" s="51" t="s">
        <v>1005</v>
      </c>
      <c r="J408" s="50" t="str">
        <f t="shared" si="12"/>
        <v>7925623011.pdf</v>
      </c>
      <c r="K408" s="51" t="s">
        <v>1006</v>
      </c>
      <c r="L408" s="51" t="s">
        <v>1135</v>
      </c>
      <c r="M408" s="50" t="str">
        <f t="shared" si="13"/>
        <v>13.800</v>
      </c>
      <c r="N408" s="50" t="str">
        <f>IF(A408&lt;&gt;"",VLOOKUP(RIGHT(A408,3)*1,[4]Des_Loc!A:B,2,0),"")</f>
        <v>TUPIRAMA</v>
      </c>
    </row>
    <row r="409" spans="1:14" ht="18.75" customHeight="1" x14ac:dyDescent="0.25">
      <c r="A409" s="52">
        <v>7925739016</v>
      </c>
      <c r="B409" s="51" t="s">
        <v>1003</v>
      </c>
      <c r="C409" s="51" t="s">
        <v>1010</v>
      </c>
      <c r="D409" s="51" t="s">
        <v>1005</v>
      </c>
      <c r="E409" s="51" t="s">
        <v>1005</v>
      </c>
      <c r="F409" s="51" t="s">
        <v>1005</v>
      </c>
      <c r="G409" s="51" t="s">
        <v>1005</v>
      </c>
      <c r="H409" s="51" t="s">
        <v>1005</v>
      </c>
      <c r="I409" s="51" t="s">
        <v>1005</v>
      </c>
      <c r="J409" s="50" t="str">
        <f t="shared" si="12"/>
        <v>7925739016.pdf</v>
      </c>
      <c r="K409" s="51" t="s">
        <v>1006</v>
      </c>
      <c r="L409" s="51" t="s">
        <v>497</v>
      </c>
      <c r="M409" s="50" t="str">
        <f t="shared" si="13"/>
        <v>34.500</v>
      </c>
      <c r="N409" s="50" t="str">
        <f>IF(A409&lt;&gt;"",VLOOKUP(RIGHT(A409,3)*1,[4]Des_Loc!A:B,2,0),"")</f>
        <v>WANDERLANDIA</v>
      </c>
    </row>
    <row r="410" spans="1:14" ht="18.75" customHeight="1" x14ac:dyDescent="0.25">
      <c r="A410" s="52">
        <v>7926403035</v>
      </c>
      <c r="B410" s="51" t="s">
        <v>1003</v>
      </c>
      <c r="C410" s="51">
        <v>2</v>
      </c>
      <c r="D410" s="51"/>
      <c r="E410" s="51" t="s">
        <v>1005</v>
      </c>
      <c r="F410" s="51"/>
      <c r="G410" s="51"/>
      <c r="H410" s="51" t="s">
        <v>1005</v>
      </c>
      <c r="I410" s="51" t="s">
        <v>1005</v>
      </c>
      <c r="J410" s="50" t="str">
        <f t="shared" si="12"/>
        <v>7926403035.pdf</v>
      </c>
      <c r="K410" s="51" t="s">
        <v>1006</v>
      </c>
      <c r="L410" s="51" t="s">
        <v>344</v>
      </c>
      <c r="M410" s="50" t="str">
        <f t="shared" si="13"/>
        <v>34.500</v>
      </c>
      <c r="N410" s="50" t="str">
        <f>IF(A410&lt;&gt;"",VLOOKUP(RIGHT(A410,3)*1,[4]Des_Loc!A:B,2,0),"")</f>
        <v>MONTE DO CARMO</v>
      </c>
    </row>
    <row r="411" spans="1:14" ht="18.75" customHeight="1" x14ac:dyDescent="0.25">
      <c r="A411" s="52">
        <v>7926201190</v>
      </c>
      <c r="B411" s="51" t="s">
        <v>1003</v>
      </c>
      <c r="C411" s="51" t="s">
        <v>1025</v>
      </c>
      <c r="D411" s="51" t="s">
        <v>1011</v>
      </c>
      <c r="E411" s="51" t="s">
        <v>1005</v>
      </c>
      <c r="F411" s="51" t="s">
        <v>1005</v>
      </c>
      <c r="G411" s="51" t="s">
        <v>1005</v>
      </c>
      <c r="H411" s="51" t="s">
        <v>1005</v>
      </c>
      <c r="I411" s="51" t="s">
        <v>1005</v>
      </c>
      <c r="J411" s="50" t="str">
        <f t="shared" si="12"/>
        <v>7926201190.pdf</v>
      </c>
      <c r="K411" s="51" t="s">
        <v>1006</v>
      </c>
      <c r="L411" s="51" t="s">
        <v>1136</v>
      </c>
      <c r="M411" s="50" t="str">
        <f t="shared" si="13"/>
        <v>34.500</v>
      </c>
      <c r="N411" s="50" t="str">
        <f>IF(A411&lt;&gt;"",VLOOKUP(RIGHT(A411,3)*1,[4]Des_Loc!A:B,2,0),"")</f>
        <v>NOVO JARDIM</v>
      </c>
    </row>
    <row r="412" spans="1:14" ht="18.75" customHeight="1" x14ac:dyDescent="0.25">
      <c r="A412" s="52">
        <v>7901771014</v>
      </c>
      <c r="B412" s="51" t="s">
        <v>1003</v>
      </c>
      <c r="C412" s="51" t="s">
        <v>1010</v>
      </c>
      <c r="D412" s="51" t="s">
        <v>1011</v>
      </c>
      <c r="E412" s="51" t="s">
        <v>1005</v>
      </c>
      <c r="F412" s="51" t="s">
        <v>1005</v>
      </c>
      <c r="G412" s="51" t="s">
        <v>1005</v>
      </c>
      <c r="H412" s="51" t="s">
        <v>1011</v>
      </c>
      <c r="I412" s="51" t="s">
        <v>1005</v>
      </c>
      <c r="J412" s="50" t="str">
        <f t="shared" si="12"/>
        <v>7901771014.pdf</v>
      </c>
      <c r="K412" s="51" t="s">
        <v>1006</v>
      </c>
      <c r="L412" s="51" t="s">
        <v>639</v>
      </c>
      <c r="M412" s="50" t="str">
        <f t="shared" si="13"/>
        <v>34.500</v>
      </c>
      <c r="N412" s="50" t="str">
        <f>IF(A412&lt;&gt;"",VLOOKUP(RIGHT(A412,3)*1,[4]Des_Loc!A:B,2,0),"")</f>
        <v>PIUM</v>
      </c>
    </row>
    <row r="413" spans="1:14" ht="18.75" customHeight="1" x14ac:dyDescent="0.25">
      <c r="A413" s="52">
        <v>7926655070</v>
      </c>
      <c r="B413" s="51" t="s">
        <v>1003</v>
      </c>
      <c r="C413" s="51" t="s">
        <v>1004</v>
      </c>
      <c r="D413" s="51" t="s">
        <v>1005</v>
      </c>
      <c r="E413" s="51" t="s">
        <v>1005</v>
      </c>
      <c r="F413" s="51" t="s">
        <v>1005</v>
      </c>
      <c r="G413" s="51" t="s">
        <v>1005</v>
      </c>
      <c r="H413" s="51" t="s">
        <v>1005</v>
      </c>
      <c r="I413" s="51" t="s">
        <v>1005</v>
      </c>
      <c r="J413" s="50" t="str">
        <f t="shared" si="12"/>
        <v>7926655070.pdf</v>
      </c>
      <c r="K413" s="51" t="s">
        <v>1006</v>
      </c>
      <c r="L413" s="51" t="s">
        <v>754</v>
      </c>
      <c r="M413" s="50" t="str">
        <f t="shared" si="13"/>
        <v>34.500</v>
      </c>
      <c r="N413" s="50" t="str">
        <f>IF(A413&lt;&gt;"",VLOOKUP(RIGHT(A413,3)*1,[4]Des_Loc!A:B,2,0),"")</f>
        <v>RIO SONO</v>
      </c>
    </row>
    <row r="414" spans="1:14" ht="18.75" customHeight="1" x14ac:dyDescent="0.25">
      <c r="A414" s="52">
        <v>7926089013</v>
      </c>
      <c r="B414" s="51" t="s">
        <v>1003</v>
      </c>
      <c r="C414" s="51" t="s">
        <v>1010</v>
      </c>
      <c r="D414" s="51" t="s">
        <v>1011</v>
      </c>
      <c r="E414" s="51" t="s">
        <v>1005</v>
      </c>
      <c r="F414" s="51" t="s">
        <v>1005</v>
      </c>
      <c r="G414" s="51" t="s">
        <v>1005</v>
      </c>
      <c r="H414" s="51" t="s">
        <v>1011</v>
      </c>
      <c r="I414" s="51" t="s">
        <v>1005</v>
      </c>
      <c r="J414" s="50" t="str">
        <f t="shared" si="12"/>
        <v>7926089013.pdf</v>
      </c>
      <c r="K414" s="51" t="s">
        <v>1006</v>
      </c>
      <c r="L414" s="51" t="s">
        <v>639</v>
      </c>
      <c r="M414" s="50" t="str">
        <f t="shared" si="13"/>
        <v>34.500</v>
      </c>
      <c r="N414" s="50" t="str">
        <f>IF(A414&lt;&gt;"",VLOOKUP(RIGHT(A414,3)*1,[4]Des_Loc!A:B,2,0),"")</f>
        <v>PARAISO DO TOCANTINS</v>
      </c>
    </row>
    <row r="415" spans="1:14" ht="18.75" customHeight="1" x14ac:dyDescent="0.25">
      <c r="A415" s="52">
        <v>7926656122</v>
      </c>
      <c r="B415" s="51" t="s">
        <v>1003</v>
      </c>
      <c r="C415" s="51" t="s">
        <v>1010</v>
      </c>
      <c r="D415" s="51"/>
      <c r="E415" s="51" t="s">
        <v>1005</v>
      </c>
      <c r="F415" s="51"/>
      <c r="G415" s="51"/>
      <c r="H415" s="51" t="s">
        <v>1005</v>
      </c>
      <c r="I415" s="51" t="s">
        <v>1005</v>
      </c>
      <c r="J415" s="50" t="str">
        <f t="shared" si="12"/>
        <v>7926656122.pdf</v>
      </c>
      <c r="K415" s="51" t="s">
        <v>1006</v>
      </c>
      <c r="L415" s="51" t="s">
        <v>1068</v>
      </c>
      <c r="M415" s="50" t="str">
        <f t="shared" si="13"/>
        <v>34.500</v>
      </c>
      <c r="N415" s="50" t="str">
        <f>IF(A415&lt;&gt;"",VLOOKUP(RIGHT(A415,3)*1,[4]Des_Loc!A:B,2,0),"")</f>
        <v>PALMAS</v>
      </c>
    </row>
    <row r="416" spans="1:14" ht="18.75" customHeight="1" x14ac:dyDescent="0.25">
      <c r="A416" s="52">
        <v>7925737080</v>
      </c>
      <c r="B416" s="51" t="s">
        <v>1003</v>
      </c>
      <c r="C416" s="51" t="s">
        <v>1010</v>
      </c>
      <c r="D416" s="51"/>
      <c r="E416" s="51" t="s">
        <v>1005</v>
      </c>
      <c r="F416" s="51"/>
      <c r="G416" s="51"/>
      <c r="H416" s="51" t="s">
        <v>1005</v>
      </c>
      <c r="I416" s="51" t="s">
        <v>1005</v>
      </c>
      <c r="J416" s="50" t="str">
        <f t="shared" si="12"/>
        <v>7925737080.pdf</v>
      </c>
      <c r="K416" s="51" t="s">
        <v>1006</v>
      </c>
      <c r="L416" s="51" t="s">
        <v>497</v>
      </c>
      <c r="M416" s="50" t="str">
        <f t="shared" si="13"/>
        <v>34.500</v>
      </c>
      <c r="N416" s="50" t="str">
        <f>IF(A416&lt;&gt;"",VLOOKUP(RIGHT(A416,3)*1,[4]Des_Loc!A:B,2,0),"")</f>
        <v>DARCINOPOLIS</v>
      </c>
    </row>
    <row r="417" spans="1:14" ht="18.75" customHeight="1" x14ac:dyDescent="0.25">
      <c r="A417" s="52">
        <v>7924914134</v>
      </c>
      <c r="B417" s="51" t="s">
        <v>1003</v>
      </c>
      <c r="C417" s="51" t="s">
        <v>1010</v>
      </c>
      <c r="D417" s="51" t="s">
        <v>1011</v>
      </c>
      <c r="E417" s="51" t="s">
        <v>1005</v>
      </c>
      <c r="F417" s="51" t="s">
        <v>1005</v>
      </c>
      <c r="G417" s="51" t="s">
        <v>1011</v>
      </c>
      <c r="H417" s="51" t="s">
        <v>1005</v>
      </c>
      <c r="I417" s="51" t="s">
        <v>1005</v>
      </c>
      <c r="J417" s="50" t="str">
        <f t="shared" si="12"/>
        <v>7924914134.pdf</v>
      </c>
      <c r="K417" s="51" t="s">
        <v>1006</v>
      </c>
      <c r="L417" s="51" t="s">
        <v>1012</v>
      </c>
      <c r="M417" s="50" t="str">
        <f t="shared" si="13"/>
        <v>34.500</v>
      </c>
      <c r="N417" s="50" t="str">
        <f>IF(A417&lt;&gt;"",VLOOKUP(RIGHT(A417,3)*1,[4]Des_Loc!A:B,2,0),"")</f>
        <v>ESPERANTINA</v>
      </c>
    </row>
    <row r="418" spans="1:14" ht="18.75" customHeight="1" x14ac:dyDescent="0.25">
      <c r="A418" s="52">
        <v>7926079073</v>
      </c>
      <c r="B418" s="51" t="s">
        <v>1003</v>
      </c>
      <c r="C418" s="51" t="s">
        <v>1010</v>
      </c>
      <c r="D418" s="51"/>
      <c r="E418" s="51" t="s">
        <v>1005</v>
      </c>
      <c r="F418" s="51"/>
      <c r="G418" s="51"/>
      <c r="H418" s="51" t="s">
        <v>1005</v>
      </c>
      <c r="I418" s="51" t="s">
        <v>1005</v>
      </c>
      <c r="J418" s="50" t="str">
        <f t="shared" si="12"/>
        <v>7926079073.pdf</v>
      </c>
      <c r="K418" s="51" t="s">
        <v>1006</v>
      </c>
      <c r="L418" s="51" t="s">
        <v>1137</v>
      </c>
      <c r="M418" s="50" t="str">
        <f t="shared" si="13"/>
        <v>34.500</v>
      </c>
      <c r="N418" s="50" t="str">
        <f>IF(A418&lt;&gt;"",VLOOKUP(RIGHT(A418,3)*1,[4]Des_Loc!A:B,2,0),"")</f>
        <v>LAGOA DA CONFUSAO</v>
      </c>
    </row>
    <row r="419" spans="1:14" ht="18.75" customHeight="1" x14ac:dyDescent="0.25">
      <c r="A419" s="52">
        <v>7926080073</v>
      </c>
      <c r="B419" s="51" t="s">
        <v>1003</v>
      </c>
      <c r="C419" s="51" t="s">
        <v>1010</v>
      </c>
      <c r="D419" s="51"/>
      <c r="E419" s="51" t="s">
        <v>1011</v>
      </c>
      <c r="F419" s="51"/>
      <c r="G419" s="51"/>
      <c r="H419" s="51" t="s">
        <v>1005</v>
      </c>
      <c r="I419" s="51" t="s">
        <v>1005</v>
      </c>
      <c r="J419" s="50" t="str">
        <f t="shared" si="12"/>
        <v>7926080073.pdf</v>
      </c>
      <c r="K419" s="51" t="s">
        <v>1006</v>
      </c>
      <c r="L419" s="51" t="s">
        <v>1137</v>
      </c>
      <c r="M419" s="50" t="str">
        <f t="shared" si="13"/>
        <v>34.500</v>
      </c>
      <c r="N419" s="50" t="str">
        <f>IF(A419&lt;&gt;"",VLOOKUP(RIGHT(A419,3)*1,[4]Des_Loc!A:B,2,0),"")</f>
        <v>LAGOA DA CONFUSAO</v>
      </c>
    </row>
    <row r="420" spans="1:14" ht="18.75" customHeight="1" x14ac:dyDescent="0.25">
      <c r="A420" s="52">
        <v>7922993065</v>
      </c>
      <c r="B420" s="51" t="s">
        <v>1003</v>
      </c>
      <c r="C420" s="51" t="s">
        <v>1010</v>
      </c>
      <c r="D420" s="51" t="s">
        <v>1005</v>
      </c>
      <c r="E420" s="51" t="s">
        <v>1005</v>
      </c>
      <c r="F420" s="51" t="s">
        <v>1005</v>
      </c>
      <c r="G420" s="51" t="s">
        <v>1005</v>
      </c>
      <c r="H420" s="51" t="s">
        <v>1005</v>
      </c>
      <c r="I420" s="51" t="s">
        <v>1005</v>
      </c>
      <c r="J420" s="50" t="str">
        <f t="shared" si="12"/>
        <v>7922993065.pdf</v>
      </c>
      <c r="K420" s="51" t="s">
        <v>1006</v>
      </c>
      <c r="L420" s="51" t="s">
        <v>1138</v>
      </c>
      <c r="M420" s="50" t="str">
        <f t="shared" si="13"/>
        <v>13.800</v>
      </c>
      <c r="N420" s="50" t="str">
        <f>IF(A420&lt;&gt;"",VLOOKUP(RIGHT(A420,3)*1,[4]Des_Loc!A:B,2,0),"")</f>
        <v>AXIXA DO TOCANTINS</v>
      </c>
    </row>
    <row r="421" spans="1:14" ht="18.75" customHeight="1" x14ac:dyDescent="0.25">
      <c r="A421" s="52">
        <v>7927310083</v>
      </c>
      <c r="B421" s="51" t="s">
        <v>1003</v>
      </c>
      <c r="C421" s="51">
        <v>3</v>
      </c>
      <c r="D421" s="51" t="s">
        <v>1005</v>
      </c>
      <c r="E421" s="51" t="s">
        <v>1005</v>
      </c>
      <c r="F421" s="51" t="s">
        <v>1005</v>
      </c>
      <c r="G421" s="51" t="s">
        <v>1005</v>
      </c>
      <c r="H421" s="51" t="s">
        <v>1005</v>
      </c>
      <c r="I421" s="51" t="s">
        <v>1005</v>
      </c>
      <c r="J421" s="50" t="str">
        <f t="shared" si="12"/>
        <v>7927310083.pdf</v>
      </c>
      <c r="K421" s="51" t="s">
        <v>1006</v>
      </c>
      <c r="L421" s="51" t="s">
        <v>1068</v>
      </c>
      <c r="M421" s="50" t="str">
        <f t="shared" si="13"/>
        <v>34.500</v>
      </c>
      <c r="N421" s="50" t="str">
        <f>IF(A421&lt;&gt;"",VLOOKUP(RIGHT(A421,3)*1,[4]Des_Loc!A:B,2,0),"")</f>
        <v>APARECIDA DO RIO NEGRO</v>
      </c>
    </row>
    <row r="422" spans="1:14" ht="18.75" customHeight="1" x14ac:dyDescent="0.25">
      <c r="A422" s="52">
        <v>7926672083</v>
      </c>
      <c r="B422" s="51" t="s">
        <v>1003</v>
      </c>
      <c r="C422" s="51">
        <v>3</v>
      </c>
      <c r="D422" s="51" t="s">
        <v>1005</v>
      </c>
      <c r="E422" s="51" t="s">
        <v>1005</v>
      </c>
      <c r="F422" s="51" t="s">
        <v>1005</v>
      </c>
      <c r="G422" s="51" t="s">
        <v>1005</v>
      </c>
      <c r="H422" s="51" t="s">
        <v>1005</v>
      </c>
      <c r="I422" s="51" t="s">
        <v>1005</v>
      </c>
      <c r="J422" s="50" t="str">
        <f t="shared" si="12"/>
        <v>7926672083.pdf</v>
      </c>
      <c r="K422" s="51" t="s">
        <v>1006</v>
      </c>
      <c r="L422" s="51" t="s">
        <v>1015</v>
      </c>
      <c r="M422" s="50" t="str">
        <f t="shared" si="13"/>
        <v>34.500</v>
      </c>
      <c r="N422" s="50" t="str">
        <f>IF(A422&lt;&gt;"",VLOOKUP(RIGHT(A422,3)*1,[4]Des_Loc!A:B,2,0),"")</f>
        <v>APARECIDA DO RIO NEGRO</v>
      </c>
    </row>
    <row r="423" spans="1:14" ht="18.75" customHeight="1" x14ac:dyDescent="0.25">
      <c r="A423" s="52">
        <v>7927319122</v>
      </c>
      <c r="B423" s="51" t="s">
        <v>1003</v>
      </c>
      <c r="C423" s="51" t="s">
        <v>1010</v>
      </c>
      <c r="D423" s="51" t="s">
        <v>1011</v>
      </c>
      <c r="E423" s="51" t="s">
        <v>1011</v>
      </c>
      <c r="F423" s="51" t="s">
        <v>1005</v>
      </c>
      <c r="G423" s="51" t="s">
        <v>1005</v>
      </c>
      <c r="H423" s="51" t="s">
        <v>1005</v>
      </c>
      <c r="I423" s="51" t="s">
        <v>1005</v>
      </c>
      <c r="J423" s="50" t="str">
        <f t="shared" si="12"/>
        <v>7927319122.pdf</v>
      </c>
      <c r="K423" s="51" t="s">
        <v>1006</v>
      </c>
      <c r="L423" s="51" t="s">
        <v>1015</v>
      </c>
      <c r="M423" s="50" t="str">
        <f t="shared" si="13"/>
        <v>34.500</v>
      </c>
      <c r="N423" s="50" t="str">
        <f>IF(A423&lt;&gt;"",VLOOKUP(RIGHT(A423,3)*1,[4]Des_Loc!A:B,2,0),"")</f>
        <v>PALMAS</v>
      </c>
    </row>
    <row r="424" spans="1:14" ht="18.75" customHeight="1" x14ac:dyDescent="0.25">
      <c r="A424" s="52">
        <v>7927644152</v>
      </c>
      <c r="B424" s="51" t="s">
        <v>1003</v>
      </c>
      <c r="C424" s="51">
        <v>3</v>
      </c>
      <c r="D424" s="51" t="s">
        <v>1011</v>
      </c>
      <c r="E424" s="51" t="s">
        <v>1005</v>
      </c>
      <c r="F424" s="51" t="s">
        <v>1005</v>
      </c>
      <c r="G424" s="51" t="s">
        <v>1005</v>
      </c>
      <c r="H424" s="51" t="s">
        <v>1005</v>
      </c>
      <c r="I424" s="51" t="s">
        <v>1005</v>
      </c>
      <c r="J424" s="50" t="str">
        <f t="shared" si="12"/>
        <v>7927644152.pdf</v>
      </c>
      <c r="K424" s="51" t="s">
        <v>1006</v>
      </c>
      <c r="L424" s="51" t="s">
        <v>430</v>
      </c>
      <c r="M424" s="50" t="str">
        <f t="shared" si="13"/>
        <v>34.500</v>
      </c>
      <c r="N424" s="50" t="str">
        <f>IF(A424&lt;&gt;"",VLOOKUP(RIGHT(A424,3)*1,[4]Des_Loc!A:B,2,0),"")</f>
        <v>SANTA ROSA DO TOCANTINS</v>
      </c>
    </row>
    <row r="425" spans="1:14" ht="18.75" customHeight="1" x14ac:dyDescent="0.25">
      <c r="A425" s="52">
        <v>7927650001</v>
      </c>
      <c r="B425" s="51" t="s">
        <v>1003</v>
      </c>
      <c r="C425" s="51">
        <v>3</v>
      </c>
      <c r="D425" s="51"/>
      <c r="E425" s="51" t="s">
        <v>1005</v>
      </c>
      <c r="F425" s="51"/>
      <c r="G425" s="51"/>
      <c r="H425" s="51" t="s">
        <v>1005</v>
      </c>
      <c r="I425" s="51" t="s">
        <v>1005</v>
      </c>
      <c r="J425" s="50" t="str">
        <f t="shared" si="12"/>
        <v>7927650001.pdf</v>
      </c>
      <c r="K425" s="51" t="s">
        <v>1006</v>
      </c>
      <c r="L425" s="51" t="s">
        <v>430</v>
      </c>
      <c r="M425" s="50" t="str">
        <f t="shared" si="13"/>
        <v>34.500</v>
      </c>
      <c r="N425" s="50" t="str">
        <f>IF(A425&lt;&gt;"",VLOOKUP(RIGHT(A425,3)*1,[4]Des_Loc!A:B,2,0),"")</f>
        <v>PORTO NACIONAL</v>
      </c>
    </row>
    <row r="426" spans="1:14" ht="18.75" customHeight="1" x14ac:dyDescent="0.25">
      <c r="A426" s="52">
        <v>7925732016</v>
      </c>
      <c r="B426" s="51" t="s">
        <v>1003</v>
      </c>
      <c r="C426" s="51" t="s">
        <v>1010</v>
      </c>
      <c r="D426" s="51"/>
      <c r="E426" s="51" t="s">
        <v>1005</v>
      </c>
      <c r="F426" s="51"/>
      <c r="G426" s="51"/>
      <c r="H426" s="51" t="s">
        <v>1005</v>
      </c>
      <c r="I426" s="51" t="s">
        <v>1005</v>
      </c>
      <c r="J426" s="50" t="str">
        <f t="shared" si="12"/>
        <v>7925732016.pdf</v>
      </c>
      <c r="K426" s="51" t="s">
        <v>1006</v>
      </c>
      <c r="L426" s="51" t="s">
        <v>497</v>
      </c>
      <c r="M426" s="50" t="str">
        <f t="shared" si="13"/>
        <v>34.500</v>
      </c>
      <c r="N426" s="50" t="str">
        <f>IF(A426&lt;&gt;"",VLOOKUP(RIGHT(A426,3)*1,[4]Des_Loc!A:B,2,0),"")</f>
        <v>WANDERLANDIA</v>
      </c>
    </row>
    <row r="427" spans="1:14" ht="18.75" customHeight="1" x14ac:dyDescent="0.25">
      <c r="A427" s="52">
        <v>7926059013</v>
      </c>
      <c r="B427" s="51" t="s">
        <v>1003</v>
      </c>
      <c r="C427" s="51" t="s">
        <v>1010</v>
      </c>
      <c r="D427" s="51"/>
      <c r="E427" s="51" t="s">
        <v>1011</v>
      </c>
      <c r="F427" s="51"/>
      <c r="G427" s="51"/>
      <c r="H427" s="51" t="s">
        <v>1005</v>
      </c>
      <c r="I427" s="51" t="s">
        <v>1005</v>
      </c>
      <c r="J427" s="50" t="str">
        <f t="shared" si="12"/>
        <v>7926059013.pdf</v>
      </c>
      <c r="K427" s="51" t="s">
        <v>1006</v>
      </c>
      <c r="L427" s="51" t="s">
        <v>1139</v>
      </c>
      <c r="M427" s="50" t="str">
        <f t="shared" si="13"/>
        <v>34.500</v>
      </c>
      <c r="N427" s="50" t="str">
        <f>IF(A427&lt;&gt;"",VLOOKUP(RIGHT(A427,3)*1,[4]Des_Loc!A:B,2,0),"")</f>
        <v>PARAISO DO TOCANTINS</v>
      </c>
    </row>
    <row r="428" spans="1:14" ht="18.75" customHeight="1" x14ac:dyDescent="0.25">
      <c r="A428" s="52">
        <v>7926253032</v>
      </c>
      <c r="B428" s="51" t="s">
        <v>1003</v>
      </c>
      <c r="C428" s="51" t="s">
        <v>1021</v>
      </c>
      <c r="D428" s="51" t="s">
        <v>1005</v>
      </c>
      <c r="E428" s="51" t="s">
        <v>1005</v>
      </c>
      <c r="F428" s="51" t="s">
        <v>1005</v>
      </c>
      <c r="G428" s="51" t="s">
        <v>1005</v>
      </c>
      <c r="H428" s="51" t="s">
        <v>1005</v>
      </c>
      <c r="I428" s="51" t="s">
        <v>1005</v>
      </c>
      <c r="J428" s="50" t="str">
        <f t="shared" si="12"/>
        <v>7926253032.pdf</v>
      </c>
      <c r="K428" s="51" t="s">
        <v>1006</v>
      </c>
      <c r="L428" s="51" t="s">
        <v>1037</v>
      </c>
      <c r="M428" s="50" t="str">
        <f t="shared" si="13"/>
        <v>34.500</v>
      </c>
      <c r="N428" s="50" t="str">
        <f>IF(A428&lt;&gt;"",VLOOKUP(RIGHT(A428,3)*1,[4]Des_Loc!A:B,2,0),"")</f>
        <v>ARAGUACU</v>
      </c>
    </row>
    <row r="429" spans="1:14" ht="18.75" customHeight="1" x14ac:dyDescent="0.25">
      <c r="A429" s="52">
        <v>7925733015</v>
      </c>
      <c r="B429" s="51" t="s">
        <v>1003</v>
      </c>
      <c r="C429" s="51">
        <v>3</v>
      </c>
      <c r="D429" s="51" t="s">
        <v>1011</v>
      </c>
      <c r="E429" s="51" t="s">
        <v>1011</v>
      </c>
      <c r="F429" s="51" t="s">
        <v>1011</v>
      </c>
      <c r="G429" s="51" t="s">
        <v>1005</v>
      </c>
      <c r="H429" s="51" t="s">
        <v>1005</v>
      </c>
      <c r="I429" s="51" t="s">
        <v>1011</v>
      </c>
      <c r="J429" s="50" t="str">
        <f t="shared" si="12"/>
        <v>7925733015.pdf</v>
      </c>
      <c r="K429" s="51" t="s">
        <v>1006</v>
      </c>
      <c r="L429" s="51" t="s">
        <v>754</v>
      </c>
      <c r="M429" s="50" t="str">
        <f t="shared" si="13"/>
        <v>34.500</v>
      </c>
      <c r="N429" s="50" t="str">
        <f>IF(A429&lt;&gt;"",VLOOKUP(RIGHT(A429,3)*1,[4]Des_Loc!A:B,2,0),"")</f>
        <v>PEDRO AFONSO</v>
      </c>
    </row>
    <row r="430" spans="1:14" ht="18.75" customHeight="1" x14ac:dyDescent="0.25">
      <c r="A430" s="52">
        <v>7924719090</v>
      </c>
      <c r="B430" s="51" t="s">
        <v>1003</v>
      </c>
      <c r="C430" s="51" t="s">
        <v>1021</v>
      </c>
      <c r="D430" s="51"/>
      <c r="E430" s="51" t="s">
        <v>1005</v>
      </c>
      <c r="F430" s="51"/>
      <c r="G430" s="51"/>
      <c r="H430" s="51" t="s">
        <v>1005</v>
      </c>
      <c r="I430" s="51" t="s">
        <v>1005</v>
      </c>
      <c r="J430" s="50" t="str">
        <f t="shared" si="12"/>
        <v>7924719090.pdf</v>
      </c>
      <c r="K430" s="51" t="s">
        <v>1006</v>
      </c>
      <c r="L430" s="51" t="s">
        <v>594</v>
      </c>
      <c r="M430" s="50" t="str">
        <f t="shared" si="13"/>
        <v>34.500</v>
      </c>
      <c r="N430" s="50" t="str">
        <f>IF(A430&lt;&gt;"",VLOOKUP(RIGHT(A430,3)*1,[4]Des_Loc!A:B,2,0),"")</f>
        <v>NAZARE</v>
      </c>
    </row>
    <row r="431" spans="1:14" ht="18.75" customHeight="1" x14ac:dyDescent="0.25">
      <c r="A431" s="52">
        <v>7924883090</v>
      </c>
      <c r="B431" s="51" t="s">
        <v>1003</v>
      </c>
      <c r="C431" s="51" t="s">
        <v>1021</v>
      </c>
      <c r="D431" s="51"/>
      <c r="E431" s="51" t="s">
        <v>1005</v>
      </c>
      <c r="F431" s="51"/>
      <c r="G431" s="51"/>
      <c r="H431" s="51" t="s">
        <v>1005</v>
      </c>
      <c r="I431" s="51" t="s">
        <v>1005</v>
      </c>
      <c r="J431" s="50" t="str">
        <f t="shared" si="12"/>
        <v>7924883090.pdf</v>
      </c>
      <c r="K431" s="51" t="s">
        <v>1006</v>
      </c>
      <c r="L431" s="51" t="s">
        <v>453</v>
      </c>
      <c r="M431" s="50" t="str">
        <f t="shared" si="13"/>
        <v>34.500</v>
      </c>
      <c r="N431" s="50" t="str">
        <f>IF(A431&lt;&gt;"",VLOOKUP(RIGHT(A431,3)*1,[4]Des_Loc!A:B,2,0),"")</f>
        <v>NAZARE</v>
      </c>
    </row>
    <row r="432" spans="1:14" ht="18.75" customHeight="1" x14ac:dyDescent="0.25">
      <c r="A432" s="52">
        <v>7926645073</v>
      </c>
      <c r="B432" s="51" t="s">
        <v>1003</v>
      </c>
      <c r="C432" s="51">
        <v>2</v>
      </c>
      <c r="D432" s="51" t="s">
        <v>1005</v>
      </c>
      <c r="E432" s="51" t="s">
        <v>1005</v>
      </c>
      <c r="F432" s="51" t="s">
        <v>1005</v>
      </c>
      <c r="G432" s="51" t="s">
        <v>1005</v>
      </c>
      <c r="H432" s="51" t="s">
        <v>1005</v>
      </c>
      <c r="I432" s="51" t="s">
        <v>1005</v>
      </c>
      <c r="J432" s="50" t="str">
        <f t="shared" si="12"/>
        <v>7926645073.pdf</v>
      </c>
      <c r="K432" s="51" t="s">
        <v>1006</v>
      </c>
      <c r="L432" s="51" t="s">
        <v>1137</v>
      </c>
      <c r="M432" s="50" t="str">
        <f t="shared" si="13"/>
        <v>34.500</v>
      </c>
      <c r="N432" s="50" t="str">
        <f>IF(A432&lt;&gt;"",VLOOKUP(RIGHT(A432,3)*1,[4]Des_Loc!A:B,2,0),"")</f>
        <v>LAGOA DA CONFUSAO</v>
      </c>
    </row>
    <row r="433" spans="1:14" ht="18.75" customHeight="1" x14ac:dyDescent="0.25">
      <c r="A433" s="52">
        <v>7926441035</v>
      </c>
      <c r="B433" s="51" t="s">
        <v>1003</v>
      </c>
      <c r="C433" s="51" t="s">
        <v>1010</v>
      </c>
      <c r="D433" s="51"/>
      <c r="E433" s="51" t="s">
        <v>1005</v>
      </c>
      <c r="F433" s="51"/>
      <c r="G433" s="51"/>
      <c r="H433" s="51" t="s">
        <v>1005</v>
      </c>
      <c r="I433" s="51" t="s">
        <v>1005</v>
      </c>
      <c r="J433" s="50" t="str">
        <f t="shared" si="12"/>
        <v>7926441035.pdf</v>
      </c>
      <c r="K433" s="51" t="s">
        <v>1006</v>
      </c>
      <c r="L433" s="51" t="s">
        <v>344</v>
      </c>
      <c r="M433" s="50" t="str">
        <f t="shared" si="13"/>
        <v>34.500</v>
      </c>
      <c r="N433" s="50" t="str">
        <f>IF(A433&lt;&gt;"",VLOOKUP(RIGHT(A433,3)*1,[4]Des_Loc!A:B,2,0),"")</f>
        <v>MONTE DO CARMO</v>
      </c>
    </row>
    <row r="434" spans="1:14" ht="18.75" customHeight="1" x14ac:dyDescent="0.25">
      <c r="A434" s="52">
        <v>7926442035</v>
      </c>
      <c r="B434" s="51" t="s">
        <v>1003</v>
      </c>
      <c r="C434" s="51">
        <v>2</v>
      </c>
      <c r="D434" s="51"/>
      <c r="E434" s="51" t="s">
        <v>1005</v>
      </c>
      <c r="F434" s="51"/>
      <c r="G434" s="51"/>
      <c r="H434" s="51" t="s">
        <v>1005</v>
      </c>
      <c r="I434" s="51" t="s">
        <v>1005</v>
      </c>
      <c r="J434" s="50" t="str">
        <f t="shared" si="12"/>
        <v>7926442035.pdf</v>
      </c>
      <c r="K434" s="51" t="s">
        <v>1006</v>
      </c>
      <c r="L434" s="51" t="s">
        <v>344</v>
      </c>
      <c r="M434" s="50" t="str">
        <f t="shared" si="13"/>
        <v>34.500</v>
      </c>
      <c r="N434" s="50" t="str">
        <f>IF(A434&lt;&gt;"",VLOOKUP(RIGHT(A434,3)*1,[4]Des_Loc!A:B,2,0),"")</f>
        <v>MONTE DO CARMO</v>
      </c>
    </row>
    <row r="435" spans="1:14" ht="18.75" customHeight="1" x14ac:dyDescent="0.25">
      <c r="A435" s="52">
        <v>7925898004</v>
      </c>
      <c r="B435" s="51" t="s">
        <v>1003</v>
      </c>
      <c r="C435" s="51" t="s">
        <v>1008</v>
      </c>
      <c r="D435" s="51" t="s">
        <v>1005</v>
      </c>
      <c r="E435" s="51" t="s">
        <v>1005</v>
      </c>
      <c r="F435" s="51" t="s">
        <v>1005</v>
      </c>
      <c r="G435" s="51" t="s">
        <v>1005</v>
      </c>
      <c r="H435" s="51" t="s">
        <v>1005</v>
      </c>
      <c r="I435" s="51" t="s">
        <v>1005</v>
      </c>
      <c r="J435" s="50" t="str">
        <f t="shared" si="12"/>
        <v>7925898004.pdf</v>
      </c>
      <c r="K435" s="51" t="s">
        <v>1006</v>
      </c>
      <c r="L435" s="51" t="s">
        <v>1140</v>
      </c>
      <c r="M435" s="50" t="str">
        <f t="shared" si="13"/>
        <v>34.500</v>
      </c>
      <c r="N435" s="50" t="str">
        <f>IF(A435&lt;&gt;"",VLOOKUP(RIGHT(A435,3)*1,[4]Des_Loc!A:B,2,0),"")</f>
        <v>ARAGUAINA</v>
      </c>
    </row>
    <row r="436" spans="1:14" ht="18.75" customHeight="1" x14ac:dyDescent="0.25">
      <c r="A436" s="52">
        <v>7925851004</v>
      </c>
      <c r="B436" s="51" t="s">
        <v>1003</v>
      </c>
      <c r="C436" s="51" t="s">
        <v>1010</v>
      </c>
      <c r="D436" s="51" t="s">
        <v>1011</v>
      </c>
      <c r="E436" s="51" t="s">
        <v>1005</v>
      </c>
      <c r="F436" s="51" t="s">
        <v>1005</v>
      </c>
      <c r="G436" s="51" t="s">
        <v>1005</v>
      </c>
      <c r="H436" s="51" t="s">
        <v>1005</v>
      </c>
      <c r="I436" s="51" t="s">
        <v>1005</v>
      </c>
      <c r="J436" s="50" t="str">
        <f t="shared" si="12"/>
        <v>7925851004.pdf</v>
      </c>
      <c r="K436" s="51" t="s">
        <v>1006</v>
      </c>
      <c r="L436" s="51" t="s">
        <v>497</v>
      </c>
      <c r="M436" s="50" t="str">
        <f t="shared" si="13"/>
        <v>34.500</v>
      </c>
      <c r="N436" s="50" t="str">
        <f>IF(A436&lt;&gt;"",VLOOKUP(RIGHT(A436,3)*1,[4]Des_Loc!A:B,2,0),"")</f>
        <v>ARAGUAINA</v>
      </c>
    </row>
    <row r="437" spans="1:14" ht="18.75" customHeight="1" x14ac:dyDescent="0.25">
      <c r="A437" s="52">
        <v>7900100147</v>
      </c>
      <c r="B437" s="51" t="s">
        <v>1003</v>
      </c>
      <c r="C437" s="51" t="s">
        <v>1010</v>
      </c>
      <c r="D437" s="51" t="s">
        <v>1011</v>
      </c>
      <c r="E437" s="51" t="s">
        <v>1005</v>
      </c>
      <c r="F437" s="51" t="s">
        <v>1005</v>
      </c>
      <c r="G437" s="51" t="s">
        <v>1005</v>
      </c>
      <c r="H437" s="51" t="s">
        <v>1005</v>
      </c>
      <c r="I437" s="51" t="s">
        <v>1005</v>
      </c>
      <c r="J437" s="50" t="str">
        <f t="shared" si="12"/>
        <v>7900100147.pdf</v>
      </c>
      <c r="K437" s="51" t="s">
        <v>1006</v>
      </c>
      <c r="L437" s="51" t="s">
        <v>331</v>
      </c>
      <c r="M437" s="50" t="str">
        <f t="shared" si="13"/>
        <v>34.500</v>
      </c>
      <c r="N437" s="50" t="str">
        <f>IF(A437&lt;&gt;"",VLOOKUP(RIGHT(A437,3)*1,[4]Des_Loc!A:B,2,0),"")</f>
        <v>TAIPAS DO TOCANTINS</v>
      </c>
    </row>
    <row r="438" spans="1:14" ht="18.75" customHeight="1" x14ac:dyDescent="0.25">
      <c r="A438" s="52">
        <v>7925869030</v>
      </c>
      <c r="B438" s="51" t="s">
        <v>1003</v>
      </c>
      <c r="C438" s="51">
        <v>3</v>
      </c>
      <c r="D438" s="51" t="s">
        <v>1011</v>
      </c>
      <c r="E438" s="51" t="s">
        <v>1005</v>
      </c>
      <c r="F438" s="51" t="s">
        <v>1011</v>
      </c>
      <c r="G438" s="51" t="s">
        <v>1005</v>
      </c>
      <c r="H438" s="51" t="s">
        <v>1005</v>
      </c>
      <c r="I438" s="51" t="s">
        <v>1011</v>
      </c>
      <c r="J438" s="50" t="str">
        <f t="shared" si="12"/>
        <v>7925869030.pdf</v>
      </c>
      <c r="K438" s="51" t="s">
        <v>1006</v>
      </c>
      <c r="L438" s="51" t="s">
        <v>1114</v>
      </c>
      <c r="M438" s="50" t="str">
        <f t="shared" si="13"/>
        <v>34.500</v>
      </c>
      <c r="N438" s="50" t="str">
        <f>IF(A438&lt;&gt;"",VLOOKUP(RIGHT(A438,3)*1,[4]Des_Loc!A:B,2,0),"")</f>
        <v>XAMBIOA</v>
      </c>
    </row>
    <row r="439" spans="1:14" ht="18.75" customHeight="1" x14ac:dyDescent="0.25">
      <c r="A439" s="52">
        <v>7911644074</v>
      </c>
      <c r="B439" s="51" t="s">
        <v>1003</v>
      </c>
      <c r="C439" s="51" t="s">
        <v>1010</v>
      </c>
      <c r="D439" s="51" t="s">
        <v>1011</v>
      </c>
      <c r="E439" s="51" t="s">
        <v>1005</v>
      </c>
      <c r="F439" s="51" t="s">
        <v>1011</v>
      </c>
      <c r="G439" s="51" t="s">
        <v>1005</v>
      </c>
      <c r="H439" s="51" t="s">
        <v>1005</v>
      </c>
      <c r="I439" s="51" t="s">
        <v>1011</v>
      </c>
      <c r="J439" s="50" t="str">
        <f t="shared" si="12"/>
        <v>7911644074.pdf</v>
      </c>
      <c r="K439" s="51" t="s">
        <v>1006</v>
      </c>
      <c r="L439" s="51" t="s">
        <v>331</v>
      </c>
      <c r="M439" s="50" t="str">
        <f t="shared" si="13"/>
        <v>34.500</v>
      </c>
      <c r="N439" s="50" t="str">
        <f>IF(A439&lt;&gt;"",VLOOKUP(RIGHT(A439,3)*1,[4]Des_Loc!A:B,2,0),"")</f>
        <v>DIANOPOLIS</v>
      </c>
    </row>
    <row r="440" spans="1:14" ht="18.75" customHeight="1" x14ac:dyDescent="0.25">
      <c r="A440" s="52">
        <v>7927693110</v>
      </c>
      <c r="B440" s="51" t="s">
        <v>1003</v>
      </c>
      <c r="C440" s="51">
        <v>3</v>
      </c>
      <c r="D440" s="51" t="s">
        <v>1011</v>
      </c>
      <c r="E440" s="51" t="s">
        <v>1005</v>
      </c>
      <c r="F440" s="51" t="s">
        <v>1005</v>
      </c>
      <c r="G440" s="51" t="s">
        <v>1005</v>
      </c>
      <c r="H440" s="51" t="s">
        <v>1005</v>
      </c>
      <c r="I440" s="51" t="s">
        <v>1005</v>
      </c>
      <c r="J440" s="50" t="str">
        <f t="shared" si="12"/>
        <v>7927693110.pdf</v>
      </c>
      <c r="K440" s="51" t="s">
        <v>1006</v>
      </c>
      <c r="L440" s="51" t="s">
        <v>1019</v>
      </c>
      <c r="M440" s="50" t="str">
        <f t="shared" si="13"/>
        <v>34.500</v>
      </c>
      <c r="N440" s="50" t="str">
        <f>IF(A440&lt;&gt;"",VLOOKUP(RIGHT(A440,3)*1,[4]Des_Loc!A:B,2,0),"")</f>
        <v>SANTA RITA DO TOCANTINS</v>
      </c>
    </row>
    <row r="441" spans="1:14" ht="18.75" customHeight="1" x14ac:dyDescent="0.25">
      <c r="A441" s="52">
        <v>7911617038</v>
      </c>
      <c r="B441" s="51" t="s">
        <v>1003</v>
      </c>
      <c r="C441" s="51" t="s">
        <v>1025</v>
      </c>
      <c r="D441" s="51" t="s">
        <v>1011</v>
      </c>
      <c r="E441" s="51" t="s">
        <v>1005</v>
      </c>
      <c r="F441" s="51" t="s">
        <v>1005</v>
      </c>
      <c r="G441" s="51" t="s">
        <v>1005</v>
      </c>
      <c r="H441" s="51" t="s">
        <v>1005</v>
      </c>
      <c r="I441" s="51" t="s">
        <v>1005</v>
      </c>
      <c r="J441" s="50" t="str">
        <f t="shared" si="12"/>
        <v>7911617038.pdf</v>
      </c>
      <c r="K441" s="51" t="s">
        <v>1006</v>
      </c>
      <c r="L441" s="51" t="s">
        <v>1094</v>
      </c>
      <c r="M441" s="50" t="str">
        <f t="shared" si="13"/>
        <v>34.500</v>
      </c>
      <c r="N441" s="50" t="str">
        <f>IF(A441&lt;&gt;"",VLOOKUP(RIGHT(A441,3)*1,[4]Des_Loc!A:B,2,0),"")</f>
        <v>TAGUATINGA</v>
      </c>
    </row>
    <row r="442" spans="1:14" ht="18.75" customHeight="1" x14ac:dyDescent="0.25">
      <c r="A442" s="52">
        <v>7925051094</v>
      </c>
      <c r="B442" s="51" t="s">
        <v>1003</v>
      </c>
      <c r="C442" s="51">
        <v>3</v>
      </c>
      <c r="D442" s="51" t="s">
        <v>1011</v>
      </c>
      <c r="E442" s="51" t="s">
        <v>1005</v>
      </c>
      <c r="F442" s="51" t="s">
        <v>1005</v>
      </c>
      <c r="G442" s="51" t="s">
        <v>1005</v>
      </c>
      <c r="H442" s="51" t="s">
        <v>1005</v>
      </c>
      <c r="I442" s="51" t="s">
        <v>1005</v>
      </c>
      <c r="J442" s="50" t="str">
        <f t="shared" si="12"/>
        <v>7925051094.pdf</v>
      </c>
      <c r="K442" s="51" t="s">
        <v>1006</v>
      </c>
      <c r="L442" s="51" t="s">
        <v>1080</v>
      </c>
      <c r="M442" s="50" t="str">
        <f t="shared" si="13"/>
        <v>34.500</v>
      </c>
      <c r="N442" s="50" t="str">
        <f>IF(A442&lt;&gt;"",VLOOKUP(RIGHT(A442,3)*1,[4]Des_Loc!A:B,2,0),"")</f>
        <v>PEIXE</v>
      </c>
    </row>
    <row r="443" spans="1:14" ht="18.75" customHeight="1" x14ac:dyDescent="0.25">
      <c r="A443" s="52">
        <v>7924617094</v>
      </c>
      <c r="B443" s="51" t="s">
        <v>1003</v>
      </c>
      <c r="C443" s="51" t="s">
        <v>1008</v>
      </c>
      <c r="D443" s="51" t="s">
        <v>1005</v>
      </c>
      <c r="E443" s="51" t="s">
        <v>1005</v>
      </c>
      <c r="F443" s="51" t="s">
        <v>1005</v>
      </c>
      <c r="G443" s="51" t="s">
        <v>1005</v>
      </c>
      <c r="H443" s="51" t="s">
        <v>1005</v>
      </c>
      <c r="I443" s="51" t="s">
        <v>1005</v>
      </c>
      <c r="J443" s="50" t="str">
        <f t="shared" si="12"/>
        <v>7924617094.pdf</v>
      </c>
      <c r="K443" s="51" t="s">
        <v>1006</v>
      </c>
      <c r="L443" s="51" t="s">
        <v>1080</v>
      </c>
      <c r="M443" s="50" t="str">
        <f t="shared" si="13"/>
        <v>34.500</v>
      </c>
      <c r="N443" s="50" t="str">
        <f>IF(A443&lt;&gt;"",VLOOKUP(RIGHT(A443,3)*1,[4]Des_Loc!A:B,2,0),"")</f>
        <v>PEIXE</v>
      </c>
    </row>
    <row r="444" spans="1:14" ht="18.75" customHeight="1" x14ac:dyDescent="0.25">
      <c r="A444" s="52">
        <v>7924611052</v>
      </c>
      <c r="B444" s="51" t="s">
        <v>1003</v>
      </c>
      <c r="C444" s="51" t="s">
        <v>1008</v>
      </c>
      <c r="D444" s="51" t="s">
        <v>1005</v>
      </c>
      <c r="E444" s="51" t="s">
        <v>1005</v>
      </c>
      <c r="F444" s="51" t="s">
        <v>1005</v>
      </c>
      <c r="G444" s="51" t="s">
        <v>1005</v>
      </c>
      <c r="H444" s="51" t="s">
        <v>1005</v>
      </c>
      <c r="I444" s="51" t="s">
        <v>1005</v>
      </c>
      <c r="J444" s="50" t="str">
        <f t="shared" si="12"/>
        <v>7924611052.pdf</v>
      </c>
      <c r="K444" s="51" t="s">
        <v>1006</v>
      </c>
      <c r="L444" s="51" t="s">
        <v>1056</v>
      </c>
      <c r="M444" s="50" t="str">
        <f t="shared" si="13"/>
        <v>34.500</v>
      </c>
      <c r="N444" s="50" t="str">
        <f>IF(A444&lt;&gt;"",VLOOKUP(RIGHT(A444,3)*1,[4]Des_Loc!A:B,2,0),"")</f>
        <v>FORMOSO DO ARAGUAIA</v>
      </c>
    </row>
    <row r="445" spans="1:14" ht="18.75" customHeight="1" x14ac:dyDescent="0.25">
      <c r="A445" s="52">
        <v>7924612052</v>
      </c>
      <c r="B445" s="51" t="s">
        <v>1003</v>
      </c>
      <c r="C445" s="51" t="s">
        <v>1021</v>
      </c>
      <c r="D445" s="51" t="s">
        <v>1005</v>
      </c>
      <c r="E445" s="51" t="s">
        <v>1005</v>
      </c>
      <c r="F445" s="51" t="s">
        <v>1005</v>
      </c>
      <c r="G445" s="51" t="s">
        <v>1005</v>
      </c>
      <c r="H445" s="51" t="s">
        <v>1005</v>
      </c>
      <c r="I445" s="51" t="s">
        <v>1005</v>
      </c>
      <c r="J445" s="50" t="str">
        <f t="shared" si="12"/>
        <v>7924612052.pdf</v>
      </c>
      <c r="K445" s="51" t="s">
        <v>1006</v>
      </c>
      <c r="L445" s="51" t="s">
        <v>1076</v>
      </c>
      <c r="M445" s="50" t="str">
        <f t="shared" si="13"/>
        <v>34.500</v>
      </c>
      <c r="N445" s="50" t="str">
        <f>IF(A445&lt;&gt;"",VLOOKUP(RIGHT(A445,3)*1,[4]Des_Loc!A:B,2,0),"")</f>
        <v>FORMOSO DO ARAGUAIA</v>
      </c>
    </row>
    <row r="446" spans="1:14" ht="18.75" customHeight="1" x14ac:dyDescent="0.25">
      <c r="A446" s="52">
        <v>7924610052</v>
      </c>
      <c r="B446" s="51" t="s">
        <v>1003</v>
      </c>
      <c r="C446" s="51" t="s">
        <v>1004</v>
      </c>
      <c r="D446" s="51"/>
      <c r="E446" s="51" t="s">
        <v>1005</v>
      </c>
      <c r="F446" s="51"/>
      <c r="G446" s="51"/>
      <c r="H446" s="51" t="s">
        <v>1005</v>
      </c>
      <c r="I446" s="51" t="s">
        <v>1005</v>
      </c>
      <c r="J446" s="50" t="str">
        <f t="shared" si="12"/>
        <v>7924610052.pdf</v>
      </c>
      <c r="K446" s="51" t="s">
        <v>1006</v>
      </c>
      <c r="L446" s="51" t="s">
        <v>1056</v>
      </c>
      <c r="M446" s="50" t="str">
        <f t="shared" si="13"/>
        <v>34.500</v>
      </c>
      <c r="N446" s="50" t="str">
        <f>IF(A446&lt;&gt;"",VLOOKUP(RIGHT(A446,3)*1,[4]Des_Loc!A:B,2,0),"")</f>
        <v>FORMOSO DO ARAGUAIA</v>
      </c>
    </row>
    <row r="447" spans="1:14" ht="18.75" customHeight="1" x14ac:dyDescent="0.25">
      <c r="A447" s="52">
        <v>7927138110</v>
      </c>
      <c r="B447" s="51" t="s">
        <v>1003</v>
      </c>
      <c r="C447" s="51" t="s">
        <v>1010</v>
      </c>
      <c r="D447" s="51" t="s">
        <v>1011</v>
      </c>
      <c r="E447" s="51" t="s">
        <v>1011</v>
      </c>
      <c r="F447" s="51" t="s">
        <v>1005</v>
      </c>
      <c r="G447" s="51" t="s">
        <v>1005</v>
      </c>
      <c r="H447" s="51" t="s">
        <v>1005</v>
      </c>
      <c r="I447" s="51" t="s">
        <v>1005</v>
      </c>
      <c r="J447" s="50" t="str">
        <f t="shared" si="12"/>
        <v>7927138110.pdf</v>
      </c>
      <c r="K447" s="51" t="s">
        <v>1006</v>
      </c>
      <c r="L447" s="51" t="s">
        <v>1030</v>
      </c>
      <c r="M447" s="50" t="str">
        <f t="shared" si="13"/>
        <v>34.500</v>
      </c>
      <c r="N447" s="50" t="str">
        <f>IF(A447&lt;&gt;"",VLOOKUP(RIGHT(A447,3)*1,[4]Des_Loc!A:B,2,0),"")</f>
        <v>SANTA RITA DO TOCANTINS</v>
      </c>
    </row>
    <row r="448" spans="1:14" ht="18.75" customHeight="1" x14ac:dyDescent="0.25">
      <c r="A448" s="52">
        <v>7926439110</v>
      </c>
      <c r="B448" s="51" t="s">
        <v>1003</v>
      </c>
      <c r="C448" s="51" t="s">
        <v>1010</v>
      </c>
      <c r="D448" s="51" t="s">
        <v>1011</v>
      </c>
      <c r="E448" s="51" t="s">
        <v>1005</v>
      </c>
      <c r="F448" s="51" t="s">
        <v>1005</v>
      </c>
      <c r="G448" s="51" t="s">
        <v>1005</v>
      </c>
      <c r="H448" s="51" t="s">
        <v>1005</v>
      </c>
      <c r="I448" s="51" t="s">
        <v>1005</v>
      </c>
      <c r="J448" s="50" t="str">
        <f t="shared" si="12"/>
        <v>7926439110.pdf</v>
      </c>
      <c r="K448" s="51" t="s">
        <v>1006</v>
      </c>
      <c r="L448" s="51" t="s">
        <v>599</v>
      </c>
      <c r="M448" s="50" t="str">
        <f t="shared" si="13"/>
        <v>34.500</v>
      </c>
      <c r="N448" s="50" t="str">
        <f>IF(A448&lt;&gt;"",VLOOKUP(RIGHT(A448,3)*1,[4]Des_Loc!A:B,2,0),"")</f>
        <v>SANTA RITA DO TOCANTINS</v>
      </c>
    </row>
    <row r="449" spans="1:14" ht="18.75" customHeight="1" x14ac:dyDescent="0.25">
      <c r="A449" s="52">
        <v>7925866090</v>
      </c>
      <c r="B449" s="51" t="s">
        <v>1003</v>
      </c>
      <c r="C449" s="51">
        <v>2</v>
      </c>
      <c r="D449" s="51" t="s">
        <v>1011</v>
      </c>
      <c r="E449" s="51" t="s">
        <v>1005</v>
      </c>
      <c r="F449" s="51" t="s">
        <v>1011</v>
      </c>
      <c r="G449" s="51" t="s">
        <v>1005</v>
      </c>
      <c r="H449" s="51" t="s">
        <v>1005</v>
      </c>
      <c r="I449" s="51" t="s">
        <v>1011</v>
      </c>
      <c r="J449" s="50" t="str">
        <f t="shared" si="12"/>
        <v>7925866090.pdf</v>
      </c>
      <c r="K449" s="51" t="s">
        <v>1006</v>
      </c>
      <c r="L449" s="51" t="s">
        <v>1104</v>
      </c>
      <c r="M449" s="50" t="str">
        <f t="shared" si="13"/>
        <v>13.800</v>
      </c>
      <c r="N449" s="50" t="str">
        <f>IF(A449&lt;&gt;"",VLOOKUP(RIGHT(A449,3)*1,[4]Des_Loc!A:B,2,0),"")</f>
        <v>NAZARE</v>
      </c>
    </row>
    <row r="450" spans="1:14" ht="18.75" customHeight="1" x14ac:dyDescent="0.25">
      <c r="A450" s="52">
        <v>7926785070</v>
      </c>
      <c r="B450" s="51" t="s">
        <v>1003</v>
      </c>
      <c r="C450" s="51" t="s">
        <v>1021</v>
      </c>
      <c r="D450" s="51" t="s">
        <v>1005</v>
      </c>
      <c r="E450" s="51" t="s">
        <v>1005</v>
      </c>
      <c r="F450" s="51" t="s">
        <v>1005</v>
      </c>
      <c r="G450" s="51" t="s">
        <v>1005</v>
      </c>
      <c r="H450" s="51" t="s">
        <v>1005</v>
      </c>
      <c r="I450" s="51" t="s">
        <v>1005</v>
      </c>
      <c r="J450" s="50" t="str">
        <f t="shared" ref="J450:J513" si="14">CONCATENATE(A450,".pdf")</f>
        <v>7926785070.pdf</v>
      </c>
      <c r="K450" s="51" t="s">
        <v>1006</v>
      </c>
      <c r="L450" s="51" t="s">
        <v>754</v>
      </c>
      <c r="M450" s="50" t="str">
        <f t="shared" ref="M450:M513" si="15">IF(L450&lt;&gt;"",IF(LEFT(L450,2)="AL","13.800","34.500"),"")</f>
        <v>34.500</v>
      </c>
      <c r="N450" s="50" t="str">
        <f>IF(A450&lt;&gt;"",VLOOKUP(RIGHT(A450,3)*1,[4]Des_Loc!A:B,2,0),"")</f>
        <v>RIO SONO</v>
      </c>
    </row>
    <row r="451" spans="1:14" ht="18.75" customHeight="1" x14ac:dyDescent="0.25">
      <c r="A451" s="52">
        <v>7924925088</v>
      </c>
      <c r="B451" s="51" t="s">
        <v>1003</v>
      </c>
      <c r="C451" s="51" t="s">
        <v>1021</v>
      </c>
      <c r="D451" s="51"/>
      <c r="E451" s="51" t="s">
        <v>1005</v>
      </c>
      <c r="F451" s="51"/>
      <c r="G451" s="51"/>
      <c r="H451" s="51" t="s">
        <v>1005</v>
      </c>
      <c r="I451" s="51" t="s">
        <v>1005</v>
      </c>
      <c r="J451" s="50" t="str">
        <f t="shared" si="14"/>
        <v>7924925088.pdf</v>
      </c>
      <c r="K451" s="51" t="s">
        <v>1006</v>
      </c>
      <c r="L451" s="51" t="s">
        <v>1141</v>
      </c>
      <c r="M451" s="50" t="str">
        <f t="shared" si="15"/>
        <v>34.500</v>
      </c>
      <c r="N451" s="50" t="str">
        <f>IF(A451&lt;&gt;"",VLOOKUP(RIGHT(A451,3)*1,[4]Des_Loc!A:B,2,0),"")</f>
        <v>SITIO NOVO DO TOCANTINS</v>
      </c>
    </row>
    <row r="452" spans="1:14" ht="18.75" customHeight="1" x14ac:dyDescent="0.25">
      <c r="A452" s="52">
        <v>7924930088</v>
      </c>
      <c r="B452" s="51" t="s">
        <v>1003</v>
      </c>
      <c r="C452" s="51" t="s">
        <v>1004</v>
      </c>
      <c r="D452" s="51"/>
      <c r="E452" s="51" t="s">
        <v>1005</v>
      </c>
      <c r="F452" s="51"/>
      <c r="G452" s="51"/>
      <c r="H452" s="51" t="s">
        <v>1005</v>
      </c>
      <c r="I452" s="51" t="s">
        <v>1005</v>
      </c>
      <c r="J452" s="50" t="str">
        <f t="shared" si="14"/>
        <v>7924930088.pdf</v>
      </c>
      <c r="K452" s="51" t="s">
        <v>1006</v>
      </c>
      <c r="L452" s="51" t="s">
        <v>1141</v>
      </c>
      <c r="M452" s="50" t="str">
        <f t="shared" si="15"/>
        <v>34.500</v>
      </c>
      <c r="N452" s="50" t="str">
        <f>IF(A452&lt;&gt;"",VLOOKUP(RIGHT(A452,3)*1,[4]Des_Loc!A:B,2,0),"")</f>
        <v>SITIO NOVO DO TOCANTINS</v>
      </c>
    </row>
    <row r="453" spans="1:14" ht="18.75" customHeight="1" x14ac:dyDescent="0.25">
      <c r="A453" s="52">
        <v>7924919131</v>
      </c>
      <c r="B453" s="51" t="s">
        <v>1003</v>
      </c>
      <c r="C453" s="51">
        <v>3</v>
      </c>
      <c r="D453" s="51"/>
      <c r="E453" s="51" t="s">
        <v>1005</v>
      </c>
      <c r="F453" s="51"/>
      <c r="G453" s="51"/>
      <c r="H453" s="51" t="s">
        <v>1005</v>
      </c>
      <c r="I453" s="51" t="s">
        <v>1005</v>
      </c>
      <c r="J453" s="50" t="str">
        <f t="shared" si="14"/>
        <v>7924919131.pdf</v>
      </c>
      <c r="K453" s="51" t="s">
        <v>1006</v>
      </c>
      <c r="L453" s="51" t="s">
        <v>1142</v>
      </c>
      <c r="M453" s="50" t="str">
        <f t="shared" si="15"/>
        <v>34.500</v>
      </c>
      <c r="N453" s="50" t="str">
        <f>IF(A453&lt;&gt;"",VLOOKUP(RIGHT(A453,3)*1,[4]Des_Loc!A:B,2,0),"")</f>
        <v>PRAIA NORTE</v>
      </c>
    </row>
    <row r="454" spans="1:14" ht="18.75" customHeight="1" x14ac:dyDescent="0.25">
      <c r="A454" s="52">
        <v>7925897004</v>
      </c>
      <c r="B454" s="51" t="s">
        <v>1003</v>
      </c>
      <c r="C454" s="51" t="s">
        <v>1010</v>
      </c>
      <c r="D454" s="51" t="s">
        <v>1011</v>
      </c>
      <c r="E454" s="51" t="s">
        <v>1005</v>
      </c>
      <c r="F454" s="51" t="s">
        <v>1143</v>
      </c>
      <c r="G454" s="51" t="s">
        <v>1005</v>
      </c>
      <c r="H454" s="51" t="s">
        <v>1005</v>
      </c>
      <c r="I454" s="51" t="s">
        <v>1005</v>
      </c>
      <c r="J454" s="50" t="str">
        <f t="shared" si="14"/>
        <v>7925897004.pdf</v>
      </c>
      <c r="K454" s="51" t="s">
        <v>1006</v>
      </c>
      <c r="L454" s="51" t="s">
        <v>533</v>
      </c>
      <c r="M454" s="50" t="str">
        <f t="shared" si="15"/>
        <v>34.500</v>
      </c>
      <c r="N454" s="50" t="str">
        <f>IF(A454&lt;&gt;"",VLOOKUP(RIGHT(A454,3)*1,[4]Des_Loc!A:B,2,0),"")</f>
        <v>ARAGUAINA</v>
      </c>
    </row>
    <row r="455" spans="1:14" ht="18.75" customHeight="1" x14ac:dyDescent="0.25">
      <c r="A455" s="52">
        <v>7925705048</v>
      </c>
      <c r="B455" s="51" t="s">
        <v>1003</v>
      </c>
      <c r="C455" s="51" t="s">
        <v>1021</v>
      </c>
      <c r="D455" s="51"/>
      <c r="E455" s="51" t="s">
        <v>1005</v>
      </c>
      <c r="F455" s="51"/>
      <c r="G455" s="51"/>
      <c r="H455" s="51" t="s">
        <v>1005</v>
      </c>
      <c r="I455" s="51" t="s">
        <v>1005</v>
      </c>
      <c r="J455" s="50" t="str">
        <f t="shared" si="14"/>
        <v>7925705048.pdf</v>
      </c>
      <c r="K455" s="51" t="s">
        <v>1006</v>
      </c>
      <c r="L455" s="51" t="s">
        <v>1126</v>
      </c>
      <c r="M455" s="50" t="str">
        <f t="shared" si="15"/>
        <v>34.500</v>
      </c>
      <c r="N455" s="50" t="str">
        <f>IF(A455&lt;&gt;"",VLOOKUP(RIGHT(A455,3)*1,[4]Des_Loc!A:B,2,0),"")</f>
        <v>FORTALEZA DO TABOCAO</v>
      </c>
    </row>
    <row r="456" spans="1:14" ht="18.75" customHeight="1" x14ac:dyDescent="0.25">
      <c r="A456" s="52">
        <v>7925891030</v>
      </c>
      <c r="B456" s="51" t="s">
        <v>1003</v>
      </c>
      <c r="C456" s="51" t="s">
        <v>1021</v>
      </c>
      <c r="D456" s="51" t="s">
        <v>1005</v>
      </c>
      <c r="E456" s="51" t="s">
        <v>1005</v>
      </c>
      <c r="F456" s="51" t="s">
        <v>1005</v>
      </c>
      <c r="G456" s="51" t="s">
        <v>1005</v>
      </c>
      <c r="H456" s="51" t="s">
        <v>1005</v>
      </c>
      <c r="I456" s="51" t="s">
        <v>1005</v>
      </c>
      <c r="J456" s="50" t="str">
        <f t="shared" si="14"/>
        <v>7925891030.pdf</v>
      </c>
      <c r="K456" s="51" t="s">
        <v>1006</v>
      </c>
      <c r="L456" s="51" t="s">
        <v>1144</v>
      </c>
      <c r="M456" s="50" t="str">
        <f t="shared" si="15"/>
        <v>34.500</v>
      </c>
      <c r="N456" s="50" t="str">
        <f>IF(A456&lt;&gt;"",VLOOKUP(RIGHT(A456,3)*1,[4]Des_Loc!A:B,2,0),"")</f>
        <v>XAMBIOA</v>
      </c>
    </row>
    <row r="457" spans="1:14" ht="18.75" customHeight="1" x14ac:dyDescent="0.25">
      <c r="A457" s="50">
        <v>7925868030</v>
      </c>
      <c r="B457" s="51" t="s">
        <v>1003</v>
      </c>
      <c r="C457" s="51" t="s">
        <v>1010</v>
      </c>
      <c r="D457" s="51"/>
      <c r="E457" s="51" t="s">
        <v>1005</v>
      </c>
      <c r="F457" s="51"/>
      <c r="G457" s="51"/>
      <c r="H457" s="51" t="s">
        <v>1005</v>
      </c>
      <c r="I457" s="51" t="s">
        <v>1005</v>
      </c>
      <c r="J457" s="50" t="str">
        <f t="shared" si="14"/>
        <v>7925868030.pdf</v>
      </c>
      <c r="K457" s="51" t="s">
        <v>1006</v>
      </c>
      <c r="L457" s="51" t="s">
        <v>1144</v>
      </c>
      <c r="M457" s="50" t="str">
        <f t="shared" si="15"/>
        <v>34.500</v>
      </c>
      <c r="N457" s="50" t="str">
        <f>IF(A457&lt;&gt;"",VLOOKUP(RIGHT(A457,3)*1,[4]Des_Loc!A:B,2,0),"")</f>
        <v>XAMBIOA</v>
      </c>
    </row>
    <row r="458" spans="1:14" ht="18.75" customHeight="1" x14ac:dyDescent="0.25">
      <c r="A458" s="52">
        <v>7925704079</v>
      </c>
      <c r="B458" s="51" t="s">
        <v>1003</v>
      </c>
      <c r="C458" s="51" t="s">
        <v>1010</v>
      </c>
      <c r="D458" s="51" t="s">
        <v>1011</v>
      </c>
      <c r="E458" s="51" t="s">
        <v>1005</v>
      </c>
      <c r="F458" s="51" t="s">
        <v>1005</v>
      </c>
      <c r="G458" s="51" t="s">
        <v>1005</v>
      </c>
      <c r="H458" s="51" t="s">
        <v>1005</v>
      </c>
      <c r="I458" s="51" t="s">
        <v>1005</v>
      </c>
      <c r="J458" s="50" t="str">
        <f t="shared" si="14"/>
        <v>7925704079.pdf</v>
      </c>
      <c r="K458" s="51" t="s">
        <v>1006</v>
      </c>
      <c r="L458" s="51" t="s">
        <v>1047</v>
      </c>
      <c r="M458" s="50" t="str">
        <f t="shared" si="15"/>
        <v>34.500</v>
      </c>
      <c r="N458" s="50" t="str">
        <f>IF(A458&lt;&gt;"",VLOOKUP(RIGHT(A458,3)*1,[4]Des_Loc!A:B,2,0),"")</f>
        <v>ITAPIRATINS</v>
      </c>
    </row>
    <row r="459" spans="1:14" ht="18.75" customHeight="1" x14ac:dyDescent="0.25">
      <c r="A459" s="52">
        <v>7900488066</v>
      </c>
      <c r="B459" s="51" t="s">
        <v>1003</v>
      </c>
      <c r="C459" s="51" t="s">
        <v>1021</v>
      </c>
      <c r="D459" s="51" t="s">
        <v>1005</v>
      </c>
      <c r="E459" s="51" t="s">
        <v>1005</v>
      </c>
      <c r="F459" s="51" t="s">
        <v>1005</v>
      </c>
      <c r="G459" s="51" t="s">
        <v>1005</v>
      </c>
      <c r="H459" s="51" t="s">
        <v>1005</v>
      </c>
      <c r="I459" s="51" t="s">
        <v>1005</v>
      </c>
      <c r="J459" s="50" t="str">
        <f t="shared" si="14"/>
        <v>7900488066.pdf</v>
      </c>
      <c r="K459" s="51" t="s">
        <v>1006</v>
      </c>
      <c r="L459" s="51" t="s">
        <v>1047</v>
      </c>
      <c r="M459" s="50" t="str">
        <f t="shared" si="15"/>
        <v>34.500</v>
      </c>
      <c r="N459" s="50" t="str">
        <f>IF(A459&lt;&gt;"",VLOOKUP(RIGHT(A459,3)*1,[4]Des_Loc!A:B,2,0),"")</f>
        <v>TUPIRATINS</v>
      </c>
    </row>
    <row r="460" spans="1:14" ht="18.75" customHeight="1" x14ac:dyDescent="0.25">
      <c r="A460" s="50">
        <v>7924840155</v>
      </c>
      <c r="B460" s="51" t="s">
        <v>1003</v>
      </c>
      <c r="C460" s="51" t="s">
        <v>1004</v>
      </c>
      <c r="D460" s="51"/>
      <c r="E460" s="51" t="s">
        <v>1005</v>
      </c>
      <c r="F460" s="51"/>
      <c r="G460" s="51"/>
      <c r="H460" s="51" t="s">
        <v>1005</v>
      </c>
      <c r="I460" s="51" t="s">
        <v>1005</v>
      </c>
      <c r="J460" s="50" t="str">
        <f t="shared" si="14"/>
        <v>7924840155.pdf</v>
      </c>
      <c r="K460" s="51" t="s">
        <v>1006</v>
      </c>
      <c r="L460" s="51" t="s">
        <v>1079</v>
      </c>
      <c r="M460" s="50" t="str">
        <f t="shared" si="15"/>
        <v>34.500</v>
      </c>
      <c r="N460" s="50" t="str">
        <f>IF(A460&lt;&gt;"",VLOOKUP(RIGHT(A460,3)*1,[4]Des_Loc!A:B,2,0),"")</f>
        <v>PALMEIRANTE</v>
      </c>
    </row>
    <row r="461" spans="1:14" ht="18.75" customHeight="1" x14ac:dyDescent="0.25">
      <c r="A461" s="52">
        <v>7925713040</v>
      </c>
      <c r="B461" s="51" t="s">
        <v>1003</v>
      </c>
      <c r="C461" s="51" t="s">
        <v>1010</v>
      </c>
      <c r="D461" s="51"/>
      <c r="E461" s="51" t="s">
        <v>1005</v>
      </c>
      <c r="F461" s="51"/>
      <c r="G461" s="51"/>
      <c r="H461" s="51" t="s">
        <v>1005</v>
      </c>
      <c r="I461" s="51" t="s">
        <v>1005</v>
      </c>
      <c r="J461" s="50" t="str">
        <f t="shared" si="14"/>
        <v>7925713040.pdf</v>
      </c>
      <c r="K461" s="51" t="s">
        <v>1006</v>
      </c>
      <c r="L461" s="51" t="s">
        <v>505</v>
      </c>
      <c r="M461" s="50" t="str">
        <f t="shared" si="15"/>
        <v>34.500</v>
      </c>
      <c r="N461" s="50" t="str">
        <f>IF(A461&lt;&gt;"",VLOOKUP(RIGHT(A461,3)*1,[4]Des_Loc!A:B,2,0),"")</f>
        <v>ARAGOMINAS</v>
      </c>
    </row>
    <row r="462" spans="1:14" ht="18.75" customHeight="1" x14ac:dyDescent="0.25">
      <c r="A462" s="52">
        <v>7927645250</v>
      </c>
      <c r="B462" s="51" t="s">
        <v>1003</v>
      </c>
      <c r="C462" s="51">
        <v>3</v>
      </c>
      <c r="D462" s="51"/>
      <c r="E462" s="51" t="s">
        <v>1005</v>
      </c>
      <c r="F462" s="51"/>
      <c r="G462" s="51"/>
      <c r="H462" s="51" t="s">
        <v>1005</v>
      </c>
      <c r="I462" s="51" t="s">
        <v>1005</v>
      </c>
      <c r="J462" s="50" t="str">
        <f t="shared" si="14"/>
        <v>7927645250.pdf</v>
      </c>
      <c r="K462" s="51" t="s">
        <v>1006</v>
      </c>
      <c r="L462" s="51" t="s">
        <v>430</v>
      </c>
      <c r="M462" s="50" t="str">
        <f t="shared" si="15"/>
        <v>34.500</v>
      </c>
      <c r="N462" s="50" t="str">
        <f>IF(A462&lt;&gt;"",VLOOKUP(RIGHT(A462,3)*1,[4]Des_Loc!A:B,2,0),"")</f>
        <v>IPUEIRAS</v>
      </c>
    </row>
    <row r="463" spans="1:14" ht="18.75" customHeight="1" x14ac:dyDescent="0.25">
      <c r="A463" s="52">
        <v>7925892080</v>
      </c>
      <c r="B463" s="51" t="s">
        <v>1003</v>
      </c>
      <c r="C463" s="51" t="s">
        <v>1010</v>
      </c>
      <c r="D463" s="51" t="s">
        <v>1011</v>
      </c>
      <c r="E463" s="51" t="s">
        <v>1005</v>
      </c>
      <c r="F463" s="51" t="s">
        <v>1005</v>
      </c>
      <c r="G463" s="51" t="s">
        <v>1005</v>
      </c>
      <c r="H463" s="51" t="s">
        <v>1005</v>
      </c>
      <c r="I463" s="51" t="s">
        <v>1005</v>
      </c>
      <c r="J463" s="50" t="str">
        <f t="shared" si="14"/>
        <v>7925892080.pdf</v>
      </c>
      <c r="K463" s="51" t="s">
        <v>1006</v>
      </c>
      <c r="L463" s="51" t="s">
        <v>594</v>
      </c>
      <c r="M463" s="50" t="str">
        <f t="shared" si="15"/>
        <v>34.500</v>
      </c>
      <c r="N463" s="50" t="str">
        <f>IF(A463&lt;&gt;"",VLOOKUP(RIGHT(A463,3)*1,[4]Des_Loc!A:B,2,0),"")</f>
        <v>DARCINOPOLIS</v>
      </c>
    </row>
    <row r="464" spans="1:14" ht="18.75" customHeight="1" x14ac:dyDescent="0.25">
      <c r="A464" s="52">
        <v>7926077084</v>
      </c>
      <c r="B464" s="51" t="s">
        <v>1003</v>
      </c>
      <c r="C464" s="51" t="s">
        <v>1010</v>
      </c>
      <c r="D464" s="51" t="s">
        <v>1011</v>
      </c>
      <c r="E464" s="51" t="s">
        <v>1005</v>
      </c>
      <c r="F464" s="51" t="s">
        <v>1005</v>
      </c>
      <c r="G464" s="51" t="s">
        <v>1005</v>
      </c>
      <c r="H464" s="51" t="s">
        <v>1011</v>
      </c>
      <c r="I464" s="51" t="s">
        <v>1005</v>
      </c>
      <c r="J464" s="50" t="str">
        <f t="shared" si="14"/>
        <v>7926077084.pdf</v>
      </c>
      <c r="K464" s="51" t="s">
        <v>1006</v>
      </c>
      <c r="L464" s="51" t="s">
        <v>526</v>
      </c>
      <c r="M464" s="50" t="str">
        <f t="shared" si="15"/>
        <v>34.500</v>
      </c>
      <c r="N464" s="50" t="str">
        <f>IF(A464&lt;&gt;"",VLOOKUP(RIGHT(A464,3)*1,[4]Des_Loc!A:B,2,0),"")</f>
        <v>DIVINOPOLIS</v>
      </c>
    </row>
    <row r="465" spans="1:14" ht="18.75" customHeight="1" x14ac:dyDescent="0.25">
      <c r="A465" s="52">
        <v>7924920068</v>
      </c>
      <c r="B465" s="51" t="s">
        <v>1003</v>
      </c>
      <c r="C465" s="51">
        <v>3</v>
      </c>
      <c r="D465" s="51"/>
      <c r="E465" s="51" t="s">
        <v>1005</v>
      </c>
      <c r="F465" s="51"/>
      <c r="G465" s="51"/>
      <c r="H465" s="51" t="s">
        <v>1005</v>
      </c>
      <c r="I465" s="51" t="s">
        <v>1005</v>
      </c>
      <c r="J465" s="50" t="str">
        <f t="shared" si="14"/>
        <v>7924920068.pdf</v>
      </c>
      <c r="K465" s="51" t="s">
        <v>1006</v>
      </c>
      <c r="L465" s="51" t="s">
        <v>1012</v>
      </c>
      <c r="M465" s="50" t="str">
        <f t="shared" si="15"/>
        <v>34.500</v>
      </c>
      <c r="N465" s="50" t="str">
        <f>IF(A465&lt;&gt;"",VLOOKUP(RIGHT(A465,3)*1,[4]Des_Loc!A:B,2,0),"")</f>
        <v>BURITI DO TOCANTINS</v>
      </c>
    </row>
    <row r="466" spans="1:14" ht="18.75" customHeight="1" x14ac:dyDescent="0.25">
      <c r="A466" s="52">
        <v>7924915068</v>
      </c>
      <c r="B466" s="51" t="s">
        <v>1003</v>
      </c>
      <c r="C466" s="51" t="s">
        <v>1008</v>
      </c>
      <c r="D466" s="51"/>
      <c r="E466" s="51" t="s">
        <v>1005</v>
      </c>
      <c r="F466" s="51"/>
      <c r="G466" s="51"/>
      <c r="H466" s="51" t="s">
        <v>1005</v>
      </c>
      <c r="I466" s="51" t="s">
        <v>1005</v>
      </c>
      <c r="J466" s="50" t="str">
        <f t="shared" si="14"/>
        <v>7924915068.pdf</v>
      </c>
      <c r="K466" s="51" t="s">
        <v>1006</v>
      </c>
      <c r="L466" s="51" t="s">
        <v>677</v>
      </c>
      <c r="M466" s="50" t="str">
        <f t="shared" si="15"/>
        <v>34.500</v>
      </c>
      <c r="N466" s="50" t="str">
        <f>IF(A466&lt;&gt;"",VLOOKUP(RIGHT(A466,3)*1,[4]Des_Loc!A:B,2,0),"")</f>
        <v>BURITI DO TOCANTINS</v>
      </c>
    </row>
    <row r="467" spans="1:14" ht="18.75" customHeight="1" x14ac:dyDescent="0.25">
      <c r="A467" s="52">
        <v>7925717015</v>
      </c>
      <c r="B467" s="51" t="s">
        <v>1003</v>
      </c>
      <c r="C467" s="51">
        <v>3</v>
      </c>
      <c r="D467" s="51" t="s">
        <v>1005</v>
      </c>
      <c r="E467" s="51" t="s">
        <v>1005</v>
      </c>
      <c r="F467" s="51" t="s">
        <v>1005</v>
      </c>
      <c r="G467" s="51" t="s">
        <v>1005</v>
      </c>
      <c r="H467" s="51" t="s">
        <v>1005</v>
      </c>
      <c r="I467" s="51" t="s">
        <v>1005</v>
      </c>
      <c r="J467" s="50" t="str">
        <f t="shared" si="14"/>
        <v>7925717015.pdf</v>
      </c>
      <c r="K467" s="51" t="s">
        <v>1006</v>
      </c>
      <c r="L467" s="51" t="s">
        <v>754</v>
      </c>
      <c r="M467" s="50" t="str">
        <f t="shared" si="15"/>
        <v>34.500</v>
      </c>
      <c r="N467" s="50" t="str">
        <f>IF(A467&lt;&gt;"",VLOOKUP(RIGHT(A467,3)*1,[4]Des_Loc!A:B,2,0),"")</f>
        <v>PEDRO AFONSO</v>
      </c>
    </row>
    <row r="468" spans="1:14" ht="18.75" customHeight="1" x14ac:dyDescent="0.25">
      <c r="A468" s="52">
        <v>7925872019</v>
      </c>
      <c r="B468" s="51" t="s">
        <v>1003</v>
      </c>
      <c r="C468" s="51" t="s">
        <v>1021</v>
      </c>
      <c r="D468" s="51" t="s">
        <v>1005</v>
      </c>
      <c r="E468" s="51" t="s">
        <v>1005</v>
      </c>
      <c r="F468" s="51" t="s">
        <v>1005</v>
      </c>
      <c r="G468" s="51" t="s">
        <v>1005</v>
      </c>
      <c r="H468" s="51" t="s">
        <v>1005</v>
      </c>
      <c r="I468" s="51" t="s">
        <v>1005</v>
      </c>
      <c r="J468" s="50" t="str">
        <f t="shared" si="14"/>
        <v>7925872019.pdf</v>
      </c>
      <c r="K468" s="51" t="s">
        <v>1006</v>
      </c>
      <c r="L468" s="51" t="s">
        <v>632</v>
      </c>
      <c r="M468" s="50" t="str">
        <f t="shared" si="15"/>
        <v>34.500</v>
      </c>
      <c r="N468" s="50" t="str">
        <f>IF(A468&lt;&gt;"",VLOOKUP(RIGHT(A468,3)*1,[4]Des_Loc!A:B,2,0),"")</f>
        <v>FILADELFIA</v>
      </c>
    </row>
    <row r="469" spans="1:14" ht="18.75" customHeight="1" x14ac:dyDescent="0.25">
      <c r="A469" s="52">
        <v>7927000155</v>
      </c>
      <c r="B469" s="51" t="s">
        <v>1003</v>
      </c>
      <c r="C469" s="51" t="s">
        <v>1010</v>
      </c>
      <c r="D469" s="51" t="s">
        <v>1011</v>
      </c>
      <c r="E469" s="51" t="s">
        <v>1005</v>
      </c>
      <c r="F469" s="51" t="s">
        <v>1005</v>
      </c>
      <c r="G469" s="51" t="s">
        <v>1005</v>
      </c>
      <c r="H469" s="51" t="s">
        <v>1005</v>
      </c>
      <c r="I469" s="51" t="s">
        <v>1005</v>
      </c>
      <c r="J469" s="50" t="str">
        <f t="shared" si="14"/>
        <v>7927000155.pdf</v>
      </c>
      <c r="K469" s="51" t="s">
        <v>1006</v>
      </c>
      <c r="L469" s="51" t="s">
        <v>1079</v>
      </c>
      <c r="M469" s="50" t="str">
        <f t="shared" si="15"/>
        <v>34.500</v>
      </c>
      <c r="N469" s="50" t="str">
        <f>IF(A469&lt;&gt;"",VLOOKUP(RIGHT(A469,3)*1,[4]Des_Loc!A:B,2,0),"")</f>
        <v>PALMEIRANTE</v>
      </c>
    </row>
    <row r="470" spans="1:14" ht="18.75" customHeight="1" x14ac:dyDescent="0.25">
      <c r="A470" s="52">
        <v>7925899022</v>
      </c>
      <c r="B470" s="51" t="s">
        <v>1003</v>
      </c>
      <c r="C470" s="51" t="s">
        <v>1010</v>
      </c>
      <c r="D470" s="51" t="s">
        <v>1011</v>
      </c>
      <c r="E470" s="51" t="s">
        <v>1005</v>
      </c>
      <c r="F470" s="51" t="s">
        <v>1005</v>
      </c>
      <c r="G470" s="51" t="s">
        <v>1005</v>
      </c>
      <c r="H470" s="51" t="s">
        <v>1005</v>
      </c>
      <c r="I470" s="51" t="s">
        <v>1005</v>
      </c>
      <c r="J470" s="50" t="str">
        <f t="shared" si="14"/>
        <v>7925899022.pdf</v>
      </c>
      <c r="K470" s="51" t="s">
        <v>1006</v>
      </c>
      <c r="L470" s="51" t="s">
        <v>533</v>
      </c>
      <c r="M470" s="50" t="str">
        <f t="shared" si="15"/>
        <v>34.500</v>
      </c>
      <c r="N470" s="50" t="str">
        <f>IF(A470&lt;&gt;"",VLOOKUP(RIGHT(A470,3)*1,[4]Des_Loc!A:B,2,0),"")</f>
        <v>BABACULANDIA</v>
      </c>
    </row>
    <row r="471" spans="1:14" ht="18.75" customHeight="1" x14ac:dyDescent="0.25">
      <c r="A471" s="52">
        <v>7925736080</v>
      </c>
      <c r="B471" s="51" t="s">
        <v>1003</v>
      </c>
      <c r="C471" s="51" t="s">
        <v>1021</v>
      </c>
      <c r="D471" s="51" t="s">
        <v>1005</v>
      </c>
      <c r="E471" s="51" t="s">
        <v>1005</v>
      </c>
      <c r="F471" s="51" t="s">
        <v>1005</v>
      </c>
      <c r="G471" s="51" t="s">
        <v>1005</v>
      </c>
      <c r="H471" s="51" t="s">
        <v>1005</v>
      </c>
      <c r="I471" s="51" t="s">
        <v>1005</v>
      </c>
      <c r="J471" s="50" t="str">
        <f t="shared" si="14"/>
        <v>7925736080.pdf</v>
      </c>
      <c r="K471" s="51" t="s">
        <v>1006</v>
      </c>
      <c r="L471" s="51" t="s">
        <v>497</v>
      </c>
      <c r="M471" s="50" t="str">
        <f t="shared" si="15"/>
        <v>34.500</v>
      </c>
      <c r="N471" s="50" t="str">
        <f>IF(A471&lt;&gt;"",VLOOKUP(RIGHT(A471,3)*1,[4]Des_Loc!A:B,2,0),"")</f>
        <v>DARCINOPOLIS</v>
      </c>
    </row>
    <row r="472" spans="1:14" ht="18.75" customHeight="1" x14ac:dyDescent="0.25">
      <c r="A472" s="52">
        <v>7924897265</v>
      </c>
      <c r="B472" s="51" t="s">
        <v>1003</v>
      </c>
      <c r="C472" s="51" t="s">
        <v>1010</v>
      </c>
      <c r="D472" s="51" t="s">
        <v>1011</v>
      </c>
      <c r="E472" s="51" t="s">
        <v>1005</v>
      </c>
      <c r="F472" s="51" t="s">
        <v>1005</v>
      </c>
      <c r="G472" s="51" t="s">
        <v>1005</v>
      </c>
      <c r="H472" s="51" t="s">
        <v>1005</v>
      </c>
      <c r="I472" s="51" t="s">
        <v>1005</v>
      </c>
      <c r="J472" s="50" t="str">
        <f t="shared" si="14"/>
        <v>7924897265.pdf</v>
      </c>
      <c r="K472" s="51" t="s">
        <v>1006</v>
      </c>
      <c r="L472" s="51" t="s">
        <v>632</v>
      </c>
      <c r="M472" s="50" t="str">
        <f t="shared" si="15"/>
        <v>34.500</v>
      </c>
      <c r="N472" s="50" t="str">
        <f>IF(A472&lt;&gt;"",VLOOKUP(RIGHT(A472,3)*1,[4]Des_Loc!A:B,2,0),"")</f>
        <v>BARRA DO OURO</v>
      </c>
    </row>
    <row r="473" spans="1:14" ht="18.75" customHeight="1" x14ac:dyDescent="0.25">
      <c r="A473" s="52">
        <v>7925871077</v>
      </c>
      <c r="B473" s="51" t="s">
        <v>1003</v>
      </c>
      <c r="C473" s="51" t="s">
        <v>1021</v>
      </c>
      <c r="D473" s="51" t="s">
        <v>1005</v>
      </c>
      <c r="E473" s="51" t="s">
        <v>1005</v>
      </c>
      <c r="F473" s="51" t="s">
        <v>1005</v>
      </c>
      <c r="G473" s="51" t="s">
        <v>1005</v>
      </c>
      <c r="H473" s="51" t="s">
        <v>1005</v>
      </c>
      <c r="I473" s="51" t="s">
        <v>1005</v>
      </c>
      <c r="J473" s="50" t="str">
        <f t="shared" si="14"/>
        <v>7925871077.pdf</v>
      </c>
      <c r="K473" s="51" t="s">
        <v>1006</v>
      </c>
      <c r="L473" s="51" t="s">
        <v>632</v>
      </c>
      <c r="M473" s="50" t="str">
        <f t="shared" si="15"/>
        <v>34.500</v>
      </c>
      <c r="N473" s="50" t="str">
        <f>IF(A473&lt;&gt;"",VLOOKUP(RIGHT(A473,3)*1,[4]Des_Loc!A:B,2,0),"")</f>
        <v>GOIATINS</v>
      </c>
    </row>
    <row r="474" spans="1:14" ht="18.75" customHeight="1" x14ac:dyDescent="0.25">
      <c r="A474" s="52">
        <v>7924895077</v>
      </c>
      <c r="B474" s="51" t="s">
        <v>1003</v>
      </c>
      <c r="C474" s="51" t="s">
        <v>1008</v>
      </c>
      <c r="D474" s="51" t="s">
        <v>1005</v>
      </c>
      <c r="E474" s="51" t="s">
        <v>1005</v>
      </c>
      <c r="F474" s="51" t="s">
        <v>1005</v>
      </c>
      <c r="G474" s="51" t="s">
        <v>1005</v>
      </c>
      <c r="H474" s="51" t="s">
        <v>1005</v>
      </c>
      <c r="I474" s="51" t="s">
        <v>1005</v>
      </c>
      <c r="J474" s="50" t="str">
        <f t="shared" si="14"/>
        <v>7924895077.pdf</v>
      </c>
      <c r="K474" s="51" t="s">
        <v>1006</v>
      </c>
      <c r="L474" s="51" t="s">
        <v>632</v>
      </c>
      <c r="M474" s="50" t="str">
        <f t="shared" si="15"/>
        <v>34.500</v>
      </c>
      <c r="N474" s="50" t="str">
        <f>IF(A474&lt;&gt;"",VLOOKUP(RIGHT(A474,3)*1,[4]Des_Loc!A:B,2,0),"")</f>
        <v>GOIATINS</v>
      </c>
    </row>
    <row r="475" spans="1:14" ht="18.75" customHeight="1" x14ac:dyDescent="0.25">
      <c r="A475" s="52">
        <v>7924896193</v>
      </c>
      <c r="B475" s="51" t="s">
        <v>1003</v>
      </c>
      <c r="C475" s="51" t="s">
        <v>1010</v>
      </c>
      <c r="D475" s="51" t="s">
        <v>1011</v>
      </c>
      <c r="E475" s="51" t="s">
        <v>1005</v>
      </c>
      <c r="F475" s="51" t="s">
        <v>1005</v>
      </c>
      <c r="G475" s="51" t="s">
        <v>1005</v>
      </c>
      <c r="H475" s="51" t="s">
        <v>1005</v>
      </c>
      <c r="I475" s="51" t="s">
        <v>1005</v>
      </c>
      <c r="J475" s="50" t="str">
        <f t="shared" si="14"/>
        <v>7924896193.pdf</v>
      </c>
      <c r="K475" s="51" t="s">
        <v>1006</v>
      </c>
      <c r="L475" s="51" t="s">
        <v>632</v>
      </c>
      <c r="M475" s="50" t="str">
        <f t="shared" si="15"/>
        <v>34.500</v>
      </c>
      <c r="N475" s="50" t="str">
        <f>IF(A475&lt;&gt;"",VLOOKUP(RIGHT(A475,3)*1,[4]Des_Loc!A:B,2,0),"")</f>
        <v>CAMPOS LINDOS</v>
      </c>
    </row>
    <row r="476" spans="1:14" ht="18.75" customHeight="1" x14ac:dyDescent="0.25">
      <c r="A476" s="52">
        <v>7925873193</v>
      </c>
      <c r="B476" s="51" t="s">
        <v>1003</v>
      </c>
      <c r="C476" s="51" t="s">
        <v>1008</v>
      </c>
      <c r="D476" s="51" t="s">
        <v>1005</v>
      </c>
      <c r="E476" s="51" t="s">
        <v>1005</v>
      </c>
      <c r="F476" s="51" t="s">
        <v>1005</v>
      </c>
      <c r="G476" s="51" t="s">
        <v>1005</v>
      </c>
      <c r="H476" s="51" t="s">
        <v>1005</v>
      </c>
      <c r="I476" s="51" t="s">
        <v>1005</v>
      </c>
      <c r="J476" s="50" t="str">
        <f t="shared" si="14"/>
        <v>7925873193.pdf</v>
      </c>
      <c r="K476" s="51" t="s">
        <v>1006</v>
      </c>
      <c r="L476" s="51" t="s">
        <v>1036</v>
      </c>
      <c r="M476" s="50" t="str">
        <f t="shared" si="15"/>
        <v>34.500</v>
      </c>
      <c r="N476" s="50" t="str">
        <f>IF(A476&lt;&gt;"",VLOOKUP(RIGHT(A476,3)*1,[4]Des_Loc!A:B,2,0),"")</f>
        <v>CAMPOS LINDOS</v>
      </c>
    </row>
    <row r="477" spans="1:14" ht="18.75" customHeight="1" x14ac:dyDescent="0.25">
      <c r="A477" s="52">
        <v>7925870030</v>
      </c>
      <c r="B477" s="51" t="s">
        <v>1003</v>
      </c>
      <c r="C477" s="51" t="s">
        <v>1010</v>
      </c>
      <c r="D477" s="51"/>
      <c r="E477" s="51" t="s">
        <v>1005</v>
      </c>
      <c r="F477" s="51"/>
      <c r="G477" s="51"/>
      <c r="H477" s="51" t="s">
        <v>1005</v>
      </c>
      <c r="I477" s="51" t="s">
        <v>1005</v>
      </c>
      <c r="J477" s="50" t="str">
        <f t="shared" si="14"/>
        <v>7925870030.pdf</v>
      </c>
      <c r="K477" s="51" t="s">
        <v>1006</v>
      </c>
      <c r="L477" s="51" t="s">
        <v>1114</v>
      </c>
      <c r="M477" s="50" t="str">
        <f t="shared" si="15"/>
        <v>34.500</v>
      </c>
      <c r="N477" s="50" t="str">
        <f>IF(A477&lt;&gt;"",VLOOKUP(RIGHT(A477,3)*1,[4]Des_Loc!A:B,2,0),"")</f>
        <v>XAMBIOA</v>
      </c>
    </row>
    <row r="478" spans="1:14" ht="18.75" customHeight="1" x14ac:dyDescent="0.25">
      <c r="A478" s="52">
        <v>7926787082</v>
      </c>
      <c r="B478" s="51" t="s">
        <v>1003</v>
      </c>
      <c r="C478" s="51">
        <v>3</v>
      </c>
      <c r="D478" s="51" t="s">
        <v>1011</v>
      </c>
      <c r="E478" s="51" t="s">
        <v>1005</v>
      </c>
      <c r="F478" s="51" t="s">
        <v>1005</v>
      </c>
      <c r="G478" s="51" t="s">
        <v>1005</v>
      </c>
      <c r="H478" s="51" t="s">
        <v>1005</v>
      </c>
      <c r="I478" s="51" t="s">
        <v>1005</v>
      </c>
      <c r="J478" s="50" t="str">
        <f t="shared" si="14"/>
        <v>7926787082.pdf</v>
      </c>
      <c r="K478" s="51" t="s">
        <v>1006</v>
      </c>
      <c r="L478" s="51" t="s">
        <v>754</v>
      </c>
      <c r="M478" s="50" t="str">
        <f t="shared" si="15"/>
        <v>34.500</v>
      </c>
      <c r="N478" s="50" t="str">
        <f>IF(A478&lt;&gt;"",VLOOKUP(RIGHT(A478,3)*1,[4]Des_Loc!A:B,2,0),"")</f>
        <v>LIZARDA</v>
      </c>
    </row>
    <row r="479" spans="1:14" ht="18.75" customHeight="1" x14ac:dyDescent="0.25">
      <c r="A479" s="52">
        <v>7927312010</v>
      </c>
      <c r="B479" s="51" t="s">
        <v>1003</v>
      </c>
      <c r="C479" s="51">
        <v>3</v>
      </c>
      <c r="D479" s="51"/>
      <c r="E479" s="51" t="s">
        <v>1005</v>
      </c>
      <c r="F479" s="51"/>
      <c r="G479" s="51"/>
      <c r="H479" s="51" t="s">
        <v>1005</v>
      </c>
      <c r="I479" s="51" t="s">
        <v>1005</v>
      </c>
      <c r="J479" s="50" t="str">
        <f t="shared" si="14"/>
        <v>7927312010.pdf</v>
      </c>
      <c r="K479" s="51" t="s">
        <v>1006</v>
      </c>
      <c r="L479" s="51" t="s">
        <v>1068</v>
      </c>
      <c r="M479" s="50" t="str">
        <f t="shared" si="15"/>
        <v>34.500</v>
      </c>
      <c r="N479" s="50" t="str">
        <f>IF(A479&lt;&gt;"",VLOOKUP(RIGHT(A479,3)*1,[4]Des_Loc!A:B,2,0),"")</f>
        <v>LAJEADO</v>
      </c>
    </row>
    <row r="480" spans="1:14" ht="18.75" customHeight="1" x14ac:dyDescent="0.25">
      <c r="A480" s="50">
        <v>7925860127</v>
      </c>
      <c r="B480" s="51" t="s">
        <v>1003</v>
      </c>
      <c r="C480" s="51" t="s">
        <v>1010</v>
      </c>
      <c r="D480" s="51"/>
      <c r="E480" s="51" t="s">
        <v>1005</v>
      </c>
      <c r="F480" s="51"/>
      <c r="G480" s="51"/>
      <c r="H480" s="51" t="s">
        <v>1005</v>
      </c>
      <c r="I480" s="51" t="s">
        <v>1005</v>
      </c>
      <c r="J480" s="50" t="str">
        <f t="shared" si="14"/>
        <v>7925860127.pdf</v>
      </c>
      <c r="K480" s="51" t="s">
        <v>1006</v>
      </c>
      <c r="L480" s="51" t="s">
        <v>594</v>
      </c>
      <c r="M480" s="50" t="str">
        <f t="shared" si="15"/>
        <v>34.500</v>
      </c>
      <c r="N480" s="50" t="str">
        <f>IF(A480&lt;&gt;"",VLOOKUP(RIGHT(A480,3)*1,[4]Des_Loc!A:B,2,0),"")</f>
        <v>PALMEIRAS DO TOCANTINS</v>
      </c>
    </row>
    <row r="481" spans="1:14" ht="18.75" customHeight="1" x14ac:dyDescent="0.25">
      <c r="A481" s="52">
        <v>7925854127</v>
      </c>
      <c r="B481" s="51" t="s">
        <v>1003</v>
      </c>
      <c r="C481" s="51" t="s">
        <v>1021</v>
      </c>
      <c r="D481" s="51"/>
      <c r="E481" s="51" t="s">
        <v>1005</v>
      </c>
      <c r="F481" s="51"/>
      <c r="G481" s="51"/>
      <c r="H481" s="51" t="s">
        <v>1005</v>
      </c>
      <c r="I481" s="51" t="s">
        <v>1005</v>
      </c>
      <c r="J481" s="50" t="str">
        <f t="shared" si="14"/>
        <v>7925854127.pdf</v>
      </c>
      <c r="K481" s="51" t="s">
        <v>1006</v>
      </c>
      <c r="L481" s="51" t="s">
        <v>594</v>
      </c>
      <c r="M481" s="50" t="str">
        <f t="shared" si="15"/>
        <v>34.500</v>
      </c>
      <c r="N481" s="50" t="str">
        <f>IF(A481&lt;&gt;"",VLOOKUP(RIGHT(A481,3)*1,[4]Des_Loc!A:B,2,0),"")</f>
        <v>PALMEIRAS DO TOCANTINS</v>
      </c>
    </row>
    <row r="482" spans="1:14" ht="18.75" customHeight="1" x14ac:dyDescent="0.25">
      <c r="A482" s="52">
        <v>7925874119</v>
      </c>
      <c r="B482" s="51" t="s">
        <v>1003</v>
      </c>
      <c r="C482" s="51" t="s">
        <v>1010</v>
      </c>
      <c r="D482" s="51" t="s">
        <v>1011</v>
      </c>
      <c r="E482" s="51" t="s">
        <v>1005</v>
      </c>
      <c r="F482" s="51" t="s">
        <v>1005</v>
      </c>
      <c r="G482" s="51" t="s">
        <v>1005</v>
      </c>
      <c r="H482" s="51" t="s">
        <v>1005</v>
      </c>
      <c r="I482" s="51" t="s">
        <v>1005</v>
      </c>
      <c r="J482" s="50" t="str">
        <f t="shared" si="14"/>
        <v>7925874119.pdf</v>
      </c>
      <c r="K482" s="51" t="s">
        <v>1006</v>
      </c>
      <c r="L482" s="51" t="s">
        <v>453</v>
      </c>
      <c r="M482" s="50" t="str">
        <f t="shared" si="15"/>
        <v>34.500</v>
      </c>
      <c r="N482" s="50" t="str">
        <f>IF(A482&lt;&gt;"",VLOOKUP(RIGHT(A482,3)*1,[4]Des_Loc!A:B,2,0),"")</f>
        <v>SAO BENTO DO TOCANTINS</v>
      </c>
    </row>
    <row r="483" spans="1:14" ht="18.75" customHeight="1" x14ac:dyDescent="0.25">
      <c r="A483" s="52">
        <v>7925875119</v>
      </c>
      <c r="B483" s="51" t="s">
        <v>1003</v>
      </c>
      <c r="C483" s="51" t="s">
        <v>1010</v>
      </c>
      <c r="D483" s="51" t="s">
        <v>1011</v>
      </c>
      <c r="E483" s="51" t="s">
        <v>1005</v>
      </c>
      <c r="F483" s="51" t="s">
        <v>1005</v>
      </c>
      <c r="G483" s="51" t="s">
        <v>1005</v>
      </c>
      <c r="H483" s="51" t="s">
        <v>1005</v>
      </c>
      <c r="I483" s="51" t="s">
        <v>1005</v>
      </c>
      <c r="J483" s="50" t="str">
        <f t="shared" si="14"/>
        <v>7925875119.pdf</v>
      </c>
      <c r="K483" s="51" t="s">
        <v>1006</v>
      </c>
      <c r="L483" s="51" t="s">
        <v>453</v>
      </c>
      <c r="M483" s="50" t="str">
        <f t="shared" si="15"/>
        <v>34.500</v>
      </c>
      <c r="N483" s="50" t="str">
        <f>IF(A483&lt;&gt;"",VLOOKUP(RIGHT(A483,3)*1,[4]Des_Loc!A:B,2,0),"")</f>
        <v>SAO BENTO DO TOCANTINS</v>
      </c>
    </row>
    <row r="484" spans="1:14" ht="18.75" customHeight="1" x14ac:dyDescent="0.25">
      <c r="A484" s="52">
        <v>7922995039</v>
      </c>
      <c r="B484" s="51" t="s">
        <v>1003</v>
      </c>
      <c r="C484" s="51">
        <v>2</v>
      </c>
      <c r="D484" s="51" t="s">
        <v>1005</v>
      </c>
      <c r="E484" s="51" t="s">
        <v>1005</v>
      </c>
      <c r="F484" s="51" t="s">
        <v>1005</v>
      </c>
      <c r="G484" s="51" t="s">
        <v>1005</v>
      </c>
      <c r="H484" s="51" t="s">
        <v>1005</v>
      </c>
      <c r="I484" s="51" t="s">
        <v>1005</v>
      </c>
      <c r="J484" s="50" t="str">
        <f t="shared" si="14"/>
        <v>7922995039.pdf</v>
      </c>
      <c r="K484" s="51" t="s">
        <v>1006</v>
      </c>
      <c r="L484" s="51" t="s">
        <v>1145</v>
      </c>
      <c r="M484" s="50" t="str">
        <f t="shared" si="15"/>
        <v>13.800</v>
      </c>
      <c r="N484" s="50" t="str">
        <f>IF(A484&lt;&gt;"",VLOOKUP(RIGHT(A484,3)*1,[4]Des_Loc!A:B,2,0),"")</f>
        <v>ARAGUATINS</v>
      </c>
    </row>
    <row r="485" spans="1:14" ht="18.75" customHeight="1" x14ac:dyDescent="0.25">
      <c r="A485" s="52">
        <v>7924616076</v>
      </c>
      <c r="B485" s="51" t="s">
        <v>1003</v>
      </c>
      <c r="C485" s="51">
        <v>2</v>
      </c>
      <c r="D485" s="51"/>
      <c r="E485" s="51" t="s">
        <v>1005</v>
      </c>
      <c r="F485" s="51"/>
      <c r="G485" s="51"/>
      <c r="H485" s="51" t="s">
        <v>1005</v>
      </c>
      <c r="I485" s="51" t="s">
        <v>1005</v>
      </c>
      <c r="J485" s="50" t="str">
        <f t="shared" si="14"/>
        <v>7924616076.pdf</v>
      </c>
      <c r="K485" s="51" t="s">
        <v>1006</v>
      </c>
      <c r="L485" s="51" t="s">
        <v>1075</v>
      </c>
      <c r="M485" s="50" t="str">
        <f t="shared" si="15"/>
        <v>34.500</v>
      </c>
      <c r="N485" s="50" t="str">
        <f>IF(A485&lt;&gt;"",VLOOKUP(RIGHT(A485,3)*1,[4]Des_Loc!A:B,2,0),"")</f>
        <v>DUERE</v>
      </c>
    </row>
    <row r="486" spans="1:14" ht="18.75" customHeight="1" x14ac:dyDescent="0.25">
      <c r="A486" s="52">
        <v>7926251094</v>
      </c>
      <c r="B486" s="51" t="s">
        <v>1003</v>
      </c>
      <c r="C486" s="51" t="s">
        <v>1004</v>
      </c>
      <c r="D486" s="51" t="s">
        <v>1005</v>
      </c>
      <c r="E486" s="51" t="s">
        <v>1005</v>
      </c>
      <c r="F486" s="51" t="s">
        <v>1005</v>
      </c>
      <c r="G486" s="51" t="s">
        <v>1005</v>
      </c>
      <c r="H486" s="51" t="s">
        <v>1005</v>
      </c>
      <c r="I486" s="51" t="s">
        <v>1005</v>
      </c>
      <c r="J486" s="50" t="str">
        <f t="shared" si="14"/>
        <v>7926251094.pdf</v>
      </c>
      <c r="K486" s="51" t="s">
        <v>1006</v>
      </c>
      <c r="L486" s="51" t="s">
        <v>406</v>
      </c>
      <c r="M486" s="50" t="str">
        <f t="shared" si="15"/>
        <v>34.500</v>
      </c>
      <c r="N486" s="50" t="str">
        <f>IF(A486&lt;&gt;"",VLOOKUP(RIGHT(A486,3)*1,[4]Des_Loc!A:B,2,0),"")</f>
        <v>PEIXE</v>
      </c>
    </row>
    <row r="487" spans="1:14" ht="18.75" customHeight="1" x14ac:dyDescent="0.25">
      <c r="A487" s="52">
        <v>7926252094</v>
      </c>
      <c r="B487" s="51" t="s">
        <v>1003</v>
      </c>
      <c r="C487" s="51">
        <v>3</v>
      </c>
      <c r="D487" s="51" t="s">
        <v>1005</v>
      </c>
      <c r="E487" s="51" t="s">
        <v>1005</v>
      </c>
      <c r="F487" s="51" t="s">
        <v>1005</v>
      </c>
      <c r="G487" s="51" t="s">
        <v>1005</v>
      </c>
      <c r="H487" s="51" t="s">
        <v>1005</v>
      </c>
      <c r="I487" s="51" t="s">
        <v>1005</v>
      </c>
      <c r="J487" s="50" t="str">
        <f t="shared" si="14"/>
        <v>7926252094.pdf</v>
      </c>
      <c r="K487" s="51" t="s">
        <v>1006</v>
      </c>
      <c r="L487" s="51" t="s">
        <v>406</v>
      </c>
      <c r="M487" s="50" t="str">
        <f t="shared" si="15"/>
        <v>34.500</v>
      </c>
      <c r="N487" s="50" t="str">
        <f>IF(A487&lt;&gt;"",VLOOKUP(RIGHT(A487,3)*1,[4]Des_Loc!A:B,2,0),"")</f>
        <v>PEIXE</v>
      </c>
    </row>
    <row r="488" spans="1:14" ht="18.75" customHeight="1" x14ac:dyDescent="0.25">
      <c r="A488" s="52">
        <v>7928151001</v>
      </c>
      <c r="B488" s="51" t="s">
        <v>1003</v>
      </c>
      <c r="C488" s="51">
        <v>3</v>
      </c>
      <c r="D488" s="51" t="s">
        <v>1011</v>
      </c>
      <c r="E488" s="51" t="s">
        <v>1005</v>
      </c>
      <c r="F488" s="51" t="s">
        <v>1005</v>
      </c>
      <c r="G488" s="51" t="s">
        <v>1005</v>
      </c>
      <c r="H488" s="51" t="s">
        <v>1005</v>
      </c>
      <c r="I488" s="51" t="s">
        <v>1005</v>
      </c>
      <c r="J488" s="50" t="str">
        <f t="shared" si="14"/>
        <v>7928151001.pdf</v>
      </c>
      <c r="K488" s="51" t="s">
        <v>1006</v>
      </c>
      <c r="L488" s="51" t="s">
        <v>1146</v>
      </c>
      <c r="M488" s="50" t="str">
        <f t="shared" si="15"/>
        <v>13.800</v>
      </c>
      <c r="N488" s="50" t="str">
        <f>IF(A488&lt;&gt;"",VLOOKUP(RIGHT(A488,3)*1,[4]Des_Loc!A:B,2,0),"")</f>
        <v>PORTO NACIONAL</v>
      </c>
    </row>
    <row r="489" spans="1:14" ht="18.75" customHeight="1" x14ac:dyDescent="0.25">
      <c r="A489" s="52">
        <v>7927785004</v>
      </c>
      <c r="B489" s="51" t="s">
        <v>1003</v>
      </c>
      <c r="C489" s="51">
        <v>2</v>
      </c>
      <c r="D489" s="51"/>
      <c r="E489" s="51" t="s">
        <v>1005</v>
      </c>
      <c r="F489" s="51"/>
      <c r="G489" s="51"/>
      <c r="H489" s="51" t="s">
        <v>1005</v>
      </c>
      <c r="I489" s="51" t="s">
        <v>1005</v>
      </c>
      <c r="J489" s="50" t="str">
        <f t="shared" si="14"/>
        <v>7927785004.pdf</v>
      </c>
      <c r="K489" s="51" t="s">
        <v>1006</v>
      </c>
      <c r="L489" s="51" t="s">
        <v>1147</v>
      </c>
      <c r="M489" s="50" t="str">
        <f t="shared" si="15"/>
        <v>13.800</v>
      </c>
      <c r="N489" s="50" t="str">
        <f>IF(A489&lt;&gt;"",VLOOKUP(RIGHT(A489,3)*1,[4]Des_Loc!A:B,2,0),"")</f>
        <v>ARAGUAINA</v>
      </c>
    </row>
    <row r="490" spans="1:14" ht="18.75" customHeight="1" x14ac:dyDescent="0.25">
      <c r="A490" s="52">
        <v>7925853004</v>
      </c>
      <c r="B490" s="51" t="s">
        <v>1003</v>
      </c>
      <c r="C490" s="51">
        <v>2</v>
      </c>
      <c r="D490" s="51"/>
      <c r="E490" s="51" t="s">
        <v>1005</v>
      </c>
      <c r="F490" s="51"/>
      <c r="G490" s="51"/>
      <c r="H490" s="51" t="s">
        <v>1005</v>
      </c>
      <c r="I490" s="51" t="s">
        <v>1005</v>
      </c>
      <c r="J490" s="50" t="str">
        <f t="shared" si="14"/>
        <v>7925853004.pdf</v>
      </c>
      <c r="K490" s="51" t="s">
        <v>1006</v>
      </c>
      <c r="L490" s="51" t="s">
        <v>1148</v>
      </c>
      <c r="M490" s="50" t="str">
        <f t="shared" si="15"/>
        <v>13.800</v>
      </c>
      <c r="N490" s="50" t="str">
        <f>IF(A490&lt;&gt;"",VLOOKUP(RIGHT(A490,3)*1,[4]Des_Loc!A:B,2,0),"")</f>
        <v>ARAGUAINA</v>
      </c>
    </row>
    <row r="491" spans="1:14" ht="18.75" customHeight="1" x14ac:dyDescent="0.25">
      <c r="A491" s="52">
        <v>7927751004</v>
      </c>
      <c r="B491" s="51" t="s">
        <v>1003</v>
      </c>
      <c r="C491" s="51">
        <v>2</v>
      </c>
      <c r="D491" s="51"/>
      <c r="E491" s="51" t="s">
        <v>1005</v>
      </c>
      <c r="F491" s="51"/>
      <c r="G491" s="51"/>
      <c r="H491" s="51" t="s">
        <v>1005</v>
      </c>
      <c r="I491" s="51" t="s">
        <v>1005</v>
      </c>
      <c r="J491" s="50" t="str">
        <f t="shared" si="14"/>
        <v>7927751004.pdf</v>
      </c>
      <c r="K491" s="51" t="s">
        <v>1006</v>
      </c>
      <c r="L491" s="51" t="s">
        <v>1149</v>
      </c>
      <c r="M491" s="50" t="str">
        <f t="shared" si="15"/>
        <v>13.800</v>
      </c>
      <c r="N491" s="50" t="str">
        <f>IF(A491&lt;&gt;"",VLOOKUP(RIGHT(A491,3)*1,[4]Des_Loc!A:B,2,0),"")</f>
        <v>ARAGUAINA</v>
      </c>
    </row>
    <row r="492" spans="1:14" ht="18.75" customHeight="1" x14ac:dyDescent="0.25">
      <c r="A492" s="52">
        <v>7927795004</v>
      </c>
      <c r="B492" s="51" t="s">
        <v>1003</v>
      </c>
      <c r="C492" s="51">
        <v>2</v>
      </c>
      <c r="D492" s="51"/>
      <c r="E492" s="51" t="s">
        <v>1005</v>
      </c>
      <c r="F492" s="51"/>
      <c r="G492" s="51"/>
      <c r="H492" s="51" t="s">
        <v>1005</v>
      </c>
      <c r="I492" s="51" t="s">
        <v>1005</v>
      </c>
      <c r="J492" s="50" t="str">
        <f t="shared" si="14"/>
        <v>7927795004.pdf</v>
      </c>
      <c r="K492" s="51" t="s">
        <v>1006</v>
      </c>
      <c r="L492" s="51" t="s">
        <v>1147</v>
      </c>
      <c r="M492" s="50" t="str">
        <f t="shared" si="15"/>
        <v>13.800</v>
      </c>
      <c r="N492" s="50" t="str">
        <f>IF(A492&lt;&gt;"",VLOOKUP(RIGHT(A492,3)*1,[4]Des_Loc!A:B,2,0),"")</f>
        <v>ARAGUAINA</v>
      </c>
    </row>
    <row r="493" spans="1:14" ht="18.75" customHeight="1" x14ac:dyDescent="0.25">
      <c r="A493" s="50">
        <v>7924614139</v>
      </c>
      <c r="B493" s="51" t="s">
        <v>1003</v>
      </c>
      <c r="C493" s="51" t="s">
        <v>1010</v>
      </c>
      <c r="D493" s="51" t="s">
        <v>1011</v>
      </c>
      <c r="E493" s="51" t="s">
        <v>1005</v>
      </c>
      <c r="F493" s="51" t="s">
        <v>1005</v>
      </c>
      <c r="G493" s="51" t="s">
        <v>1005</v>
      </c>
      <c r="H493" s="51" t="s">
        <v>1005</v>
      </c>
      <c r="I493" s="51" t="s">
        <v>1005</v>
      </c>
      <c r="J493" s="50" t="str">
        <f t="shared" si="14"/>
        <v>7924614139.pdf</v>
      </c>
      <c r="K493" s="51" t="s">
        <v>1006</v>
      </c>
      <c r="L493" s="51" t="s">
        <v>1076</v>
      </c>
      <c r="M493" s="50" t="str">
        <f t="shared" si="15"/>
        <v>34.500</v>
      </c>
      <c r="N493" s="50" t="str">
        <f>IF(A493&lt;&gt;"",VLOOKUP(RIGHT(A493,3)*1,[4]Des_Loc!A:B,2,0),"")</f>
        <v>DORILANDIA</v>
      </c>
    </row>
    <row r="494" spans="1:14" ht="18.75" customHeight="1" x14ac:dyDescent="0.25">
      <c r="A494" s="52">
        <v>7925640155</v>
      </c>
      <c r="B494" s="51" t="s">
        <v>1003</v>
      </c>
      <c r="C494" s="51" t="s">
        <v>1010</v>
      </c>
      <c r="D494" s="51" t="s">
        <v>1005</v>
      </c>
      <c r="E494" s="51" t="s">
        <v>1005</v>
      </c>
      <c r="F494" s="51" t="s">
        <v>1005</v>
      </c>
      <c r="G494" s="51" t="s">
        <v>1005</v>
      </c>
      <c r="H494" s="51" t="s">
        <v>1005</v>
      </c>
      <c r="I494" s="51" t="s">
        <v>1005</v>
      </c>
      <c r="J494" s="50" t="str">
        <f t="shared" si="14"/>
        <v>7925640155.pdf</v>
      </c>
      <c r="K494" s="51" t="s">
        <v>1006</v>
      </c>
      <c r="L494" s="51" t="s">
        <v>1150</v>
      </c>
      <c r="M494" s="50" t="str">
        <f t="shared" si="15"/>
        <v>34.500</v>
      </c>
      <c r="N494" s="50" t="str">
        <f>IF(A494&lt;&gt;"",VLOOKUP(RIGHT(A494,3)*1,[4]Des_Loc!A:B,2,0),"")</f>
        <v>PALMEIRANTE</v>
      </c>
    </row>
    <row r="495" spans="1:14" ht="18.75" customHeight="1" x14ac:dyDescent="0.25">
      <c r="A495" s="52">
        <v>7928466004</v>
      </c>
      <c r="B495" s="51" t="s">
        <v>1003</v>
      </c>
      <c r="C495" s="51">
        <v>2</v>
      </c>
      <c r="D495" s="51"/>
      <c r="E495" s="51" t="s">
        <v>1005</v>
      </c>
      <c r="F495" s="51"/>
      <c r="G495" s="51"/>
      <c r="H495" s="51" t="s">
        <v>1005</v>
      </c>
      <c r="I495" s="51" t="s">
        <v>1005</v>
      </c>
      <c r="J495" s="50" t="str">
        <f t="shared" si="14"/>
        <v>7928466004.pdf</v>
      </c>
      <c r="K495" s="51" t="s">
        <v>1006</v>
      </c>
      <c r="L495" s="51" t="s">
        <v>1149</v>
      </c>
      <c r="M495" s="50" t="str">
        <f t="shared" si="15"/>
        <v>13.800</v>
      </c>
      <c r="N495" s="50" t="str">
        <f>IF(A495&lt;&gt;"",VLOOKUP(RIGHT(A495,3)*1,[4]Des_Loc!A:B,2,0),"")</f>
        <v>ARAGUAINA</v>
      </c>
    </row>
    <row r="496" spans="1:14" ht="18.75" customHeight="1" x14ac:dyDescent="0.25">
      <c r="A496" s="52">
        <v>7925857080</v>
      </c>
      <c r="B496" s="51" t="s">
        <v>1003</v>
      </c>
      <c r="C496" s="51" t="s">
        <v>1010</v>
      </c>
      <c r="D496" s="51" t="s">
        <v>1011</v>
      </c>
      <c r="E496" s="51" t="s">
        <v>1011</v>
      </c>
      <c r="F496" s="51" t="s">
        <v>1005</v>
      </c>
      <c r="G496" s="51" t="s">
        <v>1005</v>
      </c>
      <c r="H496" s="51" t="s">
        <v>1005</v>
      </c>
      <c r="I496" s="51" t="s">
        <v>1005</v>
      </c>
      <c r="J496" s="50" t="str">
        <f t="shared" si="14"/>
        <v>7925857080.pdf</v>
      </c>
      <c r="K496" s="51" t="s">
        <v>1006</v>
      </c>
      <c r="L496" s="51" t="s">
        <v>497</v>
      </c>
      <c r="M496" s="50" t="str">
        <f t="shared" si="15"/>
        <v>34.500</v>
      </c>
      <c r="N496" s="50" t="str">
        <f>IF(A496&lt;&gt;"",VLOOKUP(RIGHT(A496,3)*1,[4]Des_Loc!A:B,2,0),"")</f>
        <v>DARCINOPOLIS</v>
      </c>
    </row>
    <row r="497" spans="1:14" ht="18.75" customHeight="1" x14ac:dyDescent="0.25">
      <c r="A497" s="52">
        <v>7929377080</v>
      </c>
      <c r="B497" s="51" t="s">
        <v>1003</v>
      </c>
      <c r="C497" s="51" t="s">
        <v>1008</v>
      </c>
      <c r="D497" s="51" t="s">
        <v>1005</v>
      </c>
      <c r="E497" s="51" t="s">
        <v>1005</v>
      </c>
      <c r="F497" s="51" t="s">
        <v>1005</v>
      </c>
      <c r="G497" s="51" t="s">
        <v>1005</v>
      </c>
      <c r="H497" s="51" t="s">
        <v>1005</v>
      </c>
      <c r="I497" s="51" t="s">
        <v>1005</v>
      </c>
      <c r="J497" s="50" t="str">
        <f t="shared" si="14"/>
        <v>7929377080.pdf</v>
      </c>
      <c r="K497" s="51" t="s">
        <v>1006</v>
      </c>
      <c r="L497" s="51" t="s">
        <v>497</v>
      </c>
      <c r="M497" s="50" t="str">
        <f t="shared" si="15"/>
        <v>34.500</v>
      </c>
      <c r="N497" s="50" t="str">
        <f>IF(A497&lt;&gt;"",VLOOKUP(RIGHT(A497,3)*1,[4]Des_Loc!A:B,2,0),"")</f>
        <v>DARCINOPOLIS</v>
      </c>
    </row>
    <row r="498" spans="1:14" ht="18.75" customHeight="1" x14ac:dyDescent="0.25">
      <c r="A498" s="52">
        <v>7929374004</v>
      </c>
      <c r="B498" s="51" t="s">
        <v>1003</v>
      </c>
      <c r="C498" s="51" t="s">
        <v>1021</v>
      </c>
      <c r="D498" s="51" t="s">
        <v>1005</v>
      </c>
      <c r="E498" s="51" t="s">
        <v>1005</v>
      </c>
      <c r="F498" s="51" t="s">
        <v>1005</v>
      </c>
      <c r="G498" s="51" t="s">
        <v>1005</v>
      </c>
      <c r="H498" s="51" t="s">
        <v>1005</v>
      </c>
      <c r="I498" s="51" t="s">
        <v>1005</v>
      </c>
      <c r="J498" s="50" t="str">
        <f t="shared" si="14"/>
        <v>7929374004.pdf</v>
      </c>
      <c r="K498" s="51" t="s">
        <v>1006</v>
      </c>
      <c r="L498" s="51" t="s">
        <v>1092</v>
      </c>
      <c r="M498" s="50" t="str">
        <f t="shared" si="15"/>
        <v>13.800</v>
      </c>
      <c r="N498" s="50" t="str">
        <f>IF(A498&lt;&gt;"",VLOOKUP(RIGHT(A498,3)*1,[4]Des_Loc!A:B,2,0),"")</f>
        <v>ARAGUAINA</v>
      </c>
    </row>
    <row r="499" spans="1:14" ht="18.75" customHeight="1" x14ac:dyDescent="0.25">
      <c r="A499" s="52">
        <v>7928553045</v>
      </c>
      <c r="B499" s="51" t="s">
        <v>1003</v>
      </c>
      <c r="C499" s="51" t="s">
        <v>1008</v>
      </c>
      <c r="D499" s="51" t="s">
        <v>1005</v>
      </c>
      <c r="E499" s="51" t="s">
        <v>1005</v>
      </c>
      <c r="F499" s="51" t="s">
        <v>1005</v>
      </c>
      <c r="G499" s="51" t="s">
        <v>1005</v>
      </c>
      <c r="H499" s="51" t="s">
        <v>1005</v>
      </c>
      <c r="I499" s="51" t="s">
        <v>1005</v>
      </c>
      <c r="J499" s="50" t="str">
        <f t="shared" si="14"/>
        <v>7928553045.pdf</v>
      </c>
      <c r="K499" s="51" t="s">
        <v>1006</v>
      </c>
      <c r="L499" s="51" t="s">
        <v>1012</v>
      </c>
      <c r="M499" s="50" t="str">
        <f t="shared" si="15"/>
        <v>34.500</v>
      </c>
      <c r="N499" s="50" t="str">
        <f>IF(A499&lt;&gt;"",VLOOKUP(RIGHT(A499,3)*1,[4]Des_Loc!A:B,2,0),"")</f>
        <v>AUGUSTINOPOLIS</v>
      </c>
    </row>
    <row r="500" spans="1:14" ht="18.75" customHeight="1" x14ac:dyDescent="0.25">
      <c r="A500" s="52">
        <v>7925419039</v>
      </c>
      <c r="B500" s="51" t="s">
        <v>1003</v>
      </c>
      <c r="C500" s="51" t="s">
        <v>1010</v>
      </c>
      <c r="D500" s="51"/>
      <c r="E500" s="51" t="s">
        <v>1005</v>
      </c>
      <c r="F500" s="51"/>
      <c r="G500" s="51"/>
      <c r="H500" s="51" t="s">
        <v>1005</v>
      </c>
      <c r="I500" s="51" t="s">
        <v>1005</v>
      </c>
      <c r="J500" s="50" t="str">
        <f t="shared" si="14"/>
        <v>7925419039.pdf</v>
      </c>
      <c r="K500" s="51" t="s">
        <v>1006</v>
      </c>
      <c r="L500" s="51" t="s">
        <v>1151</v>
      </c>
      <c r="M500" s="50" t="str">
        <f t="shared" si="15"/>
        <v>34.500</v>
      </c>
      <c r="N500" s="50" t="str">
        <f>IF(A500&lt;&gt;"",VLOOKUP(RIGHT(A500,3)*1,[4]Des_Loc!A:B,2,0),"")</f>
        <v>ARAGUATINS</v>
      </c>
    </row>
    <row r="501" spans="1:14" ht="18.75" customHeight="1" x14ac:dyDescent="0.25">
      <c r="A501" s="52">
        <v>7925421039</v>
      </c>
      <c r="B501" s="51" t="s">
        <v>1003</v>
      </c>
      <c r="C501" s="51" t="s">
        <v>1021</v>
      </c>
      <c r="D501" s="51" t="s">
        <v>1005</v>
      </c>
      <c r="E501" s="51" t="s">
        <v>1005</v>
      </c>
      <c r="F501" s="51" t="s">
        <v>1005</v>
      </c>
      <c r="G501" s="51" t="s">
        <v>1005</v>
      </c>
      <c r="H501" s="51" t="s">
        <v>1005</v>
      </c>
      <c r="I501" s="51" t="s">
        <v>1005</v>
      </c>
      <c r="J501" s="50" t="str">
        <f t="shared" si="14"/>
        <v>7925421039.pdf</v>
      </c>
      <c r="K501" s="51" t="s">
        <v>1006</v>
      </c>
      <c r="L501" s="51" t="s">
        <v>1151</v>
      </c>
      <c r="M501" s="50" t="str">
        <f t="shared" si="15"/>
        <v>34.500</v>
      </c>
      <c r="N501" s="50" t="str">
        <f>IF(A501&lt;&gt;"",VLOOKUP(RIGHT(A501,3)*1,[4]Des_Loc!A:B,2,0),"")</f>
        <v>ARAGUATINS</v>
      </c>
    </row>
    <row r="502" spans="1:14" ht="18.75" customHeight="1" x14ac:dyDescent="0.25">
      <c r="A502" s="52">
        <v>7925425039</v>
      </c>
      <c r="B502" s="51" t="s">
        <v>1003</v>
      </c>
      <c r="C502" s="51" t="s">
        <v>1008</v>
      </c>
      <c r="D502" s="51" t="s">
        <v>1005</v>
      </c>
      <c r="E502" s="51" t="s">
        <v>1005</v>
      </c>
      <c r="F502" s="51" t="s">
        <v>1005</v>
      </c>
      <c r="G502" s="51" t="s">
        <v>1005</v>
      </c>
      <c r="H502" s="51" t="s">
        <v>1005</v>
      </c>
      <c r="I502" s="51" t="s">
        <v>1005</v>
      </c>
      <c r="J502" s="50" t="str">
        <f t="shared" si="14"/>
        <v>7925425039.pdf</v>
      </c>
      <c r="K502" s="51" t="s">
        <v>1006</v>
      </c>
      <c r="L502" s="51" t="s">
        <v>1151</v>
      </c>
      <c r="M502" s="50" t="str">
        <f t="shared" si="15"/>
        <v>34.500</v>
      </c>
      <c r="N502" s="50" t="str">
        <f>IF(A502&lt;&gt;"",VLOOKUP(RIGHT(A502,3)*1,[4]Des_Loc!A:B,2,0),"")</f>
        <v>ARAGUATINS</v>
      </c>
    </row>
    <row r="503" spans="1:14" ht="18.75" customHeight="1" x14ac:dyDescent="0.25">
      <c r="A503" s="52">
        <v>7925096042</v>
      </c>
      <c r="B503" s="51" t="s">
        <v>1003</v>
      </c>
      <c r="C503" s="51">
        <v>2</v>
      </c>
      <c r="D503" s="51"/>
      <c r="E503" s="51" t="s">
        <v>1005</v>
      </c>
      <c r="F503" s="51"/>
      <c r="G503" s="51"/>
      <c r="H503" s="51" t="s">
        <v>1005</v>
      </c>
      <c r="I503" s="51" t="s">
        <v>1005</v>
      </c>
      <c r="J503" s="50" t="str">
        <f t="shared" si="14"/>
        <v>7925096042.pdf</v>
      </c>
      <c r="K503" s="54" t="s">
        <v>1022</v>
      </c>
      <c r="L503" s="51" t="s">
        <v>1152</v>
      </c>
      <c r="M503" s="50" t="str">
        <f t="shared" si="15"/>
        <v>13.800</v>
      </c>
      <c r="N503" s="50" t="str">
        <f>IF(A503&lt;&gt;"",VLOOKUP(RIGHT(A503,3)*1,[4]Des_Loc!A:B,2,0),"")</f>
        <v>CARIRI DO TOCANTINS</v>
      </c>
    </row>
    <row r="504" spans="1:14" ht="18.75" customHeight="1" x14ac:dyDescent="0.25">
      <c r="A504" s="52">
        <v>7927711107</v>
      </c>
      <c r="B504" s="51" t="s">
        <v>1003</v>
      </c>
      <c r="C504" s="51" t="s">
        <v>1004</v>
      </c>
      <c r="D504" s="51" t="s">
        <v>1005</v>
      </c>
      <c r="E504" s="51" t="s">
        <v>1005</v>
      </c>
      <c r="F504" s="51" t="s">
        <v>1005</v>
      </c>
      <c r="G504" s="51" t="s">
        <v>1005</v>
      </c>
      <c r="H504" s="51" t="s">
        <v>1005</v>
      </c>
      <c r="I504" s="51" t="s">
        <v>1005</v>
      </c>
      <c r="J504" s="50" t="str">
        <f t="shared" si="14"/>
        <v>7927711107.pdf</v>
      </c>
      <c r="K504" s="51" t="s">
        <v>1006</v>
      </c>
      <c r="L504" s="51" t="s">
        <v>1076</v>
      </c>
      <c r="M504" s="50" t="str">
        <f t="shared" si="15"/>
        <v>34.500</v>
      </c>
      <c r="N504" s="50" t="str">
        <f>IF(A504&lt;&gt;"",VLOOKUP(RIGHT(A504,3)*1,[4]Des_Loc!A:B,2,0),"")</f>
        <v>SANDOLANDIA</v>
      </c>
    </row>
    <row r="505" spans="1:14" ht="18.75" customHeight="1" x14ac:dyDescent="0.25">
      <c r="A505" s="52">
        <v>7928722052</v>
      </c>
      <c r="B505" s="51" t="s">
        <v>1003</v>
      </c>
      <c r="C505" s="51" t="s">
        <v>1010</v>
      </c>
      <c r="D505" s="51" t="s">
        <v>1005</v>
      </c>
      <c r="E505" s="51" t="s">
        <v>1005</v>
      </c>
      <c r="F505" s="51" t="s">
        <v>1005</v>
      </c>
      <c r="G505" s="51" t="s">
        <v>1005</v>
      </c>
      <c r="H505" s="51" t="s">
        <v>1005</v>
      </c>
      <c r="I505" s="51" t="s">
        <v>1005</v>
      </c>
      <c r="J505" s="50" t="str">
        <f t="shared" si="14"/>
        <v>7928722052.pdf</v>
      </c>
      <c r="K505" s="51" t="s">
        <v>1006</v>
      </c>
      <c r="L505" s="51" t="s">
        <v>1153</v>
      </c>
      <c r="M505" s="50" t="str">
        <f t="shared" si="15"/>
        <v>34.500</v>
      </c>
      <c r="N505" s="50" t="str">
        <f>IF(A505&lt;&gt;"",VLOOKUP(RIGHT(A505,3)*1,[4]Des_Loc!A:B,2,0),"")</f>
        <v>FORMOSO DO ARAGUAIA</v>
      </c>
    </row>
    <row r="506" spans="1:14" ht="18.75" customHeight="1" x14ac:dyDescent="0.25">
      <c r="A506" s="52">
        <v>7927396052</v>
      </c>
      <c r="B506" s="51" t="s">
        <v>1003</v>
      </c>
      <c r="C506" s="51" t="s">
        <v>1008</v>
      </c>
      <c r="D506" s="51" t="s">
        <v>1005</v>
      </c>
      <c r="E506" s="51" t="s">
        <v>1005</v>
      </c>
      <c r="F506" s="51" t="s">
        <v>1005</v>
      </c>
      <c r="G506" s="51" t="s">
        <v>1005</v>
      </c>
      <c r="H506" s="51" t="s">
        <v>1005</v>
      </c>
      <c r="I506" s="51" t="s">
        <v>1005</v>
      </c>
      <c r="J506" s="50" t="str">
        <f t="shared" si="14"/>
        <v>7927396052.pdf</v>
      </c>
      <c r="K506" s="51" t="s">
        <v>1006</v>
      </c>
      <c r="L506" s="51" t="s">
        <v>653</v>
      </c>
      <c r="M506" s="50" t="str">
        <f t="shared" si="15"/>
        <v>34.500</v>
      </c>
      <c r="N506" s="50" t="str">
        <f>IF(A506&lt;&gt;"",VLOOKUP(RIGHT(A506,3)*1,[4]Des_Loc!A:B,2,0),"")</f>
        <v>FORMOSO DO ARAGUAIA</v>
      </c>
    </row>
    <row r="507" spans="1:14" ht="18.75" customHeight="1" x14ac:dyDescent="0.25">
      <c r="A507" s="52">
        <v>7930425070</v>
      </c>
      <c r="B507" s="51" t="s">
        <v>1003</v>
      </c>
      <c r="C507" s="51" t="s">
        <v>1021</v>
      </c>
      <c r="D507" s="51" t="s">
        <v>1005</v>
      </c>
      <c r="E507" s="51" t="s">
        <v>1005</v>
      </c>
      <c r="F507" s="51" t="s">
        <v>1005</v>
      </c>
      <c r="G507" s="51" t="s">
        <v>1005</v>
      </c>
      <c r="H507" s="51" t="s">
        <v>1005</v>
      </c>
      <c r="I507" s="51" t="s">
        <v>1005</v>
      </c>
      <c r="J507" s="50" t="str">
        <f t="shared" si="14"/>
        <v>7930425070.pdf</v>
      </c>
      <c r="K507" s="51" t="s">
        <v>1006</v>
      </c>
      <c r="L507" s="51" t="s">
        <v>1015</v>
      </c>
      <c r="M507" s="50" t="str">
        <f t="shared" si="15"/>
        <v>34.500</v>
      </c>
      <c r="N507" s="50" t="str">
        <f>IF(A507&lt;&gt;"",VLOOKUP(RIGHT(A507,3)*1,[4]Des_Loc!A:B,2,0),"")</f>
        <v>RIO SONO</v>
      </c>
    </row>
    <row r="508" spans="1:14" ht="18.75" customHeight="1" x14ac:dyDescent="0.25">
      <c r="A508" s="50">
        <v>7900578083</v>
      </c>
      <c r="B508" s="51" t="s">
        <v>1003</v>
      </c>
      <c r="C508" s="51" t="s">
        <v>1008</v>
      </c>
      <c r="D508" s="51"/>
      <c r="E508" s="51" t="s">
        <v>1005</v>
      </c>
      <c r="F508" s="51"/>
      <c r="G508" s="51"/>
      <c r="H508" s="51" t="s">
        <v>1005</v>
      </c>
      <c r="I508" s="51" t="s">
        <v>1005</v>
      </c>
      <c r="J508" s="50" t="str">
        <f t="shared" si="14"/>
        <v>7900578083.pdf</v>
      </c>
      <c r="K508" s="51" t="s">
        <v>1006</v>
      </c>
      <c r="L508" s="51" t="s">
        <v>1015</v>
      </c>
      <c r="M508" s="50" t="str">
        <f t="shared" si="15"/>
        <v>34.500</v>
      </c>
      <c r="N508" s="50" t="str">
        <f>IF(A508&lt;&gt;"",VLOOKUP(RIGHT(A508,3)*1,[4]Des_Loc!A:B,2,0),"")</f>
        <v>APARECIDA DO RIO NEGRO</v>
      </c>
    </row>
    <row r="509" spans="1:14" ht="18.75" customHeight="1" x14ac:dyDescent="0.25">
      <c r="A509" s="52">
        <v>7825093076</v>
      </c>
      <c r="B509" s="51" t="s">
        <v>1003</v>
      </c>
      <c r="C509" s="51">
        <v>2</v>
      </c>
      <c r="D509" s="51"/>
      <c r="E509" s="51" t="s">
        <v>1005</v>
      </c>
      <c r="F509" s="51"/>
      <c r="G509" s="51"/>
      <c r="H509" s="51" t="s">
        <v>1005</v>
      </c>
      <c r="I509" s="51" t="s">
        <v>1005</v>
      </c>
      <c r="J509" s="50" t="str">
        <f t="shared" si="14"/>
        <v>7825093076.pdf</v>
      </c>
      <c r="K509" s="51" t="s">
        <v>1022</v>
      </c>
      <c r="L509" s="51" t="s">
        <v>483</v>
      </c>
      <c r="M509" s="50" t="str">
        <f t="shared" si="15"/>
        <v>34.500</v>
      </c>
      <c r="N509" s="50" t="str">
        <f>IF(A509&lt;&gt;"",VLOOKUP(RIGHT(A509,3)*1,[4]Des_Loc!A:B,2,0),"")</f>
        <v>DUERE</v>
      </c>
    </row>
    <row r="510" spans="1:14" ht="18.75" customHeight="1" x14ac:dyDescent="0.25">
      <c r="A510" s="52">
        <v>7927713200</v>
      </c>
      <c r="B510" s="51" t="s">
        <v>1003</v>
      </c>
      <c r="C510" s="51" t="s">
        <v>1010</v>
      </c>
      <c r="D510" s="51"/>
      <c r="E510" s="51" t="s">
        <v>1011</v>
      </c>
      <c r="F510" s="51"/>
      <c r="G510" s="51"/>
      <c r="H510" s="51" t="s">
        <v>1005</v>
      </c>
      <c r="I510" s="51" t="s">
        <v>1005</v>
      </c>
      <c r="J510" s="50" t="str">
        <f t="shared" si="14"/>
        <v>7927713200.pdf</v>
      </c>
      <c r="K510" s="51" t="s">
        <v>1006</v>
      </c>
      <c r="L510" s="51" t="s">
        <v>1032</v>
      </c>
      <c r="M510" s="50" t="str">
        <f t="shared" si="15"/>
        <v>34.500</v>
      </c>
      <c r="N510" s="50" t="str">
        <f>IF(A510&lt;&gt;"",VLOOKUP(RIGHT(A510,3)*1,[4]Des_Loc!A:B,2,0),"")</f>
        <v>SAO SALVADOR DO TOCANTINS</v>
      </c>
    </row>
    <row r="511" spans="1:14" ht="18.75" customHeight="1" x14ac:dyDescent="0.25">
      <c r="A511" s="52">
        <v>7927413001</v>
      </c>
      <c r="B511" s="51" t="s">
        <v>1003</v>
      </c>
      <c r="C511" s="51" t="s">
        <v>1010</v>
      </c>
      <c r="D511" s="51"/>
      <c r="E511" s="51" t="s">
        <v>1005</v>
      </c>
      <c r="F511" s="51"/>
      <c r="G511" s="51"/>
      <c r="H511" s="51" t="s">
        <v>1005</v>
      </c>
      <c r="I511" s="51" t="s">
        <v>1005</v>
      </c>
      <c r="J511" s="50" t="str">
        <f t="shared" si="14"/>
        <v>7927413001.pdf</v>
      </c>
      <c r="K511" s="51" t="s">
        <v>1006</v>
      </c>
      <c r="L511" s="51" t="s">
        <v>659</v>
      </c>
      <c r="M511" s="50" t="str">
        <f t="shared" si="15"/>
        <v>34.500</v>
      </c>
      <c r="N511" s="50" t="str">
        <f>IF(A511&lt;&gt;"",VLOOKUP(RIGHT(A511,3)*1,[4]Des_Loc!A:B,2,0),"")</f>
        <v>PORTO NACIONAL</v>
      </c>
    </row>
    <row r="512" spans="1:14" ht="18.75" customHeight="1" x14ac:dyDescent="0.25">
      <c r="A512" s="52">
        <v>7926839055</v>
      </c>
      <c r="B512" s="51" t="s">
        <v>1003</v>
      </c>
      <c r="C512" s="51" t="s">
        <v>1010</v>
      </c>
      <c r="D512" s="51" t="s">
        <v>1011</v>
      </c>
      <c r="E512" s="51" t="s">
        <v>1005</v>
      </c>
      <c r="F512" s="51" t="s">
        <v>1005</v>
      </c>
      <c r="G512" s="51" t="s">
        <v>1011</v>
      </c>
      <c r="H512" s="51" t="s">
        <v>1005</v>
      </c>
      <c r="I512" s="51" t="s">
        <v>1005</v>
      </c>
      <c r="J512" s="50" t="str">
        <f t="shared" si="14"/>
        <v>7926839055.pdf</v>
      </c>
      <c r="K512" s="51" t="s">
        <v>1006</v>
      </c>
      <c r="L512" s="51" t="s">
        <v>749</v>
      </c>
      <c r="M512" s="50" t="str">
        <f t="shared" si="15"/>
        <v>34.500</v>
      </c>
      <c r="N512" s="50" t="str">
        <f>IF(A512&lt;&gt;"",VLOOKUP(RIGHT(A512,3)*1,[4]Des_Loc!A:B,2,0),"")</f>
        <v>ARAGUACEMA</v>
      </c>
    </row>
    <row r="513" spans="1:14" ht="18.75" customHeight="1" x14ac:dyDescent="0.25">
      <c r="A513" s="52">
        <v>7925880056</v>
      </c>
      <c r="B513" s="51" t="s">
        <v>1003</v>
      </c>
      <c r="C513" s="51" t="s">
        <v>1010</v>
      </c>
      <c r="D513" s="51"/>
      <c r="E513" s="51" t="s">
        <v>1005</v>
      </c>
      <c r="F513" s="51"/>
      <c r="G513" s="51"/>
      <c r="H513" s="51" t="s">
        <v>1005</v>
      </c>
      <c r="I513" s="51" t="s">
        <v>1005</v>
      </c>
      <c r="J513" s="50" t="str">
        <f t="shared" si="14"/>
        <v>7925880056.pdf</v>
      </c>
      <c r="K513" s="51" t="s">
        <v>1006</v>
      </c>
      <c r="L513" s="51" t="s">
        <v>505</v>
      </c>
      <c r="M513" s="50" t="str">
        <f t="shared" si="15"/>
        <v>34.500</v>
      </c>
      <c r="N513" s="50" t="str">
        <f>IF(A513&lt;&gt;"",VLOOKUP(RIGHT(A513,3)*1,[4]Des_Loc!A:B,2,0),"")</f>
        <v>CARMOLANDIA</v>
      </c>
    </row>
    <row r="514" spans="1:14" ht="18.75" customHeight="1" x14ac:dyDescent="0.25">
      <c r="A514" s="52">
        <v>7930281056</v>
      </c>
      <c r="B514" s="51" t="s">
        <v>1003</v>
      </c>
      <c r="C514" s="51" t="s">
        <v>1025</v>
      </c>
      <c r="D514" s="51"/>
      <c r="E514" s="51" t="s">
        <v>1011</v>
      </c>
      <c r="F514" s="51"/>
      <c r="G514" s="51"/>
      <c r="H514" s="51" t="s">
        <v>1005</v>
      </c>
      <c r="I514" s="51" t="s">
        <v>1005</v>
      </c>
      <c r="J514" s="50" t="str">
        <f t="shared" ref="J514:J577" si="16">CONCATENATE(A514,".pdf")</f>
        <v>7930281056.pdf</v>
      </c>
      <c r="K514" s="51" t="s">
        <v>1006</v>
      </c>
      <c r="L514" s="51" t="s">
        <v>505</v>
      </c>
      <c r="M514" s="50" t="str">
        <f t="shared" ref="M514:M577" si="17">IF(L514&lt;&gt;"",IF(LEFT(L514,2)="AL","13.800","34.500"),"")</f>
        <v>34.500</v>
      </c>
      <c r="N514" s="50" t="str">
        <f>IF(A514&lt;&gt;"",VLOOKUP(RIGHT(A514,3)*1,[4]Des_Loc!A:B,2,0),"")</f>
        <v>CARMOLANDIA</v>
      </c>
    </row>
    <row r="515" spans="1:14" ht="18.75" customHeight="1" x14ac:dyDescent="0.25">
      <c r="A515" s="52">
        <v>7900011039</v>
      </c>
      <c r="B515" s="51" t="s">
        <v>1003</v>
      </c>
      <c r="C515" s="51" t="s">
        <v>1010</v>
      </c>
      <c r="D515" s="51"/>
      <c r="E515" s="51" t="s">
        <v>1005</v>
      </c>
      <c r="F515" s="51"/>
      <c r="G515" s="51"/>
      <c r="H515" s="51" t="s">
        <v>1005</v>
      </c>
      <c r="I515" s="51" t="s">
        <v>1005</v>
      </c>
      <c r="J515" s="50" t="str">
        <f t="shared" si="16"/>
        <v>7900011039.pdf</v>
      </c>
      <c r="K515" s="51" t="s">
        <v>1006</v>
      </c>
      <c r="L515" s="51" t="s">
        <v>677</v>
      </c>
      <c r="M515" s="50" t="str">
        <f t="shared" si="17"/>
        <v>34.500</v>
      </c>
      <c r="N515" s="50" t="str">
        <f>IF(A515&lt;&gt;"",VLOOKUP(RIGHT(A515,3)*1,[4]Des_Loc!A:B,2,0),"")</f>
        <v>ARAGUATINS</v>
      </c>
    </row>
    <row r="516" spans="1:14" ht="18.75" customHeight="1" x14ac:dyDescent="0.25">
      <c r="A516" s="52">
        <v>7928565039</v>
      </c>
      <c r="B516" s="51" t="s">
        <v>1003</v>
      </c>
      <c r="C516" s="51" t="s">
        <v>1010</v>
      </c>
      <c r="D516" s="51" t="s">
        <v>1005</v>
      </c>
      <c r="E516" s="51" t="s">
        <v>1005</v>
      </c>
      <c r="F516" s="51" t="s">
        <v>1005</v>
      </c>
      <c r="G516" s="51" t="s">
        <v>1005</v>
      </c>
      <c r="H516" s="51" t="s">
        <v>1005</v>
      </c>
      <c r="I516" s="51" t="s">
        <v>1005</v>
      </c>
      <c r="J516" s="50" t="str">
        <f t="shared" si="16"/>
        <v>7928565039.pdf</v>
      </c>
      <c r="K516" s="51" t="s">
        <v>1006</v>
      </c>
      <c r="L516" s="51" t="s">
        <v>677</v>
      </c>
      <c r="M516" s="50" t="str">
        <f t="shared" si="17"/>
        <v>34.500</v>
      </c>
      <c r="N516" s="50" t="str">
        <f>IF(A516&lt;&gt;"",VLOOKUP(RIGHT(A516,3)*1,[4]Des_Loc!A:B,2,0),"")</f>
        <v>ARAGUATINS</v>
      </c>
    </row>
    <row r="517" spans="1:14" ht="18.75" customHeight="1" x14ac:dyDescent="0.25">
      <c r="A517" s="52">
        <v>7928233052</v>
      </c>
      <c r="B517" s="51" t="s">
        <v>1003</v>
      </c>
      <c r="C517" s="51" t="s">
        <v>1010</v>
      </c>
      <c r="D517" s="51" t="s">
        <v>1005</v>
      </c>
      <c r="E517" s="51" t="s">
        <v>1005</v>
      </c>
      <c r="F517" s="51" t="s">
        <v>1005</v>
      </c>
      <c r="G517" s="51" t="s">
        <v>1011</v>
      </c>
      <c r="H517" s="51" t="s">
        <v>1005</v>
      </c>
      <c r="I517" s="51" t="s">
        <v>1005</v>
      </c>
      <c r="J517" s="50" t="str">
        <f t="shared" si="16"/>
        <v>7928233052.pdf</v>
      </c>
      <c r="K517" s="51" t="s">
        <v>1006</v>
      </c>
      <c r="L517" s="51" t="s">
        <v>653</v>
      </c>
      <c r="M517" s="50" t="str">
        <f t="shared" si="17"/>
        <v>34.500</v>
      </c>
      <c r="N517" s="50" t="str">
        <f>IF(A517&lt;&gt;"",VLOOKUP(RIGHT(A517,3)*1,[4]Des_Loc!A:B,2,0),"")</f>
        <v>FORMOSO DO ARAGUAIA</v>
      </c>
    </row>
    <row r="518" spans="1:14" ht="18.75" customHeight="1" x14ac:dyDescent="0.25">
      <c r="A518" s="52">
        <v>7930430075</v>
      </c>
      <c r="B518" s="51" t="s">
        <v>1003</v>
      </c>
      <c r="C518" s="51" t="s">
        <v>1008</v>
      </c>
      <c r="D518" s="51" t="s">
        <v>1005</v>
      </c>
      <c r="E518" s="51" t="s">
        <v>1005</v>
      </c>
      <c r="F518" s="51" t="s">
        <v>1005</v>
      </c>
      <c r="G518" s="51" t="s">
        <v>1005</v>
      </c>
      <c r="H518" s="51" t="s">
        <v>1005</v>
      </c>
      <c r="I518" s="51" t="s">
        <v>1005</v>
      </c>
      <c r="J518" s="50" t="str">
        <f t="shared" si="16"/>
        <v>7930430075.pdf</v>
      </c>
      <c r="K518" s="51" t="s">
        <v>1006</v>
      </c>
      <c r="L518" s="51" t="s">
        <v>1040</v>
      </c>
      <c r="M518" s="50" t="str">
        <f t="shared" si="17"/>
        <v>34.500</v>
      </c>
      <c r="N518" s="50" t="str">
        <f>IF(A518&lt;&gt;"",VLOOKUP(RIGHT(A518,3)*1,[4]Des_Loc!A:B,2,0),"")</f>
        <v>DOIS IRMAOS DO TOCANTINS</v>
      </c>
    </row>
    <row r="519" spans="1:14" ht="18.75" customHeight="1" x14ac:dyDescent="0.25">
      <c r="A519" s="52">
        <v>7928243107</v>
      </c>
      <c r="B519" s="51" t="s">
        <v>1003</v>
      </c>
      <c r="C519" s="51" t="s">
        <v>1010</v>
      </c>
      <c r="D519" s="51"/>
      <c r="E519" s="51" t="s">
        <v>1011</v>
      </c>
      <c r="F519" s="51"/>
      <c r="G519" s="51"/>
      <c r="H519" s="51" t="s">
        <v>1005</v>
      </c>
      <c r="I519" s="51" t="s">
        <v>1005</v>
      </c>
      <c r="J519" s="50" t="str">
        <f t="shared" si="16"/>
        <v>7928243107.pdf</v>
      </c>
      <c r="K519" s="51" t="s">
        <v>1006</v>
      </c>
      <c r="L519" s="51" t="s">
        <v>1076</v>
      </c>
      <c r="M519" s="50" t="str">
        <f t="shared" si="17"/>
        <v>34.500</v>
      </c>
      <c r="N519" s="50" t="str">
        <f>IF(A519&lt;&gt;"",VLOOKUP(RIGHT(A519,3)*1,[4]Des_Loc!A:B,2,0),"")</f>
        <v>SANDOLANDIA</v>
      </c>
    </row>
    <row r="520" spans="1:14" ht="18.75" customHeight="1" x14ac:dyDescent="0.25">
      <c r="A520" s="52">
        <v>7930427075</v>
      </c>
      <c r="B520" s="51" t="s">
        <v>1003</v>
      </c>
      <c r="C520" s="51" t="s">
        <v>1010</v>
      </c>
      <c r="D520" s="51" t="s">
        <v>1005</v>
      </c>
      <c r="E520" s="51" t="s">
        <v>1011</v>
      </c>
      <c r="F520" s="51" t="s">
        <v>1115</v>
      </c>
      <c r="G520" s="51" t="s">
        <v>1005</v>
      </c>
      <c r="H520" s="51" t="s">
        <v>1005</v>
      </c>
      <c r="I520" s="51" t="s">
        <v>1005</v>
      </c>
      <c r="J520" s="50" t="str">
        <f t="shared" si="16"/>
        <v>7930427075.pdf</v>
      </c>
      <c r="K520" s="51" t="s">
        <v>1006</v>
      </c>
      <c r="L520" s="51" t="s">
        <v>1040</v>
      </c>
      <c r="M520" s="50" t="str">
        <f t="shared" si="17"/>
        <v>34.500</v>
      </c>
      <c r="N520" s="50" t="str">
        <f>IF(A520&lt;&gt;"",VLOOKUP(RIGHT(A520,3)*1,[4]Des_Loc!A:B,2,0),"")</f>
        <v>DOIS IRMAOS DO TOCANTINS</v>
      </c>
    </row>
    <row r="521" spans="1:14" ht="18.75" customHeight="1" x14ac:dyDescent="0.25">
      <c r="A521" s="52">
        <v>7930428001</v>
      </c>
      <c r="B521" s="51" t="s">
        <v>1003</v>
      </c>
      <c r="C521" s="51" t="s">
        <v>1021</v>
      </c>
      <c r="D521" s="51" t="s">
        <v>1115</v>
      </c>
      <c r="E521" s="51" t="s">
        <v>1005</v>
      </c>
      <c r="F521" s="51" t="s">
        <v>1115</v>
      </c>
      <c r="G521" s="51" t="s">
        <v>1005</v>
      </c>
      <c r="H521" s="51" t="s">
        <v>1005</v>
      </c>
      <c r="I521" s="51" t="s">
        <v>1005</v>
      </c>
      <c r="J521" s="50" t="str">
        <f t="shared" si="16"/>
        <v>7930428001.pdf</v>
      </c>
      <c r="K521" s="51" t="s">
        <v>1006</v>
      </c>
      <c r="L521" s="51" t="s">
        <v>1043</v>
      </c>
      <c r="M521" s="50" t="str">
        <f t="shared" si="17"/>
        <v>34.500</v>
      </c>
      <c r="N521" s="50" t="str">
        <f>IF(A521&lt;&gt;"",VLOOKUP(RIGHT(A521,3)*1,[4]Des_Loc!A:B,2,0),"")</f>
        <v>PORTO NACIONAL</v>
      </c>
    </row>
    <row r="522" spans="1:14" ht="18.75" customHeight="1" x14ac:dyDescent="0.25">
      <c r="A522" s="52">
        <v>7930424008</v>
      </c>
      <c r="B522" s="51" t="s">
        <v>1003</v>
      </c>
      <c r="C522" s="51" t="s">
        <v>1021</v>
      </c>
      <c r="D522" s="51" t="s">
        <v>1011</v>
      </c>
      <c r="E522" s="51" t="s">
        <v>1005</v>
      </c>
      <c r="F522" s="51" t="s">
        <v>1005</v>
      </c>
      <c r="G522" s="51" t="s">
        <v>1005</v>
      </c>
      <c r="H522" s="51" t="s">
        <v>1005</v>
      </c>
      <c r="I522" s="51" t="s">
        <v>1005</v>
      </c>
      <c r="J522" s="50" t="str">
        <f t="shared" si="16"/>
        <v>7930424008.pdf</v>
      </c>
      <c r="K522" s="51" t="s">
        <v>1006</v>
      </c>
      <c r="L522" s="51" t="s">
        <v>1040</v>
      </c>
      <c r="M522" s="50" t="str">
        <f t="shared" si="17"/>
        <v>34.500</v>
      </c>
      <c r="N522" s="50" t="str">
        <f>IF(A522&lt;&gt;"",VLOOKUP(RIGHT(A522,3)*1,[4]Des_Loc!A:B,2,0),"")</f>
        <v>MIRANORTE</v>
      </c>
    </row>
    <row r="523" spans="1:14" ht="18.75" customHeight="1" x14ac:dyDescent="0.25">
      <c r="A523" s="50">
        <v>7928244032</v>
      </c>
      <c r="B523" s="51" t="s">
        <v>1003</v>
      </c>
      <c r="C523" s="51" t="s">
        <v>1008</v>
      </c>
      <c r="D523" s="51" t="s">
        <v>1005</v>
      </c>
      <c r="E523" s="51" t="s">
        <v>1005</v>
      </c>
      <c r="F523" s="51" t="s">
        <v>1005</v>
      </c>
      <c r="G523" s="51" t="s">
        <v>1005</v>
      </c>
      <c r="H523" s="51" t="s">
        <v>1005</v>
      </c>
      <c r="I523" s="51" t="s">
        <v>1005</v>
      </c>
      <c r="J523" s="50" t="str">
        <f t="shared" si="16"/>
        <v>7928244032.pdf</v>
      </c>
      <c r="K523" s="51" t="s">
        <v>1006</v>
      </c>
      <c r="L523" s="51" t="s">
        <v>1037</v>
      </c>
      <c r="M523" s="50" t="str">
        <f t="shared" si="17"/>
        <v>34.500</v>
      </c>
      <c r="N523" s="50" t="str">
        <f>IF(A523&lt;&gt;"",VLOOKUP(RIGHT(A523,3)*1,[4]Des_Loc!A:B,2,0),"")</f>
        <v>ARAGUACU</v>
      </c>
    </row>
    <row r="524" spans="1:14" ht="18.75" customHeight="1" x14ac:dyDescent="0.25">
      <c r="A524" s="52">
        <v>7927712032</v>
      </c>
      <c r="B524" s="51" t="s">
        <v>1003</v>
      </c>
      <c r="C524" s="51" t="s">
        <v>1010</v>
      </c>
      <c r="D524" s="51" t="s">
        <v>1011</v>
      </c>
      <c r="E524" s="51" t="s">
        <v>1011</v>
      </c>
      <c r="F524" s="51" t="s">
        <v>1011</v>
      </c>
      <c r="G524" s="51" t="s">
        <v>1005</v>
      </c>
      <c r="H524" s="51" t="s">
        <v>1005</v>
      </c>
      <c r="I524" s="51" t="s">
        <v>1011</v>
      </c>
      <c r="J524" s="50" t="str">
        <f t="shared" si="16"/>
        <v>7927712032.pdf</v>
      </c>
      <c r="K524" s="51" t="s">
        <v>1006</v>
      </c>
      <c r="L524" s="51" t="s">
        <v>1037</v>
      </c>
      <c r="M524" s="50" t="str">
        <f t="shared" si="17"/>
        <v>34.500</v>
      </c>
      <c r="N524" s="50" t="str">
        <f>IF(A524&lt;&gt;"",VLOOKUP(RIGHT(A524,3)*1,[4]Des_Loc!A:B,2,0),"")</f>
        <v>ARAGUACU</v>
      </c>
    </row>
    <row r="525" spans="1:14" ht="18.75" customHeight="1" x14ac:dyDescent="0.25">
      <c r="A525" s="52">
        <v>7930264015</v>
      </c>
      <c r="B525" s="51" t="s">
        <v>1003</v>
      </c>
      <c r="C525" s="51" t="s">
        <v>1008</v>
      </c>
      <c r="D525" s="51"/>
      <c r="E525" s="51" t="s">
        <v>1005</v>
      </c>
      <c r="F525" s="51"/>
      <c r="G525" s="51"/>
      <c r="H525" s="51" t="s">
        <v>1005</v>
      </c>
      <c r="I525" s="51" t="s">
        <v>1005</v>
      </c>
      <c r="J525" s="50" t="str">
        <f t="shared" si="16"/>
        <v>7930264015.pdf</v>
      </c>
      <c r="K525" s="51" t="s">
        <v>1006</v>
      </c>
      <c r="L525" s="51" t="s">
        <v>754</v>
      </c>
      <c r="M525" s="50" t="str">
        <f t="shared" si="17"/>
        <v>34.500</v>
      </c>
      <c r="N525" s="50" t="str">
        <f>IF(A525&lt;&gt;"",VLOOKUP(RIGHT(A525,3)*1,[4]Des_Loc!A:B,2,0),"")</f>
        <v>PEDRO AFONSO</v>
      </c>
    </row>
    <row r="526" spans="1:14" ht="18.75" customHeight="1" x14ac:dyDescent="0.25">
      <c r="A526" s="52">
        <v>7930262058</v>
      </c>
      <c r="B526" s="51" t="s">
        <v>1003</v>
      </c>
      <c r="C526" s="51">
        <v>3</v>
      </c>
      <c r="D526" s="51" t="s">
        <v>1011</v>
      </c>
      <c r="E526" s="51" t="s">
        <v>1011</v>
      </c>
      <c r="F526" s="51" t="s">
        <v>1005</v>
      </c>
      <c r="G526" s="51" t="s">
        <v>1005</v>
      </c>
      <c r="H526" s="51" t="s">
        <v>1005</v>
      </c>
      <c r="I526" s="51" t="s">
        <v>1005</v>
      </c>
      <c r="J526" s="50" t="str">
        <f t="shared" si="16"/>
        <v>7930262058.pdf</v>
      </c>
      <c r="K526" s="51" t="s">
        <v>1006</v>
      </c>
      <c r="L526" s="51" t="s">
        <v>505</v>
      </c>
      <c r="M526" s="50" t="str">
        <f t="shared" si="17"/>
        <v>34.500</v>
      </c>
      <c r="N526" s="50" t="str">
        <f>IF(A526&lt;&gt;"",VLOOKUP(RIGHT(A526,3)*1,[4]Des_Loc!A:B,2,0),"")</f>
        <v>SANTA FE DO ARAGUAIA</v>
      </c>
    </row>
    <row r="527" spans="1:14" ht="18.75" customHeight="1" x14ac:dyDescent="0.25">
      <c r="A527" s="52">
        <v>7924921134</v>
      </c>
      <c r="B527" s="51" t="s">
        <v>1003</v>
      </c>
      <c r="C527" s="51" t="s">
        <v>1008</v>
      </c>
      <c r="D527" s="51"/>
      <c r="E527" s="51" t="s">
        <v>1005</v>
      </c>
      <c r="F527" s="51"/>
      <c r="G527" s="51"/>
      <c r="H527" s="51" t="s">
        <v>1005</v>
      </c>
      <c r="I527" s="51" t="s">
        <v>1005</v>
      </c>
      <c r="J527" s="50" t="str">
        <f t="shared" si="16"/>
        <v>7924921134.pdf</v>
      </c>
      <c r="K527" s="51" t="s">
        <v>1006</v>
      </c>
      <c r="L527" s="51" t="s">
        <v>1012</v>
      </c>
      <c r="M527" s="50" t="str">
        <f t="shared" si="17"/>
        <v>34.500</v>
      </c>
      <c r="N527" s="50" t="str">
        <f>IF(A527&lt;&gt;"",VLOOKUP(RIGHT(A527,3)*1,[4]Des_Loc!A:B,2,0),"")</f>
        <v>ESPERANTINA</v>
      </c>
    </row>
    <row r="528" spans="1:14" ht="18.75" customHeight="1" x14ac:dyDescent="0.25">
      <c r="A528" s="52">
        <v>7927643001</v>
      </c>
      <c r="B528" s="51" t="s">
        <v>1003</v>
      </c>
      <c r="C528" s="51" t="s">
        <v>1021</v>
      </c>
      <c r="D528" s="51" t="s">
        <v>1005</v>
      </c>
      <c r="E528" s="51" t="s">
        <v>1005</v>
      </c>
      <c r="F528" s="51" t="s">
        <v>1005</v>
      </c>
      <c r="G528" s="51" t="s">
        <v>1005</v>
      </c>
      <c r="H528" s="51" t="s">
        <v>1005</v>
      </c>
      <c r="I528" s="51" t="s">
        <v>1005</v>
      </c>
      <c r="J528" s="50" t="str">
        <f t="shared" si="16"/>
        <v>7927643001.pdf</v>
      </c>
      <c r="K528" s="51" t="s">
        <v>1006</v>
      </c>
      <c r="L528" s="51" t="s">
        <v>430</v>
      </c>
      <c r="M528" s="50" t="str">
        <f t="shared" si="17"/>
        <v>34.500</v>
      </c>
      <c r="N528" s="50" t="str">
        <f>IF(A528&lt;&gt;"",VLOOKUP(RIGHT(A528,3)*1,[4]Des_Loc!A:B,2,0),"")</f>
        <v>PORTO NACIONAL</v>
      </c>
    </row>
    <row r="529" spans="1:14" ht="18.75" customHeight="1" x14ac:dyDescent="0.25">
      <c r="A529" s="52">
        <v>7928248107</v>
      </c>
      <c r="B529" s="51" t="s">
        <v>1003</v>
      </c>
      <c r="C529" s="51" t="s">
        <v>1010</v>
      </c>
      <c r="D529" s="51"/>
      <c r="E529" s="51" t="s">
        <v>1011</v>
      </c>
      <c r="F529" s="51"/>
      <c r="G529" s="51"/>
      <c r="H529" s="51" t="s">
        <v>1005</v>
      </c>
      <c r="I529" s="51" t="s">
        <v>1005</v>
      </c>
      <c r="J529" s="50" t="str">
        <f t="shared" si="16"/>
        <v>7928248107.pdf</v>
      </c>
      <c r="K529" s="51" t="s">
        <v>1006</v>
      </c>
      <c r="L529" s="51" t="s">
        <v>1076</v>
      </c>
      <c r="M529" s="50" t="str">
        <f t="shared" si="17"/>
        <v>34.500</v>
      </c>
      <c r="N529" s="50" t="str">
        <f>IF(A529&lt;&gt;"",VLOOKUP(RIGHT(A529,3)*1,[4]Des_Loc!A:B,2,0),"")</f>
        <v>SANDOLANDIA</v>
      </c>
    </row>
    <row r="530" spans="1:14" ht="18.75" customHeight="1" x14ac:dyDescent="0.25">
      <c r="A530" s="52">
        <v>7930287154</v>
      </c>
      <c r="B530" s="51" t="s">
        <v>1003</v>
      </c>
      <c r="C530" s="51" t="s">
        <v>1010</v>
      </c>
      <c r="D530" s="51" t="s">
        <v>1011</v>
      </c>
      <c r="E530" s="51" t="s">
        <v>1005</v>
      </c>
      <c r="F530" s="51" t="s">
        <v>1005</v>
      </c>
      <c r="G530" s="51" t="s">
        <v>1005</v>
      </c>
      <c r="H530" s="51" t="s">
        <v>1005</v>
      </c>
      <c r="I530" s="51" t="s">
        <v>1005</v>
      </c>
      <c r="J530" s="50" t="str">
        <f t="shared" si="16"/>
        <v>7930287154.pdf</v>
      </c>
      <c r="K530" s="51" t="s">
        <v>1006</v>
      </c>
      <c r="L530" s="51" t="s">
        <v>1029</v>
      </c>
      <c r="M530" s="50" t="str">
        <f t="shared" si="17"/>
        <v>34.500</v>
      </c>
      <c r="N530" s="50" t="str">
        <f>IF(A530&lt;&gt;"",VLOOKUP(RIGHT(A530,3)*1,[4]Des_Loc!A:B,2,0),"")</f>
        <v>JUARINA</v>
      </c>
    </row>
    <row r="531" spans="1:14" ht="18.75" customHeight="1" x14ac:dyDescent="0.25">
      <c r="A531" s="52">
        <v>7930358007</v>
      </c>
      <c r="B531" s="51" t="s">
        <v>1003</v>
      </c>
      <c r="C531" s="51" t="s">
        <v>1010</v>
      </c>
      <c r="D531" s="51" t="s">
        <v>1011</v>
      </c>
      <c r="E531" s="51" t="s">
        <v>1005</v>
      </c>
      <c r="F531" s="51" t="s">
        <v>1005</v>
      </c>
      <c r="G531" s="51" t="s">
        <v>1005</v>
      </c>
      <c r="H531" s="51" t="s">
        <v>1005</v>
      </c>
      <c r="I531" s="51" t="s">
        <v>1005</v>
      </c>
      <c r="J531" s="50" t="str">
        <f t="shared" si="16"/>
        <v>7930358007.pdf</v>
      </c>
      <c r="K531" s="51" t="s">
        <v>1006</v>
      </c>
      <c r="L531" s="51" t="s">
        <v>1063</v>
      </c>
      <c r="M531" s="50" t="str">
        <f t="shared" si="17"/>
        <v>34.500</v>
      </c>
      <c r="N531" s="50" t="str">
        <f>IF(A531&lt;&gt;"",VLOOKUP(RIGHT(A531,3)*1,[4]Des_Loc!A:B,2,0),"")</f>
        <v>MIRACEMA DO TOCANTINS</v>
      </c>
    </row>
    <row r="532" spans="1:14" ht="18.75" customHeight="1" x14ac:dyDescent="0.25">
      <c r="A532" s="52">
        <v>7928498039</v>
      </c>
      <c r="B532" s="51" t="s">
        <v>1003</v>
      </c>
      <c r="C532" s="51">
        <v>3</v>
      </c>
      <c r="D532" s="51" t="s">
        <v>1011</v>
      </c>
      <c r="E532" s="51" t="s">
        <v>1011</v>
      </c>
      <c r="F532" s="51" t="s">
        <v>1005</v>
      </c>
      <c r="G532" s="51" t="s">
        <v>1005</v>
      </c>
      <c r="H532" s="51" t="s">
        <v>1005</v>
      </c>
      <c r="I532" s="51" t="s">
        <v>1005</v>
      </c>
      <c r="J532" s="50" t="str">
        <f t="shared" si="16"/>
        <v>7928498039.pdf</v>
      </c>
      <c r="K532" s="51" t="s">
        <v>1006</v>
      </c>
      <c r="L532" s="51" t="s">
        <v>1151</v>
      </c>
      <c r="M532" s="50" t="str">
        <f t="shared" si="17"/>
        <v>34.500</v>
      </c>
      <c r="N532" s="50" t="str">
        <f>IF(A532&lt;&gt;"",VLOOKUP(RIGHT(A532,3)*1,[4]Des_Loc!A:B,2,0),"")</f>
        <v>ARAGUATINS</v>
      </c>
    </row>
    <row r="533" spans="1:14" ht="18.75" customHeight="1" x14ac:dyDescent="0.25">
      <c r="A533" s="52">
        <v>7930293034</v>
      </c>
      <c r="B533" s="51" t="s">
        <v>1003</v>
      </c>
      <c r="C533" s="51" t="s">
        <v>1010</v>
      </c>
      <c r="D533" s="51" t="s">
        <v>1011</v>
      </c>
      <c r="E533" s="51" t="s">
        <v>1005</v>
      </c>
      <c r="F533" s="51" t="s">
        <v>1005</v>
      </c>
      <c r="G533" s="51" t="s">
        <v>1005</v>
      </c>
      <c r="H533" s="51" t="s">
        <v>1005</v>
      </c>
      <c r="I533" s="51" t="s">
        <v>1005</v>
      </c>
      <c r="J533" s="50" t="str">
        <f t="shared" si="16"/>
        <v>7930293034.pdf</v>
      </c>
      <c r="K533" s="51" t="s">
        <v>1006</v>
      </c>
      <c r="L533" s="51" t="s">
        <v>1047</v>
      </c>
      <c r="M533" s="50" t="str">
        <f t="shared" si="17"/>
        <v>34.500</v>
      </c>
      <c r="N533" s="50" t="str">
        <f>IF(A533&lt;&gt;"",VLOOKUP(RIGHT(A533,3)*1,[4]Des_Loc!A:B,2,0),"")</f>
        <v>PRESIDENTE KENNEDY</v>
      </c>
    </row>
    <row r="534" spans="1:14" ht="18.75" customHeight="1" x14ac:dyDescent="0.25">
      <c r="A534" s="52">
        <v>7930418006</v>
      </c>
      <c r="B534" s="51" t="s">
        <v>1003</v>
      </c>
      <c r="C534" s="51" t="s">
        <v>1008</v>
      </c>
      <c r="D534" s="51"/>
      <c r="E534" s="51" t="s">
        <v>1005</v>
      </c>
      <c r="F534" s="51"/>
      <c r="G534" s="51"/>
      <c r="H534" s="51" t="s">
        <v>1005</v>
      </c>
      <c r="I534" s="51" t="s">
        <v>1005</v>
      </c>
      <c r="J534" s="50" t="str">
        <f t="shared" si="16"/>
        <v>7930418006.pdf</v>
      </c>
      <c r="K534" s="51" t="s">
        <v>1006</v>
      </c>
      <c r="L534" s="51" t="s">
        <v>425</v>
      </c>
      <c r="M534" s="50" t="str">
        <f t="shared" si="17"/>
        <v>34.500</v>
      </c>
      <c r="N534" s="50" t="str">
        <f>IF(A534&lt;&gt;"",VLOOKUP(RIGHT(A534,3)*1,[4]Des_Loc!A:B,2,0),"")</f>
        <v>TOCANTINIA</v>
      </c>
    </row>
    <row r="535" spans="1:14" ht="18.75" customHeight="1" x14ac:dyDescent="0.25">
      <c r="A535" s="50">
        <v>7929376022</v>
      </c>
      <c r="B535" s="51" t="s">
        <v>1003</v>
      </c>
      <c r="C535" s="51" t="s">
        <v>1004</v>
      </c>
      <c r="D535" s="51" t="s">
        <v>1005</v>
      </c>
      <c r="E535" s="51" t="s">
        <v>1005</v>
      </c>
      <c r="F535" s="51" t="s">
        <v>1005</v>
      </c>
      <c r="G535" s="51" t="s">
        <v>1005</v>
      </c>
      <c r="H535" s="51" t="s">
        <v>1005</v>
      </c>
      <c r="I535" s="51" t="s">
        <v>1005</v>
      </c>
      <c r="J535" s="50" t="str">
        <f t="shared" si="16"/>
        <v>7929376022.pdf</v>
      </c>
      <c r="K535" s="51" t="s">
        <v>1006</v>
      </c>
      <c r="L535" s="51" t="s">
        <v>533</v>
      </c>
      <c r="M535" s="50" t="str">
        <f t="shared" si="17"/>
        <v>34.500</v>
      </c>
      <c r="N535" s="50" t="str">
        <f>IF(A535&lt;&gt;"",VLOOKUP(RIGHT(A535,3)*1,[4]Des_Loc!A:B,2,0),"")</f>
        <v>BABACULANDIA</v>
      </c>
    </row>
    <row r="536" spans="1:14" ht="18.75" customHeight="1" x14ac:dyDescent="0.25">
      <c r="A536" s="52">
        <v>7926780122</v>
      </c>
      <c r="B536" s="51" t="s">
        <v>1003</v>
      </c>
      <c r="C536" s="51" t="s">
        <v>1010</v>
      </c>
      <c r="D536" s="51" t="s">
        <v>1011</v>
      </c>
      <c r="E536" s="51" t="s">
        <v>1005</v>
      </c>
      <c r="F536" s="51" t="s">
        <v>1005</v>
      </c>
      <c r="G536" s="51" t="s">
        <v>1005</v>
      </c>
      <c r="H536" s="51" t="s">
        <v>1005</v>
      </c>
      <c r="I536" s="51" t="s">
        <v>1005</v>
      </c>
      <c r="J536" s="50" t="str">
        <f t="shared" si="16"/>
        <v>7926780122.pdf</v>
      </c>
      <c r="K536" s="51" t="s">
        <v>1006</v>
      </c>
      <c r="L536" s="51" t="s">
        <v>1068</v>
      </c>
      <c r="M536" s="50" t="str">
        <f t="shared" si="17"/>
        <v>34.500</v>
      </c>
      <c r="N536" s="50" t="str">
        <f>IF(A536&lt;&gt;"",VLOOKUP(RIGHT(A536,3)*1,[4]Des_Loc!A:B,2,0),"")</f>
        <v>PALMAS</v>
      </c>
    </row>
    <row r="537" spans="1:14" ht="18.75" customHeight="1" x14ac:dyDescent="0.25">
      <c r="A537" s="52">
        <v>7929383045</v>
      </c>
      <c r="B537" s="51" t="s">
        <v>1003</v>
      </c>
      <c r="C537" s="51" t="s">
        <v>1008</v>
      </c>
      <c r="D537" s="51" t="s">
        <v>1005</v>
      </c>
      <c r="E537" s="51" t="s">
        <v>1005</v>
      </c>
      <c r="F537" s="51" t="s">
        <v>1005</v>
      </c>
      <c r="G537" s="51" t="s">
        <v>1005</v>
      </c>
      <c r="H537" s="51" t="s">
        <v>1005</v>
      </c>
      <c r="I537" s="51" t="s">
        <v>1005</v>
      </c>
      <c r="J537" s="50" t="str">
        <f t="shared" si="16"/>
        <v>7929383045.pdf</v>
      </c>
      <c r="K537" s="51" t="s">
        <v>1006</v>
      </c>
      <c r="L537" s="51" t="s">
        <v>1012</v>
      </c>
      <c r="M537" s="50" t="str">
        <f t="shared" si="17"/>
        <v>34.500</v>
      </c>
      <c r="N537" s="50" t="str">
        <f>IF(A537&lt;&gt;"",VLOOKUP(RIGHT(A537,3)*1,[4]Des_Loc!A:B,2,0),"")</f>
        <v>AUGUSTINOPOLIS</v>
      </c>
    </row>
    <row r="538" spans="1:14" ht="18.75" customHeight="1" x14ac:dyDescent="0.25">
      <c r="A538" s="52">
        <v>7930426070</v>
      </c>
      <c r="B538" s="51" t="s">
        <v>1003</v>
      </c>
      <c r="C538" s="51" t="s">
        <v>1010</v>
      </c>
      <c r="D538" s="51" t="s">
        <v>1011</v>
      </c>
      <c r="E538" s="51" t="s">
        <v>1005</v>
      </c>
      <c r="F538" s="51" t="s">
        <v>1011</v>
      </c>
      <c r="G538" s="51" t="s">
        <v>1005</v>
      </c>
      <c r="H538" s="51" t="s">
        <v>1005</v>
      </c>
      <c r="I538" s="51" t="s">
        <v>1011</v>
      </c>
      <c r="J538" s="50" t="str">
        <f t="shared" si="16"/>
        <v>7930426070.pdf</v>
      </c>
      <c r="K538" s="51" t="s">
        <v>1006</v>
      </c>
      <c r="L538" s="51" t="s">
        <v>1015</v>
      </c>
      <c r="M538" s="50" t="str">
        <f t="shared" si="17"/>
        <v>34.500</v>
      </c>
      <c r="N538" s="50" t="str">
        <f>IF(A538&lt;&gt;"",VLOOKUP(RIGHT(A538,3)*1,[4]Des_Loc!A:B,2,0),"")</f>
        <v>RIO SONO</v>
      </c>
    </row>
    <row r="539" spans="1:14" ht="18.75" customHeight="1" x14ac:dyDescent="0.25">
      <c r="A539" s="52">
        <v>7930288153</v>
      </c>
      <c r="B539" s="51" t="s">
        <v>1003</v>
      </c>
      <c r="C539" s="51" t="s">
        <v>1008</v>
      </c>
      <c r="D539" s="51"/>
      <c r="E539" s="51" t="s">
        <v>1005</v>
      </c>
      <c r="F539" s="51"/>
      <c r="G539" s="51"/>
      <c r="H539" s="51" t="s">
        <v>1005</v>
      </c>
      <c r="I539" s="51" t="s">
        <v>1005</v>
      </c>
      <c r="J539" s="50" t="str">
        <f t="shared" si="16"/>
        <v>7930288153.pdf</v>
      </c>
      <c r="K539" s="51" t="s">
        <v>1006</v>
      </c>
      <c r="L539" s="51" t="s">
        <v>1029</v>
      </c>
      <c r="M539" s="50" t="str">
        <f t="shared" si="17"/>
        <v>34.500</v>
      </c>
      <c r="N539" s="50" t="str">
        <f>IF(A539&lt;&gt;"",VLOOKUP(RIGHT(A539,3)*1,[4]Des_Loc!A:B,2,0),"")</f>
        <v>BERNARDO SAYAO</v>
      </c>
    </row>
    <row r="540" spans="1:14" ht="18.75" customHeight="1" x14ac:dyDescent="0.25">
      <c r="A540" s="52">
        <v>7925081028</v>
      </c>
      <c r="B540" s="51" t="s">
        <v>1003</v>
      </c>
      <c r="C540" s="51" t="s">
        <v>1008</v>
      </c>
      <c r="D540" s="51"/>
      <c r="E540" s="51" t="s">
        <v>1005</v>
      </c>
      <c r="F540" s="51"/>
      <c r="G540" s="51"/>
      <c r="H540" s="51" t="s">
        <v>1005</v>
      </c>
      <c r="I540" s="51" t="s">
        <v>1005</v>
      </c>
      <c r="J540" s="50" t="str">
        <f t="shared" si="16"/>
        <v>7925081028.pdf</v>
      </c>
      <c r="K540" s="51" t="s">
        <v>1006</v>
      </c>
      <c r="L540" s="51" t="s">
        <v>464</v>
      </c>
      <c r="M540" s="50" t="str">
        <f t="shared" si="17"/>
        <v>34.500</v>
      </c>
      <c r="N540" s="50" t="str">
        <f>IF(A540&lt;&gt;"",VLOOKUP(RIGHT(A540,3)*1,[4]Des_Loc!A:B,2,0),"")</f>
        <v>NATIVIDADE</v>
      </c>
    </row>
    <row r="541" spans="1:14" ht="18.75" customHeight="1" x14ac:dyDescent="0.25">
      <c r="A541" s="52">
        <v>7930265153</v>
      </c>
      <c r="B541" s="51" t="s">
        <v>1003</v>
      </c>
      <c r="C541" s="51" t="s">
        <v>1008</v>
      </c>
      <c r="D541" s="51" t="s">
        <v>1005</v>
      </c>
      <c r="E541" s="51" t="s">
        <v>1005</v>
      </c>
      <c r="F541" s="51" t="s">
        <v>1005</v>
      </c>
      <c r="G541" s="51" t="s">
        <v>1005</v>
      </c>
      <c r="H541" s="51" t="s">
        <v>1005</v>
      </c>
      <c r="I541" s="51" t="s">
        <v>1005</v>
      </c>
      <c r="J541" s="50" t="str">
        <f t="shared" si="16"/>
        <v>7930265153.pdf</v>
      </c>
      <c r="K541" s="51" t="s">
        <v>1006</v>
      </c>
      <c r="L541" s="51" t="s">
        <v>1029</v>
      </c>
      <c r="M541" s="50" t="str">
        <f t="shared" si="17"/>
        <v>34.500</v>
      </c>
      <c r="N541" s="50" t="str">
        <f>IF(A541&lt;&gt;"",VLOOKUP(RIGHT(A541,3)*1,[4]Des_Loc!A:B,2,0),"")</f>
        <v>BERNARDO SAYAO</v>
      </c>
    </row>
    <row r="542" spans="1:14" ht="18.75" customHeight="1" x14ac:dyDescent="0.25">
      <c r="A542" s="52">
        <v>7930274063</v>
      </c>
      <c r="B542" s="51" t="s">
        <v>1003</v>
      </c>
      <c r="C542" s="51" t="s">
        <v>1004</v>
      </c>
      <c r="D542" s="51" t="s">
        <v>1005</v>
      </c>
      <c r="E542" s="51" t="s">
        <v>1005</v>
      </c>
      <c r="F542" s="51" t="s">
        <v>1005</v>
      </c>
      <c r="G542" s="51" t="s">
        <v>1005</v>
      </c>
      <c r="H542" s="51" t="s">
        <v>1005</v>
      </c>
      <c r="I542" s="51" t="s">
        <v>1005</v>
      </c>
      <c r="J542" s="50" t="str">
        <f t="shared" si="16"/>
        <v>7930274063.pdf</v>
      </c>
      <c r="K542" s="51" t="s">
        <v>1006</v>
      </c>
      <c r="L542" s="51" t="s">
        <v>1101</v>
      </c>
      <c r="M542" s="50" t="str">
        <f t="shared" si="17"/>
        <v>34.500</v>
      </c>
      <c r="N542" s="50" t="str">
        <f>IF(A542&lt;&gt;"",VLOOKUP(RIGHT(A542,3)*1,[4]Des_Loc!A:B,2,0),"")</f>
        <v>BANDEIRANTES DO TOCANTINS</v>
      </c>
    </row>
    <row r="543" spans="1:14" ht="18.75" customHeight="1" x14ac:dyDescent="0.25">
      <c r="A543" s="52">
        <v>7930294078</v>
      </c>
      <c r="B543" s="51" t="s">
        <v>1003</v>
      </c>
      <c r="C543" s="51" t="s">
        <v>1008</v>
      </c>
      <c r="D543" s="51"/>
      <c r="E543" s="51" t="s">
        <v>1005</v>
      </c>
      <c r="F543" s="51"/>
      <c r="G543" s="51"/>
      <c r="H543" s="51" t="s">
        <v>1005</v>
      </c>
      <c r="I543" s="51" t="s">
        <v>1005</v>
      </c>
      <c r="J543" s="50" t="str">
        <f t="shared" si="16"/>
        <v>7930294078.pdf</v>
      </c>
      <c r="K543" s="51" t="s">
        <v>1006</v>
      </c>
      <c r="L543" s="51" t="s">
        <v>1047</v>
      </c>
      <c r="M543" s="50" t="str">
        <f t="shared" si="17"/>
        <v>34.500</v>
      </c>
      <c r="N543" s="50" t="str">
        <f>IF(A543&lt;&gt;"",VLOOKUP(RIGHT(A543,3)*1,[4]Des_Loc!A:B,2,0),"")</f>
        <v>ITACAJA</v>
      </c>
    </row>
    <row r="544" spans="1:14" ht="18.75" customHeight="1" x14ac:dyDescent="0.25">
      <c r="A544" s="52">
        <v>7926894122</v>
      </c>
      <c r="B544" s="51" t="s">
        <v>1003</v>
      </c>
      <c r="C544" s="51">
        <v>2</v>
      </c>
      <c r="D544" s="51" t="s">
        <v>1011</v>
      </c>
      <c r="E544" s="51" t="s">
        <v>1005</v>
      </c>
      <c r="F544" s="51" t="s">
        <v>1005</v>
      </c>
      <c r="G544" s="51" t="s">
        <v>1005</v>
      </c>
      <c r="H544" s="51" t="s">
        <v>1005</v>
      </c>
      <c r="I544" s="51" t="s">
        <v>1005</v>
      </c>
      <c r="J544" s="50" t="str">
        <f t="shared" si="16"/>
        <v>7926894122.pdf</v>
      </c>
      <c r="K544" s="51" t="s">
        <v>1006</v>
      </c>
      <c r="L544" s="51" t="s">
        <v>1072</v>
      </c>
      <c r="M544" s="50" t="str">
        <f t="shared" si="17"/>
        <v>13.800</v>
      </c>
      <c r="N544" s="50" t="str">
        <f>IF(A544&lt;&gt;"",VLOOKUP(RIGHT(A544,3)*1,[4]Des_Loc!A:B,2,0),"")</f>
        <v>PALMAS</v>
      </c>
    </row>
    <row r="545" spans="1:14" ht="18.75" customHeight="1" x14ac:dyDescent="0.25">
      <c r="A545" s="52">
        <v>7930037122</v>
      </c>
      <c r="B545" s="51" t="s">
        <v>1003</v>
      </c>
      <c r="C545" s="51">
        <v>2</v>
      </c>
      <c r="D545" s="51" t="s">
        <v>1011</v>
      </c>
      <c r="E545" s="51" t="s">
        <v>1005</v>
      </c>
      <c r="F545" s="51" t="s">
        <v>1011</v>
      </c>
      <c r="G545" s="51" t="s">
        <v>1005</v>
      </c>
      <c r="H545" s="51" t="s">
        <v>1005</v>
      </c>
      <c r="I545" s="51" t="s">
        <v>1011</v>
      </c>
      <c r="J545" s="50" t="str">
        <f t="shared" si="16"/>
        <v>7930037122.pdf</v>
      </c>
      <c r="K545" s="51" t="s">
        <v>1006</v>
      </c>
      <c r="L545" s="51" t="s">
        <v>1117</v>
      </c>
      <c r="M545" s="50" t="str">
        <f t="shared" si="17"/>
        <v>13.800</v>
      </c>
      <c r="N545" s="50" t="str">
        <f>IF(A545&lt;&gt;"",VLOOKUP(RIGHT(A545,3)*1,[4]Des_Loc!A:B,2,0),"")</f>
        <v>PALMAS</v>
      </c>
    </row>
    <row r="546" spans="1:14" ht="18.75" customHeight="1" x14ac:dyDescent="0.25">
      <c r="A546" s="52">
        <v>7930041122</v>
      </c>
      <c r="B546" s="51" t="s">
        <v>1003</v>
      </c>
      <c r="C546" s="51" t="s">
        <v>1004</v>
      </c>
      <c r="D546" s="51" t="s">
        <v>1005</v>
      </c>
      <c r="E546" s="51" t="s">
        <v>1005</v>
      </c>
      <c r="F546" s="51" t="s">
        <v>1005</v>
      </c>
      <c r="G546" s="51" t="s">
        <v>1005</v>
      </c>
      <c r="H546" s="51" t="s">
        <v>1005</v>
      </c>
      <c r="I546" s="51" t="s">
        <v>1005</v>
      </c>
      <c r="J546" s="50" t="str">
        <f t="shared" si="16"/>
        <v>7930041122.pdf</v>
      </c>
      <c r="K546" s="51" t="s">
        <v>1006</v>
      </c>
      <c r="L546" s="51" t="s">
        <v>1117</v>
      </c>
      <c r="M546" s="50" t="str">
        <f t="shared" si="17"/>
        <v>13.800</v>
      </c>
      <c r="N546" s="50" t="str">
        <f>IF(A546&lt;&gt;"",VLOOKUP(RIGHT(A546,3)*1,[4]Des_Loc!A:B,2,0),"")</f>
        <v>PALMAS</v>
      </c>
    </row>
    <row r="547" spans="1:14" ht="18.75" customHeight="1" x14ac:dyDescent="0.25">
      <c r="A547" s="52">
        <v>7930039122</v>
      </c>
      <c r="B547" s="51" t="s">
        <v>1003</v>
      </c>
      <c r="C547" s="51">
        <v>2</v>
      </c>
      <c r="D547" s="51"/>
      <c r="E547" s="51" t="s">
        <v>1005</v>
      </c>
      <c r="F547" s="51"/>
      <c r="G547" s="51"/>
      <c r="H547" s="51" t="s">
        <v>1005</v>
      </c>
      <c r="I547" s="51" t="s">
        <v>1005</v>
      </c>
      <c r="J547" s="50" t="str">
        <f t="shared" si="16"/>
        <v>7930039122.pdf</v>
      </c>
      <c r="K547" s="51" t="s">
        <v>1006</v>
      </c>
      <c r="L547" s="51" t="s">
        <v>1106</v>
      </c>
      <c r="M547" s="50" t="str">
        <f t="shared" si="17"/>
        <v>13.800</v>
      </c>
      <c r="N547" s="50" t="str">
        <f>IF(A547&lt;&gt;"",VLOOKUP(RIGHT(A547,3)*1,[4]Des_Loc!A:B,2,0),"")</f>
        <v>PALMAS</v>
      </c>
    </row>
    <row r="548" spans="1:14" ht="18.75" customHeight="1" x14ac:dyDescent="0.25">
      <c r="A548" s="52">
        <v>7929531059</v>
      </c>
      <c r="B548" s="51" t="s">
        <v>1003</v>
      </c>
      <c r="C548" s="51">
        <v>2</v>
      </c>
      <c r="D548" s="51"/>
      <c r="E548" s="51" t="s">
        <v>1005</v>
      </c>
      <c r="F548" s="51"/>
      <c r="G548" s="51"/>
      <c r="H548" s="51" t="s">
        <v>1005</v>
      </c>
      <c r="I548" s="51" t="s">
        <v>1005</v>
      </c>
      <c r="J548" s="50" t="str">
        <f t="shared" si="16"/>
        <v>7929531059.pdf</v>
      </c>
      <c r="K548" s="51" t="s">
        <v>1006</v>
      </c>
      <c r="L548" s="51" t="s">
        <v>1070</v>
      </c>
      <c r="M548" s="50" t="str">
        <f t="shared" si="17"/>
        <v>13.800</v>
      </c>
      <c r="N548" s="50" t="str">
        <f>IF(A548&lt;&gt;"",VLOOKUP(RIGHT(A548,3)*1,[4]Des_Loc!A:B,2,0),"")</f>
        <v>TAQUARALTO</v>
      </c>
    </row>
    <row r="549" spans="1:14" ht="18.75" customHeight="1" x14ac:dyDescent="0.25">
      <c r="A549" s="52">
        <v>7905501059</v>
      </c>
      <c r="B549" s="51" t="s">
        <v>1003</v>
      </c>
      <c r="C549" s="51">
        <v>2</v>
      </c>
      <c r="D549" s="51"/>
      <c r="E549" s="51" t="s">
        <v>1005</v>
      </c>
      <c r="F549" s="51"/>
      <c r="G549" s="51"/>
      <c r="H549" s="51" t="s">
        <v>1005</v>
      </c>
      <c r="I549" s="51" t="s">
        <v>1005</v>
      </c>
      <c r="J549" s="50" t="str">
        <f t="shared" si="16"/>
        <v>7905501059.pdf</v>
      </c>
      <c r="K549" s="51" t="s">
        <v>1006</v>
      </c>
      <c r="L549" s="51" t="s">
        <v>1154</v>
      </c>
      <c r="M549" s="50" t="str">
        <f t="shared" si="17"/>
        <v>13.800</v>
      </c>
      <c r="N549" s="50" t="str">
        <f>IF(A549&lt;&gt;"",VLOOKUP(RIGHT(A549,3)*1,[4]Des_Loc!A:B,2,0),"")</f>
        <v>TAQUARALTO</v>
      </c>
    </row>
    <row r="550" spans="1:14" ht="18.75" customHeight="1" x14ac:dyDescent="0.25">
      <c r="A550" s="52">
        <v>7931601122</v>
      </c>
      <c r="B550" s="51" t="s">
        <v>1003</v>
      </c>
      <c r="C550" s="51" t="s">
        <v>1021</v>
      </c>
      <c r="D550" s="51"/>
      <c r="E550" s="51" t="s">
        <v>1005</v>
      </c>
      <c r="F550" s="51"/>
      <c r="G550" s="51"/>
      <c r="H550" s="51" t="s">
        <v>1005</v>
      </c>
      <c r="I550" s="51" t="s">
        <v>1005</v>
      </c>
      <c r="J550" s="50" t="str">
        <f t="shared" si="16"/>
        <v>7931601122.pdf</v>
      </c>
      <c r="K550" s="51" t="s">
        <v>1006</v>
      </c>
      <c r="L550" s="51" t="s">
        <v>1155</v>
      </c>
      <c r="M550" s="50" t="str">
        <f t="shared" si="17"/>
        <v>13.800</v>
      </c>
      <c r="N550" s="50" t="str">
        <f>IF(A550&lt;&gt;"",VLOOKUP(RIGHT(A550,3)*1,[4]Des_Loc!A:B,2,0),"")</f>
        <v>PALMAS</v>
      </c>
    </row>
    <row r="551" spans="1:14" ht="18.75" customHeight="1" x14ac:dyDescent="0.25">
      <c r="A551" s="52">
        <v>7905502059</v>
      </c>
      <c r="B551" s="51" t="s">
        <v>1003</v>
      </c>
      <c r="C551" s="51" t="s">
        <v>1021</v>
      </c>
      <c r="D551" s="51"/>
      <c r="E551" s="51" t="s">
        <v>1005</v>
      </c>
      <c r="F551" s="51"/>
      <c r="G551" s="51"/>
      <c r="H551" s="51" t="s">
        <v>1005</v>
      </c>
      <c r="I551" s="51" t="s">
        <v>1005</v>
      </c>
      <c r="J551" s="50" t="str">
        <f t="shared" si="16"/>
        <v>7905502059.pdf</v>
      </c>
      <c r="K551" s="51" t="s">
        <v>1006</v>
      </c>
      <c r="L551" s="51" t="s">
        <v>1154</v>
      </c>
      <c r="M551" s="50" t="str">
        <f t="shared" si="17"/>
        <v>13.800</v>
      </c>
      <c r="N551" s="50" t="str">
        <f>IF(A551&lt;&gt;"",VLOOKUP(RIGHT(A551,3)*1,[4]Des_Loc!A:B,2,0),"")</f>
        <v>TAQUARALTO</v>
      </c>
    </row>
    <row r="552" spans="1:14" ht="18.75" customHeight="1" x14ac:dyDescent="0.25">
      <c r="A552" s="52">
        <v>7925084200</v>
      </c>
      <c r="B552" s="51" t="s">
        <v>1003</v>
      </c>
      <c r="C552" s="51" t="s">
        <v>1010</v>
      </c>
      <c r="D552" s="51"/>
      <c r="E552" s="51" t="s">
        <v>1005</v>
      </c>
      <c r="F552" s="51"/>
      <c r="G552" s="51"/>
      <c r="H552" s="51" t="s">
        <v>1005</v>
      </c>
      <c r="I552" s="51" t="s">
        <v>1005</v>
      </c>
      <c r="J552" s="50" t="str">
        <f t="shared" si="16"/>
        <v>7925084200.pdf</v>
      </c>
      <c r="K552" s="51" t="s">
        <v>1006</v>
      </c>
      <c r="L552" s="51" t="s">
        <v>672</v>
      </c>
      <c r="M552" s="50" t="str">
        <f t="shared" si="17"/>
        <v>34.500</v>
      </c>
      <c r="N552" s="50" t="str">
        <f>IF(A552&lt;&gt;"",VLOOKUP(RIGHT(A552,3)*1,[4]Des_Loc!A:B,2,0),"")</f>
        <v>SAO SALVADOR DO TOCANTINS</v>
      </c>
    </row>
    <row r="553" spans="1:14" ht="18.75" customHeight="1" x14ac:dyDescent="0.25">
      <c r="A553" s="52">
        <v>7927443001</v>
      </c>
      <c r="B553" s="51" t="s">
        <v>1003</v>
      </c>
      <c r="C553" s="51">
        <v>2</v>
      </c>
      <c r="D553" s="51" t="s">
        <v>1011</v>
      </c>
      <c r="E553" s="51" t="s">
        <v>1005</v>
      </c>
      <c r="F553" s="51" t="s">
        <v>1011</v>
      </c>
      <c r="G553" s="51" t="s">
        <v>1005</v>
      </c>
      <c r="H553" s="51" t="s">
        <v>1005</v>
      </c>
      <c r="I553" s="51" t="s">
        <v>1011</v>
      </c>
      <c r="J553" s="50" t="str">
        <f t="shared" si="16"/>
        <v>7927443001.pdf</v>
      </c>
      <c r="K553" s="51" t="s">
        <v>1006</v>
      </c>
      <c r="L553" s="51" t="s">
        <v>1156</v>
      </c>
      <c r="M553" s="50" t="str">
        <f t="shared" si="17"/>
        <v>13.800</v>
      </c>
      <c r="N553" s="50" t="str">
        <f>IF(A553&lt;&gt;"",VLOOKUP(RIGHT(A553,3)*1,[4]Des_Loc!A:B,2,0),"")</f>
        <v>PORTO NACIONAL</v>
      </c>
    </row>
    <row r="554" spans="1:14" ht="18.75" customHeight="1" x14ac:dyDescent="0.25">
      <c r="A554" s="52">
        <v>7931384084</v>
      </c>
      <c r="B554" s="51" t="s">
        <v>1003</v>
      </c>
      <c r="C554" s="51">
        <v>2</v>
      </c>
      <c r="D554" s="51" t="s">
        <v>1011</v>
      </c>
      <c r="E554" s="51" t="s">
        <v>1005</v>
      </c>
      <c r="F554" s="51" t="s">
        <v>1011</v>
      </c>
      <c r="G554" s="51" t="s">
        <v>1005</v>
      </c>
      <c r="H554" s="51" t="s">
        <v>1005</v>
      </c>
      <c r="I554" s="51" t="s">
        <v>1011</v>
      </c>
      <c r="J554" s="50" t="str">
        <f t="shared" si="16"/>
        <v>7931384084.pdf</v>
      </c>
      <c r="K554" s="51" t="s">
        <v>1006</v>
      </c>
      <c r="L554" s="51" t="s">
        <v>526</v>
      </c>
      <c r="M554" s="50" t="str">
        <f t="shared" si="17"/>
        <v>34.500</v>
      </c>
      <c r="N554" s="50" t="str">
        <f>IF(A554&lt;&gt;"",VLOOKUP(RIGHT(A554,3)*1,[4]Des_Loc!A:B,2,0),"")</f>
        <v>DIVINOPOLIS</v>
      </c>
    </row>
    <row r="555" spans="1:14" ht="18.75" customHeight="1" x14ac:dyDescent="0.25">
      <c r="A555" s="52">
        <v>7931380233</v>
      </c>
      <c r="B555" s="51" t="s">
        <v>1003</v>
      </c>
      <c r="C555" s="51">
        <v>2</v>
      </c>
      <c r="D555" s="51"/>
      <c r="E555" s="51" t="s">
        <v>1005</v>
      </c>
      <c r="F555" s="51"/>
      <c r="G555" s="51"/>
      <c r="H555" s="51" t="s">
        <v>1005</v>
      </c>
      <c r="I555" s="51" t="s">
        <v>1005</v>
      </c>
      <c r="J555" s="50" t="str">
        <f t="shared" si="16"/>
        <v>7931380233.pdf</v>
      </c>
      <c r="K555" s="51" t="s">
        <v>1006</v>
      </c>
      <c r="L555" s="51" t="s">
        <v>1023</v>
      </c>
      <c r="M555" s="50" t="str">
        <f t="shared" si="17"/>
        <v>34.500</v>
      </c>
      <c r="N555" s="50" t="str">
        <f>IF(A555&lt;&gt;"",VLOOKUP(RIGHT(A555,3)*1,[4]Des_Loc!A:B,2,0),"")</f>
        <v>ABREULANDIA</v>
      </c>
    </row>
    <row r="556" spans="1:14" ht="18.75" customHeight="1" x14ac:dyDescent="0.25">
      <c r="A556" s="52">
        <v>7930942025</v>
      </c>
      <c r="B556" s="51" t="s">
        <v>1003</v>
      </c>
      <c r="C556" s="51">
        <v>3</v>
      </c>
      <c r="D556" s="51" t="s">
        <v>1011</v>
      </c>
      <c r="E556" s="51" t="s">
        <v>1011</v>
      </c>
      <c r="F556" s="51" t="s">
        <v>1005</v>
      </c>
      <c r="G556" s="51" t="s">
        <v>1005</v>
      </c>
      <c r="H556" s="51" t="s">
        <v>1005</v>
      </c>
      <c r="I556" s="51" t="s">
        <v>1005</v>
      </c>
      <c r="J556" s="50" t="str">
        <f t="shared" si="16"/>
        <v>7930942025.pdf</v>
      </c>
      <c r="K556" s="51" t="s">
        <v>1006</v>
      </c>
      <c r="L556" s="51" t="s">
        <v>1101</v>
      </c>
      <c r="M556" s="50" t="str">
        <f t="shared" si="17"/>
        <v>34.500</v>
      </c>
      <c r="N556" s="50" t="str">
        <f>IF(A556&lt;&gt;"",VLOOKUP(RIGHT(A556,3)*1,[4]Des_Loc!A:B,2,0),"")</f>
        <v>ARAPOEMA</v>
      </c>
    </row>
    <row r="557" spans="1:14" ht="18.75" customHeight="1" x14ac:dyDescent="0.25">
      <c r="A557" s="52">
        <v>7931602122</v>
      </c>
      <c r="B557" s="51" t="s">
        <v>1003</v>
      </c>
      <c r="C557" s="51">
        <v>2</v>
      </c>
      <c r="D557" s="51" t="s">
        <v>1011</v>
      </c>
      <c r="E557" s="51" t="s">
        <v>1005</v>
      </c>
      <c r="F557" s="51" t="s">
        <v>1011</v>
      </c>
      <c r="G557" s="51" t="s">
        <v>1005</v>
      </c>
      <c r="H557" s="51" t="s">
        <v>1005</v>
      </c>
      <c r="I557" s="51" t="s">
        <v>1011</v>
      </c>
      <c r="J557" s="50" t="str">
        <f t="shared" si="16"/>
        <v>7931602122.pdf</v>
      </c>
      <c r="K557" s="51" t="s">
        <v>1006</v>
      </c>
      <c r="L557" s="51" t="s">
        <v>1117</v>
      </c>
      <c r="M557" s="50" t="str">
        <f t="shared" si="17"/>
        <v>13.800</v>
      </c>
      <c r="N557" s="50" t="str">
        <f>IF(A557&lt;&gt;"",VLOOKUP(RIGHT(A557,3)*1,[4]Des_Loc!A:B,2,0),"")</f>
        <v>PALMAS</v>
      </c>
    </row>
    <row r="558" spans="1:14" ht="18.75" customHeight="1" x14ac:dyDescent="0.25">
      <c r="A558" s="52">
        <v>7931381013</v>
      </c>
      <c r="B558" s="51" t="s">
        <v>1003</v>
      </c>
      <c r="C558" s="51">
        <v>2</v>
      </c>
      <c r="D558" s="51"/>
      <c r="E558" s="51" t="s">
        <v>1005</v>
      </c>
      <c r="F558" s="51"/>
      <c r="G558" s="51"/>
      <c r="H558" s="51" t="s">
        <v>1005</v>
      </c>
      <c r="I558" s="51" t="s">
        <v>1005</v>
      </c>
      <c r="J558" s="50" t="str">
        <f t="shared" si="16"/>
        <v>7931381013.pdf</v>
      </c>
      <c r="K558" s="51" t="s">
        <v>1006</v>
      </c>
      <c r="L558" s="51" t="s">
        <v>1105</v>
      </c>
      <c r="M558" s="50" t="str">
        <f t="shared" si="17"/>
        <v>13.800</v>
      </c>
      <c r="N558" s="50" t="str">
        <f>IF(A558&lt;&gt;"",VLOOKUP(RIGHT(A558,3)*1,[4]Des_Loc!A:B,2,0),"")</f>
        <v>PARAISO DO TOCANTINS</v>
      </c>
    </row>
    <row r="559" spans="1:14" ht="18.75" customHeight="1" x14ac:dyDescent="0.25">
      <c r="A559" s="52">
        <v>7928260025</v>
      </c>
      <c r="B559" s="51" t="s">
        <v>1003</v>
      </c>
      <c r="C559" s="51" t="s">
        <v>1008</v>
      </c>
      <c r="D559" s="51" t="s">
        <v>1005</v>
      </c>
      <c r="E559" s="51" t="s">
        <v>1005</v>
      </c>
      <c r="F559" s="51" t="s">
        <v>1005</v>
      </c>
      <c r="G559" s="51" t="s">
        <v>1005</v>
      </c>
      <c r="H559" s="51" t="s">
        <v>1005</v>
      </c>
      <c r="I559" s="51" t="s">
        <v>1005</v>
      </c>
      <c r="J559" s="50" t="str">
        <f t="shared" si="16"/>
        <v>7928260025.pdf</v>
      </c>
      <c r="K559" s="51" t="s">
        <v>1006</v>
      </c>
      <c r="L559" s="51" t="s">
        <v>353</v>
      </c>
      <c r="M559" s="50" t="str">
        <f t="shared" si="17"/>
        <v>34.500</v>
      </c>
      <c r="N559" s="50" t="str">
        <f>IF(A559&lt;&gt;"",VLOOKUP(RIGHT(A559,3)*1,[4]Des_Loc!A:B,2,0),"")</f>
        <v>ARAPOEMA</v>
      </c>
    </row>
    <row r="560" spans="1:14" ht="18.75" customHeight="1" x14ac:dyDescent="0.25">
      <c r="A560" s="52">
        <v>7961785122</v>
      </c>
      <c r="B560" s="51" t="s">
        <v>1003</v>
      </c>
      <c r="C560" s="51">
        <v>2</v>
      </c>
      <c r="D560" s="51" t="s">
        <v>1011</v>
      </c>
      <c r="E560" s="51" t="s">
        <v>1005</v>
      </c>
      <c r="F560" s="51" t="s">
        <v>1005</v>
      </c>
      <c r="G560" s="51" t="s">
        <v>1005</v>
      </c>
      <c r="H560" s="51" t="s">
        <v>1005</v>
      </c>
      <c r="I560" s="51" t="s">
        <v>1011</v>
      </c>
      <c r="J560" s="50" t="str">
        <f t="shared" si="16"/>
        <v>7961785122.pdf</v>
      </c>
      <c r="K560" s="51" t="s">
        <v>1006</v>
      </c>
      <c r="L560" s="51" t="s">
        <v>777</v>
      </c>
      <c r="M560" s="50" t="str">
        <f t="shared" si="17"/>
        <v>13.800</v>
      </c>
      <c r="N560" s="50" t="str">
        <f>IF(A560&lt;&gt;"",VLOOKUP(RIGHT(A560,3)*1,[4]Des_Loc!A:B,2,0),"")</f>
        <v>PALMAS</v>
      </c>
    </row>
    <row r="561" spans="1:14" ht="18.75" customHeight="1" x14ac:dyDescent="0.25">
      <c r="A561" s="52">
        <v>7931382084</v>
      </c>
      <c r="B561" s="51" t="s">
        <v>1003</v>
      </c>
      <c r="C561" s="51">
        <v>3</v>
      </c>
      <c r="D561" s="51" t="s">
        <v>1011</v>
      </c>
      <c r="E561" s="51" t="s">
        <v>1005</v>
      </c>
      <c r="F561" s="51" t="s">
        <v>1005</v>
      </c>
      <c r="G561" s="51" t="s">
        <v>1005</v>
      </c>
      <c r="H561" s="51" t="s">
        <v>1005</v>
      </c>
      <c r="I561" s="51" t="s">
        <v>1005</v>
      </c>
      <c r="J561" s="50" t="str">
        <f t="shared" si="16"/>
        <v>7931382084.pdf</v>
      </c>
      <c r="K561" s="51" t="s">
        <v>1006</v>
      </c>
      <c r="L561" s="51" t="s">
        <v>1042</v>
      </c>
      <c r="M561" s="50" t="str">
        <f t="shared" si="17"/>
        <v>34.500</v>
      </c>
      <c r="N561" s="50" t="str">
        <f>IF(A561&lt;&gt;"",VLOOKUP(RIGHT(A561,3)*1,[4]Des_Loc!A:B,2,0),"")</f>
        <v>DIVINOPOLIS</v>
      </c>
    </row>
    <row r="562" spans="1:14" ht="18.75" customHeight="1" x14ac:dyDescent="0.25">
      <c r="A562" s="52">
        <v>7930263058</v>
      </c>
      <c r="B562" s="51" t="s">
        <v>1003</v>
      </c>
      <c r="C562" s="51" t="s">
        <v>1010</v>
      </c>
      <c r="D562" s="51" t="s">
        <v>1011</v>
      </c>
      <c r="E562" s="51" t="s">
        <v>1011</v>
      </c>
      <c r="F562" s="51" t="s">
        <v>1005</v>
      </c>
      <c r="G562" s="51" t="s">
        <v>1005</v>
      </c>
      <c r="H562" s="51" t="s">
        <v>1005</v>
      </c>
      <c r="I562" s="51" t="s">
        <v>1005</v>
      </c>
      <c r="J562" s="50" t="str">
        <f t="shared" si="16"/>
        <v>7930263058.pdf</v>
      </c>
      <c r="K562" s="51" t="s">
        <v>1006</v>
      </c>
      <c r="L562" s="51" t="s">
        <v>505</v>
      </c>
      <c r="M562" s="50" t="str">
        <f t="shared" si="17"/>
        <v>34.500</v>
      </c>
      <c r="N562" s="50" t="str">
        <f>IF(A562&lt;&gt;"",VLOOKUP(RIGHT(A562,3)*1,[4]Des_Loc!A:B,2,0),"")</f>
        <v>SANTA FE DO ARAGUAIA</v>
      </c>
    </row>
    <row r="563" spans="1:14" ht="18.75" customHeight="1" x14ac:dyDescent="0.25">
      <c r="A563" s="52">
        <v>7931689100</v>
      </c>
      <c r="B563" s="51" t="s">
        <v>1003</v>
      </c>
      <c r="C563" s="51" t="s">
        <v>1021</v>
      </c>
      <c r="D563" s="51"/>
      <c r="E563" s="51" t="s">
        <v>1005</v>
      </c>
      <c r="F563" s="51"/>
      <c r="G563" s="51"/>
      <c r="H563" s="51" t="s">
        <v>1005</v>
      </c>
      <c r="I563" s="51" t="s">
        <v>1005</v>
      </c>
      <c r="J563" s="50" t="str">
        <f t="shared" si="16"/>
        <v>7931689100.pdf</v>
      </c>
      <c r="K563" s="51" t="s">
        <v>1006</v>
      </c>
      <c r="L563" s="51" t="s">
        <v>571</v>
      </c>
      <c r="M563" s="50" t="str">
        <f t="shared" si="17"/>
        <v>34.500</v>
      </c>
      <c r="N563" s="50" t="str">
        <f>IF(A563&lt;&gt;"",VLOOKUP(RIGHT(A563,3)*1,[4]Des_Loc!A:B,2,0),"")</f>
        <v>TAQUARUSSU DO PORTO</v>
      </c>
    </row>
    <row r="564" spans="1:14" ht="18.75" customHeight="1" x14ac:dyDescent="0.25">
      <c r="A564" s="52">
        <v>7930911039</v>
      </c>
      <c r="B564" s="51" t="s">
        <v>1003</v>
      </c>
      <c r="C564" s="51">
        <v>2</v>
      </c>
      <c r="D564" s="51" t="s">
        <v>1011</v>
      </c>
      <c r="E564" s="51" t="s">
        <v>1005</v>
      </c>
      <c r="F564" s="51" t="s">
        <v>1011</v>
      </c>
      <c r="G564" s="51" t="s">
        <v>1005</v>
      </c>
      <c r="H564" s="51" t="s">
        <v>1005</v>
      </c>
      <c r="I564" s="51" t="s">
        <v>1011</v>
      </c>
      <c r="J564" s="50" t="str">
        <f t="shared" si="16"/>
        <v>7930911039.pdf</v>
      </c>
      <c r="K564" s="51" t="s">
        <v>1006</v>
      </c>
      <c r="L564" s="51" t="s">
        <v>1157</v>
      </c>
      <c r="M564" s="50" t="str">
        <f t="shared" si="17"/>
        <v>13.800</v>
      </c>
      <c r="N564" s="50" t="str">
        <f>IF(A564&lt;&gt;"",VLOOKUP(RIGHT(A564,3)*1,[4]Des_Loc!A:B,2,0),"")</f>
        <v>ARAGUATINS</v>
      </c>
    </row>
    <row r="565" spans="1:14" ht="18.75" customHeight="1" x14ac:dyDescent="0.25">
      <c r="A565" s="52">
        <v>7928246076</v>
      </c>
      <c r="B565" s="51" t="s">
        <v>1003</v>
      </c>
      <c r="C565" s="51" t="s">
        <v>1008</v>
      </c>
      <c r="D565" s="51" t="s">
        <v>1005</v>
      </c>
      <c r="E565" s="51" t="s">
        <v>1005</v>
      </c>
      <c r="F565" s="51" t="s">
        <v>1005</v>
      </c>
      <c r="G565" s="51" t="s">
        <v>1005</v>
      </c>
      <c r="H565" s="51" t="s">
        <v>1005</v>
      </c>
      <c r="I565" s="51" t="s">
        <v>1005</v>
      </c>
      <c r="J565" s="50" t="str">
        <f t="shared" si="16"/>
        <v>7928246076.pdf</v>
      </c>
      <c r="K565" s="51" t="s">
        <v>1006</v>
      </c>
      <c r="L565" s="51" t="s">
        <v>1075</v>
      </c>
      <c r="M565" s="50" t="str">
        <f t="shared" si="17"/>
        <v>34.500</v>
      </c>
      <c r="N565" s="50" t="str">
        <f>IF(A565&lt;&gt;"",VLOOKUP(RIGHT(A565,3)*1,[4]Des_Loc!A:B,2,0),"")</f>
        <v>DUERE</v>
      </c>
    </row>
    <row r="566" spans="1:14" ht="18.75" customHeight="1" x14ac:dyDescent="0.25">
      <c r="A566" s="52">
        <v>7928249076</v>
      </c>
      <c r="B566" s="51" t="s">
        <v>1003</v>
      </c>
      <c r="C566" s="51" t="s">
        <v>1008</v>
      </c>
      <c r="D566" s="51" t="s">
        <v>1005</v>
      </c>
      <c r="E566" s="51" t="s">
        <v>1005</v>
      </c>
      <c r="F566" s="51" t="s">
        <v>1005</v>
      </c>
      <c r="G566" s="51" t="s">
        <v>1005</v>
      </c>
      <c r="H566" s="51" t="s">
        <v>1005</v>
      </c>
      <c r="I566" s="51" t="s">
        <v>1005</v>
      </c>
      <c r="J566" s="50" t="str">
        <f t="shared" si="16"/>
        <v>7928249076.pdf</v>
      </c>
      <c r="K566" s="51" t="s">
        <v>1006</v>
      </c>
      <c r="L566" s="51" t="s">
        <v>1075</v>
      </c>
      <c r="M566" s="50" t="str">
        <f t="shared" si="17"/>
        <v>34.500</v>
      </c>
      <c r="N566" s="50" t="str">
        <f>IF(A566&lt;&gt;"",VLOOKUP(RIGHT(A566,3)*1,[4]Des_Loc!A:B,2,0),"")</f>
        <v>DUERE</v>
      </c>
    </row>
    <row r="567" spans="1:14" ht="18.75" customHeight="1" x14ac:dyDescent="0.25">
      <c r="A567" s="52">
        <v>7927169001</v>
      </c>
      <c r="B567" s="51" t="s">
        <v>1003</v>
      </c>
      <c r="C567" s="51" t="s">
        <v>1010</v>
      </c>
      <c r="D567" s="51" t="s">
        <v>1011</v>
      </c>
      <c r="E567" s="51" t="s">
        <v>1005</v>
      </c>
      <c r="F567" s="51" t="s">
        <v>1005</v>
      </c>
      <c r="G567" s="51" t="s">
        <v>1005</v>
      </c>
      <c r="H567" s="51" t="s">
        <v>1005</v>
      </c>
      <c r="I567" s="51" t="s">
        <v>1005</v>
      </c>
      <c r="J567" s="50" t="str">
        <f t="shared" si="16"/>
        <v>7927169001.pdf</v>
      </c>
      <c r="K567" s="51" t="s">
        <v>1006</v>
      </c>
      <c r="L567" s="51" t="s">
        <v>392</v>
      </c>
      <c r="M567" s="50" t="str">
        <f t="shared" si="17"/>
        <v>13.800</v>
      </c>
      <c r="N567" s="50" t="str">
        <f>IF(A567&lt;&gt;"",VLOOKUP(RIGHT(A567,3)*1,[4]Des_Loc!A:B,2,0),"")</f>
        <v>PORTO NACIONAL</v>
      </c>
    </row>
    <row r="568" spans="1:14" ht="18.75" customHeight="1" x14ac:dyDescent="0.25">
      <c r="A568" s="52">
        <v>7930912039</v>
      </c>
      <c r="B568" s="51" t="s">
        <v>1003</v>
      </c>
      <c r="C568" s="51">
        <v>2</v>
      </c>
      <c r="D568" s="51"/>
      <c r="E568" s="51" t="s">
        <v>1005</v>
      </c>
      <c r="F568" s="51"/>
      <c r="G568" s="51"/>
      <c r="H568" s="51" t="s">
        <v>1005</v>
      </c>
      <c r="I568" s="51" t="s">
        <v>1005</v>
      </c>
      <c r="J568" s="50" t="str">
        <f t="shared" si="16"/>
        <v>7930912039.pdf</v>
      </c>
      <c r="K568" s="51" t="s">
        <v>1006</v>
      </c>
      <c r="L568" s="51" t="s">
        <v>1158</v>
      </c>
      <c r="M568" s="50" t="str">
        <f t="shared" si="17"/>
        <v>13.800</v>
      </c>
      <c r="N568" s="50" t="str">
        <f>IF(A568&lt;&gt;"",VLOOKUP(RIGHT(A568,3)*1,[4]Des_Loc!A:B,2,0),"")</f>
        <v>ARAGUATINS</v>
      </c>
    </row>
    <row r="569" spans="1:14" ht="18.75" customHeight="1" x14ac:dyDescent="0.25">
      <c r="A569" s="52">
        <v>7927714037</v>
      </c>
      <c r="B569" s="51" t="s">
        <v>1003</v>
      </c>
      <c r="C569" s="51" t="s">
        <v>1008</v>
      </c>
      <c r="D569" s="51" t="s">
        <v>1005</v>
      </c>
      <c r="E569" s="51" t="s">
        <v>1005</v>
      </c>
      <c r="F569" s="51" t="s">
        <v>1005</v>
      </c>
      <c r="G569" s="51" t="s">
        <v>1005</v>
      </c>
      <c r="H569" s="51" t="s">
        <v>1005</v>
      </c>
      <c r="I569" s="51" t="s">
        <v>1005</v>
      </c>
      <c r="J569" s="50" t="str">
        <f t="shared" si="16"/>
        <v>7927714037.pdf</v>
      </c>
      <c r="K569" s="51" t="s">
        <v>1006</v>
      </c>
      <c r="L569" s="51" t="s">
        <v>483</v>
      </c>
      <c r="M569" s="50" t="str">
        <f t="shared" si="17"/>
        <v>34.500</v>
      </c>
      <c r="N569" s="50" t="str">
        <f>IF(A569&lt;&gt;"",VLOOKUP(RIGHT(A569,3)*1,[4]Des_Loc!A:B,2,0),"")</f>
        <v>ALIANCA DO TOCANTINS</v>
      </c>
    </row>
    <row r="570" spans="1:14" ht="18.75" customHeight="1" x14ac:dyDescent="0.25">
      <c r="A570" s="52">
        <v>7926789001</v>
      </c>
      <c r="B570" s="51" t="s">
        <v>1003</v>
      </c>
      <c r="C570" s="51">
        <v>3</v>
      </c>
      <c r="D570" s="51" t="s">
        <v>1011</v>
      </c>
      <c r="E570" s="51" t="s">
        <v>1005</v>
      </c>
      <c r="F570" s="51" t="s">
        <v>1011</v>
      </c>
      <c r="G570" s="51" t="s">
        <v>1005</v>
      </c>
      <c r="H570" s="51" t="s">
        <v>1005</v>
      </c>
      <c r="I570" s="51" t="s">
        <v>1011</v>
      </c>
      <c r="J570" s="50" t="str">
        <f t="shared" si="16"/>
        <v>7926789001.pdf</v>
      </c>
      <c r="K570" s="51" t="s">
        <v>1006</v>
      </c>
      <c r="L570" s="51" t="s">
        <v>392</v>
      </c>
      <c r="M570" s="50" t="str">
        <f t="shared" si="17"/>
        <v>13.800</v>
      </c>
      <c r="N570" s="50" t="str">
        <f>IF(A570&lt;&gt;"",VLOOKUP(RIGHT(A570,3)*1,[4]Des_Loc!A:B,2,0),"")</f>
        <v>PORTO NACIONAL</v>
      </c>
    </row>
    <row r="571" spans="1:14" ht="18.75" customHeight="1" x14ac:dyDescent="0.25">
      <c r="A571" s="52">
        <v>7928385145</v>
      </c>
      <c r="B571" s="51" t="s">
        <v>1003</v>
      </c>
      <c r="C571" s="51">
        <v>3</v>
      </c>
      <c r="D571" s="51" t="s">
        <v>1011</v>
      </c>
      <c r="E571" s="51" t="s">
        <v>1005</v>
      </c>
      <c r="F571" s="51" t="s">
        <v>1011</v>
      </c>
      <c r="G571" s="51" t="s">
        <v>1005</v>
      </c>
      <c r="H571" s="51" t="s">
        <v>1005</v>
      </c>
      <c r="I571" s="51" t="s">
        <v>1005</v>
      </c>
      <c r="J571" s="50" t="str">
        <f t="shared" si="16"/>
        <v>7928385145.pdf</v>
      </c>
      <c r="K571" s="51" t="s">
        <v>1006</v>
      </c>
      <c r="L571" s="51" t="s">
        <v>1033</v>
      </c>
      <c r="M571" s="50" t="str">
        <f t="shared" si="17"/>
        <v>13.800</v>
      </c>
      <c r="N571" s="50" t="str">
        <f>IF(A571&lt;&gt;"",VLOOKUP(RIGHT(A571,3)*1,[4]Des_Loc!A:B,2,0),"")</f>
        <v>MAURILANDIA DO TOCANTINS</v>
      </c>
    </row>
    <row r="572" spans="1:14" ht="18.75" customHeight="1" x14ac:dyDescent="0.25">
      <c r="A572" s="52">
        <v>7927647001</v>
      </c>
      <c r="B572" s="51" t="s">
        <v>1003</v>
      </c>
      <c r="C572" s="51">
        <v>2</v>
      </c>
      <c r="D572" s="51"/>
      <c r="E572" s="51" t="s">
        <v>1005</v>
      </c>
      <c r="F572" s="51"/>
      <c r="G572" s="51"/>
      <c r="H572" s="51" t="s">
        <v>1005</v>
      </c>
      <c r="I572" s="51" t="s">
        <v>1005</v>
      </c>
      <c r="J572" s="50" t="str">
        <f t="shared" si="16"/>
        <v>7927647001.pdf</v>
      </c>
      <c r="K572" s="51" t="s">
        <v>1006</v>
      </c>
      <c r="L572" s="51" t="s">
        <v>1066</v>
      </c>
      <c r="M572" s="50" t="str">
        <f t="shared" si="17"/>
        <v>13.800</v>
      </c>
      <c r="N572" s="50" t="str">
        <f>IF(A572&lt;&gt;"",VLOOKUP(RIGHT(A572,3)*1,[4]Des_Loc!A:B,2,0),"")</f>
        <v>PORTO NACIONAL</v>
      </c>
    </row>
    <row r="573" spans="1:14" ht="18.75" customHeight="1" x14ac:dyDescent="0.25">
      <c r="A573" s="52">
        <v>7927446001</v>
      </c>
      <c r="B573" s="51" t="s">
        <v>1003</v>
      </c>
      <c r="C573" s="51">
        <v>3</v>
      </c>
      <c r="D573" s="51" t="s">
        <v>1011</v>
      </c>
      <c r="E573" s="51" t="s">
        <v>1011</v>
      </c>
      <c r="F573" s="51" t="s">
        <v>1011</v>
      </c>
      <c r="G573" s="51" t="s">
        <v>1005</v>
      </c>
      <c r="H573" s="51" t="s">
        <v>1005</v>
      </c>
      <c r="I573" s="51" t="s">
        <v>1005</v>
      </c>
      <c r="J573" s="50" t="str">
        <f t="shared" si="16"/>
        <v>7927446001.pdf</v>
      </c>
      <c r="K573" s="51" t="s">
        <v>1067</v>
      </c>
      <c r="L573" s="51" t="s">
        <v>430</v>
      </c>
      <c r="M573" s="50" t="str">
        <f t="shared" si="17"/>
        <v>34.500</v>
      </c>
      <c r="N573" s="50" t="str">
        <f>IF(A573&lt;&gt;"",VLOOKUP(RIGHT(A573,3)*1,[4]Des_Loc!A:B,2,0),"")</f>
        <v>PORTO NACIONAL</v>
      </c>
    </row>
    <row r="574" spans="1:14" ht="18.75" customHeight="1" x14ac:dyDescent="0.25">
      <c r="A574" s="52">
        <v>7925082052</v>
      </c>
      <c r="B574" s="51" t="s">
        <v>1003</v>
      </c>
      <c r="C574" s="51">
        <v>2</v>
      </c>
      <c r="D574" s="51" t="s">
        <v>1011</v>
      </c>
      <c r="E574" s="51" t="s">
        <v>1005</v>
      </c>
      <c r="F574" s="51" t="s">
        <v>1011</v>
      </c>
      <c r="G574" s="51" t="s">
        <v>1005</v>
      </c>
      <c r="H574" s="51" t="s">
        <v>1005</v>
      </c>
      <c r="I574" s="51" t="s">
        <v>1011</v>
      </c>
      <c r="J574" s="50" t="str">
        <f t="shared" si="16"/>
        <v>7925082052.pdf</v>
      </c>
      <c r="K574" s="51" t="s">
        <v>1006</v>
      </c>
      <c r="L574" s="51" t="s">
        <v>1159</v>
      </c>
      <c r="M574" s="50" t="str">
        <f t="shared" si="17"/>
        <v>13.800</v>
      </c>
      <c r="N574" s="50" t="str">
        <f>IF(A574&lt;&gt;"",VLOOKUP(RIGHT(A574,3)*1,[4]Des_Loc!A:B,2,0),"")</f>
        <v>FORMOSO DO ARAGUAIA</v>
      </c>
    </row>
    <row r="575" spans="1:14" ht="18.75" customHeight="1" x14ac:dyDescent="0.25">
      <c r="A575" s="52">
        <v>7928240097</v>
      </c>
      <c r="B575" s="51" t="s">
        <v>1003</v>
      </c>
      <c r="C575" s="51" t="s">
        <v>1021</v>
      </c>
      <c r="D575" s="51" t="s">
        <v>1005</v>
      </c>
      <c r="E575" s="51" t="s">
        <v>1005</v>
      </c>
      <c r="F575" s="51" t="s">
        <v>1005</v>
      </c>
      <c r="G575" s="51" t="s">
        <v>1005</v>
      </c>
      <c r="H575" s="51" t="s">
        <v>1005</v>
      </c>
      <c r="I575" s="51" t="s">
        <v>1005</v>
      </c>
      <c r="J575" s="50" t="str">
        <f t="shared" si="16"/>
        <v>7928240097.pdf</v>
      </c>
      <c r="K575" s="51" t="s">
        <v>1006</v>
      </c>
      <c r="L575" s="51" t="s">
        <v>1037</v>
      </c>
      <c r="M575" s="50" t="str">
        <f t="shared" si="17"/>
        <v>34.500</v>
      </c>
      <c r="N575" s="50" t="str">
        <f>IF(A575&lt;&gt;"",VLOOKUP(RIGHT(A575,3)*1,[4]Des_Loc!A:B,2,0),"")</f>
        <v>TALISMA</v>
      </c>
    </row>
    <row r="576" spans="1:14" ht="18.75" customHeight="1" x14ac:dyDescent="0.25">
      <c r="A576" s="52">
        <v>7927604001</v>
      </c>
      <c r="B576" s="51" t="s">
        <v>1003</v>
      </c>
      <c r="C576" s="51" t="s">
        <v>1021</v>
      </c>
      <c r="D576" s="51"/>
      <c r="E576" s="51" t="s">
        <v>1005</v>
      </c>
      <c r="F576" s="51"/>
      <c r="G576" s="51"/>
      <c r="H576" s="51" t="s">
        <v>1005</v>
      </c>
      <c r="I576" s="51" t="s">
        <v>1005</v>
      </c>
      <c r="J576" s="50" t="str">
        <f t="shared" si="16"/>
        <v>7927604001.pdf</v>
      </c>
      <c r="K576" s="51" t="s">
        <v>1006</v>
      </c>
      <c r="L576" s="51" t="s">
        <v>1113</v>
      </c>
      <c r="M576" s="50" t="str">
        <f t="shared" si="17"/>
        <v>13.800</v>
      </c>
      <c r="N576" s="50" t="str">
        <f>IF(A576&lt;&gt;"",VLOOKUP(RIGHT(A576,3)*1,[4]Des_Loc!A:B,2,0),"")</f>
        <v>PORTO NACIONAL</v>
      </c>
    </row>
    <row r="577" spans="1:14" ht="18.75" customHeight="1" x14ac:dyDescent="0.25">
      <c r="A577" s="52">
        <v>7928241200</v>
      </c>
      <c r="B577" s="51" t="s">
        <v>1003</v>
      </c>
      <c r="C577" s="51" t="s">
        <v>1010</v>
      </c>
      <c r="D577" s="51" t="s">
        <v>1011</v>
      </c>
      <c r="E577" s="51" t="s">
        <v>1011</v>
      </c>
      <c r="F577" s="51" t="s">
        <v>1005</v>
      </c>
      <c r="G577" s="51" t="s">
        <v>1005</v>
      </c>
      <c r="H577" s="51" t="s">
        <v>1005</v>
      </c>
      <c r="I577" s="51" t="s">
        <v>1005</v>
      </c>
      <c r="J577" s="50" t="str">
        <f t="shared" si="16"/>
        <v>7928241200.pdf</v>
      </c>
      <c r="K577" s="51" t="s">
        <v>1006</v>
      </c>
      <c r="L577" s="51" t="s">
        <v>672</v>
      </c>
      <c r="M577" s="50" t="str">
        <f t="shared" si="17"/>
        <v>34.500</v>
      </c>
      <c r="N577" s="50" t="str">
        <f>IF(A577&lt;&gt;"",VLOOKUP(RIGHT(A577,3)*1,[4]Des_Loc!A:B,2,0),"")</f>
        <v>SAO SALVADOR DO TOCANTINS</v>
      </c>
    </row>
    <row r="578" spans="1:14" ht="18.75" customHeight="1" x14ac:dyDescent="0.25">
      <c r="A578" s="52">
        <v>7930903098</v>
      </c>
      <c r="B578" s="51" t="s">
        <v>1003</v>
      </c>
      <c r="C578" s="51">
        <v>3</v>
      </c>
      <c r="D578" s="51"/>
      <c r="E578" s="51" t="s">
        <v>1011</v>
      </c>
      <c r="F578" s="51"/>
      <c r="G578" s="51"/>
      <c r="H578" s="51" t="s">
        <v>1005</v>
      </c>
      <c r="I578" s="51" t="s">
        <v>1005</v>
      </c>
      <c r="J578" s="50" t="str">
        <f t="shared" ref="J578:J641" si="18">CONCATENATE(A578,".pdf")</f>
        <v>7930903098.pdf</v>
      </c>
      <c r="K578" s="51" t="s">
        <v>1006</v>
      </c>
      <c r="L578" s="51" t="s">
        <v>1160</v>
      </c>
      <c r="M578" s="50" t="str">
        <f t="shared" ref="M578:M641" si="19">IF(L578&lt;&gt;"",IF(LEFT(L578,2)="AL","13.800","34.500"),"")</f>
        <v>34.500</v>
      </c>
      <c r="N578" s="50" t="str">
        <f>IF(A578&lt;&gt;"",VLOOKUP(RIGHT(A578,3)*1,[4]Des_Loc!A:B,2,0),"")</f>
        <v>ANANAS</v>
      </c>
    </row>
    <row r="579" spans="1:14" ht="18.75" customHeight="1" x14ac:dyDescent="0.25">
      <c r="A579" s="52">
        <v>7930908109</v>
      </c>
      <c r="B579" s="51" t="s">
        <v>1003</v>
      </c>
      <c r="C579" s="51">
        <v>3</v>
      </c>
      <c r="D579" s="51" t="s">
        <v>1011</v>
      </c>
      <c r="E579" s="51" t="s">
        <v>1011</v>
      </c>
      <c r="F579" s="51" t="s">
        <v>1005</v>
      </c>
      <c r="G579" s="51" t="s">
        <v>1005</v>
      </c>
      <c r="H579" s="51" t="s">
        <v>1005</v>
      </c>
      <c r="I579" s="51" t="s">
        <v>1005</v>
      </c>
      <c r="J579" s="50" t="str">
        <f t="shared" si="18"/>
        <v>7930908109.pdf</v>
      </c>
      <c r="K579" s="51" t="s">
        <v>1006</v>
      </c>
      <c r="L579" s="51" t="s">
        <v>453</v>
      </c>
      <c r="M579" s="50" t="str">
        <f t="shared" si="19"/>
        <v>34.500</v>
      </c>
      <c r="N579" s="50" t="str">
        <f>IF(A579&lt;&gt;"",VLOOKUP(RIGHT(A579,3)*1,[4]Des_Loc!A:B,2,0),"")</f>
        <v>ANGICO</v>
      </c>
    </row>
    <row r="580" spans="1:14" ht="18.75" customHeight="1" x14ac:dyDescent="0.25">
      <c r="A580" s="52">
        <v>7931554055</v>
      </c>
      <c r="B580" s="51" t="s">
        <v>1003</v>
      </c>
      <c r="C580" s="51" t="s">
        <v>1008</v>
      </c>
      <c r="D580" s="51" t="s">
        <v>1005</v>
      </c>
      <c r="E580" s="51" t="s">
        <v>1005</v>
      </c>
      <c r="F580" s="51" t="s">
        <v>1005</v>
      </c>
      <c r="G580" s="51" t="s">
        <v>1005</v>
      </c>
      <c r="H580" s="51" t="s">
        <v>1005</v>
      </c>
      <c r="I580" s="51" t="s">
        <v>1005</v>
      </c>
      <c r="J580" s="50" t="str">
        <f t="shared" si="18"/>
        <v>7931554055.pdf</v>
      </c>
      <c r="K580" s="51" t="s">
        <v>1006</v>
      </c>
      <c r="L580" s="51" t="s">
        <v>1062</v>
      </c>
      <c r="M580" s="50" t="str">
        <f t="shared" si="19"/>
        <v>34.500</v>
      </c>
      <c r="N580" s="50" t="str">
        <f>IF(A580&lt;&gt;"",VLOOKUP(RIGHT(A580,3)*1,[4]Des_Loc!A:B,2,0),"")</f>
        <v>ARAGUACEMA</v>
      </c>
    </row>
    <row r="581" spans="1:14" ht="18.75" customHeight="1" x14ac:dyDescent="0.25">
      <c r="A581" s="52">
        <v>7930937009</v>
      </c>
      <c r="B581" s="51" t="s">
        <v>1003</v>
      </c>
      <c r="C581" s="51">
        <v>2</v>
      </c>
      <c r="D581" s="51" t="s">
        <v>1011</v>
      </c>
      <c r="E581" s="51" t="s">
        <v>1005</v>
      </c>
      <c r="F581" s="51" t="s">
        <v>1005</v>
      </c>
      <c r="G581" s="51" t="s">
        <v>1005</v>
      </c>
      <c r="H581" s="51" t="s">
        <v>1005</v>
      </c>
      <c r="I581" s="51" t="s">
        <v>1005</v>
      </c>
      <c r="J581" s="50" t="str">
        <f t="shared" si="18"/>
        <v>7930937009.pdf</v>
      </c>
      <c r="K581" s="51" t="s">
        <v>1006</v>
      </c>
      <c r="L581" s="51" t="s">
        <v>419</v>
      </c>
      <c r="M581" s="50" t="str">
        <f t="shared" si="19"/>
        <v>13.800</v>
      </c>
      <c r="N581" s="50" t="str">
        <f>IF(A581&lt;&gt;"",VLOOKUP(RIGHT(A581,3)*1,[4]Des_Loc!A:B,2,0),"")</f>
        <v>GUARAI</v>
      </c>
    </row>
    <row r="582" spans="1:14" ht="18.75" customHeight="1" x14ac:dyDescent="0.25">
      <c r="A582" s="52">
        <v>7930909247</v>
      </c>
      <c r="B582" s="51" t="s">
        <v>1003</v>
      </c>
      <c r="C582" s="51">
        <v>3</v>
      </c>
      <c r="D582" s="51" t="s">
        <v>1011</v>
      </c>
      <c r="E582" s="51" t="s">
        <v>1005</v>
      </c>
      <c r="F582" s="51" t="s">
        <v>1011</v>
      </c>
      <c r="G582" s="51" t="s">
        <v>1005</v>
      </c>
      <c r="H582" s="51" t="s">
        <v>1005</v>
      </c>
      <c r="I582" s="51" t="s">
        <v>1011</v>
      </c>
      <c r="J582" s="50" t="str">
        <f t="shared" si="18"/>
        <v>7930909247.pdf</v>
      </c>
      <c r="K582" s="51" t="s">
        <v>1006</v>
      </c>
      <c r="L582" s="51" t="s">
        <v>1081</v>
      </c>
      <c r="M582" s="50" t="str">
        <f t="shared" si="19"/>
        <v>13.800</v>
      </c>
      <c r="N582" s="50" t="str">
        <f>IF(A582&lt;&gt;"",VLOOKUP(RIGHT(A582,3)*1,[4]Des_Loc!A:B,2,0),"")</f>
        <v>POVOADO CENTRO DOS BORGES</v>
      </c>
    </row>
    <row r="583" spans="1:14" ht="18.75" customHeight="1" x14ac:dyDescent="0.25">
      <c r="A583" s="52">
        <v>7931604122</v>
      </c>
      <c r="B583" s="51" t="s">
        <v>1003</v>
      </c>
      <c r="C583" s="51" t="s">
        <v>1021</v>
      </c>
      <c r="D583" s="51"/>
      <c r="E583" s="51" t="s">
        <v>1005</v>
      </c>
      <c r="F583" s="51"/>
      <c r="G583" s="51"/>
      <c r="H583" s="51" t="s">
        <v>1005</v>
      </c>
      <c r="I583" s="51" t="s">
        <v>1005</v>
      </c>
      <c r="J583" s="50" t="str">
        <f t="shared" si="18"/>
        <v>7931604122.pdf</v>
      </c>
      <c r="K583" s="51" t="s">
        <v>1006</v>
      </c>
      <c r="L583" s="51" t="s">
        <v>1155</v>
      </c>
      <c r="M583" s="50" t="str">
        <f t="shared" si="19"/>
        <v>13.800</v>
      </c>
      <c r="N583" s="50" t="str">
        <f>IF(A583&lt;&gt;"",VLOOKUP(RIGHT(A583,3)*1,[4]Des_Loc!A:B,2,0),"")</f>
        <v>PALMAS</v>
      </c>
    </row>
    <row r="584" spans="1:14" ht="18.75" customHeight="1" x14ac:dyDescent="0.25">
      <c r="A584" s="52">
        <v>7927401001</v>
      </c>
      <c r="B584" s="51" t="s">
        <v>1003</v>
      </c>
      <c r="C584" s="51" t="s">
        <v>1021</v>
      </c>
      <c r="D584" s="51"/>
      <c r="E584" s="51" t="s">
        <v>1005</v>
      </c>
      <c r="F584" s="51"/>
      <c r="G584" s="51"/>
      <c r="H584" s="51" t="s">
        <v>1005</v>
      </c>
      <c r="I584" s="51" t="s">
        <v>1005</v>
      </c>
      <c r="J584" s="50" t="str">
        <f t="shared" si="18"/>
        <v>7927401001.pdf</v>
      </c>
      <c r="K584" s="51" t="s">
        <v>1006</v>
      </c>
      <c r="L584" s="51" t="s">
        <v>1066</v>
      </c>
      <c r="M584" s="50" t="str">
        <f t="shared" si="19"/>
        <v>13.800</v>
      </c>
      <c r="N584" s="50" t="str">
        <f>IF(A584&lt;&gt;"",VLOOKUP(RIGHT(A584,3)*1,[4]Des_Loc!A:B,2,0),"")</f>
        <v>PORTO NACIONAL</v>
      </c>
    </row>
    <row r="585" spans="1:14" ht="18.75" customHeight="1" x14ac:dyDescent="0.25">
      <c r="A585" s="52">
        <v>7927601001</v>
      </c>
      <c r="B585" s="51" t="s">
        <v>1003</v>
      </c>
      <c r="C585" s="51">
        <v>2</v>
      </c>
      <c r="D585" s="51"/>
      <c r="E585" s="51" t="s">
        <v>1005</v>
      </c>
      <c r="F585" s="51"/>
      <c r="G585" s="51"/>
      <c r="H585" s="51" t="s">
        <v>1005</v>
      </c>
      <c r="I585" s="51" t="s">
        <v>1005</v>
      </c>
      <c r="J585" s="50" t="str">
        <f t="shared" si="18"/>
        <v>7927601001.pdf</v>
      </c>
      <c r="K585" s="51" t="s">
        <v>1006</v>
      </c>
      <c r="L585" s="51" t="s">
        <v>1066</v>
      </c>
      <c r="M585" s="50" t="str">
        <f t="shared" si="19"/>
        <v>13.800</v>
      </c>
      <c r="N585" s="50" t="str">
        <f>IF(A585&lt;&gt;"",VLOOKUP(RIGHT(A585,3)*1,[4]Des_Loc!A:B,2,0),"")</f>
        <v>PORTO NACIONAL</v>
      </c>
    </row>
    <row r="586" spans="1:14" ht="18.75" customHeight="1" x14ac:dyDescent="0.25">
      <c r="A586" s="52">
        <v>7930286009</v>
      </c>
      <c r="B586" s="51" t="s">
        <v>1003</v>
      </c>
      <c r="C586" s="51" t="s">
        <v>1010</v>
      </c>
      <c r="D586" s="51" t="s">
        <v>1011</v>
      </c>
      <c r="E586" s="51" t="s">
        <v>1005</v>
      </c>
      <c r="F586" s="51" t="s">
        <v>1005</v>
      </c>
      <c r="G586" s="51" t="s">
        <v>1005</v>
      </c>
      <c r="H586" s="51" t="s">
        <v>1005</v>
      </c>
      <c r="I586" s="51" t="s">
        <v>1005</v>
      </c>
      <c r="J586" s="50" t="str">
        <f t="shared" si="18"/>
        <v>7930286009.pdf</v>
      </c>
      <c r="K586" s="51" t="s">
        <v>1006</v>
      </c>
      <c r="L586" s="51" t="s">
        <v>1047</v>
      </c>
      <c r="M586" s="50" t="str">
        <f t="shared" si="19"/>
        <v>34.500</v>
      </c>
      <c r="N586" s="50" t="str">
        <f>IF(A586&lt;&gt;"",VLOOKUP(RIGHT(A586,3)*1,[4]Des_Loc!A:B,2,0),"")</f>
        <v>GUARAI</v>
      </c>
    </row>
    <row r="587" spans="1:14" ht="18.75" customHeight="1" x14ac:dyDescent="0.25">
      <c r="A587" s="52">
        <v>7931383086</v>
      </c>
      <c r="B587" s="51" t="s">
        <v>1003</v>
      </c>
      <c r="C587" s="51">
        <v>2</v>
      </c>
      <c r="D587" s="51" t="s">
        <v>1011</v>
      </c>
      <c r="E587" s="51" t="s">
        <v>1005</v>
      </c>
      <c r="F587" s="51" t="s">
        <v>1011</v>
      </c>
      <c r="G587" s="51" t="s">
        <v>1005</v>
      </c>
      <c r="H587" s="51" t="s">
        <v>1011</v>
      </c>
      <c r="I587" s="51" t="s">
        <v>1011</v>
      </c>
      <c r="J587" s="50" t="str">
        <f t="shared" si="18"/>
        <v>7931383086.pdf</v>
      </c>
      <c r="K587" s="51" t="s">
        <v>1006</v>
      </c>
      <c r="L587" s="51" t="s">
        <v>1023</v>
      </c>
      <c r="M587" s="50" t="str">
        <f t="shared" si="19"/>
        <v>34.500</v>
      </c>
      <c r="N587" s="50" t="str">
        <f>IF(A587&lt;&gt;"",VLOOKUP(RIGHT(A587,3)*1,[4]Des_Loc!A:B,2,0),"")</f>
        <v>MARIANOPOLIS</v>
      </c>
    </row>
    <row r="588" spans="1:14" ht="18.75" customHeight="1" x14ac:dyDescent="0.25">
      <c r="A588" s="52">
        <v>7930910156</v>
      </c>
      <c r="B588" s="51" t="s">
        <v>1003</v>
      </c>
      <c r="C588" s="51">
        <v>2</v>
      </c>
      <c r="D588" s="51" t="s">
        <v>1005</v>
      </c>
      <c r="E588" s="51" t="s">
        <v>1005</v>
      </c>
      <c r="F588" s="51" t="s">
        <v>1005</v>
      </c>
      <c r="G588" s="51" t="s">
        <v>1005</v>
      </c>
      <c r="H588" s="51" t="s">
        <v>1005</v>
      </c>
      <c r="I588" s="51" t="s">
        <v>1005</v>
      </c>
      <c r="J588" s="50" t="str">
        <f t="shared" si="18"/>
        <v>7930910156.pdf</v>
      </c>
      <c r="K588" s="51" t="s">
        <v>1006</v>
      </c>
      <c r="L588" s="51" t="s">
        <v>453</v>
      </c>
      <c r="M588" s="50" t="str">
        <f t="shared" si="19"/>
        <v>34.500</v>
      </c>
      <c r="N588" s="50" t="str">
        <f>IF(A588&lt;&gt;"",VLOOKUP(RIGHT(A588,3)*1,[4]Des_Loc!A:B,2,0),"")</f>
        <v>CACHOEIRINHA</v>
      </c>
    </row>
    <row r="589" spans="1:14" ht="18.75" customHeight="1" x14ac:dyDescent="0.25">
      <c r="A589" s="52">
        <v>7930907171</v>
      </c>
      <c r="B589" s="51" t="s">
        <v>1003</v>
      </c>
      <c r="C589" s="51" t="s">
        <v>1021</v>
      </c>
      <c r="D589" s="51"/>
      <c r="E589" s="51" t="s">
        <v>1005</v>
      </c>
      <c r="F589" s="51"/>
      <c r="G589" s="51"/>
      <c r="H589" s="51" t="s">
        <v>1005</v>
      </c>
      <c r="I589" s="51" t="s">
        <v>1005</v>
      </c>
      <c r="J589" s="50" t="str">
        <f t="shared" si="18"/>
        <v>7930907171.pdf</v>
      </c>
      <c r="K589" s="51" t="s">
        <v>1006</v>
      </c>
      <c r="L589" s="51" t="s">
        <v>453</v>
      </c>
      <c r="M589" s="50" t="str">
        <f t="shared" si="19"/>
        <v>34.500</v>
      </c>
      <c r="N589" s="50" t="str">
        <f>IF(A589&lt;&gt;"",VLOOKUP(RIGHT(A589,3)*1,[4]Des_Loc!A:B,2,0),"")</f>
        <v>LUZINOPOLIS</v>
      </c>
    </row>
    <row r="590" spans="1:14" ht="18.75" customHeight="1" x14ac:dyDescent="0.25">
      <c r="A590" s="52">
        <v>7931608059</v>
      </c>
      <c r="B590" s="51" t="s">
        <v>1003</v>
      </c>
      <c r="C590" s="51">
        <v>2</v>
      </c>
      <c r="D590" s="51"/>
      <c r="E590" s="51" t="s">
        <v>1005</v>
      </c>
      <c r="F590" s="51"/>
      <c r="G590" s="51"/>
      <c r="H590" s="51" t="s">
        <v>1005</v>
      </c>
      <c r="I590" s="51" t="s">
        <v>1005</v>
      </c>
      <c r="J590" s="50" t="str">
        <f t="shared" si="18"/>
        <v>7931608059.pdf</v>
      </c>
      <c r="K590" s="51" t="s">
        <v>1006</v>
      </c>
      <c r="L590" s="51" t="s">
        <v>1161</v>
      </c>
      <c r="M590" s="50" t="str">
        <f t="shared" si="19"/>
        <v>13.800</v>
      </c>
      <c r="N590" s="50" t="str">
        <f>IF(A590&lt;&gt;"",VLOOKUP(RIGHT(A590,3)*1,[4]Des_Loc!A:B,2,0),"")</f>
        <v>TAQUARALTO</v>
      </c>
    </row>
    <row r="591" spans="1:14" ht="18.75" customHeight="1" x14ac:dyDescent="0.25">
      <c r="A591" s="52">
        <v>7928387103</v>
      </c>
      <c r="B591" s="51" t="s">
        <v>1003</v>
      </c>
      <c r="C591" s="51">
        <v>3</v>
      </c>
      <c r="D591" s="51" t="s">
        <v>1011</v>
      </c>
      <c r="E591" s="51" t="s">
        <v>1005</v>
      </c>
      <c r="F591" s="51" t="s">
        <v>1005</v>
      </c>
      <c r="G591" s="51" t="s">
        <v>1005</v>
      </c>
      <c r="H591" s="51" t="s">
        <v>1005</v>
      </c>
      <c r="I591" s="51" t="s">
        <v>1005</v>
      </c>
      <c r="J591" s="50" t="str">
        <f t="shared" si="18"/>
        <v>7928387103.pdf</v>
      </c>
      <c r="K591" s="51" t="s">
        <v>1006</v>
      </c>
      <c r="L591" s="51" t="s">
        <v>1142</v>
      </c>
      <c r="M591" s="50" t="str">
        <f t="shared" si="19"/>
        <v>34.500</v>
      </c>
      <c r="N591" s="50" t="str">
        <f>IF(A591&lt;&gt;"",VLOOKUP(RIGHT(A591,3)*1,[4]Des_Loc!A:B,2,0),"")</f>
        <v>SAO MIGUEL DO TOCANTINS</v>
      </c>
    </row>
    <row r="592" spans="1:14" ht="18.75" customHeight="1" x14ac:dyDescent="0.25">
      <c r="A592" s="52">
        <v>7931629122</v>
      </c>
      <c r="B592" s="51" t="s">
        <v>1003</v>
      </c>
      <c r="C592" s="51" t="s">
        <v>1021</v>
      </c>
      <c r="D592" s="51"/>
      <c r="E592" s="51" t="s">
        <v>1005</v>
      </c>
      <c r="F592" s="51"/>
      <c r="G592" s="51"/>
      <c r="H592" s="51" t="s">
        <v>1005</v>
      </c>
      <c r="I592" s="51" t="s">
        <v>1005</v>
      </c>
      <c r="J592" s="50" t="str">
        <f t="shared" si="18"/>
        <v>7931629122.pdf</v>
      </c>
      <c r="K592" s="51" t="s">
        <v>1006</v>
      </c>
      <c r="L592" s="51" t="s">
        <v>1162</v>
      </c>
      <c r="M592" s="50" t="str">
        <f t="shared" si="19"/>
        <v>13.800</v>
      </c>
      <c r="N592" s="50" t="str">
        <f>IF(A592&lt;&gt;"",VLOOKUP(RIGHT(A592,3)*1,[4]Des_Loc!A:B,2,0),"")</f>
        <v>PALMAS</v>
      </c>
    </row>
    <row r="593" spans="1:14" ht="18.75" customHeight="1" x14ac:dyDescent="0.25">
      <c r="A593" s="52">
        <v>7930038122</v>
      </c>
      <c r="B593" s="51" t="s">
        <v>1003</v>
      </c>
      <c r="C593" s="51">
        <v>2</v>
      </c>
      <c r="D593" s="51" t="s">
        <v>1005</v>
      </c>
      <c r="E593" s="51" t="s">
        <v>1005</v>
      </c>
      <c r="F593" s="51" t="s">
        <v>1005</v>
      </c>
      <c r="G593" s="51" t="s">
        <v>1005</v>
      </c>
      <c r="H593" s="51" t="s">
        <v>1005</v>
      </c>
      <c r="I593" s="51" t="s">
        <v>1011</v>
      </c>
      <c r="J593" s="50" t="str">
        <f t="shared" si="18"/>
        <v>7930038122.pdf</v>
      </c>
      <c r="K593" s="51" t="s">
        <v>1006</v>
      </c>
      <c r="L593" s="51" t="s">
        <v>1163</v>
      </c>
      <c r="M593" s="50" t="str">
        <f t="shared" si="19"/>
        <v>13.800</v>
      </c>
      <c r="N593" s="50" t="str">
        <f>IF(A593&lt;&gt;"",VLOOKUP(RIGHT(A593,3)*1,[4]Des_Loc!A:B,2,0),"")</f>
        <v>PALMAS</v>
      </c>
    </row>
    <row r="594" spans="1:14" ht="18.75" customHeight="1" x14ac:dyDescent="0.25">
      <c r="A594" s="52">
        <v>7928250037</v>
      </c>
      <c r="B594" s="51" t="s">
        <v>1003</v>
      </c>
      <c r="C594" s="51" t="s">
        <v>1010</v>
      </c>
      <c r="D594" s="51" t="s">
        <v>1011</v>
      </c>
      <c r="E594" s="51" t="s">
        <v>1005</v>
      </c>
      <c r="F594" s="51" t="s">
        <v>1005</v>
      </c>
      <c r="G594" s="51" t="s">
        <v>1005</v>
      </c>
      <c r="H594" s="51" t="s">
        <v>1005</v>
      </c>
      <c r="I594" s="51" t="s">
        <v>1005</v>
      </c>
      <c r="J594" s="50" t="str">
        <f t="shared" si="18"/>
        <v>7928250037.pdf</v>
      </c>
      <c r="K594" s="51" t="s">
        <v>1006</v>
      </c>
      <c r="L594" s="51" t="s">
        <v>483</v>
      </c>
      <c r="M594" s="50" t="str">
        <f t="shared" si="19"/>
        <v>34.500</v>
      </c>
      <c r="N594" s="50" t="str">
        <f>IF(A594&lt;&gt;"",VLOOKUP(RIGHT(A594,3)*1,[4]Des_Loc!A:B,2,0),"")</f>
        <v>ALIANCA DO TOCANTINS</v>
      </c>
    </row>
    <row r="595" spans="1:14" ht="18.75" customHeight="1" x14ac:dyDescent="0.25">
      <c r="A595" s="52">
        <v>7930429075</v>
      </c>
      <c r="B595" s="51" t="s">
        <v>1003</v>
      </c>
      <c r="C595" s="51" t="s">
        <v>1010</v>
      </c>
      <c r="D595" s="51" t="s">
        <v>1005</v>
      </c>
      <c r="E595" s="51" t="s">
        <v>1005</v>
      </c>
      <c r="F595" s="51" t="s">
        <v>1005</v>
      </c>
      <c r="G595" s="51" t="s">
        <v>1005</v>
      </c>
      <c r="H595" s="51" t="s">
        <v>1011</v>
      </c>
      <c r="I595" s="51" t="s">
        <v>1005</v>
      </c>
      <c r="J595" s="50" t="str">
        <f t="shared" si="18"/>
        <v>7930429075.pdf</v>
      </c>
      <c r="K595" s="51" t="s">
        <v>1006</v>
      </c>
      <c r="L595" s="51" t="s">
        <v>1040</v>
      </c>
      <c r="M595" s="50" t="str">
        <f t="shared" si="19"/>
        <v>34.500</v>
      </c>
      <c r="N595" s="50" t="str">
        <f>IF(A595&lt;&gt;"",VLOOKUP(RIGHT(A595,3)*1,[4]Des_Loc!A:B,2,0),"")</f>
        <v>DOIS IRMAOS DO TOCANTINS</v>
      </c>
    </row>
    <row r="596" spans="1:14" ht="16.5" customHeight="1" x14ac:dyDescent="0.25">
      <c r="A596" s="52">
        <v>7928564039</v>
      </c>
      <c r="B596" s="51" t="s">
        <v>1003</v>
      </c>
      <c r="C596" s="51" t="s">
        <v>1010</v>
      </c>
      <c r="D596" s="51" t="s">
        <v>1011</v>
      </c>
      <c r="E596" s="51" t="s">
        <v>1005</v>
      </c>
      <c r="F596" s="51" t="s">
        <v>1005</v>
      </c>
      <c r="G596" s="51" t="s">
        <v>1005</v>
      </c>
      <c r="H596" s="51" t="s">
        <v>1005</v>
      </c>
      <c r="I596" s="51" t="s">
        <v>1005</v>
      </c>
      <c r="J596" s="50" t="str">
        <f t="shared" si="18"/>
        <v>7928564039.pdf</v>
      </c>
      <c r="K596" s="51" t="s">
        <v>1006</v>
      </c>
      <c r="L596" s="51" t="s">
        <v>677</v>
      </c>
      <c r="M596" s="50" t="str">
        <f t="shared" si="19"/>
        <v>34.500</v>
      </c>
      <c r="N596" s="50" t="str">
        <f>IF(A596&lt;&gt;"",VLOOKUP(RIGHT(A596,3)*1,[4]Des_Loc!A:B,2,0),"")</f>
        <v>ARAGUATINS</v>
      </c>
    </row>
    <row r="597" spans="1:14" ht="16.5" customHeight="1" x14ac:dyDescent="0.25">
      <c r="A597" s="52">
        <v>7926848026</v>
      </c>
      <c r="B597" s="51" t="s">
        <v>1003</v>
      </c>
      <c r="C597" s="51" t="s">
        <v>1008</v>
      </c>
      <c r="D597" s="51"/>
      <c r="E597" s="51" t="s">
        <v>1005</v>
      </c>
      <c r="F597" s="51"/>
      <c r="G597" s="51"/>
      <c r="H597" s="51" t="s">
        <v>1005</v>
      </c>
      <c r="I597" s="51" t="s">
        <v>1005</v>
      </c>
      <c r="J597" s="50" t="str">
        <f t="shared" si="18"/>
        <v>7926848026.pdf</v>
      </c>
      <c r="K597" s="51" t="s">
        <v>1006</v>
      </c>
      <c r="L597" s="51" t="s">
        <v>518</v>
      </c>
      <c r="M597" s="50" t="str">
        <f t="shared" si="19"/>
        <v>34.500</v>
      </c>
      <c r="N597" s="50" t="str">
        <f>IF(A597&lt;&gt;"",VLOOKUP(RIGHT(A597,3)*1,[4]Des_Loc!A:B,2,0),"")</f>
        <v>PONTE ALTA TOCANTINS</v>
      </c>
    </row>
    <row r="598" spans="1:14" ht="16.5" customHeight="1" x14ac:dyDescent="0.25">
      <c r="A598" s="52">
        <v>7925087021</v>
      </c>
      <c r="B598" s="51" t="s">
        <v>1003</v>
      </c>
      <c r="C598" s="51" t="s">
        <v>1010</v>
      </c>
      <c r="D598" s="51" t="s">
        <v>1011</v>
      </c>
      <c r="E598" s="51" t="s">
        <v>1005</v>
      </c>
      <c r="F598" s="51" t="s">
        <v>1005</v>
      </c>
      <c r="G598" s="51" t="s">
        <v>1005</v>
      </c>
      <c r="H598" s="51" t="s">
        <v>1005</v>
      </c>
      <c r="I598" s="51" t="s">
        <v>1005</v>
      </c>
      <c r="J598" s="50" t="str">
        <f t="shared" si="18"/>
        <v>7925087021.pdf</v>
      </c>
      <c r="K598" s="51" t="s">
        <v>1006</v>
      </c>
      <c r="L598" s="51" t="s">
        <v>616</v>
      </c>
      <c r="M598" s="50" t="str">
        <f t="shared" si="19"/>
        <v>34.500</v>
      </c>
      <c r="N598" s="50" t="str">
        <f>IF(A598&lt;&gt;"",VLOOKUP(RIGHT(A598,3)*1,[4]Des_Loc!A:B,2,0),"")</f>
        <v>PARANA</v>
      </c>
    </row>
    <row r="599" spans="1:14" ht="16.5" customHeight="1" x14ac:dyDescent="0.25">
      <c r="A599" s="52">
        <v>7930501107</v>
      </c>
      <c r="B599" s="51" t="s">
        <v>1003</v>
      </c>
      <c r="C599" s="51" t="s">
        <v>1010</v>
      </c>
      <c r="D599" s="51" t="s">
        <v>1011</v>
      </c>
      <c r="E599" s="51" t="s">
        <v>1005</v>
      </c>
      <c r="F599" s="51" t="s">
        <v>1005</v>
      </c>
      <c r="G599" s="51" t="s">
        <v>1005</v>
      </c>
      <c r="H599" s="51" t="s">
        <v>1005</v>
      </c>
      <c r="I599" s="51" t="s">
        <v>1005</v>
      </c>
      <c r="J599" s="50" t="str">
        <f t="shared" si="18"/>
        <v>7930501107.pdf</v>
      </c>
      <c r="K599" s="51" t="s">
        <v>1006</v>
      </c>
      <c r="L599" s="51" t="s">
        <v>1076</v>
      </c>
      <c r="M599" s="50" t="str">
        <f t="shared" si="19"/>
        <v>34.500</v>
      </c>
      <c r="N599" s="50" t="str">
        <f>IF(A599&lt;&gt;"",VLOOKUP(RIGHT(A599,3)*1,[4]Des_Loc!A:B,2,0),"")</f>
        <v>SANDOLANDIA</v>
      </c>
    </row>
    <row r="600" spans="1:14" ht="16.5" customHeight="1" x14ac:dyDescent="0.25">
      <c r="A600" s="52">
        <v>7925088027</v>
      </c>
      <c r="B600" s="51" t="s">
        <v>1003</v>
      </c>
      <c r="C600" s="51" t="s">
        <v>1021</v>
      </c>
      <c r="D600" s="51" t="s">
        <v>1005</v>
      </c>
      <c r="E600" s="51" t="s">
        <v>1005</v>
      </c>
      <c r="F600" s="51" t="s">
        <v>1005</v>
      </c>
      <c r="G600" s="51" t="s">
        <v>1005</v>
      </c>
      <c r="H600" s="51" t="s">
        <v>1005</v>
      </c>
      <c r="I600" s="51" t="s">
        <v>1005</v>
      </c>
      <c r="J600" s="50" t="str">
        <f t="shared" si="18"/>
        <v>7925088027.pdf</v>
      </c>
      <c r="K600" s="51" t="s">
        <v>1006</v>
      </c>
      <c r="L600" s="51" t="s">
        <v>1136</v>
      </c>
      <c r="M600" s="50" t="str">
        <f t="shared" si="19"/>
        <v>34.500</v>
      </c>
      <c r="N600" s="50" t="str">
        <f>IF(A600&lt;&gt;"",VLOOKUP(RIGHT(A600,3)*1,[4]Des_Loc!A:B,2,0),"")</f>
        <v>PONTE ALTA BOM JESUS</v>
      </c>
    </row>
    <row r="601" spans="1:14" ht="16.5" customHeight="1" x14ac:dyDescent="0.25">
      <c r="A601" s="52">
        <v>7927661026</v>
      </c>
      <c r="B601" s="51" t="s">
        <v>1003</v>
      </c>
      <c r="C601" s="51" t="s">
        <v>1010</v>
      </c>
      <c r="D601" s="51"/>
      <c r="E601" s="51" t="s">
        <v>1005</v>
      </c>
      <c r="F601" s="51"/>
      <c r="G601" s="51"/>
      <c r="H601" s="51" t="s">
        <v>1005</v>
      </c>
      <c r="I601" s="51" t="s">
        <v>1005</v>
      </c>
      <c r="J601" s="50" t="str">
        <f t="shared" si="18"/>
        <v>7927661026.pdf</v>
      </c>
      <c r="K601" s="51" t="s">
        <v>1006</v>
      </c>
      <c r="L601" s="51" t="s">
        <v>571</v>
      </c>
      <c r="M601" s="50" t="str">
        <f t="shared" si="19"/>
        <v>34.500</v>
      </c>
      <c r="N601" s="50" t="str">
        <f>IF(A601&lt;&gt;"",VLOOKUP(RIGHT(A601,3)*1,[4]Des_Loc!A:B,2,0),"")</f>
        <v>PONTE ALTA TOCANTINS</v>
      </c>
    </row>
    <row r="602" spans="1:14" ht="16.5" customHeight="1" x14ac:dyDescent="0.25">
      <c r="A602" s="52">
        <v>7923106107</v>
      </c>
      <c r="B602" s="51" t="s">
        <v>1003</v>
      </c>
      <c r="C602" s="51">
        <v>3</v>
      </c>
      <c r="D602" s="51"/>
      <c r="E602" s="51" t="s">
        <v>1005</v>
      </c>
      <c r="F602" s="51"/>
      <c r="G602" s="51"/>
      <c r="H602" s="51" t="s">
        <v>1005</v>
      </c>
      <c r="I602" s="51" t="s">
        <v>1005</v>
      </c>
      <c r="J602" s="50" t="str">
        <f t="shared" si="18"/>
        <v>7923106107.pdf</v>
      </c>
      <c r="K602" s="51" t="s">
        <v>1006</v>
      </c>
      <c r="L602" s="51" t="s">
        <v>1076</v>
      </c>
      <c r="M602" s="50" t="str">
        <f t="shared" si="19"/>
        <v>34.500</v>
      </c>
      <c r="N602" s="50" t="str">
        <f>IF(A602&lt;&gt;"",VLOOKUP(RIGHT(A602,3)*1,[4]Des_Loc!A:B,2,0),"")</f>
        <v>SANDOLANDIA</v>
      </c>
    </row>
    <row r="603" spans="1:14" ht="16.5" customHeight="1" x14ac:dyDescent="0.25">
      <c r="A603" s="52">
        <v>7925089028</v>
      </c>
      <c r="B603" s="51" t="s">
        <v>1003</v>
      </c>
      <c r="C603" s="51">
        <v>3</v>
      </c>
      <c r="D603" s="51"/>
      <c r="E603" s="51" t="s">
        <v>1005</v>
      </c>
      <c r="F603" s="51"/>
      <c r="G603" s="51"/>
      <c r="H603" s="51" t="s">
        <v>1005</v>
      </c>
      <c r="I603" s="51" t="s">
        <v>1005</v>
      </c>
      <c r="J603" s="50" t="str">
        <f t="shared" si="18"/>
        <v>7925089028.pdf</v>
      </c>
      <c r="K603" s="51" t="s">
        <v>1006</v>
      </c>
      <c r="L603" s="51" t="s">
        <v>361</v>
      </c>
      <c r="M603" s="50" t="str">
        <f t="shared" si="19"/>
        <v>34.500</v>
      </c>
      <c r="N603" s="50" t="str">
        <f>IF(A603&lt;&gt;"",VLOOKUP(RIGHT(A603,3)*1,[4]Des_Loc!A:B,2,0),"")</f>
        <v>NATIVIDADE</v>
      </c>
    </row>
    <row r="604" spans="1:14" ht="16.5" customHeight="1" x14ac:dyDescent="0.25">
      <c r="A604" s="52">
        <v>7930920247</v>
      </c>
      <c r="B604" s="51" t="s">
        <v>1003</v>
      </c>
      <c r="C604" s="51">
        <v>3</v>
      </c>
      <c r="D604" s="51" t="s">
        <v>1011</v>
      </c>
      <c r="E604" s="51" t="s">
        <v>1005</v>
      </c>
      <c r="F604" s="51" t="s">
        <v>1005</v>
      </c>
      <c r="G604" s="51" t="s">
        <v>1005</v>
      </c>
      <c r="H604" s="51" t="s">
        <v>1005</v>
      </c>
      <c r="I604" s="51" t="s">
        <v>1005</v>
      </c>
      <c r="J604" s="50" t="str">
        <f t="shared" si="18"/>
        <v>7930920247.pdf</v>
      </c>
      <c r="K604" s="51" t="s">
        <v>1006</v>
      </c>
      <c r="L604" s="51" t="s">
        <v>1081</v>
      </c>
      <c r="M604" s="50" t="str">
        <f t="shared" si="19"/>
        <v>13.800</v>
      </c>
      <c r="N604" s="50" t="str">
        <f>IF(A604&lt;&gt;"",VLOOKUP(RIGHT(A604,3)*1,[4]Des_Loc!A:B,2,0),"")</f>
        <v>POVOADO CENTRO DOS BORGES</v>
      </c>
    </row>
    <row r="605" spans="1:14" ht="16.5" customHeight="1" x14ac:dyDescent="0.25">
      <c r="A605" s="52">
        <v>7930871103</v>
      </c>
      <c r="B605" s="51" t="s">
        <v>1003</v>
      </c>
      <c r="C605" s="51" t="s">
        <v>1008</v>
      </c>
      <c r="D605" s="51"/>
      <c r="E605" s="51" t="s">
        <v>1005</v>
      </c>
      <c r="F605" s="51"/>
      <c r="G605" s="51"/>
      <c r="H605" s="51" t="s">
        <v>1005</v>
      </c>
      <c r="I605" s="51" t="s">
        <v>1005</v>
      </c>
      <c r="J605" s="50" t="str">
        <f t="shared" si="18"/>
        <v>7930871103.pdf</v>
      </c>
      <c r="K605" s="51" t="s">
        <v>1006</v>
      </c>
      <c r="L605" s="51" t="s">
        <v>1141</v>
      </c>
      <c r="M605" s="50" t="str">
        <f t="shared" si="19"/>
        <v>34.500</v>
      </c>
      <c r="N605" s="50" t="str">
        <f>IF(A605&lt;&gt;"",VLOOKUP(RIGHT(A605,3)*1,[4]Des_Loc!A:B,2,0),"")</f>
        <v>SAO MIGUEL DO TOCANTINS</v>
      </c>
    </row>
    <row r="606" spans="1:14" ht="16.5" customHeight="1" x14ac:dyDescent="0.25">
      <c r="A606" s="52">
        <v>7929000070</v>
      </c>
      <c r="B606" s="51" t="s">
        <v>1003</v>
      </c>
      <c r="C606" s="51" t="s">
        <v>1010</v>
      </c>
      <c r="D606" s="51" t="s">
        <v>1011</v>
      </c>
      <c r="E606" s="51" t="s">
        <v>1005</v>
      </c>
      <c r="F606" s="51" t="s">
        <v>1005</v>
      </c>
      <c r="G606" s="51" t="s">
        <v>1005</v>
      </c>
      <c r="H606" s="51" t="s">
        <v>1005</v>
      </c>
      <c r="I606" s="51" t="s">
        <v>1005</v>
      </c>
      <c r="J606" s="50" t="str">
        <f t="shared" si="18"/>
        <v>7929000070.pdf</v>
      </c>
      <c r="K606" s="51" t="s">
        <v>1006</v>
      </c>
      <c r="L606" s="51" t="s">
        <v>754</v>
      </c>
      <c r="M606" s="50" t="str">
        <f t="shared" si="19"/>
        <v>34.500</v>
      </c>
      <c r="N606" s="50" t="str">
        <f>IF(A606&lt;&gt;"",VLOOKUP(RIGHT(A606,3)*1,[4]Des_Loc!A:B,2,0),"")</f>
        <v>RIO SONO</v>
      </c>
    </row>
    <row r="607" spans="1:14" ht="16.5" customHeight="1" x14ac:dyDescent="0.25">
      <c r="A607" s="52">
        <v>7929534082</v>
      </c>
      <c r="B607" s="51" t="s">
        <v>1003</v>
      </c>
      <c r="C607" s="51" t="s">
        <v>1025</v>
      </c>
      <c r="D607" s="51" t="s">
        <v>1011</v>
      </c>
      <c r="E607" s="51" t="s">
        <v>1005</v>
      </c>
      <c r="F607" s="51" t="s">
        <v>1011</v>
      </c>
      <c r="G607" s="51" t="s">
        <v>1005</v>
      </c>
      <c r="H607" s="51" t="s">
        <v>1005</v>
      </c>
      <c r="I607" s="51" t="s">
        <v>1011</v>
      </c>
      <c r="J607" s="50" t="str">
        <f t="shared" si="18"/>
        <v>7929534082.pdf</v>
      </c>
      <c r="K607" s="51" t="s">
        <v>1006</v>
      </c>
      <c r="L607" s="51" t="s">
        <v>754</v>
      </c>
      <c r="M607" s="50" t="str">
        <f t="shared" si="19"/>
        <v>34.500</v>
      </c>
      <c r="N607" s="50" t="str">
        <f>IF(A607&lt;&gt;"",VLOOKUP(RIGHT(A607,3)*1,[4]Des_Loc!A:B,2,0),"")</f>
        <v>LIZARDA</v>
      </c>
    </row>
    <row r="608" spans="1:14" ht="16.5" customHeight="1" x14ac:dyDescent="0.25">
      <c r="A608" s="52">
        <v>7930295015</v>
      </c>
      <c r="B608" s="51" t="s">
        <v>1003</v>
      </c>
      <c r="C608" s="51" t="s">
        <v>1021</v>
      </c>
      <c r="D608" s="51"/>
      <c r="E608" s="51" t="s">
        <v>1005</v>
      </c>
      <c r="F608" s="51"/>
      <c r="G608" s="51"/>
      <c r="H608" s="51" t="s">
        <v>1005</v>
      </c>
      <c r="I608" s="51" t="s">
        <v>1005</v>
      </c>
      <c r="J608" s="50" t="str">
        <f t="shared" si="18"/>
        <v>7930295015.pdf</v>
      </c>
      <c r="K608" s="51" t="s">
        <v>1006</v>
      </c>
      <c r="L608" s="51" t="s">
        <v>368</v>
      </c>
      <c r="M608" s="50" t="str">
        <f t="shared" si="19"/>
        <v>13.800</v>
      </c>
      <c r="N608" s="50" t="str">
        <f>IF(A608&lt;&gt;"",VLOOKUP(RIGHT(A608,3)*1,[4]Des_Loc!A:B,2,0),"")</f>
        <v>PEDRO AFONSO</v>
      </c>
    </row>
    <row r="609" spans="1:14" ht="16.5" customHeight="1" x14ac:dyDescent="0.25">
      <c r="A609" s="52">
        <v>7927646026</v>
      </c>
      <c r="B609" s="51" t="s">
        <v>1003</v>
      </c>
      <c r="C609" s="51" t="s">
        <v>1004</v>
      </c>
      <c r="D609" s="51" t="s">
        <v>1005</v>
      </c>
      <c r="E609" s="51" t="s">
        <v>1005</v>
      </c>
      <c r="F609" s="51" t="s">
        <v>1005</v>
      </c>
      <c r="G609" s="51" t="s">
        <v>1005</v>
      </c>
      <c r="H609" s="51" t="s">
        <v>1005</v>
      </c>
      <c r="I609" s="51" t="s">
        <v>1005</v>
      </c>
      <c r="J609" s="50" t="str">
        <f t="shared" si="18"/>
        <v>7927646026.pdf</v>
      </c>
      <c r="K609" s="51" t="s">
        <v>1006</v>
      </c>
      <c r="L609" s="51" t="s">
        <v>518</v>
      </c>
      <c r="M609" s="50" t="str">
        <f t="shared" si="19"/>
        <v>34.500</v>
      </c>
      <c r="N609" s="50" t="str">
        <f>IF(A609&lt;&gt;"",VLOOKUP(RIGHT(A609,3)*1,[4]Des_Loc!A:B,2,0),"")</f>
        <v>PONTE ALTA TOCANTINS</v>
      </c>
    </row>
    <row r="610" spans="1:14" ht="16.5" customHeight="1" x14ac:dyDescent="0.25">
      <c r="A610" s="52">
        <v>7931863074</v>
      </c>
      <c r="B610" s="51" t="s">
        <v>1003</v>
      </c>
      <c r="C610" s="51">
        <v>2</v>
      </c>
      <c r="D610" s="51" t="s">
        <v>1005</v>
      </c>
      <c r="E610" s="51" t="s">
        <v>1005</v>
      </c>
      <c r="F610" s="51" t="s">
        <v>1005</v>
      </c>
      <c r="G610" s="51" t="s">
        <v>1005</v>
      </c>
      <c r="H610" s="51" t="s">
        <v>1005</v>
      </c>
      <c r="I610" s="51" t="s">
        <v>1005</v>
      </c>
      <c r="J610" s="50" t="str">
        <f t="shared" si="18"/>
        <v>7931863074.pdf</v>
      </c>
      <c r="K610" s="51" t="s">
        <v>1006</v>
      </c>
      <c r="L610" s="51" t="s">
        <v>1013</v>
      </c>
      <c r="M610" s="50" t="str">
        <f t="shared" si="19"/>
        <v>13.800</v>
      </c>
      <c r="N610" s="50" t="str">
        <f>IF(A610&lt;&gt;"",VLOOKUP(RIGHT(A610,3)*1,[4]Des_Loc!A:B,2,0),"")</f>
        <v>DIANOPOLIS</v>
      </c>
    </row>
    <row r="611" spans="1:14" ht="16.5" customHeight="1" x14ac:dyDescent="0.25">
      <c r="A611" s="52">
        <v>7930576002</v>
      </c>
      <c r="B611" s="51" t="s">
        <v>1003</v>
      </c>
      <c r="C611" s="51" t="s">
        <v>1021</v>
      </c>
      <c r="D611" s="51"/>
      <c r="E611" s="51" t="s">
        <v>1005</v>
      </c>
      <c r="F611" s="51"/>
      <c r="G611" s="51"/>
      <c r="H611" s="51" t="s">
        <v>1005</v>
      </c>
      <c r="I611" s="51" t="s">
        <v>1005</v>
      </c>
      <c r="J611" s="50" t="str">
        <f t="shared" si="18"/>
        <v>7930576002.pdf</v>
      </c>
      <c r="K611" s="51" t="s">
        <v>1006</v>
      </c>
      <c r="L611" s="51" t="s">
        <v>594</v>
      </c>
      <c r="M611" s="50" t="str">
        <f t="shared" si="19"/>
        <v>34.500</v>
      </c>
      <c r="N611" s="50" t="str">
        <f>IF(A611&lt;&gt;"",VLOOKUP(RIGHT(A611,3)*1,[4]Des_Loc!A:B,2,0),"")</f>
        <v>TOCANTINOPOLIS</v>
      </c>
    </row>
    <row r="612" spans="1:14" ht="16.5" customHeight="1" x14ac:dyDescent="0.25">
      <c r="A612" s="52">
        <v>7901734074</v>
      </c>
      <c r="B612" s="51" t="s">
        <v>1003</v>
      </c>
      <c r="C612" s="51">
        <v>2</v>
      </c>
      <c r="D612" s="51" t="s">
        <v>1005</v>
      </c>
      <c r="E612" s="51" t="s">
        <v>1005</v>
      </c>
      <c r="F612" s="51" t="s">
        <v>1005</v>
      </c>
      <c r="G612" s="51" t="s">
        <v>1005</v>
      </c>
      <c r="H612" s="51" t="s">
        <v>1005</v>
      </c>
      <c r="I612" s="51" t="s">
        <v>1005</v>
      </c>
      <c r="J612" s="50" t="str">
        <f t="shared" si="18"/>
        <v>7901734074.pdf</v>
      </c>
      <c r="K612" s="51" t="s">
        <v>1006</v>
      </c>
      <c r="L612" s="51" t="s">
        <v>1164</v>
      </c>
      <c r="M612" s="50" t="str">
        <f t="shared" si="19"/>
        <v>13.800</v>
      </c>
      <c r="N612" s="50" t="str">
        <f>IF(A612&lt;&gt;"",VLOOKUP(RIGHT(A612,3)*1,[4]Des_Loc!A:B,2,0),"")</f>
        <v>DIANOPOLIS</v>
      </c>
    </row>
    <row r="613" spans="1:14" ht="16.5" customHeight="1" x14ac:dyDescent="0.25">
      <c r="A613" s="52">
        <v>7930581123</v>
      </c>
      <c r="B613" s="51" t="s">
        <v>1003</v>
      </c>
      <c r="C613" s="51">
        <v>3</v>
      </c>
      <c r="D613" s="51"/>
      <c r="E613" s="51" t="s">
        <v>1005</v>
      </c>
      <c r="F613" s="51"/>
      <c r="G613" s="51"/>
      <c r="H613" s="51" t="s">
        <v>1005</v>
      </c>
      <c r="I613" s="51" t="s">
        <v>1005</v>
      </c>
      <c r="J613" s="50" t="str">
        <f t="shared" si="18"/>
        <v>7930581123.pdf</v>
      </c>
      <c r="K613" s="51" t="s">
        <v>1006</v>
      </c>
      <c r="L613" s="51" t="s">
        <v>594</v>
      </c>
      <c r="M613" s="50" t="str">
        <f t="shared" si="19"/>
        <v>34.500</v>
      </c>
      <c r="N613" s="50" t="str">
        <f>IF(A613&lt;&gt;"",VLOOKUP(RIGHT(A613,3)*1,[4]Des_Loc!A:B,2,0),"")</f>
        <v>AGUIARNOPOLIS</v>
      </c>
    </row>
    <row r="614" spans="1:14" ht="16.5" customHeight="1" x14ac:dyDescent="0.25">
      <c r="A614" s="52">
        <v>7931865074</v>
      </c>
      <c r="B614" s="51" t="s">
        <v>1003</v>
      </c>
      <c r="C614" s="51" t="s">
        <v>1021</v>
      </c>
      <c r="D614" s="51"/>
      <c r="E614" s="51" t="s">
        <v>1005</v>
      </c>
      <c r="F614" s="51"/>
      <c r="G614" s="51"/>
      <c r="H614" s="51" t="s">
        <v>1005</v>
      </c>
      <c r="I614" s="51" t="s">
        <v>1005</v>
      </c>
      <c r="J614" s="50" t="str">
        <f t="shared" si="18"/>
        <v>7931865074.pdf</v>
      </c>
      <c r="K614" s="51" t="s">
        <v>1006</v>
      </c>
      <c r="L614" s="51" t="s">
        <v>1164</v>
      </c>
      <c r="M614" s="50" t="str">
        <f t="shared" si="19"/>
        <v>13.800</v>
      </c>
      <c r="N614" s="50" t="str">
        <f>IF(A614&lt;&gt;"",VLOOKUP(RIGHT(A614,3)*1,[4]Des_Loc!A:B,2,0),"")</f>
        <v>DIANOPOLIS</v>
      </c>
    </row>
    <row r="615" spans="1:14" ht="16.5" customHeight="1" x14ac:dyDescent="0.25">
      <c r="A615" s="52">
        <v>7930575002</v>
      </c>
      <c r="B615" s="51" t="s">
        <v>1003</v>
      </c>
      <c r="C615" s="51" t="s">
        <v>1010</v>
      </c>
      <c r="D615" s="51"/>
      <c r="E615" s="51" t="s">
        <v>1005</v>
      </c>
      <c r="F615" s="51"/>
      <c r="G615" s="51"/>
      <c r="H615" s="51" t="s">
        <v>1005</v>
      </c>
      <c r="I615" s="51" t="s">
        <v>1005</v>
      </c>
      <c r="J615" s="50" t="str">
        <f t="shared" si="18"/>
        <v>7930575002.pdf</v>
      </c>
      <c r="K615" s="51" t="s">
        <v>1006</v>
      </c>
      <c r="L615" s="51" t="s">
        <v>594</v>
      </c>
      <c r="M615" s="50" t="str">
        <f t="shared" si="19"/>
        <v>34.500</v>
      </c>
      <c r="N615" s="50" t="str">
        <f>IF(A615&lt;&gt;"",VLOOKUP(RIGHT(A615,3)*1,[4]Des_Loc!A:B,2,0),"")</f>
        <v>TOCANTINOPOLIS</v>
      </c>
    </row>
    <row r="616" spans="1:14" ht="16.5" customHeight="1" x14ac:dyDescent="0.25">
      <c r="A616" s="52">
        <v>7925077052</v>
      </c>
      <c r="B616" s="51" t="s">
        <v>1003</v>
      </c>
      <c r="C616" s="51">
        <v>2</v>
      </c>
      <c r="D616" s="51" t="s">
        <v>1011</v>
      </c>
      <c r="E616" s="51" t="s">
        <v>1005</v>
      </c>
      <c r="F616" s="51" t="s">
        <v>1011</v>
      </c>
      <c r="G616" s="51" t="s">
        <v>1005</v>
      </c>
      <c r="H616" s="51" t="s">
        <v>1005</v>
      </c>
      <c r="I616" s="51" t="s">
        <v>1011</v>
      </c>
      <c r="J616" s="50" t="str">
        <f t="shared" si="18"/>
        <v>7925077052.pdf</v>
      </c>
      <c r="K616" s="51" t="s">
        <v>1006</v>
      </c>
      <c r="L616" s="51" t="s">
        <v>1024</v>
      </c>
      <c r="M616" s="50" t="str">
        <f t="shared" si="19"/>
        <v>13.800</v>
      </c>
      <c r="N616" s="50" t="str">
        <f>IF(A616&lt;&gt;"",VLOOKUP(RIGHT(A616,3)*1,[4]Des_Loc!A:B,2,0),"")</f>
        <v>FORMOSO DO ARAGUAIA</v>
      </c>
    </row>
    <row r="617" spans="1:14" ht="16.5" customHeight="1" x14ac:dyDescent="0.25">
      <c r="A617" s="52">
        <v>7931610122</v>
      </c>
      <c r="B617" s="51" t="s">
        <v>1003</v>
      </c>
      <c r="C617" s="51">
        <v>2</v>
      </c>
      <c r="D617" s="51"/>
      <c r="E617" s="51" t="s">
        <v>1005</v>
      </c>
      <c r="F617" s="51"/>
      <c r="G617" s="51"/>
      <c r="H617" s="51" t="s">
        <v>1005</v>
      </c>
      <c r="I617" s="51" t="s">
        <v>1005</v>
      </c>
      <c r="J617" s="50" t="str">
        <f t="shared" si="18"/>
        <v>7931610122.pdf</v>
      </c>
      <c r="K617" s="51" t="s">
        <v>1006</v>
      </c>
      <c r="L617" s="51" t="s">
        <v>705</v>
      </c>
      <c r="M617" s="50" t="str">
        <f t="shared" si="19"/>
        <v>13.800</v>
      </c>
      <c r="N617" s="50" t="str">
        <f>IF(A617&lt;&gt;"",VLOOKUP(RIGHT(A617,3)*1,[4]Des_Loc!A:B,2,0),"")</f>
        <v>PALMAS</v>
      </c>
    </row>
    <row r="618" spans="1:14" ht="16.5" customHeight="1" x14ac:dyDescent="0.25">
      <c r="A618" s="52">
        <v>7930272004</v>
      </c>
      <c r="B618" s="51" t="s">
        <v>1003</v>
      </c>
      <c r="C618" s="51">
        <v>2</v>
      </c>
      <c r="D618" s="51" t="s">
        <v>1011</v>
      </c>
      <c r="E618" s="51" t="s">
        <v>1005</v>
      </c>
      <c r="F618" s="51" t="s">
        <v>1011</v>
      </c>
      <c r="G618" s="51" t="s">
        <v>1011</v>
      </c>
      <c r="H618" s="51" t="s">
        <v>1005</v>
      </c>
      <c r="I618" s="51" t="s">
        <v>1011</v>
      </c>
      <c r="J618" s="50" t="str">
        <f t="shared" si="18"/>
        <v>7930272004.pdf</v>
      </c>
      <c r="K618" s="51" t="s">
        <v>1006</v>
      </c>
      <c r="L618" s="51" t="s">
        <v>1165</v>
      </c>
      <c r="M618" s="50" t="str">
        <f t="shared" si="19"/>
        <v>13.800</v>
      </c>
      <c r="N618" s="50" t="str">
        <f>IF(A618&lt;&gt;"",VLOOKUP(RIGHT(A618,3)*1,[4]Des_Loc!A:B,2,0),"")</f>
        <v>ARAGUAINA</v>
      </c>
    </row>
    <row r="619" spans="1:14" ht="16.5" customHeight="1" x14ac:dyDescent="0.25">
      <c r="A619" s="52">
        <v>7931904063</v>
      </c>
      <c r="B619" s="51" t="s">
        <v>1003</v>
      </c>
      <c r="C619" s="51">
        <v>3</v>
      </c>
      <c r="D619" s="51" t="s">
        <v>1011</v>
      </c>
      <c r="E619" s="51" t="s">
        <v>1005</v>
      </c>
      <c r="F619" s="51" t="s">
        <v>1011</v>
      </c>
      <c r="G619" s="51" t="s">
        <v>1005</v>
      </c>
      <c r="H619" s="51" t="s">
        <v>1005</v>
      </c>
      <c r="I619" s="51" t="s">
        <v>1011</v>
      </c>
      <c r="J619" s="50" t="str">
        <f t="shared" si="18"/>
        <v>7931904063.pdf</v>
      </c>
      <c r="K619" s="51" t="s">
        <v>1006</v>
      </c>
      <c r="L619" s="51" t="s">
        <v>1110</v>
      </c>
      <c r="M619" s="50" t="str">
        <f t="shared" si="19"/>
        <v>13.800</v>
      </c>
      <c r="N619" s="50" t="str">
        <f>IF(A619&lt;&gt;"",VLOOKUP(RIGHT(A619,3)*1,[4]Des_Loc!A:B,2,0),"")</f>
        <v>BANDEIRANTES DO TOCANTINS</v>
      </c>
    </row>
    <row r="620" spans="1:14" ht="16.5" customHeight="1" x14ac:dyDescent="0.25">
      <c r="A620" s="52">
        <v>7930872130</v>
      </c>
      <c r="B620" s="51" t="s">
        <v>1003</v>
      </c>
      <c r="C620" s="51">
        <v>3</v>
      </c>
      <c r="D620" s="51" t="s">
        <v>1011</v>
      </c>
      <c r="E620" s="51" t="s">
        <v>1005</v>
      </c>
      <c r="F620" s="51" t="s">
        <v>1005</v>
      </c>
      <c r="G620" s="51" t="s">
        <v>1005</v>
      </c>
      <c r="H620" s="51" t="s">
        <v>1005</v>
      </c>
      <c r="I620" s="51" t="s">
        <v>1005</v>
      </c>
      <c r="J620" s="50" t="str">
        <f t="shared" si="18"/>
        <v>7930872130.pdf</v>
      </c>
      <c r="K620" s="51" t="s">
        <v>1006</v>
      </c>
      <c r="L620" s="51" t="s">
        <v>1166</v>
      </c>
      <c r="M620" s="50" t="str">
        <f t="shared" si="19"/>
        <v>34.500</v>
      </c>
      <c r="N620" s="50" t="str">
        <f>IF(A620&lt;&gt;"",VLOOKUP(RIGHT(A620,3)*1,[4]Des_Loc!A:B,2,0),"")</f>
        <v>BELA VISTA</v>
      </c>
    </row>
    <row r="621" spans="1:14" ht="16.5" customHeight="1" x14ac:dyDescent="0.25">
      <c r="A621" s="52">
        <v>7926246032</v>
      </c>
      <c r="B621" s="51" t="s">
        <v>1003</v>
      </c>
      <c r="C621" s="51">
        <v>3</v>
      </c>
      <c r="D621" s="51" t="s">
        <v>1011</v>
      </c>
      <c r="E621" s="51" t="s">
        <v>1005</v>
      </c>
      <c r="F621" s="51" t="s">
        <v>1011</v>
      </c>
      <c r="G621" s="51" t="s">
        <v>1005</v>
      </c>
      <c r="H621" s="51" t="s">
        <v>1005</v>
      </c>
      <c r="I621" s="51" t="s">
        <v>1011</v>
      </c>
      <c r="J621" s="50" t="str">
        <f t="shared" si="18"/>
        <v>7926246032.pdf</v>
      </c>
      <c r="K621" s="51" t="s">
        <v>1006</v>
      </c>
      <c r="L621" s="51" t="s">
        <v>1037</v>
      </c>
      <c r="M621" s="50" t="str">
        <f t="shared" si="19"/>
        <v>34.500</v>
      </c>
      <c r="N621" s="50" t="str">
        <f>IF(A621&lt;&gt;"",VLOOKUP(RIGHT(A621,3)*1,[4]Des_Loc!A:B,2,0),"")</f>
        <v>ARAGUACU</v>
      </c>
    </row>
    <row r="622" spans="1:14" ht="16.5" customHeight="1" x14ac:dyDescent="0.25">
      <c r="A622" s="52">
        <v>7928242097</v>
      </c>
      <c r="B622" s="51" t="s">
        <v>1003</v>
      </c>
      <c r="C622" s="51">
        <v>3</v>
      </c>
      <c r="D622" s="51" t="s">
        <v>1011</v>
      </c>
      <c r="E622" s="51" t="s">
        <v>1011</v>
      </c>
      <c r="F622" s="51" t="s">
        <v>1011</v>
      </c>
      <c r="G622" s="51" t="s">
        <v>1005</v>
      </c>
      <c r="H622" s="51" t="s">
        <v>1005</v>
      </c>
      <c r="I622" s="51" t="s">
        <v>1011</v>
      </c>
      <c r="J622" s="50" t="str">
        <f t="shared" si="18"/>
        <v>7928242097.pdf</v>
      </c>
      <c r="K622" s="51" t="s">
        <v>1006</v>
      </c>
      <c r="L622" s="51" t="s">
        <v>1037</v>
      </c>
      <c r="M622" s="50" t="str">
        <f t="shared" si="19"/>
        <v>34.500</v>
      </c>
      <c r="N622" s="50" t="str">
        <f>IF(A622&lt;&gt;"",VLOOKUP(RIGHT(A622,3)*1,[4]Des_Loc!A:B,2,0),"")</f>
        <v>TALISMA</v>
      </c>
    </row>
    <row r="623" spans="1:14" ht="16.5" customHeight="1" x14ac:dyDescent="0.25">
      <c r="A623" s="52">
        <v>7930271171</v>
      </c>
      <c r="B623" s="51" t="s">
        <v>1003</v>
      </c>
      <c r="C623" s="51" t="s">
        <v>1008</v>
      </c>
      <c r="D623" s="51" t="s">
        <v>1005</v>
      </c>
      <c r="E623" s="51" t="s">
        <v>1005</v>
      </c>
      <c r="F623" s="51" t="s">
        <v>1005</v>
      </c>
      <c r="G623" s="51" t="s">
        <v>1005</v>
      </c>
      <c r="H623" s="51" t="s">
        <v>1005</v>
      </c>
      <c r="I623" s="51" t="s">
        <v>1005</v>
      </c>
      <c r="J623" s="50" t="str">
        <f t="shared" si="18"/>
        <v>7930271171.pdf</v>
      </c>
      <c r="K623" s="51" t="s">
        <v>1006</v>
      </c>
      <c r="L623" s="51" t="s">
        <v>453</v>
      </c>
      <c r="M623" s="50" t="str">
        <f t="shared" si="19"/>
        <v>34.500</v>
      </c>
      <c r="N623" s="50" t="str">
        <f>IF(A623&lt;&gt;"",VLOOKUP(RIGHT(A623,3)*1,[4]Des_Loc!A:B,2,0),"")</f>
        <v>LUZINOPOLIS</v>
      </c>
    </row>
    <row r="624" spans="1:14" ht="16.5" customHeight="1" x14ac:dyDescent="0.25">
      <c r="A624" s="52">
        <v>7925291256</v>
      </c>
      <c r="B624" s="51" t="s">
        <v>1003</v>
      </c>
      <c r="C624" s="51" t="s">
        <v>1004</v>
      </c>
      <c r="D624" s="51" t="s">
        <v>1005</v>
      </c>
      <c r="E624" s="51" t="s">
        <v>1005</v>
      </c>
      <c r="F624" s="51" t="s">
        <v>1005</v>
      </c>
      <c r="G624" s="51" t="s">
        <v>1005</v>
      </c>
      <c r="H624" s="51" t="s">
        <v>1005</v>
      </c>
      <c r="I624" s="51" t="s">
        <v>1005</v>
      </c>
      <c r="J624" s="50" t="str">
        <f t="shared" si="18"/>
        <v>7925291256.pdf</v>
      </c>
      <c r="K624" s="51" t="s">
        <v>1006</v>
      </c>
      <c r="L624" s="51" t="s">
        <v>518</v>
      </c>
      <c r="M624" s="50" t="str">
        <f t="shared" si="19"/>
        <v>34.500</v>
      </c>
      <c r="N624" s="50" t="str">
        <f>IF(A624&lt;&gt;"",VLOOKUP(RIGHT(A624,3)*1,[4]Des_Loc!A:B,2,0),"")</f>
        <v>MATEIROS</v>
      </c>
    </row>
    <row r="625" spans="1:14" ht="16.5" customHeight="1" x14ac:dyDescent="0.25">
      <c r="A625" s="52">
        <v>7928457040</v>
      </c>
      <c r="B625" s="51" t="s">
        <v>1003</v>
      </c>
      <c r="C625" s="51" t="s">
        <v>1010</v>
      </c>
      <c r="D625" s="51" t="s">
        <v>1011</v>
      </c>
      <c r="E625" s="51" t="s">
        <v>1005</v>
      </c>
      <c r="F625" s="51" t="s">
        <v>1005</v>
      </c>
      <c r="G625" s="51" t="s">
        <v>1005</v>
      </c>
      <c r="H625" s="51" t="s">
        <v>1005</v>
      </c>
      <c r="I625" s="51" t="s">
        <v>1005</v>
      </c>
      <c r="J625" s="50" t="str">
        <f t="shared" si="18"/>
        <v>7928457040.pdf</v>
      </c>
      <c r="K625" s="51" t="s">
        <v>1006</v>
      </c>
      <c r="L625" s="51" t="s">
        <v>1119</v>
      </c>
      <c r="M625" s="50" t="str">
        <f t="shared" si="19"/>
        <v>34.500</v>
      </c>
      <c r="N625" s="50" t="str">
        <f>IF(A625&lt;&gt;"",VLOOKUP(RIGHT(A625,3)*1,[4]Des_Loc!A:B,2,0),"")</f>
        <v>ARAGOMINAS</v>
      </c>
    </row>
    <row r="626" spans="1:14" ht="16.5" customHeight="1" x14ac:dyDescent="0.25">
      <c r="A626" s="52">
        <v>7928461040</v>
      </c>
      <c r="B626" s="51" t="s">
        <v>1003</v>
      </c>
      <c r="C626" s="51" t="s">
        <v>1008</v>
      </c>
      <c r="D626" s="51" t="s">
        <v>1005</v>
      </c>
      <c r="E626" s="51" t="s">
        <v>1005</v>
      </c>
      <c r="F626" s="51" t="s">
        <v>1005</v>
      </c>
      <c r="G626" s="51" t="s">
        <v>1005</v>
      </c>
      <c r="H626" s="51" t="s">
        <v>1005</v>
      </c>
      <c r="I626" s="51" t="s">
        <v>1005</v>
      </c>
      <c r="J626" s="50" t="str">
        <f t="shared" si="18"/>
        <v>7928461040.pdf</v>
      </c>
      <c r="K626" s="51" t="s">
        <v>1006</v>
      </c>
      <c r="L626" s="51" t="s">
        <v>1119</v>
      </c>
      <c r="M626" s="50" t="str">
        <f t="shared" si="19"/>
        <v>34.500</v>
      </c>
      <c r="N626" s="50" t="str">
        <f>IF(A626&lt;&gt;"",VLOOKUP(RIGHT(A626,3)*1,[4]Des_Loc!A:B,2,0),"")</f>
        <v>ARAGOMINAS</v>
      </c>
    </row>
    <row r="627" spans="1:14" ht="16.5" customHeight="1" x14ac:dyDescent="0.25">
      <c r="A627" s="52">
        <v>7928462040</v>
      </c>
      <c r="B627" s="51" t="s">
        <v>1003</v>
      </c>
      <c r="C627" s="51">
        <v>3</v>
      </c>
      <c r="D627" s="51" t="s">
        <v>1005</v>
      </c>
      <c r="E627" s="51" t="s">
        <v>1005</v>
      </c>
      <c r="F627" s="51" t="s">
        <v>1005</v>
      </c>
      <c r="G627" s="51" t="s">
        <v>1005</v>
      </c>
      <c r="H627" s="51" t="s">
        <v>1005</v>
      </c>
      <c r="I627" s="51" t="s">
        <v>1005</v>
      </c>
      <c r="J627" s="50" t="str">
        <f t="shared" si="18"/>
        <v>7928462040.pdf</v>
      </c>
      <c r="K627" s="51" t="s">
        <v>1006</v>
      </c>
      <c r="L627" s="51" t="s">
        <v>1119</v>
      </c>
      <c r="M627" s="50" t="str">
        <f t="shared" si="19"/>
        <v>34.500</v>
      </c>
      <c r="N627" s="50" t="str">
        <f>IF(A627&lt;&gt;"",VLOOKUP(RIGHT(A627,3)*1,[4]Des_Loc!A:B,2,0),"")</f>
        <v>ARAGOMINAS</v>
      </c>
    </row>
    <row r="628" spans="1:14" ht="16.5" customHeight="1" x14ac:dyDescent="0.25">
      <c r="A628" s="52">
        <v>7926842001</v>
      </c>
      <c r="B628" s="51" t="s">
        <v>1003</v>
      </c>
      <c r="C628" s="51" t="s">
        <v>1021</v>
      </c>
      <c r="D628" s="51"/>
      <c r="E628" s="51" t="s">
        <v>1005</v>
      </c>
      <c r="F628" s="51"/>
      <c r="G628" s="51"/>
      <c r="H628" s="51" t="s">
        <v>1005</v>
      </c>
      <c r="I628" s="51" t="s">
        <v>1005</v>
      </c>
      <c r="J628" s="50" t="str">
        <f t="shared" si="18"/>
        <v>7926842001.pdf</v>
      </c>
      <c r="K628" s="51" t="s">
        <v>1006</v>
      </c>
      <c r="L628" s="51" t="s">
        <v>1057</v>
      </c>
      <c r="M628" s="50" t="str">
        <f t="shared" si="19"/>
        <v>13.800</v>
      </c>
      <c r="N628" s="50" t="str">
        <f>IF(A628&lt;&gt;"",VLOOKUP(RIGHT(A628,3)*1,[4]Des_Loc!A:B,2,0),"")</f>
        <v>PORTO NACIONAL</v>
      </c>
    </row>
    <row r="629" spans="1:14" ht="16.5" customHeight="1" x14ac:dyDescent="0.25">
      <c r="A629" s="52">
        <v>7928757019</v>
      </c>
      <c r="B629" s="51" t="s">
        <v>1003</v>
      </c>
      <c r="C629" s="51">
        <v>3</v>
      </c>
      <c r="D629" s="51" t="s">
        <v>1011</v>
      </c>
      <c r="E629" s="51" t="s">
        <v>1011</v>
      </c>
      <c r="F629" s="51" t="s">
        <v>1005</v>
      </c>
      <c r="G629" s="51" t="s">
        <v>1005</v>
      </c>
      <c r="H629" s="51" t="s">
        <v>1005</v>
      </c>
      <c r="I629" s="51" t="s">
        <v>1005</v>
      </c>
      <c r="J629" s="50" t="str">
        <f t="shared" si="18"/>
        <v>7928757019.pdf</v>
      </c>
      <c r="K629" s="51" t="s">
        <v>1006</v>
      </c>
      <c r="L629" s="51" t="s">
        <v>1167</v>
      </c>
      <c r="M629" s="50" t="str">
        <f t="shared" si="19"/>
        <v>34.500</v>
      </c>
      <c r="N629" s="50" t="str">
        <f>IF(A629&lt;&gt;"",VLOOKUP(RIGHT(A629,3)*1,[4]Des_Loc!A:B,2,0),"")</f>
        <v>FILADELFIA</v>
      </c>
    </row>
    <row r="630" spans="1:14" ht="16.5" customHeight="1" x14ac:dyDescent="0.25">
      <c r="A630" s="52">
        <v>7924938131</v>
      </c>
      <c r="B630" s="51" t="s">
        <v>1003</v>
      </c>
      <c r="C630" s="51">
        <v>3</v>
      </c>
      <c r="D630" s="51" t="s">
        <v>1011</v>
      </c>
      <c r="E630" s="51" t="s">
        <v>1005</v>
      </c>
      <c r="F630" s="51" t="s">
        <v>1005</v>
      </c>
      <c r="G630" s="51" t="s">
        <v>1005</v>
      </c>
      <c r="H630" s="51" t="s">
        <v>1005</v>
      </c>
      <c r="I630" s="51" t="s">
        <v>1005</v>
      </c>
      <c r="J630" s="50" t="str">
        <f t="shared" si="18"/>
        <v>7924938131.pdf</v>
      </c>
      <c r="K630" s="51" t="s">
        <v>1006</v>
      </c>
      <c r="L630" s="51" t="s">
        <v>1118</v>
      </c>
      <c r="M630" s="50" t="str">
        <f t="shared" si="19"/>
        <v>34.500</v>
      </c>
      <c r="N630" s="50" t="str">
        <f>IF(A630&lt;&gt;"",VLOOKUP(RIGHT(A630,3)*1,[4]Des_Loc!A:B,2,0),"")</f>
        <v>PRAIA NORTE</v>
      </c>
    </row>
    <row r="631" spans="1:14" ht="16.5" customHeight="1" x14ac:dyDescent="0.25">
      <c r="A631" s="52">
        <v>7900328003</v>
      </c>
      <c r="B631" s="51" t="s">
        <v>1003</v>
      </c>
      <c r="C631" s="51" t="s">
        <v>1021</v>
      </c>
      <c r="D631" s="51"/>
      <c r="E631" s="51" t="s">
        <v>1005</v>
      </c>
      <c r="F631" s="51"/>
      <c r="G631" s="51"/>
      <c r="H631" s="51" t="s">
        <v>1005</v>
      </c>
      <c r="I631" s="51" t="s">
        <v>1005</v>
      </c>
      <c r="J631" s="50" t="str">
        <f t="shared" si="18"/>
        <v>7900328003.pdf</v>
      </c>
      <c r="K631" s="54" t="s">
        <v>1022</v>
      </c>
      <c r="L631" s="51" t="s">
        <v>1168</v>
      </c>
      <c r="M631" s="50" t="str">
        <f t="shared" si="19"/>
        <v>13.800</v>
      </c>
      <c r="N631" s="50" t="str">
        <f>IF(A631&lt;&gt;"",VLOOKUP(RIGHT(A631,3)*1,[4]Des_Loc!A:B,2,0),"")</f>
        <v>GURUPI</v>
      </c>
    </row>
    <row r="632" spans="1:14" ht="16.5" customHeight="1" x14ac:dyDescent="0.25">
      <c r="A632" s="52">
        <v>7931219078</v>
      </c>
      <c r="B632" s="51" t="s">
        <v>1003</v>
      </c>
      <c r="C632" s="51" t="s">
        <v>1008</v>
      </c>
      <c r="D632" s="51" t="s">
        <v>1011</v>
      </c>
      <c r="E632" s="51" t="s">
        <v>1005</v>
      </c>
      <c r="F632" s="51" t="s">
        <v>1005</v>
      </c>
      <c r="G632" s="51" t="s">
        <v>1005</v>
      </c>
      <c r="H632" s="51" t="s">
        <v>1005</v>
      </c>
      <c r="I632" s="51" t="s">
        <v>1005</v>
      </c>
      <c r="J632" s="50" t="str">
        <f t="shared" si="18"/>
        <v>7931219078.pdf</v>
      </c>
      <c r="K632" s="51" t="s">
        <v>1006</v>
      </c>
      <c r="L632" s="51" t="s">
        <v>470</v>
      </c>
      <c r="M632" s="50" t="str">
        <f t="shared" si="19"/>
        <v>34.500</v>
      </c>
      <c r="N632" s="50" t="str">
        <f>IF(A632&lt;&gt;"",VLOOKUP(RIGHT(A632,3)*1,[4]Des_Loc!A:B,2,0),"")</f>
        <v>ITACAJA</v>
      </c>
    </row>
    <row r="633" spans="1:14" ht="16.5" customHeight="1" x14ac:dyDescent="0.25">
      <c r="A633" s="52">
        <v>7931242087</v>
      </c>
      <c r="B633" s="51" t="s">
        <v>1003</v>
      </c>
      <c r="C633" s="51">
        <v>3</v>
      </c>
      <c r="D633" s="51" t="s">
        <v>1005</v>
      </c>
      <c r="E633" s="51" t="s">
        <v>1005</v>
      </c>
      <c r="F633" s="51" t="s">
        <v>1005</v>
      </c>
      <c r="G633" s="51" t="s">
        <v>1005</v>
      </c>
      <c r="H633" s="51" t="s">
        <v>1005</v>
      </c>
      <c r="I633" s="51" t="s">
        <v>1005</v>
      </c>
      <c r="J633" s="50" t="str">
        <f t="shared" si="18"/>
        <v>7931242087.pdf</v>
      </c>
      <c r="K633" s="51" t="s">
        <v>1006</v>
      </c>
      <c r="L633" s="51" t="s">
        <v>1062</v>
      </c>
      <c r="M633" s="50" t="str">
        <f t="shared" si="19"/>
        <v>34.500</v>
      </c>
      <c r="N633" s="50" t="str">
        <f>IF(A633&lt;&gt;"",VLOOKUP(RIGHT(A633,3)*1,[4]Des_Loc!A:B,2,0),"")</f>
        <v>GOIANORTE</v>
      </c>
    </row>
    <row r="634" spans="1:14" ht="16.5" customHeight="1" x14ac:dyDescent="0.25">
      <c r="A634" s="52">
        <v>7932045003</v>
      </c>
      <c r="B634" s="51" t="s">
        <v>1003</v>
      </c>
      <c r="C634" s="51" t="s">
        <v>1021</v>
      </c>
      <c r="D634" s="51"/>
      <c r="E634" s="51" t="s">
        <v>1005</v>
      </c>
      <c r="F634" s="51"/>
      <c r="G634" s="51"/>
      <c r="H634" s="51" t="s">
        <v>1005</v>
      </c>
      <c r="I634" s="51" t="s">
        <v>1005</v>
      </c>
      <c r="J634" s="50" t="str">
        <f t="shared" si="18"/>
        <v>7932045003.pdf</v>
      </c>
      <c r="K634" s="51" t="s">
        <v>1006</v>
      </c>
      <c r="L634" s="51" t="s">
        <v>1050</v>
      </c>
      <c r="M634" s="50" t="str">
        <f t="shared" si="19"/>
        <v>13.800</v>
      </c>
      <c r="N634" s="50" t="str">
        <f>IF(A634&lt;&gt;"",VLOOKUP(RIGHT(A634,3)*1,[4]Des_Loc!A:B,2,0),"")</f>
        <v>GURUPI</v>
      </c>
    </row>
    <row r="635" spans="1:14" ht="16.5" customHeight="1" x14ac:dyDescent="0.25">
      <c r="A635" s="52">
        <v>7926243186</v>
      </c>
      <c r="B635" s="51" t="s">
        <v>1003</v>
      </c>
      <c r="C635" s="51" t="s">
        <v>1004</v>
      </c>
      <c r="D635" s="51"/>
      <c r="E635" s="51" t="s">
        <v>1005</v>
      </c>
      <c r="F635" s="51"/>
      <c r="G635" s="51"/>
      <c r="H635" s="51" t="s">
        <v>1005</v>
      </c>
      <c r="I635" s="51" t="s">
        <v>1005</v>
      </c>
      <c r="J635" s="50" t="str">
        <f t="shared" si="18"/>
        <v>7926243186.pdf</v>
      </c>
      <c r="K635" s="51" t="s">
        <v>1006</v>
      </c>
      <c r="L635" s="51" t="s">
        <v>1103</v>
      </c>
      <c r="M635" s="50" t="str">
        <f t="shared" si="19"/>
        <v>34.500</v>
      </c>
      <c r="N635" s="50" t="str">
        <f>IF(A635&lt;&gt;"",VLOOKUP(RIGHT(A635,3)*1,[4]Des_Loc!A:B,2,0),"")</f>
        <v>JAU DO TOCANTINS</v>
      </c>
    </row>
    <row r="636" spans="1:14" ht="16.5" customHeight="1" x14ac:dyDescent="0.25">
      <c r="A636" s="52">
        <v>7930919109</v>
      </c>
      <c r="B636" s="51" t="s">
        <v>1003</v>
      </c>
      <c r="C636" s="51">
        <v>2</v>
      </c>
      <c r="D636" s="51"/>
      <c r="E636" s="51" t="s">
        <v>1005</v>
      </c>
      <c r="F636" s="51"/>
      <c r="G636" s="51"/>
      <c r="H636" s="51" t="s">
        <v>1005</v>
      </c>
      <c r="I636" s="51" t="s">
        <v>1005</v>
      </c>
      <c r="J636" s="50" t="str">
        <f t="shared" si="18"/>
        <v>7930919109.pdf</v>
      </c>
      <c r="K636" s="51" t="s">
        <v>1006</v>
      </c>
      <c r="L636" s="51" t="s">
        <v>453</v>
      </c>
      <c r="M636" s="50" t="str">
        <f t="shared" si="19"/>
        <v>34.500</v>
      </c>
      <c r="N636" s="50" t="str">
        <f>IF(A636&lt;&gt;"",VLOOKUP(RIGHT(A636,3)*1,[4]Des_Loc!A:B,2,0),"")</f>
        <v>ANGICO</v>
      </c>
    </row>
    <row r="637" spans="1:14" ht="16.5" customHeight="1" x14ac:dyDescent="0.25">
      <c r="A637" s="52">
        <v>7926242029</v>
      </c>
      <c r="B637" s="51" t="s">
        <v>1003</v>
      </c>
      <c r="C637" s="51">
        <v>3</v>
      </c>
      <c r="D637" s="51" t="s">
        <v>1011</v>
      </c>
      <c r="E637" s="51" t="s">
        <v>1005</v>
      </c>
      <c r="F637" s="51" t="s">
        <v>1005</v>
      </c>
      <c r="G637" s="51" t="s">
        <v>1005</v>
      </c>
      <c r="H637" s="51" t="s">
        <v>1005</v>
      </c>
      <c r="I637" s="51" t="s">
        <v>1005</v>
      </c>
      <c r="J637" s="50" t="str">
        <f t="shared" si="18"/>
        <v>7926242029.pdf</v>
      </c>
      <c r="K637" s="51" t="s">
        <v>1006</v>
      </c>
      <c r="L637" s="51" t="s">
        <v>1032</v>
      </c>
      <c r="M637" s="50" t="str">
        <f t="shared" si="19"/>
        <v>34.500</v>
      </c>
      <c r="N637" s="50" t="str">
        <f>IF(A637&lt;&gt;"",VLOOKUP(RIGHT(A637,3)*1,[4]Des_Loc!A:B,2,0),"")</f>
        <v>PALMEIROPOLIS</v>
      </c>
    </row>
    <row r="638" spans="1:14" ht="16.5" customHeight="1" x14ac:dyDescent="0.25">
      <c r="A638" s="52">
        <v>7901155001</v>
      </c>
      <c r="B638" s="51" t="s">
        <v>1003</v>
      </c>
      <c r="C638" s="51">
        <v>3</v>
      </c>
      <c r="D638" s="51" t="s">
        <v>1011</v>
      </c>
      <c r="E638" s="51" t="s">
        <v>1005</v>
      </c>
      <c r="F638" s="51" t="s">
        <v>1005</v>
      </c>
      <c r="G638" s="51" t="s">
        <v>1005</v>
      </c>
      <c r="H638" s="51" t="s">
        <v>1005</v>
      </c>
      <c r="I638" s="51" t="s">
        <v>1005</v>
      </c>
      <c r="J638" s="50" t="str">
        <f t="shared" si="18"/>
        <v>7901155001.pdf</v>
      </c>
      <c r="K638" s="54" t="s">
        <v>1006</v>
      </c>
      <c r="L638" s="51" t="s">
        <v>1169</v>
      </c>
      <c r="M638" s="50" t="str">
        <f t="shared" si="19"/>
        <v>13.800</v>
      </c>
      <c r="N638" s="50" t="str">
        <f>IF(A638&lt;&gt;"",VLOOKUP(RIGHT(A638,3)*1,[4]Des_Loc!A:B,2,0),"")</f>
        <v>PORTO NACIONAL</v>
      </c>
    </row>
    <row r="639" spans="1:14" ht="16.5" customHeight="1" x14ac:dyDescent="0.25">
      <c r="A639" s="52">
        <v>7929533010</v>
      </c>
      <c r="B639" s="51" t="s">
        <v>1003</v>
      </c>
      <c r="C639" s="51" t="s">
        <v>1010</v>
      </c>
      <c r="D639" s="51"/>
      <c r="E639" s="51" t="s">
        <v>1005</v>
      </c>
      <c r="F639" s="51"/>
      <c r="G639" s="51"/>
      <c r="H639" s="51" t="s">
        <v>1005</v>
      </c>
      <c r="I639" s="51" t="s">
        <v>1005</v>
      </c>
      <c r="J639" s="50" t="str">
        <f t="shared" si="18"/>
        <v>7929533010.pdf</v>
      </c>
      <c r="K639" s="51" t="s">
        <v>1006</v>
      </c>
      <c r="L639" s="51" t="s">
        <v>1068</v>
      </c>
      <c r="M639" s="50" t="str">
        <f t="shared" si="19"/>
        <v>34.500</v>
      </c>
      <c r="N639" s="50" t="str">
        <f>IF(A639&lt;&gt;"",VLOOKUP(RIGHT(A639,3)*1,[4]Des_Loc!A:B,2,0),"")</f>
        <v>LAJEADO</v>
      </c>
    </row>
    <row r="640" spans="1:14" ht="16.5" customHeight="1" x14ac:dyDescent="0.25">
      <c r="A640" s="52">
        <v>7931612059</v>
      </c>
      <c r="B640" s="51" t="s">
        <v>1003</v>
      </c>
      <c r="C640" s="51">
        <v>2</v>
      </c>
      <c r="D640" s="51"/>
      <c r="E640" s="51" t="s">
        <v>1005</v>
      </c>
      <c r="F640" s="51"/>
      <c r="G640" s="51"/>
      <c r="H640" s="51" t="s">
        <v>1005</v>
      </c>
      <c r="I640" s="51" t="s">
        <v>1005</v>
      </c>
      <c r="J640" s="50" t="str">
        <f t="shared" si="18"/>
        <v>7931612059.pdf</v>
      </c>
      <c r="K640" s="51" t="s">
        <v>1006</v>
      </c>
      <c r="L640" s="51" t="s">
        <v>1161</v>
      </c>
      <c r="M640" s="50" t="str">
        <f t="shared" si="19"/>
        <v>13.800</v>
      </c>
      <c r="N640" s="50" t="str">
        <f>IF(A640&lt;&gt;"",VLOOKUP(RIGHT(A640,3)*1,[4]Des_Loc!A:B,2,0),"")</f>
        <v>TAQUARALTO</v>
      </c>
    </row>
    <row r="641" spans="1:14" ht="16.5" customHeight="1" x14ac:dyDescent="0.25">
      <c r="A641" s="52">
        <v>7930566127</v>
      </c>
      <c r="B641" s="51" t="s">
        <v>1003</v>
      </c>
      <c r="C641" s="51" t="s">
        <v>1004</v>
      </c>
      <c r="D641" s="51"/>
      <c r="E641" s="51" t="s">
        <v>1005</v>
      </c>
      <c r="F641" s="51"/>
      <c r="G641" s="51"/>
      <c r="H641" s="51" t="s">
        <v>1005</v>
      </c>
      <c r="I641" s="51" t="s">
        <v>1005</v>
      </c>
      <c r="J641" s="50" t="str">
        <f t="shared" si="18"/>
        <v>7930566127.pdf</v>
      </c>
      <c r="K641" s="51" t="s">
        <v>1006</v>
      </c>
      <c r="L641" s="51" t="s">
        <v>594</v>
      </c>
      <c r="M641" s="50" t="str">
        <f t="shared" si="19"/>
        <v>34.500</v>
      </c>
      <c r="N641" s="50" t="str">
        <f>IF(A641&lt;&gt;"",VLOOKUP(RIGHT(A641,3)*1,[4]Des_Loc!A:B,2,0),"")</f>
        <v>PALMEIRAS DO TOCANTINS</v>
      </c>
    </row>
    <row r="642" spans="1:14" ht="16.5" customHeight="1" x14ac:dyDescent="0.25">
      <c r="A642" s="52">
        <v>7931220060</v>
      </c>
      <c r="B642" s="51" t="s">
        <v>1003</v>
      </c>
      <c r="C642" s="51">
        <v>2</v>
      </c>
      <c r="D642" s="51"/>
      <c r="E642" s="51" t="s">
        <v>1005</v>
      </c>
      <c r="F642" s="51"/>
      <c r="G642" s="51"/>
      <c r="H642" s="51" t="s">
        <v>1005</v>
      </c>
      <c r="I642" s="51" t="s">
        <v>1005</v>
      </c>
      <c r="J642" s="50" t="str">
        <f t="shared" ref="J642:J705" si="20">CONCATENATE(A642,".pdf")</f>
        <v>7931220060.pdf</v>
      </c>
      <c r="K642" s="54" t="s">
        <v>1022</v>
      </c>
      <c r="L642" s="51" t="s">
        <v>1125</v>
      </c>
      <c r="M642" s="50" t="str">
        <f t="shared" ref="M642:M705" si="21">IF(L642&lt;&gt;"",IF(LEFT(L642,2)="AL","13.800","34.500"),"")</f>
        <v>13.800</v>
      </c>
      <c r="N642" s="50" t="str">
        <f>IF(A642&lt;&gt;"",VLOOKUP(RIGHT(A642,3)*1,[4]Des_Loc!A:B,2,0),"")</f>
        <v>NOVA OLINDA</v>
      </c>
    </row>
    <row r="643" spans="1:14" ht="16.5" customHeight="1" x14ac:dyDescent="0.25">
      <c r="A643" s="52">
        <v>7928997001</v>
      </c>
      <c r="B643" s="51" t="s">
        <v>1003</v>
      </c>
      <c r="C643" s="51">
        <v>2</v>
      </c>
      <c r="D643" s="51"/>
      <c r="E643" s="51" t="s">
        <v>1005</v>
      </c>
      <c r="F643" s="51"/>
      <c r="G643" s="51"/>
      <c r="H643" s="51" t="s">
        <v>1005</v>
      </c>
      <c r="I643" s="51" t="s">
        <v>1005</v>
      </c>
      <c r="J643" s="50" t="str">
        <f t="shared" si="20"/>
        <v>7928997001.pdf</v>
      </c>
      <c r="K643" s="51" t="s">
        <v>1006</v>
      </c>
      <c r="L643" s="51" t="s">
        <v>1128</v>
      </c>
      <c r="M643" s="50" t="str">
        <f t="shared" si="21"/>
        <v>13.800</v>
      </c>
      <c r="N643" s="50" t="str">
        <f>IF(A643&lt;&gt;"",VLOOKUP(RIGHT(A643,3)*1,[4]Des_Loc!A:B,2,0),"")</f>
        <v>PORTO NACIONAL</v>
      </c>
    </row>
    <row r="644" spans="1:14" ht="16.5" customHeight="1" x14ac:dyDescent="0.25">
      <c r="A644" s="52">
        <v>7931503001</v>
      </c>
      <c r="B644" s="51" t="s">
        <v>1003</v>
      </c>
      <c r="C644" s="51">
        <v>2</v>
      </c>
      <c r="D644" s="51"/>
      <c r="E644" s="51" t="s">
        <v>1005</v>
      </c>
      <c r="F644" s="51"/>
      <c r="G644" s="51"/>
      <c r="H644" s="51" t="s">
        <v>1005</v>
      </c>
      <c r="I644" s="51" t="s">
        <v>1005</v>
      </c>
      <c r="J644" s="50" t="str">
        <f t="shared" si="20"/>
        <v>7931503001.pdf</v>
      </c>
      <c r="K644" s="51" t="s">
        <v>1006</v>
      </c>
      <c r="L644" s="51" t="s">
        <v>1146</v>
      </c>
      <c r="M644" s="50" t="str">
        <f t="shared" si="21"/>
        <v>13.800</v>
      </c>
      <c r="N644" s="50" t="str">
        <f>IF(A644&lt;&gt;"",VLOOKUP(RIGHT(A644,3)*1,[4]Des_Loc!A:B,2,0),"")</f>
        <v>PORTO NACIONAL</v>
      </c>
    </row>
    <row r="645" spans="1:14" ht="16.5" customHeight="1" x14ac:dyDescent="0.25">
      <c r="A645" s="52">
        <v>7931555008</v>
      </c>
      <c r="B645" s="51" t="s">
        <v>1003</v>
      </c>
      <c r="C645" s="51">
        <v>2</v>
      </c>
      <c r="D645" s="51"/>
      <c r="E645" s="51" t="s">
        <v>1005</v>
      </c>
      <c r="F645" s="51"/>
      <c r="G645" s="51"/>
      <c r="H645" s="51" t="s">
        <v>1005</v>
      </c>
      <c r="I645" s="51" t="s">
        <v>1005</v>
      </c>
      <c r="J645" s="50" t="str">
        <f t="shared" si="20"/>
        <v>7931555008.pdf</v>
      </c>
      <c r="K645" s="51" t="s">
        <v>1006</v>
      </c>
      <c r="L645" s="51" t="s">
        <v>1170</v>
      </c>
      <c r="M645" s="50" t="str">
        <f t="shared" si="21"/>
        <v>13.800</v>
      </c>
      <c r="N645" s="50" t="str">
        <f>IF(A645&lt;&gt;"",VLOOKUP(RIGHT(A645,3)*1,[4]Des_Loc!A:B,2,0),"")</f>
        <v>MIRANORTE</v>
      </c>
    </row>
    <row r="646" spans="1:14" ht="16.5" customHeight="1" x14ac:dyDescent="0.25">
      <c r="A646" s="52">
        <v>7928999151</v>
      </c>
      <c r="B646" s="51" t="s">
        <v>1003</v>
      </c>
      <c r="C646" s="51">
        <v>2</v>
      </c>
      <c r="D646" s="51"/>
      <c r="E646" s="51" t="s">
        <v>1005</v>
      </c>
      <c r="F646" s="51"/>
      <c r="G646" s="51"/>
      <c r="H646" s="51" t="s">
        <v>1005</v>
      </c>
      <c r="I646" s="51" t="s">
        <v>1005</v>
      </c>
      <c r="J646" s="50" t="str">
        <f t="shared" si="20"/>
        <v>7928999151.pdf</v>
      </c>
      <c r="K646" s="51" t="s">
        <v>1006</v>
      </c>
      <c r="L646" s="51" t="s">
        <v>571</v>
      </c>
      <c r="M646" s="50" t="str">
        <f t="shared" si="21"/>
        <v>34.500</v>
      </c>
      <c r="N646" s="50" t="str">
        <f>IF(A646&lt;&gt;"",VLOOKUP(RIGHT(A646,3)*1,[4]Des_Loc!A:B,2,0),"")</f>
        <v>SANTA TEREZA DO TOCANTINS</v>
      </c>
    </row>
    <row r="647" spans="1:14" ht="16.5" customHeight="1" x14ac:dyDescent="0.25">
      <c r="A647" s="52">
        <v>7930273023</v>
      </c>
      <c r="B647" s="51" t="s">
        <v>1003</v>
      </c>
      <c r="C647" s="51" t="s">
        <v>1025</v>
      </c>
      <c r="D647" s="51"/>
      <c r="E647" s="51" t="s">
        <v>1005</v>
      </c>
      <c r="F647" s="51"/>
      <c r="G647" s="51"/>
      <c r="H647" s="51" t="s">
        <v>1005</v>
      </c>
      <c r="I647" s="51" t="s">
        <v>1005</v>
      </c>
      <c r="J647" s="50" t="str">
        <f t="shared" si="20"/>
        <v>7930273023.pdf</v>
      </c>
      <c r="K647" s="54" t="s">
        <v>1022</v>
      </c>
      <c r="L647" s="51" t="s">
        <v>1133</v>
      </c>
      <c r="M647" s="50" t="str">
        <f t="shared" si="21"/>
        <v>13.800</v>
      </c>
      <c r="N647" s="50" t="str">
        <f>IF(A647&lt;&gt;"",VLOOKUP(RIGHT(A647,3)*1,[4]Des_Loc!A:B,2,0),"")</f>
        <v>COLINAS DO TOCANTINS</v>
      </c>
    </row>
    <row r="648" spans="1:14" ht="16.5" customHeight="1" x14ac:dyDescent="0.25">
      <c r="A648" s="52">
        <v>7908418023</v>
      </c>
      <c r="B648" s="51" t="s">
        <v>1003</v>
      </c>
      <c r="C648" s="51">
        <v>2</v>
      </c>
      <c r="D648" s="51"/>
      <c r="E648" s="51" t="s">
        <v>1005</v>
      </c>
      <c r="F648" s="51"/>
      <c r="G648" s="51"/>
      <c r="H648" s="51" t="s">
        <v>1005</v>
      </c>
      <c r="I648" s="51" t="s">
        <v>1005</v>
      </c>
      <c r="J648" s="50" t="str">
        <f t="shared" si="20"/>
        <v>7908418023.pdf</v>
      </c>
      <c r="K648" s="54" t="s">
        <v>1022</v>
      </c>
      <c r="L648" s="51" t="s">
        <v>1171</v>
      </c>
      <c r="M648" s="50" t="str">
        <f t="shared" si="21"/>
        <v>13.800</v>
      </c>
      <c r="N648" s="50" t="str">
        <f>IF(A648&lt;&gt;"",VLOOKUP(RIGHT(A648,3)*1,[4]Des_Loc!A:B,2,0),"")</f>
        <v>COLINAS DO TOCANTINS</v>
      </c>
    </row>
    <row r="649" spans="1:14" ht="16.5" customHeight="1" x14ac:dyDescent="0.25">
      <c r="A649" s="52">
        <v>7931221023</v>
      </c>
      <c r="B649" s="51" t="s">
        <v>1003</v>
      </c>
      <c r="C649" s="51">
        <v>2</v>
      </c>
      <c r="D649" s="51"/>
      <c r="E649" s="51" t="s">
        <v>1005</v>
      </c>
      <c r="F649" s="51"/>
      <c r="G649" s="51"/>
      <c r="H649" s="51" t="s">
        <v>1005</v>
      </c>
      <c r="I649" s="51" t="s">
        <v>1005</v>
      </c>
      <c r="J649" s="50" t="str">
        <f t="shared" si="20"/>
        <v>7931221023.pdf</v>
      </c>
      <c r="K649" s="54" t="s">
        <v>1022</v>
      </c>
      <c r="L649" s="51" t="s">
        <v>1171</v>
      </c>
      <c r="M649" s="50" t="str">
        <f t="shared" si="21"/>
        <v>13.800</v>
      </c>
      <c r="N649" s="50" t="str">
        <f>IF(A649&lt;&gt;"",VLOOKUP(RIGHT(A649,3)*1,[4]Des_Loc!A:B,2,0),"")</f>
        <v>COLINAS DO TOCANTINS</v>
      </c>
    </row>
    <row r="650" spans="1:14" ht="16.5" customHeight="1" x14ac:dyDescent="0.25">
      <c r="A650" s="52">
        <v>7931609122</v>
      </c>
      <c r="B650" s="51" t="s">
        <v>1003</v>
      </c>
      <c r="C650" s="51">
        <v>2</v>
      </c>
      <c r="D650" s="51" t="s">
        <v>1011</v>
      </c>
      <c r="E650" s="51" t="s">
        <v>1005</v>
      </c>
      <c r="F650" s="51" t="s">
        <v>1011</v>
      </c>
      <c r="G650" s="51" t="s">
        <v>1005</v>
      </c>
      <c r="H650" s="51" t="s">
        <v>1005</v>
      </c>
      <c r="I650" s="51" t="s">
        <v>1011</v>
      </c>
      <c r="J650" s="50" t="str">
        <f t="shared" si="20"/>
        <v>7931609122.pdf</v>
      </c>
      <c r="K650" s="51" t="s">
        <v>1006</v>
      </c>
      <c r="L650" s="51" t="s">
        <v>1155</v>
      </c>
      <c r="M650" s="50" t="str">
        <f t="shared" si="21"/>
        <v>13.800</v>
      </c>
      <c r="N650" s="50" t="str">
        <f>IF(A650&lt;&gt;"",VLOOKUP(RIGHT(A650,3)*1,[4]Des_Loc!A:B,2,0),"")</f>
        <v>PALMAS</v>
      </c>
    </row>
    <row r="651" spans="1:14" ht="16.5" customHeight="1" x14ac:dyDescent="0.25">
      <c r="A651" s="52">
        <v>7927765019</v>
      </c>
      <c r="B651" s="51" t="s">
        <v>1003</v>
      </c>
      <c r="C651" s="51">
        <v>3</v>
      </c>
      <c r="D651" s="51" t="s">
        <v>1011</v>
      </c>
      <c r="E651" s="51" t="s">
        <v>1005</v>
      </c>
      <c r="F651" s="51" t="s">
        <v>1005</v>
      </c>
      <c r="G651" s="51" t="s">
        <v>1005</v>
      </c>
      <c r="H651" s="51" t="s">
        <v>1005</v>
      </c>
      <c r="I651" s="51" t="s">
        <v>1005</v>
      </c>
      <c r="J651" s="50" t="str">
        <f t="shared" si="20"/>
        <v>7927765019.pdf</v>
      </c>
      <c r="K651" s="51" t="s">
        <v>1006</v>
      </c>
      <c r="L651" s="51" t="s">
        <v>1167</v>
      </c>
      <c r="M651" s="50" t="str">
        <f t="shared" si="21"/>
        <v>34.500</v>
      </c>
      <c r="N651" s="50" t="str">
        <f>IF(A651&lt;&gt;"",VLOOKUP(RIGHT(A651,3)*1,[4]Des_Loc!A:B,2,0),"")</f>
        <v>FILADELFIA</v>
      </c>
    </row>
    <row r="652" spans="1:14" ht="16.5" customHeight="1" x14ac:dyDescent="0.25">
      <c r="A652" s="52">
        <v>7931866101</v>
      </c>
      <c r="B652" s="51" t="s">
        <v>1003</v>
      </c>
      <c r="C652" s="51" t="s">
        <v>1008</v>
      </c>
      <c r="D652" s="51"/>
      <c r="E652" s="51" t="s">
        <v>1005</v>
      </c>
      <c r="F652" s="51"/>
      <c r="G652" s="51"/>
      <c r="H652" s="51" t="s">
        <v>1005</v>
      </c>
      <c r="I652" s="51" t="s">
        <v>1005</v>
      </c>
      <c r="J652" s="50" t="str">
        <f t="shared" si="20"/>
        <v>7931866101.pdf</v>
      </c>
      <c r="K652" s="51" t="s">
        <v>1006</v>
      </c>
      <c r="L652" s="51" t="s">
        <v>1097</v>
      </c>
      <c r="M652" s="50" t="str">
        <f t="shared" si="21"/>
        <v>34.500</v>
      </c>
      <c r="N652" s="50" t="str">
        <f>IF(A652&lt;&gt;"",VLOOKUP(RIGHT(A652,3)*1,[4]Des_Loc!A:B,2,0),"")</f>
        <v>PORTO ALEGRE DO TOCANTINS</v>
      </c>
    </row>
    <row r="653" spans="1:14" ht="16.5" customHeight="1" x14ac:dyDescent="0.25">
      <c r="A653" s="52">
        <v>7931856101</v>
      </c>
      <c r="B653" s="51" t="s">
        <v>1003</v>
      </c>
      <c r="C653" s="51" t="s">
        <v>1010</v>
      </c>
      <c r="D653" s="51"/>
      <c r="E653" s="51" t="s">
        <v>1011</v>
      </c>
      <c r="F653" s="51"/>
      <c r="G653" s="51"/>
      <c r="H653" s="51" t="s">
        <v>1005</v>
      </c>
      <c r="I653" s="51" t="s">
        <v>1005</v>
      </c>
      <c r="J653" s="50" t="str">
        <f t="shared" si="20"/>
        <v>7931856101.pdf</v>
      </c>
      <c r="K653" s="51" t="s">
        <v>1006</v>
      </c>
      <c r="L653" s="51" t="s">
        <v>1097</v>
      </c>
      <c r="M653" s="50" t="str">
        <f t="shared" si="21"/>
        <v>34.500</v>
      </c>
      <c r="N653" s="50" t="str">
        <f>IF(A653&lt;&gt;"",VLOOKUP(RIGHT(A653,3)*1,[4]Des_Loc!A:B,2,0),"")</f>
        <v>PORTO ALEGRE DO TOCANTINS</v>
      </c>
    </row>
    <row r="654" spans="1:14" ht="16.5" customHeight="1" x14ac:dyDescent="0.25">
      <c r="A654" s="50">
        <v>7926250032</v>
      </c>
      <c r="B654" s="51" t="s">
        <v>1003</v>
      </c>
      <c r="C654" s="51" t="s">
        <v>1008</v>
      </c>
      <c r="D654" s="51" t="s">
        <v>1005</v>
      </c>
      <c r="E654" s="51" t="s">
        <v>1005</v>
      </c>
      <c r="F654" s="51" t="s">
        <v>1005</v>
      </c>
      <c r="G654" s="51" t="s">
        <v>1005</v>
      </c>
      <c r="H654" s="51" t="s">
        <v>1005</v>
      </c>
      <c r="I654" s="51" t="s">
        <v>1005</v>
      </c>
      <c r="J654" s="50" t="str">
        <f t="shared" si="20"/>
        <v>7926250032.pdf</v>
      </c>
      <c r="K654" s="51" t="s">
        <v>1006</v>
      </c>
      <c r="L654" s="51" t="s">
        <v>1037</v>
      </c>
      <c r="M654" s="50" t="str">
        <f t="shared" si="21"/>
        <v>34.500</v>
      </c>
      <c r="N654" s="50" t="str">
        <f>IF(A654&lt;&gt;"",VLOOKUP(RIGHT(A654,3)*1,[4]Des_Loc!A:B,2,0),"")</f>
        <v>ARAGUACU</v>
      </c>
    </row>
    <row r="655" spans="1:14" ht="16.5" customHeight="1" x14ac:dyDescent="0.25">
      <c r="A655" s="52">
        <v>7937101032</v>
      </c>
      <c r="B655" s="51" t="s">
        <v>1003</v>
      </c>
      <c r="C655" s="51" t="s">
        <v>1010</v>
      </c>
      <c r="D655" s="51" t="s">
        <v>1011</v>
      </c>
      <c r="E655" s="51" t="s">
        <v>1011</v>
      </c>
      <c r="F655" s="51" t="s">
        <v>1011</v>
      </c>
      <c r="G655" s="51" t="s">
        <v>1005</v>
      </c>
      <c r="H655" s="51" t="s">
        <v>1005</v>
      </c>
      <c r="I655" s="51" t="s">
        <v>1011</v>
      </c>
      <c r="J655" s="50" t="str">
        <f t="shared" si="20"/>
        <v>7937101032.pdf</v>
      </c>
      <c r="K655" s="51" t="s">
        <v>1006</v>
      </c>
      <c r="L655" s="51" t="s">
        <v>1172</v>
      </c>
      <c r="M655" s="50" t="str">
        <f t="shared" si="21"/>
        <v>34.500</v>
      </c>
      <c r="N655" s="50" t="str">
        <f>IF(A655&lt;&gt;"",VLOOKUP(RIGHT(A655,3)*1,[4]Des_Loc!A:B,2,0),"")</f>
        <v>ARAGUACU</v>
      </c>
    </row>
    <row r="656" spans="1:14" ht="16.5" customHeight="1" x14ac:dyDescent="0.25">
      <c r="A656" s="52">
        <v>7931611122</v>
      </c>
      <c r="B656" s="51" t="s">
        <v>1003</v>
      </c>
      <c r="C656" s="51">
        <v>2</v>
      </c>
      <c r="D656" s="51" t="s">
        <v>1011</v>
      </c>
      <c r="E656" s="51" t="s">
        <v>1005</v>
      </c>
      <c r="F656" s="51" t="s">
        <v>1011</v>
      </c>
      <c r="G656" s="51" t="s">
        <v>1005</v>
      </c>
      <c r="H656" s="51" t="s">
        <v>1005</v>
      </c>
      <c r="I656" s="51" t="s">
        <v>1011</v>
      </c>
      <c r="J656" s="50" t="str">
        <f t="shared" si="20"/>
        <v>7931611122.pdf</v>
      </c>
      <c r="K656" s="51" t="s">
        <v>1006</v>
      </c>
      <c r="L656" s="51" t="s">
        <v>1089</v>
      </c>
      <c r="M656" s="50" t="str">
        <f t="shared" si="21"/>
        <v>13.800</v>
      </c>
      <c r="N656" s="50" t="str">
        <f>IF(A656&lt;&gt;"",VLOOKUP(RIGHT(A656,3)*1,[4]Des_Loc!A:B,2,0),"")</f>
        <v>PALMAS</v>
      </c>
    </row>
    <row r="657" spans="1:14" ht="16.5" customHeight="1" x14ac:dyDescent="0.25">
      <c r="A657" s="52">
        <v>7931613122</v>
      </c>
      <c r="B657" s="51" t="s">
        <v>1003</v>
      </c>
      <c r="C657" s="51">
        <v>2</v>
      </c>
      <c r="D657" s="51" t="s">
        <v>1011</v>
      </c>
      <c r="E657" s="51" t="s">
        <v>1005</v>
      </c>
      <c r="F657" s="51" t="s">
        <v>1011</v>
      </c>
      <c r="G657" s="51" t="s">
        <v>1005</v>
      </c>
      <c r="H657" s="51" t="s">
        <v>1005</v>
      </c>
      <c r="I657" s="51" t="s">
        <v>1011</v>
      </c>
      <c r="J657" s="50" t="str">
        <f t="shared" si="20"/>
        <v>7931613122.pdf</v>
      </c>
      <c r="K657" s="51" t="s">
        <v>1006</v>
      </c>
      <c r="L657" s="51" t="s">
        <v>1060</v>
      </c>
      <c r="M657" s="50" t="str">
        <f t="shared" si="21"/>
        <v>13.800</v>
      </c>
      <c r="N657" s="50" t="str">
        <f>IF(A657&lt;&gt;"",VLOOKUP(RIGHT(A657,3)*1,[4]Des_Loc!A:B,2,0),"")</f>
        <v>PALMAS</v>
      </c>
    </row>
    <row r="658" spans="1:14" ht="16.5" customHeight="1" x14ac:dyDescent="0.25">
      <c r="A658" s="52">
        <v>7931617122</v>
      </c>
      <c r="B658" s="51" t="s">
        <v>1003</v>
      </c>
      <c r="C658" s="51">
        <v>2</v>
      </c>
      <c r="D658" s="51"/>
      <c r="E658" s="51" t="s">
        <v>1005</v>
      </c>
      <c r="F658" s="51"/>
      <c r="G658" s="51"/>
      <c r="H658" s="51" t="s">
        <v>1005</v>
      </c>
      <c r="I658" s="51" t="s">
        <v>1005</v>
      </c>
      <c r="J658" s="50" t="str">
        <f t="shared" si="20"/>
        <v>7931617122.pdf</v>
      </c>
      <c r="K658" s="54" t="s">
        <v>1022</v>
      </c>
      <c r="L658" s="51" t="s">
        <v>1173</v>
      </c>
      <c r="M658" s="50" t="str">
        <f t="shared" si="21"/>
        <v>13.800</v>
      </c>
      <c r="N658" s="50" t="str">
        <f>IF(A658&lt;&gt;"",VLOOKUP(RIGHT(A658,3)*1,[4]Des_Loc!A:B,2,0),"")</f>
        <v>PALMAS</v>
      </c>
    </row>
    <row r="659" spans="1:14" ht="16.5" customHeight="1" x14ac:dyDescent="0.25">
      <c r="A659" s="52">
        <v>7929033023</v>
      </c>
      <c r="B659" s="51" t="s">
        <v>1003</v>
      </c>
      <c r="C659" s="51">
        <v>2</v>
      </c>
      <c r="D659" s="51" t="s">
        <v>1005</v>
      </c>
      <c r="E659" s="51" t="s">
        <v>1005</v>
      </c>
      <c r="F659" s="51" t="s">
        <v>1005</v>
      </c>
      <c r="G659" s="51" t="s">
        <v>1005</v>
      </c>
      <c r="H659" s="51" t="s">
        <v>1005</v>
      </c>
      <c r="I659" s="51" t="s">
        <v>1005</v>
      </c>
      <c r="J659" s="50" t="str">
        <f t="shared" si="20"/>
        <v>7929033023.pdf</v>
      </c>
      <c r="K659" s="54" t="s">
        <v>1022</v>
      </c>
      <c r="L659" s="51" t="s">
        <v>1132</v>
      </c>
      <c r="M659" s="50" t="str">
        <f t="shared" si="21"/>
        <v>13.800</v>
      </c>
      <c r="N659" s="50" t="str">
        <f>IF(A659&lt;&gt;"",VLOOKUP(RIGHT(A659,3)*1,[4]Des_Loc!A:B,2,0),"")</f>
        <v>COLINAS DO TOCANTINS</v>
      </c>
    </row>
    <row r="660" spans="1:14" ht="16.5" customHeight="1" x14ac:dyDescent="0.25">
      <c r="A660" s="52">
        <v>7931614122</v>
      </c>
      <c r="B660" s="51" t="s">
        <v>1003</v>
      </c>
      <c r="C660" s="51" t="s">
        <v>1021</v>
      </c>
      <c r="D660" s="51"/>
      <c r="E660" s="51" t="s">
        <v>1005</v>
      </c>
      <c r="F660" s="51"/>
      <c r="G660" s="51"/>
      <c r="H660" s="51" t="s">
        <v>1005</v>
      </c>
      <c r="I660" s="51" t="s">
        <v>1005</v>
      </c>
      <c r="J660" s="50" t="str">
        <f t="shared" si="20"/>
        <v>7931614122.pdf</v>
      </c>
      <c r="K660" s="51" t="s">
        <v>1006</v>
      </c>
      <c r="L660" s="51" t="s">
        <v>1173</v>
      </c>
      <c r="M660" s="50" t="str">
        <f t="shared" si="21"/>
        <v>13.800</v>
      </c>
      <c r="N660" s="50" t="str">
        <f>IF(A660&lt;&gt;"",VLOOKUP(RIGHT(A660,3)*1,[4]Des_Loc!A:B,2,0),"")</f>
        <v>PALMAS</v>
      </c>
    </row>
    <row r="661" spans="1:14" ht="16.5" customHeight="1" x14ac:dyDescent="0.25">
      <c r="A661" s="52">
        <v>7931245009</v>
      </c>
      <c r="B661" s="51" t="s">
        <v>1003</v>
      </c>
      <c r="C661" s="51">
        <v>2</v>
      </c>
      <c r="D661" s="51"/>
      <c r="E661" s="51" t="s">
        <v>1005</v>
      </c>
      <c r="F661" s="51"/>
      <c r="G661" s="51"/>
      <c r="H661" s="51" t="s">
        <v>1005</v>
      </c>
      <c r="I661" s="51" t="s">
        <v>1005</v>
      </c>
      <c r="J661" s="50" t="str">
        <f t="shared" si="20"/>
        <v>7931245009.pdf</v>
      </c>
      <c r="K661" s="51" t="s">
        <v>1022</v>
      </c>
      <c r="L661" s="51" t="s">
        <v>1174</v>
      </c>
      <c r="M661" s="50" t="str">
        <f t="shared" si="21"/>
        <v>13.800</v>
      </c>
      <c r="N661" s="50" t="str">
        <f>IF(A661&lt;&gt;"",VLOOKUP(RIGHT(A661,3)*1,[4]Des_Loc!A:B,2,0),"")</f>
        <v>GUARAI</v>
      </c>
    </row>
    <row r="662" spans="1:14" ht="16.5" customHeight="1" x14ac:dyDescent="0.25">
      <c r="A662" s="52">
        <v>7929663074</v>
      </c>
      <c r="B662" s="51" t="s">
        <v>1003</v>
      </c>
      <c r="C662" s="51" t="s">
        <v>1010</v>
      </c>
      <c r="D662" s="51" t="s">
        <v>1011</v>
      </c>
      <c r="E662" s="51" t="s">
        <v>1005</v>
      </c>
      <c r="F662" s="51" t="s">
        <v>1005</v>
      </c>
      <c r="G662" s="51" t="s">
        <v>1005</v>
      </c>
      <c r="H662" s="51" t="s">
        <v>1005</v>
      </c>
      <c r="I662" s="51" t="s">
        <v>1005</v>
      </c>
      <c r="J662" s="50" t="str">
        <f t="shared" si="20"/>
        <v>7929663074.pdf</v>
      </c>
      <c r="K662" s="51" t="s">
        <v>1006</v>
      </c>
      <c r="L662" s="51" t="s">
        <v>331</v>
      </c>
      <c r="M662" s="50" t="str">
        <f t="shared" si="21"/>
        <v>34.500</v>
      </c>
      <c r="N662" s="50" t="str">
        <f>IF(A662&lt;&gt;"",VLOOKUP(RIGHT(A662,3)*1,[4]Des_Loc!A:B,2,0),"")</f>
        <v>DIANOPOLIS</v>
      </c>
    </row>
    <row r="663" spans="1:14" ht="16.5" customHeight="1" x14ac:dyDescent="0.25">
      <c r="A663" s="52">
        <v>7931243015</v>
      </c>
      <c r="B663" s="51" t="s">
        <v>1003</v>
      </c>
      <c r="C663" s="51">
        <v>2</v>
      </c>
      <c r="D663" s="51" t="s">
        <v>1011</v>
      </c>
      <c r="E663" s="51" t="s">
        <v>1005</v>
      </c>
      <c r="F663" s="51" t="s">
        <v>1005</v>
      </c>
      <c r="G663" s="51" t="s">
        <v>1005</v>
      </c>
      <c r="H663" s="51" t="s">
        <v>1005</v>
      </c>
      <c r="I663" s="51" t="s">
        <v>1005</v>
      </c>
      <c r="J663" s="50" t="str">
        <f t="shared" si="20"/>
        <v>7931243015.pdf</v>
      </c>
      <c r="K663" s="54" t="s">
        <v>1022</v>
      </c>
      <c r="L663" s="51" t="s">
        <v>368</v>
      </c>
      <c r="M663" s="50" t="str">
        <f t="shared" si="21"/>
        <v>13.800</v>
      </c>
      <c r="N663" s="50" t="str">
        <f>IF(A663&lt;&gt;"",VLOOKUP(RIGHT(A663,3)*1,[4]Des_Loc!A:B,2,0),"")</f>
        <v>PEDRO AFONSO</v>
      </c>
    </row>
    <row r="664" spans="1:14" ht="16.5" customHeight="1" x14ac:dyDescent="0.25">
      <c r="A664" s="52">
        <v>7929360023</v>
      </c>
      <c r="B664" s="51" t="s">
        <v>1003</v>
      </c>
      <c r="C664" s="51">
        <v>2</v>
      </c>
      <c r="D664" s="51"/>
      <c r="E664" s="51" t="s">
        <v>1005</v>
      </c>
      <c r="F664" s="51"/>
      <c r="G664" s="51"/>
      <c r="H664" s="51" t="s">
        <v>1005</v>
      </c>
      <c r="I664" s="51" t="s">
        <v>1005</v>
      </c>
      <c r="J664" s="50" t="str">
        <f t="shared" si="20"/>
        <v>7929360023.pdf</v>
      </c>
      <c r="K664" s="51" t="s">
        <v>1022</v>
      </c>
      <c r="L664" s="51" t="s">
        <v>1132</v>
      </c>
      <c r="M664" s="50" t="str">
        <f t="shared" si="21"/>
        <v>13.800</v>
      </c>
      <c r="N664" s="50" t="str">
        <f>IF(A664&lt;&gt;"",VLOOKUP(RIGHT(A664,3)*1,[4]Des_Loc!A:B,2,0),"")</f>
        <v>COLINAS DO TOCANTINS</v>
      </c>
    </row>
    <row r="665" spans="1:14" ht="16.5" customHeight="1" x14ac:dyDescent="0.25">
      <c r="A665" s="52">
        <v>7937165009</v>
      </c>
      <c r="B665" s="51" t="s">
        <v>1003</v>
      </c>
      <c r="C665" s="51">
        <v>2</v>
      </c>
      <c r="D665" s="51"/>
      <c r="E665" s="51" t="s">
        <v>1005</v>
      </c>
      <c r="F665" s="51"/>
      <c r="G665" s="51"/>
      <c r="H665" s="51" t="s">
        <v>1005</v>
      </c>
      <c r="I665" s="51" t="s">
        <v>1005</v>
      </c>
      <c r="J665" s="50" t="str">
        <f t="shared" si="20"/>
        <v>7937165009.pdf</v>
      </c>
      <c r="K665" s="51" t="s">
        <v>1022</v>
      </c>
      <c r="L665" s="51" t="s">
        <v>1174</v>
      </c>
      <c r="M665" s="50" t="str">
        <f t="shared" si="21"/>
        <v>13.800</v>
      </c>
      <c r="N665" s="50" t="str">
        <f>IF(A665&lt;&gt;"",VLOOKUP(RIGHT(A665,3)*1,[4]Des_Loc!A:B,2,0),"")</f>
        <v>GUARAI</v>
      </c>
    </row>
    <row r="666" spans="1:14" ht="16.5" customHeight="1" x14ac:dyDescent="0.25">
      <c r="A666" s="52">
        <v>7937103266</v>
      </c>
      <c r="B666" s="51" t="s">
        <v>1003</v>
      </c>
      <c r="C666" s="51" t="s">
        <v>1008</v>
      </c>
      <c r="D666" s="51"/>
      <c r="E666" s="51" t="s">
        <v>1005</v>
      </c>
      <c r="F666" s="51"/>
      <c r="G666" s="51"/>
      <c r="H666" s="51" t="s">
        <v>1005</v>
      </c>
      <c r="I666" s="51" t="s">
        <v>1005</v>
      </c>
      <c r="J666" s="50" t="str">
        <f t="shared" si="20"/>
        <v>7937103266.pdf</v>
      </c>
      <c r="K666" s="51" t="s">
        <v>1006</v>
      </c>
      <c r="L666" s="51" t="s">
        <v>406</v>
      </c>
      <c r="M666" s="50" t="str">
        <f t="shared" si="21"/>
        <v>34.500</v>
      </c>
      <c r="N666" s="50" t="str">
        <f>IF(A666&lt;&gt;"",VLOOKUP(RIGHT(A666,3)*1,[4]Des_Loc!A:B,2,0),"")</f>
        <v>LAGOA DO ROMAO</v>
      </c>
    </row>
    <row r="667" spans="1:14" ht="16.5" customHeight="1" x14ac:dyDescent="0.25">
      <c r="A667" s="52">
        <v>7937104148</v>
      </c>
      <c r="B667" s="51" t="s">
        <v>1003</v>
      </c>
      <c r="C667" s="51" t="s">
        <v>1008</v>
      </c>
      <c r="D667" s="51"/>
      <c r="E667" s="51" t="s">
        <v>1005</v>
      </c>
      <c r="F667" s="51"/>
      <c r="G667" s="51"/>
      <c r="H667" s="51" t="s">
        <v>1005</v>
      </c>
      <c r="I667" s="51" t="s">
        <v>1005</v>
      </c>
      <c r="J667" s="50" t="str">
        <f t="shared" si="20"/>
        <v>7937104148.pdf</v>
      </c>
      <c r="K667" s="51" t="s">
        <v>1006</v>
      </c>
      <c r="L667" s="51" t="s">
        <v>430</v>
      </c>
      <c r="M667" s="50" t="str">
        <f t="shared" si="21"/>
        <v>34.500</v>
      </c>
      <c r="N667" s="50" t="str">
        <f>IF(A667&lt;&gt;"",VLOOKUP(RIGHT(A667,3)*1,[4]Des_Loc!A:B,2,0),"")</f>
        <v>SAO VALERIO DA NATIVIDADE</v>
      </c>
    </row>
    <row r="668" spans="1:14" ht="16.5" customHeight="1" x14ac:dyDescent="0.25">
      <c r="A668" s="52">
        <v>7937151002</v>
      </c>
      <c r="B668" s="51" t="s">
        <v>1003</v>
      </c>
      <c r="C668" s="51" t="s">
        <v>1021</v>
      </c>
      <c r="D668" s="51"/>
      <c r="E668" s="51" t="s">
        <v>1005</v>
      </c>
      <c r="F668" s="51"/>
      <c r="G668" s="51"/>
      <c r="H668" s="51" t="s">
        <v>1005</v>
      </c>
      <c r="I668" s="51" t="s">
        <v>1005</v>
      </c>
      <c r="J668" s="50" t="str">
        <f t="shared" si="20"/>
        <v>7937151002.pdf</v>
      </c>
      <c r="K668" s="54" t="s">
        <v>1022</v>
      </c>
      <c r="L668" s="51" t="s">
        <v>1134</v>
      </c>
      <c r="M668" s="50" t="str">
        <f t="shared" si="21"/>
        <v>13.800</v>
      </c>
      <c r="N668" s="50" t="str">
        <f>IF(A668&lt;&gt;"",VLOOKUP(RIGHT(A668,3)*1,[4]Des_Loc!A:B,2,0),"")</f>
        <v>TOCANTINOPOLIS</v>
      </c>
    </row>
    <row r="669" spans="1:14" ht="16.5" customHeight="1" x14ac:dyDescent="0.25">
      <c r="A669" s="52">
        <v>7937505059</v>
      </c>
      <c r="B669" s="51" t="s">
        <v>1003</v>
      </c>
      <c r="C669" s="51">
        <v>2</v>
      </c>
      <c r="D669" s="51"/>
      <c r="E669" s="51" t="s">
        <v>1005</v>
      </c>
      <c r="F669" s="51"/>
      <c r="G669" s="51"/>
      <c r="H669" s="51" t="s">
        <v>1005</v>
      </c>
      <c r="I669" s="51" t="s">
        <v>1005</v>
      </c>
      <c r="J669" s="50" t="str">
        <f t="shared" si="20"/>
        <v>7937505059.pdf</v>
      </c>
      <c r="K669" s="54" t="s">
        <v>1022</v>
      </c>
      <c r="L669" s="51" t="s">
        <v>726</v>
      </c>
      <c r="M669" s="50" t="str">
        <f t="shared" si="21"/>
        <v>13.800</v>
      </c>
      <c r="N669" s="50" t="str">
        <f>IF(A669&lt;&gt;"",VLOOKUP(RIGHT(A669,3)*1,[4]Des_Loc!A:B,2,0),"")</f>
        <v>TAQUARALTO</v>
      </c>
    </row>
    <row r="670" spans="1:14" ht="16.5" customHeight="1" x14ac:dyDescent="0.25">
      <c r="A670" s="52">
        <v>7931619122</v>
      </c>
      <c r="B670" s="51" t="s">
        <v>1003</v>
      </c>
      <c r="C670" s="51" t="s">
        <v>1021</v>
      </c>
      <c r="D670" s="51"/>
      <c r="E670" s="51" t="s">
        <v>1005</v>
      </c>
      <c r="F670" s="51"/>
      <c r="G670" s="51"/>
      <c r="H670" s="51" t="s">
        <v>1005</v>
      </c>
      <c r="I670" s="51" t="s">
        <v>1005</v>
      </c>
      <c r="J670" s="50" t="str">
        <f t="shared" si="20"/>
        <v>7931619122.pdf</v>
      </c>
      <c r="K670" s="54" t="s">
        <v>1022</v>
      </c>
      <c r="L670" s="51" t="s">
        <v>705</v>
      </c>
      <c r="M670" s="50" t="str">
        <f t="shared" si="21"/>
        <v>13.800</v>
      </c>
      <c r="N670" s="50" t="str">
        <f>IF(A670&lt;&gt;"",VLOOKUP(RIGHT(A670,3)*1,[4]Des_Loc!A:B,2,0),"")</f>
        <v>PALMAS</v>
      </c>
    </row>
    <row r="671" spans="1:14" ht="16.5" customHeight="1" x14ac:dyDescent="0.25">
      <c r="A671" s="52">
        <v>7931616122</v>
      </c>
      <c r="B671" s="51" t="s">
        <v>1003</v>
      </c>
      <c r="C671" s="51">
        <v>2</v>
      </c>
      <c r="D671" s="51"/>
      <c r="E671" s="51" t="s">
        <v>1005</v>
      </c>
      <c r="F671" s="51"/>
      <c r="G671" s="51"/>
      <c r="H671" s="51" t="s">
        <v>1005</v>
      </c>
      <c r="I671" s="51" t="s">
        <v>1005</v>
      </c>
      <c r="J671" s="50" t="str">
        <f t="shared" si="20"/>
        <v>7931616122.pdf</v>
      </c>
      <c r="K671" s="51" t="s">
        <v>1006</v>
      </c>
      <c r="L671" s="51" t="s">
        <v>1044</v>
      </c>
      <c r="M671" s="50" t="str">
        <f t="shared" si="21"/>
        <v>13.800</v>
      </c>
      <c r="N671" s="50" t="str">
        <f>IF(A671&lt;&gt;"",VLOOKUP(RIGHT(A671,3)*1,[4]Des_Loc!A:B,2,0),"")</f>
        <v>PALMAS</v>
      </c>
    </row>
    <row r="672" spans="1:14" ht="16.5" customHeight="1" x14ac:dyDescent="0.25">
      <c r="A672" s="52">
        <v>7931618122</v>
      </c>
      <c r="B672" s="51" t="s">
        <v>1003</v>
      </c>
      <c r="C672" s="51">
        <v>2</v>
      </c>
      <c r="D672" s="51"/>
      <c r="E672" s="51" t="s">
        <v>1005</v>
      </c>
      <c r="F672" s="51"/>
      <c r="G672" s="51"/>
      <c r="H672" s="51" t="s">
        <v>1005</v>
      </c>
      <c r="I672" s="51" t="s">
        <v>1005</v>
      </c>
      <c r="J672" s="50" t="str">
        <f t="shared" si="20"/>
        <v>7931618122.pdf</v>
      </c>
      <c r="K672" s="54" t="s">
        <v>1022</v>
      </c>
      <c r="L672" s="51" t="s">
        <v>1064</v>
      </c>
      <c r="M672" s="50" t="str">
        <f t="shared" si="21"/>
        <v>13.800</v>
      </c>
      <c r="N672" s="50" t="str">
        <f>IF(A672&lt;&gt;"",VLOOKUP(RIGHT(A672,3)*1,[4]Des_Loc!A:B,2,0),"")</f>
        <v>PALMAS</v>
      </c>
    </row>
    <row r="673" spans="1:14" ht="16.5" customHeight="1" x14ac:dyDescent="0.25">
      <c r="A673" s="52">
        <v>7931906018</v>
      </c>
      <c r="B673" s="51" t="s">
        <v>1003</v>
      </c>
      <c r="C673" s="51">
        <v>2</v>
      </c>
      <c r="D673" s="51" t="s">
        <v>1011</v>
      </c>
      <c r="E673" s="51" t="s">
        <v>1005</v>
      </c>
      <c r="F673" s="51" t="s">
        <v>1011</v>
      </c>
      <c r="G673" s="51" t="s">
        <v>1005</v>
      </c>
      <c r="H673" s="51" t="s">
        <v>1005</v>
      </c>
      <c r="I673" s="51" t="s">
        <v>1005</v>
      </c>
      <c r="J673" s="50" t="str">
        <f t="shared" si="20"/>
        <v>7931906018.pdf</v>
      </c>
      <c r="K673" s="51" t="s">
        <v>1006</v>
      </c>
      <c r="L673" s="51" t="s">
        <v>1175</v>
      </c>
      <c r="M673" s="50" t="str">
        <f t="shared" si="21"/>
        <v>13.800</v>
      </c>
      <c r="N673" s="50" t="str">
        <f>IF(A673&lt;&gt;"",VLOOKUP(RIGHT(A673,3)*1,[4]Des_Loc!A:B,2,0),"")</f>
        <v>BOM JESUS DO TOCANTINS</v>
      </c>
    </row>
    <row r="674" spans="1:14" ht="16.5" customHeight="1" x14ac:dyDescent="0.25">
      <c r="A674" s="52">
        <v>7931905015</v>
      </c>
      <c r="B674" s="51" t="s">
        <v>1003</v>
      </c>
      <c r="C674" s="51" t="s">
        <v>1004</v>
      </c>
      <c r="D674" s="51" t="s">
        <v>1005</v>
      </c>
      <c r="E674" s="51" t="s">
        <v>1005</v>
      </c>
      <c r="F674" s="51" t="s">
        <v>1005</v>
      </c>
      <c r="G674" s="51" t="s">
        <v>1005</v>
      </c>
      <c r="H674" s="51" t="s">
        <v>1005</v>
      </c>
      <c r="I674" s="51" t="s">
        <v>1005</v>
      </c>
      <c r="J674" s="50" t="str">
        <f t="shared" si="20"/>
        <v>7931905015.pdf</v>
      </c>
      <c r="K674" s="54" t="s">
        <v>1022</v>
      </c>
      <c r="L674" s="51" t="s">
        <v>368</v>
      </c>
      <c r="M674" s="50" t="str">
        <f t="shared" si="21"/>
        <v>13.800</v>
      </c>
      <c r="N674" s="50" t="str">
        <f>IF(A674&lt;&gt;"",VLOOKUP(RIGHT(A674,3)*1,[4]Des_Loc!A:B,2,0),"")</f>
        <v>PEDRO AFONSO</v>
      </c>
    </row>
    <row r="675" spans="1:14" ht="16.5" customHeight="1" x14ac:dyDescent="0.25">
      <c r="A675" s="52">
        <v>7937161111</v>
      </c>
      <c r="B675" s="51" t="s">
        <v>1003</v>
      </c>
      <c r="C675" s="51" t="s">
        <v>1021</v>
      </c>
      <c r="D675" s="51" t="s">
        <v>1005</v>
      </c>
      <c r="E675" s="51" t="s">
        <v>1005</v>
      </c>
      <c r="F675" s="51" t="s">
        <v>1005</v>
      </c>
      <c r="G675" s="51" t="s">
        <v>1005</v>
      </c>
      <c r="H675" s="51" t="s">
        <v>1005</v>
      </c>
      <c r="I675" s="51" t="s">
        <v>1005</v>
      </c>
      <c r="J675" s="50" t="str">
        <f t="shared" si="20"/>
        <v>7937161111.pdf</v>
      </c>
      <c r="K675" s="51" t="s">
        <v>1006</v>
      </c>
      <c r="L675" s="51" t="s">
        <v>1047</v>
      </c>
      <c r="M675" s="50" t="str">
        <f t="shared" si="21"/>
        <v>34.500</v>
      </c>
      <c r="N675" s="50" t="str">
        <f>IF(A675&lt;&gt;"",VLOOKUP(RIGHT(A675,3)*1,[4]Des_Loc!A:B,2,0),"")</f>
        <v>PEQUIZEIRO</v>
      </c>
    </row>
    <row r="676" spans="1:14" ht="16.5" customHeight="1" x14ac:dyDescent="0.25">
      <c r="A676" s="52">
        <v>7931645122</v>
      </c>
      <c r="B676" s="51" t="s">
        <v>1003</v>
      </c>
      <c r="C676" s="51">
        <v>2</v>
      </c>
      <c r="D676" s="51"/>
      <c r="E676" s="51" t="s">
        <v>1005</v>
      </c>
      <c r="F676" s="51"/>
      <c r="G676" s="51"/>
      <c r="H676" s="51" t="s">
        <v>1005</v>
      </c>
      <c r="I676" s="51" t="s">
        <v>1005</v>
      </c>
      <c r="J676" s="50" t="str">
        <f t="shared" si="20"/>
        <v>7931645122.pdf</v>
      </c>
      <c r="K676" s="54" t="s">
        <v>1022</v>
      </c>
      <c r="L676" s="51" t="s">
        <v>705</v>
      </c>
      <c r="M676" s="50" t="str">
        <f t="shared" si="21"/>
        <v>13.800</v>
      </c>
      <c r="N676" s="50" t="str">
        <f>IF(A676&lt;&gt;"",VLOOKUP(RIGHT(A676,3)*1,[4]Des_Loc!A:B,2,0),"")</f>
        <v>PALMAS</v>
      </c>
    </row>
    <row r="677" spans="1:14" ht="16.5" customHeight="1" x14ac:dyDescent="0.25">
      <c r="A677" s="52">
        <v>7931643122</v>
      </c>
      <c r="B677" s="51" t="s">
        <v>1003</v>
      </c>
      <c r="C677" s="51">
        <v>2</v>
      </c>
      <c r="D677" s="51"/>
      <c r="E677" s="51" t="s">
        <v>1005</v>
      </c>
      <c r="F677" s="51"/>
      <c r="G677" s="51"/>
      <c r="H677" s="51" t="s">
        <v>1005</v>
      </c>
      <c r="I677" s="51" t="s">
        <v>1005</v>
      </c>
      <c r="J677" s="50" t="str">
        <f t="shared" si="20"/>
        <v>7931643122.pdf</v>
      </c>
      <c r="K677" s="54" t="s">
        <v>1022</v>
      </c>
      <c r="L677" s="51" t="s">
        <v>1176</v>
      </c>
      <c r="M677" s="50" t="str">
        <f t="shared" si="21"/>
        <v>13.800</v>
      </c>
      <c r="N677" s="50" t="str">
        <f>IF(A677&lt;&gt;"",VLOOKUP(RIGHT(A677,3)*1,[4]Des_Loc!A:B,2,0),"")</f>
        <v>PALMAS</v>
      </c>
    </row>
    <row r="678" spans="1:14" ht="16.5" customHeight="1" x14ac:dyDescent="0.25">
      <c r="A678" s="52">
        <v>7931638122</v>
      </c>
      <c r="B678" s="51" t="s">
        <v>1003</v>
      </c>
      <c r="C678" s="51">
        <v>2</v>
      </c>
      <c r="D678" s="51"/>
      <c r="E678" s="51" t="s">
        <v>1005</v>
      </c>
      <c r="F678" s="51"/>
      <c r="G678" s="51"/>
      <c r="H678" s="51" t="s">
        <v>1005</v>
      </c>
      <c r="I678" s="51" t="s">
        <v>1005</v>
      </c>
      <c r="J678" s="50" t="str">
        <f t="shared" si="20"/>
        <v>7931638122.pdf</v>
      </c>
      <c r="K678" s="54" t="s">
        <v>1022</v>
      </c>
      <c r="L678" s="51" t="s">
        <v>1177</v>
      </c>
      <c r="M678" s="50" t="str">
        <f t="shared" si="21"/>
        <v>13.800</v>
      </c>
      <c r="N678" s="50" t="str">
        <f>IF(A678&lt;&gt;"",VLOOKUP(RIGHT(A678,3)*1,[4]Des_Loc!A:B,2,0),"")</f>
        <v>PALMAS</v>
      </c>
    </row>
    <row r="679" spans="1:14" ht="16.5" customHeight="1" x14ac:dyDescent="0.25">
      <c r="A679" s="52">
        <v>7930420122</v>
      </c>
      <c r="B679" s="51" t="s">
        <v>1003</v>
      </c>
      <c r="C679" s="51" t="s">
        <v>1021</v>
      </c>
      <c r="D679" s="51"/>
      <c r="E679" s="51" t="s">
        <v>1005</v>
      </c>
      <c r="F679" s="51"/>
      <c r="G679" s="51"/>
      <c r="H679" s="51" t="s">
        <v>1005</v>
      </c>
      <c r="I679" s="51" t="s">
        <v>1005</v>
      </c>
      <c r="J679" s="50" t="str">
        <f t="shared" si="20"/>
        <v>7930420122.pdf</v>
      </c>
      <c r="K679" s="54" t="s">
        <v>1022</v>
      </c>
      <c r="L679" s="51" t="s">
        <v>1173</v>
      </c>
      <c r="M679" s="50" t="str">
        <f t="shared" si="21"/>
        <v>13.800</v>
      </c>
      <c r="N679" s="50" t="str">
        <f>IF(A679&lt;&gt;"",VLOOKUP(RIGHT(A679,3)*1,[4]Des_Loc!A:B,2,0),"")</f>
        <v>PALMAS</v>
      </c>
    </row>
    <row r="680" spans="1:14" ht="16.5" customHeight="1" x14ac:dyDescent="0.25">
      <c r="A680" s="52">
        <v>7900059009</v>
      </c>
      <c r="B680" s="51" t="s">
        <v>1003</v>
      </c>
      <c r="C680" s="51" t="s">
        <v>1004</v>
      </c>
      <c r="D680" s="51"/>
      <c r="E680" s="51" t="s">
        <v>1005</v>
      </c>
      <c r="F680" s="51"/>
      <c r="G680" s="51"/>
      <c r="H680" s="51" t="s">
        <v>1005</v>
      </c>
      <c r="I680" s="51" t="s">
        <v>1005</v>
      </c>
      <c r="J680" s="50" t="str">
        <f t="shared" si="20"/>
        <v>7900059009.pdf</v>
      </c>
      <c r="K680" s="51" t="s">
        <v>1022</v>
      </c>
      <c r="L680" s="51" t="s">
        <v>419</v>
      </c>
      <c r="M680" s="50" t="str">
        <f t="shared" si="21"/>
        <v>13.800</v>
      </c>
      <c r="N680" s="50" t="str">
        <f>IF(A680&lt;&gt;"",VLOOKUP(RIGHT(A680,3)*1,[4]Des_Loc!A:B,2,0),"")</f>
        <v>GUARAI</v>
      </c>
    </row>
    <row r="681" spans="1:14" ht="16.5" customHeight="1" x14ac:dyDescent="0.25">
      <c r="A681" s="52">
        <v>7928298004</v>
      </c>
      <c r="B681" s="51" t="s">
        <v>1003</v>
      </c>
      <c r="C681" s="51" t="s">
        <v>1004</v>
      </c>
      <c r="D681" s="51"/>
      <c r="E681" s="51" t="s">
        <v>1005</v>
      </c>
      <c r="F681" s="51"/>
      <c r="G681" s="51"/>
      <c r="H681" s="51" t="s">
        <v>1005</v>
      </c>
      <c r="I681" s="51" t="s">
        <v>1005</v>
      </c>
      <c r="J681" s="50" t="str">
        <f t="shared" si="20"/>
        <v>7928298004.pdf</v>
      </c>
      <c r="K681" s="54" t="s">
        <v>1022</v>
      </c>
      <c r="L681" s="51" t="s">
        <v>1178</v>
      </c>
      <c r="M681" s="50" t="str">
        <f t="shared" si="21"/>
        <v>13.800</v>
      </c>
      <c r="N681" s="50" t="str">
        <f>IF(A681&lt;&gt;"",VLOOKUP(RIGHT(A681,3)*1,[4]Des_Loc!A:B,2,0),"")</f>
        <v>ARAGUAINA</v>
      </c>
    </row>
    <row r="682" spans="1:14" ht="16.5" customHeight="1" x14ac:dyDescent="0.25">
      <c r="A682" s="52">
        <v>7931644122</v>
      </c>
      <c r="B682" s="51" t="s">
        <v>1003</v>
      </c>
      <c r="C682" s="51" t="s">
        <v>1021</v>
      </c>
      <c r="D682" s="51"/>
      <c r="E682" s="51" t="s">
        <v>1005</v>
      </c>
      <c r="F682" s="51"/>
      <c r="G682" s="51"/>
      <c r="H682" s="51" t="s">
        <v>1005</v>
      </c>
      <c r="I682" s="51" t="s">
        <v>1005</v>
      </c>
      <c r="J682" s="50" t="str">
        <f t="shared" si="20"/>
        <v>7931644122.pdf</v>
      </c>
      <c r="K682" s="54" t="s">
        <v>1022</v>
      </c>
      <c r="L682" s="51" t="s">
        <v>1116</v>
      </c>
      <c r="M682" s="50" t="str">
        <f t="shared" si="21"/>
        <v>13.800</v>
      </c>
      <c r="N682" s="50" t="str">
        <f>IF(A682&lt;&gt;"",VLOOKUP(RIGHT(A682,3)*1,[4]Des_Loc!A:B,2,0),"")</f>
        <v>PALMAS</v>
      </c>
    </row>
    <row r="683" spans="1:14" ht="16.5" customHeight="1" x14ac:dyDescent="0.25">
      <c r="A683" s="52">
        <v>7900398004</v>
      </c>
      <c r="B683" s="51" t="s">
        <v>1003</v>
      </c>
      <c r="C683" s="51">
        <v>2</v>
      </c>
      <c r="D683" s="51" t="s">
        <v>1011</v>
      </c>
      <c r="E683" s="51" t="s">
        <v>1005</v>
      </c>
      <c r="F683" s="51" t="s">
        <v>1005</v>
      </c>
      <c r="G683" s="51" t="s">
        <v>1005</v>
      </c>
      <c r="H683" s="51" t="s">
        <v>1005</v>
      </c>
      <c r="I683" s="51" t="s">
        <v>1011</v>
      </c>
      <c r="J683" s="50" t="str">
        <f t="shared" si="20"/>
        <v>7900398004.pdf</v>
      </c>
      <c r="K683" s="54" t="s">
        <v>1022</v>
      </c>
      <c r="L683" s="51" t="s">
        <v>1179</v>
      </c>
      <c r="M683" s="50" t="str">
        <f t="shared" si="21"/>
        <v>13.800</v>
      </c>
      <c r="N683" s="50" t="str">
        <f>IF(A683&lt;&gt;"",VLOOKUP(RIGHT(A683,3)*1,[4]Des_Loc!A:B,2,0),"")</f>
        <v>ARAGUAINA</v>
      </c>
    </row>
    <row r="684" spans="1:14" ht="16.5" customHeight="1" x14ac:dyDescent="0.25">
      <c r="A684" s="52">
        <v>7931112122</v>
      </c>
      <c r="B684" s="51" t="s">
        <v>1003</v>
      </c>
      <c r="C684" s="51">
        <v>2</v>
      </c>
      <c r="D684" s="51" t="s">
        <v>1011</v>
      </c>
      <c r="E684" s="51" t="s">
        <v>1005</v>
      </c>
      <c r="F684" s="51" t="s">
        <v>1005</v>
      </c>
      <c r="G684" s="51" t="s">
        <v>1005</v>
      </c>
      <c r="H684" s="51" t="s">
        <v>1005</v>
      </c>
      <c r="I684" s="51" t="s">
        <v>1005</v>
      </c>
      <c r="J684" s="50" t="str">
        <f t="shared" si="20"/>
        <v>7931112122.pdf</v>
      </c>
      <c r="K684" s="54" t="s">
        <v>1022</v>
      </c>
      <c r="L684" s="51" t="s">
        <v>1180</v>
      </c>
      <c r="M684" s="50" t="str">
        <f t="shared" si="21"/>
        <v>13.800</v>
      </c>
      <c r="N684" s="50" t="str">
        <f>IF(A684&lt;&gt;"",VLOOKUP(RIGHT(A684,3)*1,[4]Des_Loc!A:B,2,0),"")</f>
        <v>PALMAS</v>
      </c>
    </row>
    <row r="685" spans="1:14" ht="16.5" customHeight="1" x14ac:dyDescent="0.25">
      <c r="A685" s="52">
        <v>7931103122</v>
      </c>
      <c r="B685" s="51" t="s">
        <v>1003</v>
      </c>
      <c r="C685" s="51">
        <v>2</v>
      </c>
      <c r="D685" s="51"/>
      <c r="E685" s="51" t="s">
        <v>1005</v>
      </c>
      <c r="F685" s="51"/>
      <c r="G685" s="51"/>
      <c r="H685" s="51" t="s">
        <v>1005</v>
      </c>
      <c r="I685" s="51" t="s">
        <v>1005</v>
      </c>
      <c r="J685" s="50" t="str">
        <f t="shared" si="20"/>
        <v>7931103122.pdf</v>
      </c>
      <c r="K685" s="54" t="s">
        <v>1022</v>
      </c>
      <c r="L685" s="51" t="s">
        <v>1180</v>
      </c>
      <c r="M685" s="50" t="str">
        <f t="shared" si="21"/>
        <v>13.800</v>
      </c>
      <c r="N685" s="50" t="str">
        <f>IF(A685&lt;&gt;"",VLOOKUP(RIGHT(A685,3)*1,[4]Des_Loc!A:B,2,0),"")</f>
        <v>PALMAS</v>
      </c>
    </row>
    <row r="686" spans="1:14" ht="16.5" customHeight="1" x14ac:dyDescent="0.25">
      <c r="A686" s="52">
        <v>7931110122</v>
      </c>
      <c r="B686" s="51" t="s">
        <v>1003</v>
      </c>
      <c r="C686" s="51">
        <v>2</v>
      </c>
      <c r="D686" s="51" t="s">
        <v>1011</v>
      </c>
      <c r="E686" s="51" t="s">
        <v>1005</v>
      </c>
      <c r="F686" s="51" t="s">
        <v>1005</v>
      </c>
      <c r="G686" s="51" t="s">
        <v>1005</v>
      </c>
      <c r="H686" s="51" t="s">
        <v>1005</v>
      </c>
      <c r="I686" s="51" t="s">
        <v>1005</v>
      </c>
      <c r="J686" s="50" t="str">
        <f t="shared" si="20"/>
        <v>7931110122.pdf</v>
      </c>
      <c r="K686" s="51" t="s">
        <v>1022</v>
      </c>
      <c r="L686" s="51" t="s">
        <v>1181</v>
      </c>
      <c r="M686" s="50" t="str">
        <f t="shared" si="21"/>
        <v>13.800</v>
      </c>
      <c r="N686" s="50" t="str">
        <f>IF(A686&lt;&gt;"",VLOOKUP(RIGHT(A686,3)*1,[4]Des_Loc!A:B,2,0),"")</f>
        <v>PALMAS</v>
      </c>
    </row>
    <row r="687" spans="1:14" ht="16.5" customHeight="1" x14ac:dyDescent="0.25">
      <c r="A687" s="52">
        <v>7931218104</v>
      </c>
      <c r="B687" s="51" t="s">
        <v>1003</v>
      </c>
      <c r="C687" s="51" t="s">
        <v>1010</v>
      </c>
      <c r="D687" s="51"/>
      <c r="E687" s="51" t="s">
        <v>1005</v>
      </c>
      <c r="F687" s="51"/>
      <c r="G687" s="51"/>
      <c r="H687" s="51" t="s">
        <v>1005</v>
      </c>
      <c r="I687" s="51" t="s">
        <v>1005</v>
      </c>
      <c r="J687" s="50" t="str">
        <f t="shared" si="20"/>
        <v>7931218104.pdf</v>
      </c>
      <c r="K687" s="51" t="s">
        <v>1006</v>
      </c>
      <c r="L687" s="51" t="s">
        <v>470</v>
      </c>
      <c r="M687" s="50" t="str">
        <f t="shared" si="21"/>
        <v>34.500</v>
      </c>
      <c r="N687" s="50" t="str">
        <f>IF(A687&lt;&gt;"",VLOOKUP(RIGHT(A687,3)*1,[4]Des_Loc!A:B,2,0),"")</f>
        <v>SANTA MARIA DO TOCANTINS</v>
      </c>
    </row>
    <row r="688" spans="1:14" ht="16.5" customHeight="1" x14ac:dyDescent="0.25">
      <c r="A688" s="52">
        <v>7932028020</v>
      </c>
      <c r="B688" s="51" t="s">
        <v>1003</v>
      </c>
      <c r="C688" s="51" t="s">
        <v>1021</v>
      </c>
      <c r="D688" s="51" t="s">
        <v>1005</v>
      </c>
      <c r="E688" s="51" t="s">
        <v>1005</v>
      </c>
      <c r="F688" s="51" t="s">
        <v>1005</v>
      </c>
      <c r="G688" s="51" t="s">
        <v>1005</v>
      </c>
      <c r="H688" s="51" t="s">
        <v>1005</v>
      </c>
      <c r="I688" s="51" t="s">
        <v>1005</v>
      </c>
      <c r="J688" s="50" t="str">
        <f t="shared" si="20"/>
        <v>7932028020.pdf</v>
      </c>
      <c r="K688" s="51" t="s">
        <v>1006</v>
      </c>
      <c r="L688" s="51" t="s">
        <v>1038</v>
      </c>
      <c r="M688" s="50" t="str">
        <f t="shared" si="21"/>
        <v>34.500</v>
      </c>
      <c r="N688" s="50" t="str">
        <f>IF(A688&lt;&gt;"",VLOOKUP(RIGHT(A688,3)*1,[4]Des_Loc!A:B,2,0),"")</f>
        <v>NOVO ALEGRE</v>
      </c>
    </row>
    <row r="689" spans="1:14" ht="16.5" customHeight="1" x14ac:dyDescent="0.25">
      <c r="A689" s="52">
        <v>7932020020</v>
      </c>
      <c r="B689" s="51" t="s">
        <v>1003</v>
      </c>
      <c r="C689" s="51" t="s">
        <v>1010</v>
      </c>
      <c r="D689" s="51" t="s">
        <v>1011</v>
      </c>
      <c r="E689" s="51" t="s">
        <v>1005</v>
      </c>
      <c r="F689" s="51" t="s">
        <v>1005</v>
      </c>
      <c r="G689" s="51" t="s">
        <v>1005</v>
      </c>
      <c r="H689" s="51" t="s">
        <v>1005</v>
      </c>
      <c r="I689" s="51" t="s">
        <v>1005</v>
      </c>
      <c r="J689" s="50" t="str">
        <f t="shared" si="20"/>
        <v>7932020020.pdf</v>
      </c>
      <c r="K689" s="51" t="s">
        <v>1006</v>
      </c>
      <c r="L689" s="51" t="s">
        <v>1038</v>
      </c>
      <c r="M689" s="50" t="str">
        <f t="shared" si="21"/>
        <v>34.500</v>
      </c>
      <c r="N689" s="50" t="str">
        <f>IF(A689&lt;&gt;"",VLOOKUP(RIGHT(A689,3)*1,[4]Des_Loc!A:B,2,0),"")</f>
        <v>NOVO ALEGRE</v>
      </c>
    </row>
    <row r="690" spans="1:14" ht="16.5" customHeight="1" x14ac:dyDescent="0.25">
      <c r="A690" s="52">
        <v>7934850227</v>
      </c>
      <c r="B690" s="51" t="s">
        <v>1003</v>
      </c>
      <c r="C690" s="51" t="s">
        <v>1010</v>
      </c>
      <c r="D690" s="51"/>
      <c r="E690" s="51" t="s">
        <v>1005</v>
      </c>
      <c r="F690" s="51"/>
      <c r="G690" s="51"/>
      <c r="H690" s="51" t="s">
        <v>1005</v>
      </c>
      <c r="I690" s="51" t="s">
        <v>1005</v>
      </c>
      <c r="J690" s="50" t="str">
        <f t="shared" si="20"/>
        <v>7934850227.pdf</v>
      </c>
      <c r="K690" s="51" t="s">
        <v>1006</v>
      </c>
      <c r="L690" s="51" t="s">
        <v>470</v>
      </c>
      <c r="M690" s="50" t="str">
        <f t="shared" si="21"/>
        <v>34.500</v>
      </c>
      <c r="N690" s="50" t="str">
        <f>IF(A690&lt;&gt;"",VLOOKUP(RIGHT(A690,3)*1,[4]Des_Loc!A:B,2,0),"")</f>
        <v>RECURSOLANDIA</v>
      </c>
    </row>
    <row r="691" spans="1:14" ht="16.5" customHeight="1" x14ac:dyDescent="0.25">
      <c r="A691" s="52">
        <v>7937105148</v>
      </c>
      <c r="B691" s="51" t="s">
        <v>1003</v>
      </c>
      <c r="C691" s="51" t="s">
        <v>1021</v>
      </c>
      <c r="D691" s="51" t="s">
        <v>1005</v>
      </c>
      <c r="E691" s="51" t="s">
        <v>1005</v>
      </c>
      <c r="F691" s="51" t="s">
        <v>1005</v>
      </c>
      <c r="G691" s="51" t="s">
        <v>1005</v>
      </c>
      <c r="H691" s="51" t="s">
        <v>1005</v>
      </c>
      <c r="I691" s="51" t="s">
        <v>1005</v>
      </c>
      <c r="J691" s="50" t="str">
        <f t="shared" si="20"/>
        <v>7937105148.pdf</v>
      </c>
      <c r="K691" s="51" t="s">
        <v>1006</v>
      </c>
      <c r="L691" s="51" t="s">
        <v>406</v>
      </c>
      <c r="M691" s="50" t="str">
        <f t="shared" si="21"/>
        <v>34.500</v>
      </c>
      <c r="N691" s="50" t="str">
        <f>IF(A691&lt;&gt;"",VLOOKUP(RIGHT(A691,3)*1,[4]Des_Loc!A:B,2,0),"")</f>
        <v>SAO VALERIO DA NATIVIDADE</v>
      </c>
    </row>
    <row r="692" spans="1:14" ht="16.5" customHeight="1" x14ac:dyDescent="0.25">
      <c r="A692" s="52">
        <v>7926241200</v>
      </c>
      <c r="B692" s="51" t="s">
        <v>1003</v>
      </c>
      <c r="C692" s="51" t="s">
        <v>1010</v>
      </c>
      <c r="D692" s="51" t="s">
        <v>1011</v>
      </c>
      <c r="E692" s="51" t="s">
        <v>1005</v>
      </c>
      <c r="F692" s="51" t="s">
        <v>1005</v>
      </c>
      <c r="G692" s="51" t="s">
        <v>1005</v>
      </c>
      <c r="H692" s="51" t="s">
        <v>1005</v>
      </c>
      <c r="I692" s="51" t="s">
        <v>1005</v>
      </c>
      <c r="J692" s="50" t="str">
        <f t="shared" si="20"/>
        <v>7926241200.pdf</v>
      </c>
      <c r="K692" s="51" t="s">
        <v>1006</v>
      </c>
      <c r="L692" s="51" t="s">
        <v>1032</v>
      </c>
      <c r="M692" s="50" t="str">
        <f t="shared" si="21"/>
        <v>34.500</v>
      </c>
      <c r="N692" s="50" t="str">
        <f>IF(A692&lt;&gt;"",VLOOKUP(RIGHT(A692,3)*1,[4]Des_Loc!A:B,2,0),"")</f>
        <v>SAO SALVADOR DO TOCANTINS</v>
      </c>
    </row>
    <row r="693" spans="1:14" ht="16.5" customHeight="1" x14ac:dyDescent="0.25">
      <c r="A693" s="52">
        <v>7929658038</v>
      </c>
      <c r="B693" s="51" t="s">
        <v>1003</v>
      </c>
      <c r="C693" s="51">
        <v>2</v>
      </c>
      <c r="D693" s="51"/>
      <c r="E693" s="51" t="s">
        <v>1005</v>
      </c>
      <c r="F693" s="51"/>
      <c r="G693" s="51"/>
      <c r="H693" s="51" t="s">
        <v>1005</v>
      </c>
      <c r="I693" s="51" t="s">
        <v>1005</v>
      </c>
      <c r="J693" s="50" t="str">
        <f t="shared" si="20"/>
        <v>7929658038.pdf</v>
      </c>
      <c r="K693" s="54" t="s">
        <v>1022</v>
      </c>
      <c r="L693" s="51" t="s">
        <v>1182</v>
      </c>
      <c r="M693" s="50" t="str">
        <f t="shared" si="21"/>
        <v>13.800</v>
      </c>
      <c r="N693" s="50" t="str">
        <f>IF(A693&lt;&gt;"",VLOOKUP(RIGHT(A693,3)*1,[4]Des_Loc!A:B,2,0),"")</f>
        <v>TAGUATINGA</v>
      </c>
    </row>
    <row r="694" spans="1:14" ht="16.5" customHeight="1" x14ac:dyDescent="0.25">
      <c r="A694" s="50">
        <v>7932401256</v>
      </c>
      <c r="B694" s="51" t="s">
        <v>1003</v>
      </c>
      <c r="C694" s="51" t="s">
        <v>1021</v>
      </c>
      <c r="D694" s="51" t="s">
        <v>1005</v>
      </c>
      <c r="E694" s="51" t="s">
        <v>1005</v>
      </c>
      <c r="F694" s="51" t="s">
        <v>1005</v>
      </c>
      <c r="G694" s="51" t="s">
        <v>1005</v>
      </c>
      <c r="H694" s="51" t="s">
        <v>1005</v>
      </c>
      <c r="I694" s="51" t="s">
        <v>1005</v>
      </c>
      <c r="J694" s="50" t="str">
        <f t="shared" si="20"/>
        <v>7932401256.pdf</v>
      </c>
      <c r="K694" s="51" t="s">
        <v>1006</v>
      </c>
      <c r="L694" s="51" t="s">
        <v>518</v>
      </c>
      <c r="M694" s="50" t="str">
        <f t="shared" si="21"/>
        <v>34.500</v>
      </c>
      <c r="N694" s="50" t="str">
        <f>IF(A694&lt;&gt;"",VLOOKUP(RIGHT(A694,3)*1,[4]Des_Loc!A:B,2,0),"")</f>
        <v>MATEIROS</v>
      </c>
    </row>
    <row r="695" spans="1:14" ht="16.5" customHeight="1" x14ac:dyDescent="0.25">
      <c r="A695" s="52">
        <v>7929660038</v>
      </c>
      <c r="B695" s="51" t="s">
        <v>1003</v>
      </c>
      <c r="C695" s="51">
        <v>2</v>
      </c>
      <c r="D695" s="51"/>
      <c r="E695" s="51" t="s">
        <v>1005</v>
      </c>
      <c r="F695" s="51"/>
      <c r="G695" s="51"/>
      <c r="H695" s="51" t="s">
        <v>1005</v>
      </c>
      <c r="I695" s="51" t="s">
        <v>1005</v>
      </c>
      <c r="J695" s="50" t="str">
        <f t="shared" si="20"/>
        <v>7929660038.pdf</v>
      </c>
      <c r="K695" s="54" t="s">
        <v>1022</v>
      </c>
      <c r="L695" s="51" t="s">
        <v>1182</v>
      </c>
      <c r="M695" s="50" t="str">
        <f t="shared" si="21"/>
        <v>13.800</v>
      </c>
      <c r="N695" s="50" t="str">
        <f>IF(A695&lt;&gt;"",VLOOKUP(RIGHT(A695,3)*1,[4]Des_Loc!A:B,2,0),"")</f>
        <v>TAGUATINGA</v>
      </c>
    </row>
    <row r="696" spans="1:14" ht="16.5" customHeight="1" x14ac:dyDescent="0.25">
      <c r="A696" s="50">
        <v>7932038028</v>
      </c>
      <c r="B696" s="51" t="s">
        <v>1003</v>
      </c>
      <c r="C696" s="51" t="s">
        <v>1008</v>
      </c>
      <c r="D696" s="51"/>
      <c r="E696" s="51" t="s">
        <v>1005</v>
      </c>
      <c r="F696" s="51"/>
      <c r="G696" s="51"/>
      <c r="H696" s="51" t="s">
        <v>1005</v>
      </c>
      <c r="I696" s="51" t="s">
        <v>1005</v>
      </c>
      <c r="J696" s="50" t="str">
        <f t="shared" si="20"/>
        <v>7932038028.pdf</v>
      </c>
      <c r="K696" s="51" t="s">
        <v>1006</v>
      </c>
      <c r="L696" s="51" t="s">
        <v>1183</v>
      </c>
      <c r="M696" s="50" t="str">
        <f t="shared" si="21"/>
        <v>34.500</v>
      </c>
      <c r="N696" s="50" t="str">
        <f>IF(A696&lt;&gt;"",VLOOKUP(RIGHT(A696,3)*1,[4]Des_Loc!A:B,2,0),"")</f>
        <v>NATIVIDADE</v>
      </c>
    </row>
    <row r="697" spans="1:14" ht="16.5" customHeight="1" x14ac:dyDescent="0.25">
      <c r="A697" s="52">
        <v>7932040091</v>
      </c>
      <c r="B697" s="51" t="s">
        <v>1003</v>
      </c>
      <c r="C697" s="51">
        <v>3</v>
      </c>
      <c r="D697" s="51"/>
      <c r="E697" s="51" t="s">
        <v>1011</v>
      </c>
      <c r="F697" s="51"/>
      <c r="G697" s="51"/>
      <c r="H697" s="51" t="s">
        <v>1005</v>
      </c>
      <c r="I697" s="51" t="s">
        <v>1005</v>
      </c>
      <c r="J697" s="50" t="str">
        <f t="shared" si="20"/>
        <v>7932040091.pdf</v>
      </c>
      <c r="K697" s="51" t="s">
        <v>1006</v>
      </c>
      <c r="L697" s="51" t="s">
        <v>464</v>
      </c>
      <c r="M697" s="50" t="str">
        <f t="shared" si="21"/>
        <v>34.500</v>
      </c>
      <c r="N697" s="50" t="str">
        <f>IF(A697&lt;&gt;"",VLOOKUP(RIGHT(A697,3)*1,[4]Des_Loc!A:B,2,0),"")</f>
        <v>ALMAS</v>
      </c>
    </row>
    <row r="698" spans="1:14" ht="16.5" customHeight="1" x14ac:dyDescent="0.25">
      <c r="A698" s="52">
        <v>7934849077</v>
      </c>
      <c r="B698" s="51" t="s">
        <v>1003</v>
      </c>
      <c r="C698" s="51" t="s">
        <v>1021</v>
      </c>
      <c r="D698" s="51" t="s">
        <v>1005</v>
      </c>
      <c r="E698" s="51" t="s">
        <v>1005</v>
      </c>
      <c r="F698" s="51" t="s">
        <v>1005</v>
      </c>
      <c r="G698" s="51" t="s">
        <v>1005</v>
      </c>
      <c r="H698" s="51" t="s">
        <v>1005</v>
      </c>
      <c r="I698" s="51" t="s">
        <v>1005</v>
      </c>
      <c r="J698" s="50" t="str">
        <f t="shared" si="20"/>
        <v>7934849077.pdf</v>
      </c>
      <c r="K698" s="54" t="s">
        <v>1184</v>
      </c>
      <c r="L698" s="51" t="s">
        <v>1085</v>
      </c>
      <c r="M698" s="50" t="str">
        <f t="shared" si="21"/>
        <v>13.800</v>
      </c>
      <c r="N698" s="50" t="str">
        <f>IF(A698&lt;&gt;"",VLOOKUP(RIGHT(A698,3)*1,[4]Des_Loc!A:B,2,0),"")</f>
        <v>GOIATINS</v>
      </c>
    </row>
    <row r="699" spans="1:14" ht="16.5" customHeight="1" x14ac:dyDescent="0.25">
      <c r="A699" s="52">
        <v>7934848009</v>
      </c>
      <c r="B699" s="51" t="s">
        <v>1003</v>
      </c>
      <c r="C699" s="51">
        <v>2</v>
      </c>
      <c r="D699" s="51"/>
      <c r="E699" s="51" t="s">
        <v>1005</v>
      </c>
      <c r="F699" s="51"/>
      <c r="G699" s="51"/>
      <c r="H699" s="51" t="s">
        <v>1005</v>
      </c>
      <c r="I699" s="51" t="s">
        <v>1005</v>
      </c>
      <c r="J699" s="50" t="str">
        <f t="shared" si="20"/>
        <v>7934848009.pdf</v>
      </c>
      <c r="K699" s="51" t="s">
        <v>1022</v>
      </c>
      <c r="L699" s="51" t="s">
        <v>1185</v>
      </c>
      <c r="M699" s="50" t="str">
        <f t="shared" si="21"/>
        <v>13.800</v>
      </c>
      <c r="N699" s="50" t="str">
        <f>IF(A699&lt;&gt;"",VLOOKUP(RIGHT(A699,3)*1,[4]Des_Loc!A:B,2,0),"")</f>
        <v>GUARAI</v>
      </c>
    </row>
    <row r="700" spans="1:14" ht="16.5" customHeight="1" x14ac:dyDescent="0.25">
      <c r="A700" s="52">
        <v>7938136007</v>
      </c>
      <c r="B700" s="51" t="s">
        <v>1003</v>
      </c>
      <c r="C700" s="51" t="s">
        <v>1004</v>
      </c>
      <c r="D700" s="51" t="s">
        <v>1005</v>
      </c>
      <c r="E700" s="51" t="s">
        <v>1005</v>
      </c>
      <c r="F700" s="51" t="s">
        <v>1005</v>
      </c>
      <c r="G700" s="51" t="s">
        <v>1005</v>
      </c>
      <c r="H700" s="51" t="s">
        <v>1005</v>
      </c>
      <c r="I700" s="51" t="s">
        <v>1005</v>
      </c>
      <c r="J700" s="50" t="str">
        <f t="shared" si="20"/>
        <v>7938136007.pdf</v>
      </c>
      <c r="K700" s="54" t="s">
        <v>1006</v>
      </c>
      <c r="L700" s="51" t="s">
        <v>1129</v>
      </c>
      <c r="M700" s="50" t="str">
        <f t="shared" si="21"/>
        <v>13.800</v>
      </c>
      <c r="N700" s="50" t="str">
        <f>IF(A700&lt;&gt;"",VLOOKUP(RIGHT(A700,3)*1,[4]Des_Loc!A:B,2,0),"")</f>
        <v>MIRACEMA DO TOCANTINS</v>
      </c>
    </row>
    <row r="701" spans="1:14" ht="16.5" customHeight="1" x14ac:dyDescent="0.25">
      <c r="A701" s="52">
        <v>7936783029</v>
      </c>
      <c r="B701" s="51" t="s">
        <v>1003</v>
      </c>
      <c r="C701" s="51">
        <v>3</v>
      </c>
      <c r="D701" s="51"/>
      <c r="E701" s="51" t="s">
        <v>1005</v>
      </c>
      <c r="F701" s="51"/>
      <c r="G701" s="51"/>
      <c r="H701" s="51" t="s">
        <v>1005</v>
      </c>
      <c r="I701" s="51" t="s">
        <v>1005</v>
      </c>
      <c r="J701" s="50" t="str">
        <f t="shared" si="20"/>
        <v>7936783029.pdf</v>
      </c>
      <c r="K701" s="54" t="s">
        <v>1022</v>
      </c>
      <c r="L701" s="51" t="s">
        <v>1111</v>
      </c>
      <c r="M701" s="50" t="str">
        <f t="shared" si="21"/>
        <v>34.500</v>
      </c>
      <c r="N701" s="50" t="str">
        <f>IF(A701&lt;&gt;"",VLOOKUP(RIGHT(A701,3)*1,[4]Des_Loc!A:B,2,0),"")</f>
        <v>PALMEIROPOLIS</v>
      </c>
    </row>
    <row r="702" spans="1:14" ht="16.5" customHeight="1" x14ac:dyDescent="0.25">
      <c r="A702" s="52">
        <v>7936787029</v>
      </c>
      <c r="B702" s="51" t="s">
        <v>1003</v>
      </c>
      <c r="C702" s="51">
        <v>3</v>
      </c>
      <c r="D702" s="51"/>
      <c r="E702" s="51" t="s">
        <v>1011</v>
      </c>
      <c r="F702" s="51"/>
      <c r="G702" s="51"/>
      <c r="H702" s="51" t="s">
        <v>1005</v>
      </c>
      <c r="I702" s="51" t="s">
        <v>1005</v>
      </c>
      <c r="J702" s="50" t="str">
        <f t="shared" si="20"/>
        <v>7936787029.pdf</v>
      </c>
      <c r="K702" s="54" t="s">
        <v>1022</v>
      </c>
      <c r="L702" s="51" t="s">
        <v>1020</v>
      </c>
      <c r="M702" s="50" t="str">
        <f t="shared" si="21"/>
        <v>13.800</v>
      </c>
      <c r="N702" s="50" t="str">
        <f>IF(A702&lt;&gt;"",VLOOKUP(RIGHT(A702,3)*1,[4]Des_Loc!A:B,2,0),"")</f>
        <v>PALMEIROPOLIS</v>
      </c>
    </row>
    <row r="703" spans="1:14" ht="16.5" customHeight="1" x14ac:dyDescent="0.25">
      <c r="A703" s="50">
        <v>7936789029</v>
      </c>
      <c r="B703" s="51" t="s">
        <v>1003</v>
      </c>
      <c r="C703" s="51">
        <v>3</v>
      </c>
      <c r="D703" s="51"/>
      <c r="E703" s="51" t="s">
        <v>1005</v>
      </c>
      <c r="F703" s="51"/>
      <c r="G703" s="51"/>
      <c r="H703" s="51" t="s">
        <v>1005</v>
      </c>
      <c r="I703" s="51" t="s">
        <v>1005</v>
      </c>
      <c r="J703" s="50" t="str">
        <f t="shared" si="20"/>
        <v>7936789029.pdf</v>
      </c>
      <c r="K703" s="54" t="s">
        <v>1022</v>
      </c>
      <c r="L703" s="51" t="s">
        <v>1020</v>
      </c>
      <c r="M703" s="50" t="str">
        <f t="shared" si="21"/>
        <v>13.800</v>
      </c>
      <c r="N703" s="50" t="str">
        <f>IF(A703&lt;&gt;"",VLOOKUP(RIGHT(A703,3)*1,[4]Des_Loc!A:B,2,0),"")</f>
        <v>PALMEIROPOLIS</v>
      </c>
    </row>
    <row r="704" spans="1:14" ht="16.5" customHeight="1" x14ac:dyDescent="0.25">
      <c r="A704" s="52">
        <v>7936770029</v>
      </c>
      <c r="B704" s="51" t="s">
        <v>1003</v>
      </c>
      <c r="C704" s="51" t="s">
        <v>1004</v>
      </c>
      <c r="D704" s="51"/>
      <c r="E704" s="51" t="s">
        <v>1005</v>
      </c>
      <c r="F704" s="51"/>
      <c r="G704" s="51"/>
      <c r="H704" s="51" t="s">
        <v>1005</v>
      </c>
      <c r="I704" s="51" t="s">
        <v>1005</v>
      </c>
      <c r="J704" s="50" t="str">
        <f t="shared" si="20"/>
        <v>7936770029.pdf</v>
      </c>
      <c r="K704" s="54" t="s">
        <v>1022</v>
      </c>
      <c r="L704" s="51" t="s">
        <v>1020</v>
      </c>
      <c r="M704" s="50" t="str">
        <f t="shared" si="21"/>
        <v>13.800</v>
      </c>
      <c r="N704" s="50" t="str">
        <f>IF(A704&lt;&gt;"",VLOOKUP(RIGHT(A704,3)*1,[4]Des_Loc!A:B,2,0),"")</f>
        <v>PALMEIROPOLIS</v>
      </c>
    </row>
    <row r="705" spans="1:14" ht="16.5" customHeight="1" x14ac:dyDescent="0.25">
      <c r="A705" s="52">
        <v>7937111036</v>
      </c>
      <c r="B705" s="51" t="s">
        <v>1003</v>
      </c>
      <c r="C705" s="51" t="s">
        <v>1025</v>
      </c>
      <c r="D705" s="51" t="s">
        <v>1011</v>
      </c>
      <c r="E705" s="51" t="s">
        <v>1005</v>
      </c>
      <c r="F705" s="51" t="s">
        <v>1005</v>
      </c>
      <c r="G705" s="51" t="s">
        <v>1005</v>
      </c>
      <c r="H705" s="51" t="s">
        <v>1005</v>
      </c>
      <c r="I705" s="51" t="s">
        <v>1005</v>
      </c>
      <c r="J705" s="50" t="str">
        <f t="shared" si="20"/>
        <v>7937111036.pdf</v>
      </c>
      <c r="K705" s="54" t="s">
        <v>1022</v>
      </c>
      <c r="L705" s="51" t="s">
        <v>1039</v>
      </c>
      <c r="M705" s="50" t="str">
        <f t="shared" si="21"/>
        <v>13.800</v>
      </c>
      <c r="N705" s="50" t="str">
        <f>IF(A705&lt;&gt;"",VLOOKUP(RIGHT(A705,3)*1,[4]Des_Loc!A:B,2,0),"")</f>
        <v>ALVORADA</v>
      </c>
    </row>
    <row r="706" spans="1:14" ht="16.5" customHeight="1" x14ac:dyDescent="0.25">
      <c r="A706" s="52">
        <v>7938139013</v>
      </c>
      <c r="B706" s="51" t="s">
        <v>1003</v>
      </c>
      <c r="C706" s="51">
        <v>3</v>
      </c>
      <c r="D706" s="51"/>
      <c r="E706" s="51" t="s">
        <v>1005</v>
      </c>
      <c r="F706" s="51"/>
      <c r="G706" s="51"/>
      <c r="H706" s="51" t="s">
        <v>1005</v>
      </c>
      <c r="I706" s="51" t="s">
        <v>1005</v>
      </c>
      <c r="J706" s="50" t="str">
        <f t="shared" ref="J706:J769" si="22">CONCATENATE(A706,".pdf")</f>
        <v>7938139013.pdf</v>
      </c>
      <c r="K706" s="54" t="s">
        <v>1022</v>
      </c>
      <c r="L706" s="51" t="s">
        <v>384</v>
      </c>
      <c r="M706" s="50" t="str">
        <f t="shared" ref="M706:M769" si="23">IF(L706&lt;&gt;"",IF(LEFT(L706,2)="AL","13.800","34.500"),"")</f>
        <v>13.800</v>
      </c>
      <c r="N706" s="50" t="str">
        <f>IF(A706&lt;&gt;"",VLOOKUP(RIGHT(A706,3)*1,[4]Des_Loc!A:B,2,0),"")</f>
        <v>PARAISO DO TOCANTINS</v>
      </c>
    </row>
    <row r="707" spans="1:14" ht="16.5" customHeight="1" x14ac:dyDescent="0.25">
      <c r="A707" s="52">
        <v>7937112036</v>
      </c>
      <c r="B707" s="51" t="s">
        <v>1003</v>
      </c>
      <c r="C707" s="51">
        <v>3</v>
      </c>
      <c r="D707" s="51" t="s">
        <v>1011</v>
      </c>
      <c r="E707" s="51" t="s">
        <v>1005</v>
      </c>
      <c r="F707" s="51" t="s">
        <v>1005</v>
      </c>
      <c r="G707" s="51" t="s">
        <v>1005</v>
      </c>
      <c r="H707" s="51" t="s">
        <v>1005</v>
      </c>
      <c r="I707" s="51" t="s">
        <v>1005</v>
      </c>
      <c r="J707" s="50" t="str">
        <f t="shared" si="22"/>
        <v>7937112036.pdf</v>
      </c>
      <c r="K707" s="54" t="s">
        <v>1022</v>
      </c>
      <c r="L707" s="51" t="s">
        <v>1039</v>
      </c>
      <c r="M707" s="50" t="str">
        <f t="shared" si="23"/>
        <v>13.800</v>
      </c>
      <c r="N707" s="50" t="str">
        <f>IF(A707&lt;&gt;"",VLOOKUP(RIGHT(A707,3)*1,[4]Des_Loc!A:B,2,0),"")</f>
        <v>ALVORADA</v>
      </c>
    </row>
    <row r="708" spans="1:14" ht="16.5" customHeight="1" x14ac:dyDescent="0.25">
      <c r="A708" s="52">
        <v>7936753097</v>
      </c>
      <c r="B708" s="51" t="s">
        <v>1003</v>
      </c>
      <c r="C708" s="51">
        <v>2</v>
      </c>
      <c r="D708" s="51" t="s">
        <v>1011</v>
      </c>
      <c r="E708" s="51" t="s">
        <v>1005</v>
      </c>
      <c r="F708" s="51" t="s">
        <v>1005</v>
      </c>
      <c r="G708" s="51" t="s">
        <v>1005</v>
      </c>
      <c r="H708" s="51" t="s">
        <v>1005</v>
      </c>
      <c r="I708" s="51" t="s">
        <v>1005</v>
      </c>
      <c r="J708" s="50" t="str">
        <f t="shared" si="22"/>
        <v>7936753097.pdf</v>
      </c>
      <c r="K708" s="54" t="s">
        <v>1022</v>
      </c>
      <c r="L708" s="51" t="s">
        <v>1026</v>
      </c>
      <c r="M708" s="50" t="str">
        <f t="shared" si="23"/>
        <v>13.800</v>
      </c>
      <c r="N708" s="50" t="str">
        <f>IF(A708&lt;&gt;"",VLOOKUP(RIGHT(A708,3)*1,[4]Des_Loc!A:B,2,0),"")</f>
        <v>TALISMA</v>
      </c>
    </row>
    <row r="709" spans="1:14" ht="16.5" customHeight="1" x14ac:dyDescent="0.25">
      <c r="A709" s="52">
        <v>7936754003</v>
      </c>
      <c r="B709" s="51" t="s">
        <v>1003</v>
      </c>
      <c r="C709" s="51">
        <v>2</v>
      </c>
      <c r="D709" s="51"/>
      <c r="E709" s="51" t="s">
        <v>1005</v>
      </c>
      <c r="F709" s="51"/>
      <c r="G709" s="51"/>
      <c r="H709" s="51" t="s">
        <v>1005</v>
      </c>
      <c r="I709" s="51" t="s">
        <v>1005</v>
      </c>
      <c r="J709" s="50" t="str">
        <f t="shared" si="22"/>
        <v>7936754003.pdf</v>
      </c>
      <c r="K709" s="54" t="s">
        <v>1022</v>
      </c>
      <c r="L709" s="51" t="s">
        <v>1186</v>
      </c>
      <c r="M709" s="50" t="str">
        <f t="shared" si="23"/>
        <v>13.800</v>
      </c>
      <c r="N709" s="50" t="str">
        <f>IF(A709&lt;&gt;"",VLOOKUP(RIGHT(A709,3)*1,[4]Des_Loc!A:B,2,0),"")</f>
        <v>GURUPI</v>
      </c>
    </row>
    <row r="710" spans="1:14" ht="16.5" customHeight="1" x14ac:dyDescent="0.25">
      <c r="A710" s="52">
        <v>7937109003</v>
      </c>
      <c r="B710" s="51" t="s">
        <v>1003</v>
      </c>
      <c r="C710" s="51">
        <v>2</v>
      </c>
      <c r="D710" s="51"/>
      <c r="E710" s="51" t="s">
        <v>1005</v>
      </c>
      <c r="F710" s="51"/>
      <c r="G710" s="51"/>
      <c r="H710" s="51" t="s">
        <v>1005</v>
      </c>
      <c r="I710" s="51" t="s">
        <v>1005</v>
      </c>
      <c r="J710" s="50" t="str">
        <f t="shared" si="22"/>
        <v>7937109003.pdf</v>
      </c>
      <c r="K710" s="54" t="s">
        <v>1022</v>
      </c>
      <c r="L710" s="51" t="s">
        <v>1187</v>
      </c>
      <c r="M710" s="50" t="str">
        <f t="shared" si="23"/>
        <v>13.800</v>
      </c>
      <c r="N710" s="50" t="str">
        <f>IF(A710&lt;&gt;"",VLOOKUP(RIGHT(A710,3)*1,[4]Des_Loc!A:B,2,0),"")</f>
        <v>GURUPI</v>
      </c>
    </row>
    <row r="711" spans="1:14" ht="16.5" customHeight="1" x14ac:dyDescent="0.25">
      <c r="A711" s="52">
        <v>7937108003</v>
      </c>
      <c r="B711" s="51" t="s">
        <v>1003</v>
      </c>
      <c r="C711" s="51">
        <v>2</v>
      </c>
      <c r="D711" s="51"/>
      <c r="E711" s="51" t="s">
        <v>1005</v>
      </c>
      <c r="F711" s="51"/>
      <c r="G711" s="51"/>
      <c r="H711" s="51" t="s">
        <v>1005</v>
      </c>
      <c r="I711" s="51" t="s">
        <v>1005</v>
      </c>
      <c r="J711" s="50" t="str">
        <f t="shared" si="22"/>
        <v>7937108003.pdf</v>
      </c>
      <c r="K711" s="54" t="s">
        <v>1022</v>
      </c>
      <c r="L711" s="51" t="s">
        <v>1096</v>
      </c>
      <c r="M711" s="50" t="str">
        <f t="shared" si="23"/>
        <v>13.800</v>
      </c>
      <c r="N711" s="50" t="str">
        <f>IF(A711&lt;&gt;"",VLOOKUP(RIGHT(A711,3)*1,[4]Des_Loc!A:B,2,0),"")</f>
        <v>GURUPI</v>
      </c>
    </row>
    <row r="712" spans="1:14" ht="16.5" customHeight="1" x14ac:dyDescent="0.25">
      <c r="A712" s="52">
        <v>7937110003</v>
      </c>
      <c r="B712" s="51" t="s">
        <v>1003</v>
      </c>
      <c r="C712" s="51">
        <v>2</v>
      </c>
      <c r="D712" s="51"/>
      <c r="E712" s="51" t="s">
        <v>1005</v>
      </c>
      <c r="F712" s="51"/>
      <c r="G712" s="51"/>
      <c r="H712" s="51" t="s">
        <v>1005</v>
      </c>
      <c r="I712" s="51" t="s">
        <v>1005</v>
      </c>
      <c r="J712" s="50" t="str">
        <f t="shared" si="22"/>
        <v>7937110003.pdf</v>
      </c>
      <c r="K712" s="54" t="s">
        <v>1022</v>
      </c>
      <c r="L712" s="51" t="s">
        <v>1111</v>
      </c>
      <c r="M712" s="50" t="str">
        <f t="shared" si="23"/>
        <v>34.500</v>
      </c>
      <c r="N712" s="50" t="str">
        <f>IF(A712&lt;&gt;"",VLOOKUP(RIGHT(A712,3)*1,[4]Des_Loc!A:B,2,0),"")</f>
        <v>GURUPI</v>
      </c>
    </row>
    <row r="713" spans="1:14" ht="16.5" customHeight="1" x14ac:dyDescent="0.25">
      <c r="A713" s="52">
        <v>7937147003</v>
      </c>
      <c r="B713" s="51" t="s">
        <v>1003</v>
      </c>
      <c r="C713" s="51">
        <v>2</v>
      </c>
      <c r="D713" s="51"/>
      <c r="E713" s="51" t="s">
        <v>1005</v>
      </c>
      <c r="F713" s="51"/>
      <c r="G713" s="51"/>
      <c r="H713" s="51" t="s">
        <v>1005</v>
      </c>
      <c r="I713" s="51" t="s">
        <v>1005</v>
      </c>
      <c r="J713" s="50" t="str">
        <f t="shared" si="22"/>
        <v>7937147003.pdf</v>
      </c>
      <c r="K713" s="54" t="s">
        <v>1022</v>
      </c>
      <c r="L713" s="51" t="s">
        <v>1111</v>
      </c>
      <c r="M713" s="50" t="str">
        <f t="shared" si="23"/>
        <v>34.500</v>
      </c>
      <c r="N713" s="50" t="str">
        <f>IF(A713&lt;&gt;"",VLOOKUP(RIGHT(A713,3)*1,[4]Des_Loc!A:B,2,0),"")</f>
        <v>GURUPI</v>
      </c>
    </row>
    <row r="714" spans="1:14" ht="16.5" customHeight="1" x14ac:dyDescent="0.25">
      <c r="A714" s="52">
        <v>7930524036</v>
      </c>
      <c r="B714" s="51" t="s">
        <v>1003</v>
      </c>
      <c r="C714" s="51" t="s">
        <v>1010</v>
      </c>
      <c r="D714" s="51" t="s">
        <v>1011</v>
      </c>
      <c r="E714" s="51" t="s">
        <v>1005</v>
      </c>
      <c r="F714" s="51" t="s">
        <v>1005</v>
      </c>
      <c r="G714" s="51" t="s">
        <v>1005</v>
      </c>
      <c r="H714" s="51" t="s">
        <v>1005</v>
      </c>
      <c r="I714" s="51" t="s">
        <v>1005</v>
      </c>
      <c r="J714" s="50" t="str">
        <f t="shared" si="22"/>
        <v>7930524036.pdf</v>
      </c>
      <c r="K714" s="54" t="s">
        <v>1022</v>
      </c>
      <c r="L714" s="51" t="s">
        <v>1039</v>
      </c>
      <c r="M714" s="50" t="str">
        <f t="shared" si="23"/>
        <v>13.800</v>
      </c>
      <c r="N714" s="50" t="str">
        <f>IF(A714&lt;&gt;"",VLOOKUP(RIGHT(A714,3)*1,[4]Des_Loc!A:B,2,0),"")</f>
        <v>ALVORADA</v>
      </c>
    </row>
    <row r="715" spans="1:14" ht="16.5" customHeight="1" x14ac:dyDescent="0.25">
      <c r="A715" s="52">
        <v>7936799032</v>
      </c>
      <c r="B715" s="51" t="s">
        <v>1003</v>
      </c>
      <c r="C715" s="51" t="s">
        <v>1004</v>
      </c>
      <c r="D715" s="51" t="s">
        <v>1005</v>
      </c>
      <c r="E715" s="51" t="s">
        <v>1005</v>
      </c>
      <c r="F715" s="51" t="s">
        <v>1005</v>
      </c>
      <c r="G715" s="51" t="s">
        <v>1005</v>
      </c>
      <c r="H715" s="51" t="s">
        <v>1005</v>
      </c>
      <c r="I715" s="51" t="s">
        <v>1005</v>
      </c>
      <c r="J715" s="50" t="str">
        <f t="shared" si="22"/>
        <v>7936799032.pdf</v>
      </c>
      <c r="K715" s="51" t="s">
        <v>1006</v>
      </c>
      <c r="L715" s="51" t="s">
        <v>1037</v>
      </c>
      <c r="M715" s="50" t="str">
        <f t="shared" si="23"/>
        <v>34.500</v>
      </c>
      <c r="N715" s="50" t="str">
        <f>IF(A715&lt;&gt;"",VLOOKUP(RIGHT(A715,3)*1,[4]Des_Loc!A:B,2,0),"")</f>
        <v>ARAGUACU</v>
      </c>
    </row>
    <row r="716" spans="1:14" ht="16.5" customHeight="1" x14ac:dyDescent="0.25">
      <c r="A716" s="52">
        <v>7936793032</v>
      </c>
      <c r="B716" s="51" t="s">
        <v>1003</v>
      </c>
      <c r="C716" s="51">
        <v>2</v>
      </c>
      <c r="D716" s="51"/>
      <c r="E716" s="51" t="s">
        <v>1005</v>
      </c>
      <c r="F716" s="51"/>
      <c r="G716" s="51"/>
      <c r="H716" s="51" t="s">
        <v>1005</v>
      </c>
      <c r="I716" s="51" t="s">
        <v>1005</v>
      </c>
      <c r="J716" s="50" t="str">
        <f t="shared" si="22"/>
        <v>7936793032.pdf</v>
      </c>
      <c r="K716" s="54" t="s">
        <v>1022</v>
      </c>
      <c r="L716" s="51" t="s">
        <v>1188</v>
      </c>
      <c r="M716" s="50" t="str">
        <f t="shared" si="23"/>
        <v>13.800</v>
      </c>
      <c r="N716" s="50" t="str">
        <f>IF(A716&lt;&gt;"",VLOOKUP(RIGHT(A716,3)*1,[4]Des_Loc!A:B,2,0),"")</f>
        <v>ARAGUACU</v>
      </c>
    </row>
    <row r="717" spans="1:14" ht="16.5" customHeight="1" x14ac:dyDescent="0.25">
      <c r="A717" s="52">
        <v>7931104059</v>
      </c>
      <c r="B717" s="51" t="s">
        <v>1003</v>
      </c>
      <c r="C717" s="51">
        <v>2</v>
      </c>
      <c r="D717" s="51"/>
      <c r="E717" s="51" t="s">
        <v>1005</v>
      </c>
      <c r="F717" s="51"/>
      <c r="G717" s="51"/>
      <c r="H717" s="51" t="s">
        <v>1005</v>
      </c>
      <c r="I717" s="51" t="s">
        <v>1005</v>
      </c>
      <c r="J717" s="50" t="str">
        <f t="shared" si="22"/>
        <v>7931104059.pdf</v>
      </c>
      <c r="K717" s="54" t="s">
        <v>1022</v>
      </c>
      <c r="L717" s="51" t="s">
        <v>1189</v>
      </c>
      <c r="M717" s="50" t="str">
        <f t="shared" si="23"/>
        <v>13.800</v>
      </c>
      <c r="N717" s="50" t="str">
        <f>IF(A717&lt;&gt;"",VLOOKUP(RIGHT(A717,3)*1,[4]Des_Loc!A:B,2,0),"")</f>
        <v>TAQUARALTO</v>
      </c>
    </row>
    <row r="718" spans="1:14" ht="16.5" customHeight="1" x14ac:dyDescent="0.25">
      <c r="A718" s="52">
        <v>7938137007</v>
      </c>
      <c r="B718" s="51" t="s">
        <v>1003</v>
      </c>
      <c r="C718" s="51" t="s">
        <v>1004</v>
      </c>
      <c r="D718" s="51"/>
      <c r="E718" s="51" t="s">
        <v>1005</v>
      </c>
      <c r="F718" s="51"/>
      <c r="G718" s="51"/>
      <c r="H718" s="51" t="s">
        <v>1005</v>
      </c>
      <c r="I718" s="51" t="s">
        <v>1005</v>
      </c>
      <c r="J718" s="50" t="str">
        <f t="shared" si="22"/>
        <v>7938137007.pdf</v>
      </c>
      <c r="K718" s="54" t="s">
        <v>1022</v>
      </c>
      <c r="L718" s="51" t="s">
        <v>436</v>
      </c>
      <c r="M718" s="50" t="str">
        <f t="shared" si="23"/>
        <v>13.800</v>
      </c>
      <c r="N718" s="50" t="str">
        <f>IF(A718&lt;&gt;"",VLOOKUP(RIGHT(A718,3)*1,[4]Des_Loc!A:B,2,0),"")</f>
        <v>MIRACEMA DO TOCANTINS</v>
      </c>
    </row>
    <row r="719" spans="1:14" ht="16.5" customHeight="1" x14ac:dyDescent="0.25">
      <c r="A719" s="52">
        <v>7932450001</v>
      </c>
      <c r="B719" s="51" t="s">
        <v>1003</v>
      </c>
      <c r="C719" s="51">
        <v>3</v>
      </c>
      <c r="D719" s="51"/>
      <c r="E719" s="51" t="s">
        <v>1005</v>
      </c>
      <c r="F719" s="51"/>
      <c r="G719" s="51"/>
      <c r="H719" s="51" t="s">
        <v>1005</v>
      </c>
      <c r="I719" s="51" t="s">
        <v>1005</v>
      </c>
      <c r="J719" s="50" t="str">
        <f t="shared" si="22"/>
        <v>7932450001.pdf</v>
      </c>
      <c r="K719" s="54" t="s">
        <v>1022</v>
      </c>
      <c r="L719" s="51" t="s">
        <v>1190</v>
      </c>
      <c r="M719" s="50" t="str">
        <f t="shared" si="23"/>
        <v>13.800</v>
      </c>
      <c r="N719" s="50" t="str">
        <f>IF(A719&lt;&gt;"",VLOOKUP(RIGHT(A719,3)*1,[4]Des_Loc!A:B,2,0),"")</f>
        <v>PORTO NACIONAL</v>
      </c>
    </row>
    <row r="720" spans="1:14" ht="16.5" customHeight="1" x14ac:dyDescent="0.25">
      <c r="A720" s="52">
        <v>7937520122</v>
      </c>
      <c r="B720" s="51" t="s">
        <v>1003</v>
      </c>
      <c r="C720" s="51" t="s">
        <v>1021</v>
      </c>
      <c r="D720" s="51"/>
      <c r="E720" s="51" t="s">
        <v>1005</v>
      </c>
      <c r="F720" s="51"/>
      <c r="G720" s="51"/>
      <c r="H720" s="51" t="s">
        <v>1005</v>
      </c>
      <c r="I720" s="51" t="s">
        <v>1005</v>
      </c>
      <c r="J720" s="50" t="str">
        <f t="shared" si="22"/>
        <v>7937520122.pdf</v>
      </c>
      <c r="K720" s="54" t="s">
        <v>1022</v>
      </c>
      <c r="L720" s="51" t="s">
        <v>1073</v>
      </c>
      <c r="M720" s="50" t="str">
        <f t="shared" si="23"/>
        <v>13.800</v>
      </c>
      <c r="N720" s="50" t="str">
        <f>IF(A720&lt;&gt;"",VLOOKUP(RIGHT(A720,3)*1,[4]Des_Loc!A:B,2,0),"")</f>
        <v>PALMAS</v>
      </c>
    </row>
    <row r="721" spans="1:14" ht="16.5" customHeight="1" x14ac:dyDescent="0.25">
      <c r="A721" s="52">
        <v>7937506122</v>
      </c>
      <c r="B721" s="51" t="s">
        <v>1003</v>
      </c>
      <c r="C721" s="51" t="s">
        <v>1004</v>
      </c>
      <c r="D721" s="51"/>
      <c r="E721" s="51" t="s">
        <v>1005</v>
      </c>
      <c r="F721" s="51"/>
      <c r="G721" s="51"/>
      <c r="H721" s="51" t="s">
        <v>1005</v>
      </c>
      <c r="I721" s="51" t="s">
        <v>1005</v>
      </c>
      <c r="J721" s="50" t="str">
        <f t="shared" si="22"/>
        <v>7937506122.pdf</v>
      </c>
      <c r="K721" s="54" t="s">
        <v>1022</v>
      </c>
      <c r="L721" s="51" t="s">
        <v>1088</v>
      </c>
      <c r="M721" s="50" t="str">
        <f t="shared" si="23"/>
        <v>13.800</v>
      </c>
      <c r="N721" s="50" t="str">
        <f>IF(A721&lt;&gt;"",VLOOKUP(RIGHT(A721,3)*1,[4]Des_Loc!A:B,2,0),"")</f>
        <v>PALMAS</v>
      </c>
    </row>
    <row r="722" spans="1:14" ht="16.5" customHeight="1" x14ac:dyDescent="0.25">
      <c r="A722" s="52">
        <v>7937535059</v>
      </c>
      <c r="B722" s="51" t="s">
        <v>1003</v>
      </c>
      <c r="C722" s="51">
        <v>3</v>
      </c>
      <c r="D722" s="51" t="s">
        <v>1011</v>
      </c>
      <c r="E722" s="51" t="s">
        <v>1011</v>
      </c>
      <c r="F722" s="51" t="s">
        <v>1005</v>
      </c>
      <c r="G722" s="51" t="s">
        <v>1005</v>
      </c>
      <c r="H722" s="51" t="s">
        <v>1005</v>
      </c>
      <c r="I722" s="51" t="s">
        <v>1005</v>
      </c>
      <c r="J722" s="50" t="str">
        <f t="shared" si="22"/>
        <v>7937535059.pdf</v>
      </c>
      <c r="K722" s="51" t="s">
        <v>1009</v>
      </c>
      <c r="L722" s="51" t="s">
        <v>571</v>
      </c>
      <c r="M722" s="50" t="str">
        <f t="shared" si="23"/>
        <v>34.500</v>
      </c>
      <c r="N722" s="50" t="str">
        <f>IF(A722&lt;&gt;"",VLOOKUP(RIGHT(A722,3)*1,[4]Des_Loc!A:B,2,0),"")</f>
        <v>TAQUARALTO</v>
      </c>
    </row>
    <row r="723" spans="1:14" ht="16.5" customHeight="1" x14ac:dyDescent="0.25">
      <c r="A723" s="52">
        <v>7931560007</v>
      </c>
      <c r="B723" s="51" t="s">
        <v>1003</v>
      </c>
      <c r="C723" s="51">
        <v>3</v>
      </c>
      <c r="D723" s="51"/>
      <c r="E723" s="51" t="s">
        <v>1005</v>
      </c>
      <c r="F723" s="51"/>
      <c r="G723" s="51"/>
      <c r="H723" s="51" t="s">
        <v>1005</v>
      </c>
      <c r="I723" s="51" t="s">
        <v>1005</v>
      </c>
      <c r="J723" s="50" t="str">
        <f t="shared" si="22"/>
        <v>7931560007.pdf</v>
      </c>
      <c r="K723" s="51" t="s">
        <v>1009</v>
      </c>
      <c r="L723" s="51" t="s">
        <v>1139</v>
      </c>
      <c r="M723" s="50" t="str">
        <f t="shared" si="23"/>
        <v>34.500</v>
      </c>
      <c r="N723" s="50" t="str">
        <f>IF(A723&lt;&gt;"",VLOOKUP(RIGHT(A723,3)*1,[4]Des_Loc!A:B,2,0),"")</f>
        <v>MIRACEMA DO TOCANTINS</v>
      </c>
    </row>
    <row r="724" spans="1:14" ht="16.5" customHeight="1" x14ac:dyDescent="0.25">
      <c r="A724" s="52">
        <v>7932030072</v>
      </c>
      <c r="B724" s="51" t="s">
        <v>1003</v>
      </c>
      <c r="C724" s="51" t="s">
        <v>1021</v>
      </c>
      <c r="D724" s="51" t="s">
        <v>1005</v>
      </c>
      <c r="E724" s="51" t="s">
        <v>1005</v>
      </c>
      <c r="F724" s="51" t="s">
        <v>1005</v>
      </c>
      <c r="G724" s="51" t="s">
        <v>1005</v>
      </c>
      <c r="H724" s="51" t="s">
        <v>1005</v>
      </c>
      <c r="I724" s="51" t="s">
        <v>1005</v>
      </c>
      <c r="J724" s="50" t="str">
        <f t="shared" si="22"/>
        <v>7932030072.pdf</v>
      </c>
      <c r="K724" s="51" t="s">
        <v>1006</v>
      </c>
      <c r="L724" s="51" t="s">
        <v>331</v>
      </c>
      <c r="M724" s="50" t="str">
        <f t="shared" si="23"/>
        <v>34.500</v>
      </c>
      <c r="N724" s="50" t="str">
        <f>IF(A724&lt;&gt;"",VLOOKUP(RIGHT(A724,3)*1,[4]Des_Loc!A:B,2,0),"")</f>
        <v>CONCEICAO DO TOCANTINS</v>
      </c>
    </row>
    <row r="725" spans="1:14" ht="16.5" customHeight="1" x14ac:dyDescent="0.25">
      <c r="A725" s="52">
        <v>7938135086</v>
      </c>
      <c r="B725" s="51" t="s">
        <v>1003</v>
      </c>
      <c r="C725" s="51" t="s">
        <v>1025</v>
      </c>
      <c r="D725" s="51" t="s">
        <v>1011</v>
      </c>
      <c r="E725" s="51" t="s">
        <v>1005</v>
      </c>
      <c r="F725" s="51" t="s">
        <v>1005</v>
      </c>
      <c r="G725" s="51" t="s">
        <v>1005</v>
      </c>
      <c r="H725" s="51" t="s">
        <v>1005</v>
      </c>
      <c r="I725" s="51" t="s">
        <v>1005</v>
      </c>
      <c r="J725" s="50" t="str">
        <f t="shared" si="22"/>
        <v>7938135086.pdf</v>
      </c>
      <c r="K725" s="51" t="s">
        <v>1009</v>
      </c>
      <c r="L725" s="51" t="s">
        <v>1042</v>
      </c>
      <c r="M725" s="50" t="str">
        <f t="shared" si="23"/>
        <v>34.500</v>
      </c>
      <c r="N725" s="50" t="str">
        <f>IF(A725&lt;&gt;"",VLOOKUP(RIGHT(A725,3)*1,[4]Des_Loc!A:B,2,0),"")</f>
        <v>MARIANOPOLIS</v>
      </c>
    </row>
    <row r="726" spans="1:14" ht="16.5" customHeight="1" x14ac:dyDescent="0.25">
      <c r="A726" s="52">
        <v>7927820008</v>
      </c>
      <c r="B726" s="51" t="s">
        <v>1003</v>
      </c>
      <c r="C726" s="51">
        <v>2</v>
      </c>
      <c r="D726" s="51"/>
      <c r="E726" s="51" t="s">
        <v>1005</v>
      </c>
      <c r="F726" s="51"/>
      <c r="G726" s="51"/>
      <c r="H726" s="51" t="s">
        <v>1005</v>
      </c>
      <c r="I726" s="51" t="s">
        <v>1005</v>
      </c>
      <c r="J726" s="50" t="str">
        <f t="shared" si="22"/>
        <v>7927820008.pdf</v>
      </c>
      <c r="K726" s="54" t="s">
        <v>1022</v>
      </c>
      <c r="L726" s="51" t="s">
        <v>1191</v>
      </c>
      <c r="M726" s="50" t="str">
        <f t="shared" si="23"/>
        <v>13.800</v>
      </c>
      <c r="N726" s="50" t="str">
        <f>IF(A726&lt;&gt;"",VLOOKUP(RIGHT(A726,3)*1,[4]Des_Loc!A:B,2,0),"")</f>
        <v>MIRANORTE</v>
      </c>
    </row>
    <row r="727" spans="1:14" ht="16.5" customHeight="1" x14ac:dyDescent="0.25">
      <c r="A727" s="52">
        <v>7938048113</v>
      </c>
      <c r="B727" s="51" t="s">
        <v>1003</v>
      </c>
      <c r="C727" s="51" t="s">
        <v>1008</v>
      </c>
      <c r="D727" s="51"/>
      <c r="E727" s="51" t="s">
        <v>1005</v>
      </c>
      <c r="F727" s="51"/>
      <c r="G727" s="51"/>
      <c r="H727" s="51" t="s">
        <v>1005</v>
      </c>
      <c r="I727" s="51" t="s">
        <v>1005</v>
      </c>
      <c r="J727" s="50" t="str">
        <f t="shared" si="22"/>
        <v>7938048113.pdf</v>
      </c>
      <c r="K727" s="51" t="s">
        <v>1006</v>
      </c>
      <c r="L727" s="51" t="s">
        <v>1047</v>
      </c>
      <c r="M727" s="50" t="str">
        <f t="shared" si="23"/>
        <v>34.500</v>
      </c>
      <c r="N727" s="50" t="str">
        <f>IF(A727&lt;&gt;"",VLOOKUP(RIGHT(A727,3)*1,[4]Des_Loc!A:B,2,0),"")</f>
        <v>COUTO MAGALHAES</v>
      </c>
    </row>
    <row r="728" spans="1:14" ht="16.5" customHeight="1" x14ac:dyDescent="0.25">
      <c r="A728" s="52">
        <v>7937521059</v>
      </c>
      <c r="B728" s="51" t="s">
        <v>1003</v>
      </c>
      <c r="C728" s="51">
        <v>2</v>
      </c>
      <c r="D728" s="51" t="s">
        <v>1011</v>
      </c>
      <c r="E728" s="51" t="s">
        <v>1005</v>
      </c>
      <c r="F728" s="51" t="s">
        <v>1005</v>
      </c>
      <c r="G728" s="51" t="s">
        <v>1005</v>
      </c>
      <c r="H728" s="51" t="s">
        <v>1005</v>
      </c>
      <c r="I728" s="51" t="s">
        <v>1005</v>
      </c>
      <c r="J728" s="50" t="str">
        <f t="shared" si="22"/>
        <v>7937521059.pdf</v>
      </c>
      <c r="K728" s="54" t="s">
        <v>1022</v>
      </c>
      <c r="L728" s="51" t="s">
        <v>1189</v>
      </c>
      <c r="M728" s="50" t="str">
        <f t="shared" si="23"/>
        <v>13.800</v>
      </c>
      <c r="N728" s="50" t="str">
        <f>IF(A728&lt;&gt;"",VLOOKUP(RIGHT(A728,3)*1,[4]Des_Loc!A:B,2,0),"")</f>
        <v>TAQUARALTO</v>
      </c>
    </row>
    <row r="729" spans="1:14" ht="16.5" customHeight="1" x14ac:dyDescent="0.25">
      <c r="A729" s="52">
        <v>7937107003</v>
      </c>
      <c r="B729" s="51" t="s">
        <v>1003</v>
      </c>
      <c r="C729" s="51">
        <v>2</v>
      </c>
      <c r="D729" s="51"/>
      <c r="E729" s="51" t="s">
        <v>1005</v>
      </c>
      <c r="F729" s="51"/>
      <c r="G729" s="51"/>
      <c r="H729" s="51" t="s">
        <v>1005</v>
      </c>
      <c r="I729" s="51" t="s">
        <v>1005</v>
      </c>
      <c r="J729" s="50" t="str">
        <f t="shared" si="22"/>
        <v>7937107003.pdf</v>
      </c>
      <c r="K729" s="54" t="s">
        <v>1022</v>
      </c>
      <c r="L729" s="51" t="s">
        <v>1187</v>
      </c>
      <c r="M729" s="50" t="str">
        <f t="shared" si="23"/>
        <v>13.800</v>
      </c>
      <c r="N729" s="50" t="str">
        <f>IF(A729&lt;&gt;"",VLOOKUP(RIGHT(A729,3)*1,[4]Des_Loc!A:B,2,0),"")</f>
        <v>GURUPI</v>
      </c>
    </row>
    <row r="730" spans="1:14" ht="16.5" customHeight="1" x14ac:dyDescent="0.25">
      <c r="A730" s="52">
        <v>7931628122</v>
      </c>
      <c r="B730" s="51" t="s">
        <v>1003</v>
      </c>
      <c r="C730" s="51">
        <v>2</v>
      </c>
      <c r="D730" s="51"/>
      <c r="E730" s="51" t="s">
        <v>1005</v>
      </c>
      <c r="F730" s="51"/>
      <c r="G730" s="51"/>
      <c r="H730" s="51" t="s">
        <v>1005</v>
      </c>
      <c r="I730" s="51" t="s">
        <v>1005</v>
      </c>
      <c r="J730" s="50" t="str">
        <f t="shared" si="22"/>
        <v>7931628122.pdf</v>
      </c>
      <c r="K730" s="51" t="s">
        <v>1006</v>
      </c>
      <c r="L730" s="51" t="s">
        <v>1192</v>
      </c>
      <c r="M730" s="50" t="str">
        <f t="shared" si="23"/>
        <v>13.800</v>
      </c>
      <c r="N730" s="50" t="str">
        <f>IF(A730&lt;&gt;"",VLOOKUP(RIGHT(A730,3)*1,[4]Des_Loc!A:B,2,0),"")</f>
        <v>PALMAS</v>
      </c>
    </row>
    <row r="731" spans="1:14" ht="16.5" customHeight="1" x14ac:dyDescent="0.25">
      <c r="A731" s="52">
        <v>7937102148</v>
      </c>
      <c r="B731" s="51" t="s">
        <v>1003</v>
      </c>
      <c r="C731" s="51" t="s">
        <v>1008</v>
      </c>
      <c r="D731" s="51" t="s">
        <v>1011</v>
      </c>
      <c r="E731" s="51" t="s">
        <v>1011</v>
      </c>
      <c r="F731" s="51" t="s">
        <v>1005</v>
      </c>
      <c r="G731" s="51" t="s">
        <v>1005</v>
      </c>
      <c r="H731" s="51" t="s">
        <v>1005</v>
      </c>
      <c r="I731" s="51" t="s">
        <v>1005</v>
      </c>
      <c r="J731" s="50" t="str">
        <f t="shared" si="22"/>
        <v>7937102148.pdf</v>
      </c>
      <c r="K731" s="51" t="s">
        <v>1006</v>
      </c>
      <c r="L731" s="51" t="s">
        <v>406</v>
      </c>
      <c r="M731" s="50" t="str">
        <f t="shared" si="23"/>
        <v>34.500</v>
      </c>
      <c r="N731" s="50" t="str">
        <f>IF(A731&lt;&gt;"",VLOOKUP(RIGHT(A731,3)*1,[4]Des_Loc!A:B,2,0),"")</f>
        <v>SAO VALERIO DA NATIVIDADE</v>
      </c>
    </row>
    <row r="732" spans="1:14" ht="16.5" customHeight="1" x14ac:dyDescent="0.25">
      <c r="A732" s="52">
        <v>7931556013</v>
      </c>
      <c r="B732" s="51" t="s">
        <v>1003</v>
      </c>
      <c r="C732" s="51">
        <v>2</v>
      </c>
      <c r="D732" s="51"/>
      <c r="E732" s="51" t="s">
        <v>1005</v>
      </c>
      <c r="F732" s="51"/>
      <c r="G732" s="51"/>
      <c r="H732" s="51" t="s">
        <v>1005</v>
      </c>
      <c r="I732" s="51" t="s">
        <v>1005</v>
      </c>
      <c r="J732" s="50" t="str">
        <f t="shared" si="22"/>
        <v>7931556013.pdf</v>
      </c>
      <c r="K732" s="54" t="s">
        <v>1022</v>
      </c>
      <c r="L732" s="51" t="s">
        <v>1100</v>
      </c>
      <c r="M732" s="50" t="str">
        <f t="shared" si="23"/>
        <v>13.800</v>
      </c>
      <c r="N732" s="50" t="str">
        <f>IF(A732&lt;&gt;"",VLOOKUP(RIGHT(A732,3)*1,[4]Des_Loc!A:B,2,0),"")</f>
        <v>PARAISO DO TOCANTINS</v>
      </c>
    </row>
    <row r="733" spans="1:14" ht="16.5" customHeight="1" x14ac:dyDescent="0.25">
      <c r="A733" s="52">
        <v>7932921189</v>
      </c>
      <c r="B733" s="51" t="s">
        <v>1003</v>
      </c>
      <c r="C733" s="51">
        <v>3</v>
      </c>
      <c r="D733" s="51" t="s">
        <v>1011</v>
      </c>
      <c r="E733" s="51" t="s">
        <v>1005</v>
      </c>
      <c r="F733" s="51" t="s">
        <v>1011</v>
      </c>
      <c r="G733" s="51" t="s">
        <v>1005</v>
      </c>
      <c r="H733" s="51" t="s">
        <v>1005</v>
      </c>
      <c r="I733" s="51" t="s">
        <v>1011</v>
      </c>
      <c r="J733" s="50" t="str">
        <f t="shared" si="22"/>
        <v>7932921189.pdf</v>
      </c>
      <c r="K733" s="51" t="s">
        <v>1006</v>
      </c>
      <c r="L733" s="51" t="s">
        <v>1193</v>
      </c>
      <c r="M733" s="50" t="str">
        <f t="shared" si="23"/>
        <v>13.800</v>
      </c>
      <c r="N733" s="50" t="str">
        <f>IF(A733&lt;&gt;"",VLOOKUP(RIGHT(A733,3)*1,[4]Des_Loc!A:B,2,0),"")</f>
        <v>NOVA PINHEROPOLIS</v>
      </c>
    </row>
    <row r="734" spans="1:14" ht="16.5" customHeight="1" x14ac:dyDescent="0.25">
      <c r="A734" s="52">
        <v>7913660051</v>
      </c>
      <c r="B734" s="51" t="s">
        <v>1003</v>
      </c>
      <c r="C734" s="51">
        <v>3</v>
      </c>
      <c r="D734" s="51" t="s">
        <v>1005</v>
      </c>
      <c r="E734" s="51" t="s">
        <v>1005</v>
      </c>
      <c r="F734" s="51" t="s">
        <v>1005</v>
      </c>
      <c r="G734" s="51" t="s">
        <v>1005</v>
      </c>
      <c r="H734" s="51" t="s">
        <v>1005</v>
      </c>
      <c r="I734" s="51" t="s">
        <v>1005</v>
      </c>
      <c r="J734" s="50" t="str">
        <f t="shared" si="22"/>
        <v>7913660051.pdf</v>
      </c>
      <c r="K734" s="51" t="s">
        <v>1009</v>
      </c>
      <c r="L734" s="51" t="s">
        <v>1038</v>
      </c>
      <c r="M734" s="50" t="str">
        <f t="shared" si="23"/>
        <v>34.500</v>
      </c>
      <c r="N734" s="50" t="str">
        <f>IF(A734&lt;&gt;"",VLOOKUP(RIGHT(A734,3)*1,[4]Des_Loc!A:B,2,0),"")</f>
        <v>LAVANDEIRA</v>
      </c>
    </row>
    <row r="735" spans="1:14" ht="16.5" customHeight="1" x14ac:dyDescent="0.25">
      <c r="A735" s="52">
        <v>7933526003</v>
      </c>
      <c r="B735" s="51" t="s">
        <v>1003</v>
      </c>
      <c r="C735" s="51">
        <v>2</v>
      </c>
      <c r="D735" s="51"/>
      <c r="E735" s="51" t="s">
        <v>1005</v>
      </c>
      <c r="F735" s="51"/>
      <c r="G735" s="51"/>
      <c r="H735" s="51" t="s">
        <v>1005</v>
      </c>
      <c r="I735" s="51" t="s">
        <v>1005</v>
      </c>
      <c r="J735" s="50" t="str">
        <f t="shared" si="22"/>
        <v>7933526003.pdf</v>
      </c>
      <c r="K735" s="51" t="s">
        <v>1006</v>
      </c>
      <c r="L735" s="51" t="s">
        <v>1168</v>
      </c>
      <c r="M735" s="50" t="str">
        <f t="shared" si="23"/>
        <v>13.800</v>
      </c>
      <c r="N735" s="50" t="str">
        <f>IF(A735&lt;&gt;"",VLOOKUP(RIGHT(A735,3)*1,[4]Des_Loc!A:B,2,0),"")</f>
        <v>GURUPI</v>
      </c>
    </row>
    <row r="736" spans="1:14" ht="16.5" customHeight="1" x14ac:dyDescent="0.25">
      <c r="A736" s="52">
        <v>7933640003</v>
      </c>
      <c r="B736" s="51" t="s">
        <v>1003</v>
      </c>
      <c r="C736" s="51" t="s">
        <v>1021</v>
      </c>
      <c r="D736" s="51"/>
      <c r="E736" s="51" t="s">
        <v>1005</v>
      </c>
      <c r="F736" s="51"/>
      <c r="G736" s="51"/>
      <c r="H736" s="51" t="s">
        <v>1005</v>
      </c>
      <c r="I736" s="51" t="s">
        <v>1005</v>
      </c>
      <c r="J736" s="50" t="str">
        <f t="shared" si="22"/>
        <v>7933640003.pdf</v>
      </c>
      <c r="K736" s="51" t="s">
        <v>1006</v>
      </c>
      <c r="L736" s="51" t="s">
        <v>1050</v>
      </c>
      <c r="M736" s="50" t="str">
        <f t="shared" si="23"/>
        <v>13.800</v>
      </c>
      <c r="N736" s="50" t="str">
        <f>IF(A736&lt;&gt;"",VLOOKUP(RIGHT(A736,3)*1,[4]Des_Loc!A:B,2,0),"")</f>
        <v>GURUPI</v>
      </c>
    </row>
    <row r="737" spans="1:14" ht="16.5" customHeight="1" x14ac:dyDescent="0.25">
      <c r="A737" s="52">
        <v>7931913015</v>
      </c>
      <c r="B737" s="51" t="s">
        <v>1003</v>
      </c>
      <c r="C737" s="51" t="s">
        <v>1025</v>
      </c>
      <c r="D737" s="51" t="s">
        <v>1011</v>
      </c>
      <c r="E737" s="51" t="s">
        <v>1005</v>
      </c>
      <c r="F737" s="51" t="s">
        <v>1005</v>
      </c>
      <c r="G737" s="51" t="s">
        <v>1005</v>
      </c>
      <c r="H737" s="51" t="s">
        <v>1005</v>
      </c>
      <c r="I737" s="51" t="s">
        <v>1005</v>
      </c>
      <c r="J737" s="50" t="str">
        <f t="shared" si="22"/>
        <v>7931913015.pdf</v>
      </c>
      <c r="K737" s="51" t="s">
        <v>1022</v>
      </c>
      <c r="L737" s="51" t="s">
        <v>368</v>
      </c>
      <c r="M737" s="50" t="str">
        <f t="shared" si="23"/>
        <v>13.800</v>
      </c>
      <c r="N737" s="50" t="str">
        <f>IF(A737&lt;&gt;"",VLOOKUP(RIGHT(A737,3)*1,[4]Des_Loc!A:B,2,0),"")</f>
        <v>PEDRO AFONSO</v>
      </c>
    </row>
    <row r="738" spans="1:14" ht="16.5" customHeight="1" x14ac:dyDescent="0.25">
      <c r="A738" s="52">
        <v>7934655004</v>
      </c>
      <c r="B738" s="51" t="s">
        <v>1003</v>
      </c>
      <c r="C738" s="51" t="s">
        <v>1004</v>
      </c>
      <c r="D738" s="51" t="s">
        <v>1011</v>
      </c>
      <c r="E738" s="51" t="s">
        <v>1005</v>
      </c>
      <c r="F738" s="51" t="s">
        <v>1005</v>
      </c>
      <c r="G738" s="51" t="s">
        <v>1005</v>
      </c>
      <c r="H738" s="51" t="s">
        <v>1005</v>
      </c>
      <c r="I738" s="51" t="s">
        <v>1005</v>
      </c>
      <c r="J738" s="50" t="str">
        <f t="shared" si="22"/>
        <v>7934655004.pdf</v>
      </c>
      <c r="K738" s="51" t="s">
        <v>1006</v>
      </c>
      <c r="L738" s="51" t="s">
        <v>1148</v>
      </c>
      <c r="M738" s="50" t="str">
        <f t="shared" si="23"/>
        <v>13.800</v>
      </c>
      <c r="N738" s="50" t="str">
        <f>IF(A738&lt;&gt;"",VLOOKUP(RIGHT(A738,3)*1,[4]Des_Loc!A:B,2,0),"")</f>
        <v>ARAGUAINA</v>
      </c>
    </row>
    <row r="739" spans="1:14" ht="16.5" customHeight="1" x14ac:dyDescent="0.25">
      <c r="A739" s="52">
        <v>7934680004</v>
      </c>
      <c r="B739" s="51" t="s">
        <v>1003</v>
      </c>
      <c r="C739" s="51">
        <v>2</v>
      </c>
      <c r="D739" s="51"/>
      <c r="E739" s="51" t="s">
        <v>1005</v>
      </c>
      <c r="F739" s="51"/>
      <c r="G739" s="51"/>
      <c r="H739" s="51" t="s">
        <v>1005</v>
      </c>
      <c r="I739" s="51" t="s">
        <v>1005</v>
      </c>
      <c r="J739" s="50" t="str">
        <f t="shared" si="22"/>
        <v>7934680004.pdf</v>
      </c>
      <c r="K739" s="51" t="s">
        <v>1006</v>
      </c>
      <c r="L739" s="51" t="s">
        <v>1147</v>
      </c>
      <c r="M739" s="50" t="str">
        <f t="shared" si="23"/>
        <v>13.800</v>
      </c>
      <c r="N739" s="50" t="str">
        <f>IF(A739&lt;&gt;"",VLOOKUP(RIGHT(A739,3)*1,[4]Des_Loc!A:B,2,0),"")</f>
        <v>ARAGUAINA</v>
      </c>
    </row>
    <row r="740" spans="1:14" ht="16.5" customHeight="1" x14ac:dyDescent="0.25">
      <c r="A740" s="52">
        <v>7900106004</v>
      </c>
      <c r="B740" s="51" t="s">
        <v>1003</v>
      </c>
      <c r="C740" s="51">
        <v>2</v>
      </c>
      <c r="D740" s="51"/>
      <c r="E740" s="51" t="s">
        <v>1005</v>
      </c>
      <c r="F740" s="51"/>
      <c r="G740" s="51"/>
      <c r="H740" s="51" t="s">
        <v>1005</v>
      </c>
      <c r="I740" s="51" t="s">
        <v>1005</v>
      </c>
      <c r="J740" s="50" t="str">
        <f t="shared" si="22"/>
        <v>7900106004.pdf</v>
      </c>
      <c r="K740" s="51" t="s">
        <v>1006</v>
      </c>
      <c r="L740" s="51" t="s">
        <v>1147</v>
      </c>
      <c r="M740" s="50" t="str">
        <f t="shared" si="23"/>
        <v>13.800</v>
      </c>
      <c r="N740" s="50" t="str">
        <f>IF(A740&lt;&gt;"",VLOOKUP(RIGHT(A740,3)*1,[4]Des_Loc!A:B,2,0),"")</f>
        <v>ARAGUAINA</v>
      </c>
    </row>
    <row r="741" spans="1:14" ht="16.5" customHeight="1" x14ac:dyDescent="0.25">
      <c r="A741" s="52">
        <v>7934678004</v>
      </c>
      <c r="B741" s="51" t="s">
        <v>1003</v>
      </c>
      <c r="C741" s="51">
        <v>3</v>
      </c>
      <c r="D741" s="51"/>
      <c r="E741" s="51" t="s">
        <v>1005</v>
      </c>
      <c r="F741" s="51"/>
      <c r="G741" s="51"/>
      <c r="H741" s="51" t="s">
        <v>1005</v>
      </c>
      <c r="I741" s="51" t="s">
        <v>1005</v>
      </c>
      <c r="J741" s="50" t="str">
        <f t="shared" si="22"/>
        <v>7934678004.pdf</v>
      </c>
      <c r="K741" s="51" t="s">
        <v>1006</v>
      </c>
      <c r="L741" s="51" t="s">
        <v>1091</v>
      </c>
      <c r="M741" s="50" t="str">
        <f t="shared" si="23"/>
        <v>13.800</v>
      </c>
      <c r="N741" s="50" t="str">
        <f>IF(A741&lt;&gt;"",VLOOKUP(RIGHT(A741,3)*1,[4]Des_Loc!A:B,2,0),"")</f>
        <v>ARAGUAINA</v>
      </c>
    </row>
    <row r="742" spans="1:14" ht="16.5" customHeight="1" x14ac:dyDescent="0.25">
      <c r="A742" s="52">
        <v>7900252004</v>
      </c>
      <c r="B742" s="51" t="s">
        <v>1003</v>
      </c>
      <c r="C742" s="51">
        <v>2</v>
      </c>
      <c r="D742" s="51"/>
      <c r="E742" s="51" t="s">
        <v>1005</v>
      </c>
      <c r="F742" s="51"/>
      <c r="G742" s="51"/>
      <c r="H742" s="51" t="s">
        <v>1005</v>
      </c>
      <c r="I742" s="51" t="s">
        <v>1005</v>
      </c>
      <c r="J742" s="50" t="str">
        <f t="shared" si="22"/>
        <v>7900252004.pdf</v>
      </c>
      <c r="K742" s="51" t="s">
        <v>1006</v>
      </c>
      <c r="L742" s="51" t="s">
        <v>1091</v>
      </c>
      <c r="M742" s="50" t="str">
        <f t="shared" si="23"/>
        <v>13.800</v>
      </c>
      <c r="N742" s="50" t="str">
        <f>IF(A742&lt;&gt;"",VLOOKUP(RIGHT(A742,3)*1,[4]Des_Loc!A:B,2,0),"")</f>
        <v>ARAGUAINA</v>
      </c>
    </row>
    <row r="743" spans="1:14" ht="16.5" customHeight="1" x14ac:dyDescent="0.25">
      <c r="A743" s="50">
        <v>7934669004</v>
      </c>
      <c r="B743" s="51" t="s">
        <v>1003</v>
      </c>
      <c r="C743" s="51" t="s">
        <v>1004</v>
      </c>
      <c r="D743" s="51"/>
      <c r="E743" s="51" t="s">
        <v>1005</v>
      </c>
      <c r="F743" s="51"/>
      <c r="G743" s="51"/>
      <c r="H743" s="51" t="s">
        <v>1005</v>
      </c>
      <c r="I743" s="51" t="s">
        <v>1005</v>
      </c>
      <c r="J743" s="50" t="str">
        <f t="shared" si="22"/>
        <v>7934669004.pdf</v>
      </c>
      <c r="K743" s="51" t="s">
        <v>1006</v>
      </c>
      <c r="L743" s="51" t="s">
        <v>1178</v>
      </c>
      <c r="M743" s="50" t="str">
        <f t="shared" si="23"/>
        <v>13.800</v>
      </c>
      <c r="N743" s="50" t="str">
        <f>IF(A743&lt;&gt;"",VLOOKUP(RIGHT(A743,3)*1,[4]Des_Loc!A:B,2,0),"")</f>
        <v>ARAGUAINA</v>
      </c>
    </row>
    <row r="744" spans="1:14" ht="16.5" customHeight="1" x14ac:dyDescent="0.25">
      <c r="A744" s="52">
        <v>7900436004</v>
      </c>
      <c r="B744" s="51" t="s">
        <v>1003</v>
      </c>
      <c r="C744" s="51">
        <v>2</v>
      </c>
      <c r="D744" s="51" t="s">
        <v>1011</v>
      </c>
      <c r="E744" s="51" t="s">
        <v>1005</v>
      </c>
      <c r="F744" s="51" t="s">
        <v>1011</v>
      </c>
      <c r="G744" s="51" t="s">
        <v>1011</v>
      </c>
      <c r="H744" s="51" t="s">
        <v>1005</v>
      </c>
      <c r="I744" s="51" t="s">
        <v>1011</v>
      </c>
      <c r="J744" s="50" t="str">
        <f t="shared" si="22"/>
        <v>7900436004.pdf</v>
      </c>
      <c r="K744" s="51" t="s">
        <v>1006</v>
      </c>
      <c r="L744" s="51" t="s">
        <v>1165</v>
      </c>
      <c r="M744" s="50" t="str">
        <f t="shared" si="23"/>
        <v>13.800</v>
      </c>
      <c r="N744" s="50" t="str">
        <f>IF(A744&lt;&gt;"",VLOOKUP(RIGHT(A744,3)*1,[4]Des_Loc!A:B,2,0),"")</f>
        <v>ARAGUAINA</v>
      </c>
    </row>
    <row r="745" spans="1:14" ht="16.5" customHeight="1" x14ac:dyDescent="0.25">
      <c r="A745" s="52">
        <v>7910001004</v>
      </c>
      <c r="B745" s="51" t="s">
        <v>1003</v>
      </c>
      <c r="C745" s="51" t="s">
        <v>1025</v>
      </c>
      <c r="D745" s="51"/>
      <c r="E745" s="51" t="s">
        <v>1005</v>
      </c>
      <c r="F745" s="51"/>
      <c r="G745" s="51"/>
      <c r="H745" s="51" t="s">
        <v>1005</v>
      </c>
      <c r="I745" s="51" t="s">
        <v>1005</v>
      </c>
      <c r="J745" s="50" t="str">
        <f t="shared" si="22"/>
        <v>7910001004.pdf</v>
      </c>
      <c r="K745" s="51" t="s">
        <v>1006</v>
      </c>
      <c r="L745" s="51" t="s">
        <v>1178</v>
      </c>
      <c r="M745" s="50" t="str">
        <f t="shared" si="23"/>
        <v>13.800</v>
      </c>
      <c r="N745" s="50" t="str">
        <f>IF(A745&lt;&gt;"",VLOOKUP(RIGHT(A745,3)*1,[4]Des_Loc!A:B,2,0),"")</f>
        <v>ARAGUAINA</v>
      </c>
    </row>
    <row r="746" spans="1:14" ht="16.5" customHeight="1" x14ac:dyDescent="0.25">
      <c r="A746" s="52">
        <v>7900464004</v>
      </c>
      <c r="B746" s="51" t="s">
        <v>1003</v>
      </c>
      <c r="C746" s="51">
        <v>2</v>
      </c>
      <c r="D746" s="51"/>
      <c r="E746" s="51" t="s">
        <v>1005</v>
      </c>
      <c r="F746" s="51"/>
      <c r="G746" s="51"/>
      <c r="H746" s="51" t="s">
        <v>1005</v>
      </c>
      <c r="I746" s="51" t="s">
        <v>1005</v>
      </c>
      <c r="J746" s="50" t="str">
        <f t="shared" si="22"/>
        <v>7900464004.pdf</v>
      </c>
      <c r="K746" s="51" t="s">
        <v>1006</v>
      </c>
      <c r="L746" s="51" t="s">
        <v>1092</v>
      </c>
      <c r="M746" s="50" t="str">
        <f t="shared" si="23"/>
        <v>13.800</v>
      </c>
      <c r="N746" s="50" t="str">
        <f>IF(A746&lt;&gt;"",VLOOKUP(RIGHT(A746,3)*1,[4]Des_Loc!A:B,2,0),"")</f>
        <v>ARAGUAINA</v>
      </c>
    </row>
    <row r="747" spans="1:14" ht="16.5" customHeight="1" x14ac:dyDescent="0.25">
      <c r="A747" s="52">
        <v>7935704004</v>
      </c>
      <c r="B747" s="51" t="s">
        <v>1003</v>
      </c>
      <c r="C747" s="51">
        <v>2</v>
      </c>
      <c r="D747" s="51"/>
      <c r="E747" s="51" t="s">
        <v>1005</v>
      </c>
      <c r="F747" s="51"/>
      <c r="G747" s="51"/>
      <c r="H747" s="51" t="s">
        <v>1005</v>
      </c>
      <c r="I747" s="51" t="s">
        <v>1005</v>
      </c>
      <c r="J747" s="50" t="str">
        <f t="shared" si="22"/>
        <v>7935704004.pdf</v>
      </c>
      <c r="K747" s="51" t="s">
        <v>1006</v>
      </c>
      <c r="L747" s="51" t="s">
        <v>1194</v>
      </c>
      <c r="M747" s="50" t="str">
        <f t="shared" si="23"/>
        <v>13.800</v>
      </c>
      <c r="N747" s="50" t="str">
        <f>IF(A747&lt;&gt;"",VLOOKUP(RIGHT(A747,3)*1,[4]Des_Loc!A:B,2,0),"")</f>
        <v>ARAGUAINA</v>
      </c>
    </row>
    <row r="748" spans="1:14" ht="16.5" customHeight="1" x14ac:dyDescent="0.25">
      <c r="A748" s="52">
        <v>7934682004</v>
      </c>
      <c r="B748" s="51" t="s">
        <v>1003</v>
      </c>
      <c r="C748" s="51">
        <v>2</v>
      </c>
      <c r="D748" s="51"/>
      <c r="E748" s="51" t="s">
        <v>1005</v>
      </c>
      <c r="F748" s="51"/>
      <c r="G748" s="51"/>
      <c r="H748" s="51" t="s">
        <v>1005</v>
      </c>
      <c r="I748" s="51" t="s">
        <v>1005</v>
      </c>
      <c r="J748" s="50" t="str">
        <f t="shared" si="22"/>
        <v>7934682004.pdf</v>
      </c>
      <c r="K748" s="51" t="s">
        <v>1006</v>
      </c>
      <c r="L748" s="51" t="s">
        <v>1121</v>
      </c>
      <c r="M748" s="50" t="str">
        <f t="shared" si="23"/>
        <v>13.800</v>
      </c>
      <c r="N748" s="50" t="str">
        <f>IF(A748&lt;&gt;"",VLOOKUP(RIGHT(A748,3)*1,[4]Des_Loc!A:B,2,0),"")</f>
        <v>ARAGUAINA</v>
      </c>
    </row>
    <row r="749" spans="1:14" ht="16.5" customHeight="1" x14ac:dyDescent="0.25">
      <c r="A749" s="52">
        <v>7935865004</v>
      </c>
      <c r="B749" s="51" t="s">
        <v>1003</v>
      </c>
      <c r="C749" s="51">
        <v>2</v>
      </c>
      <c r="D749" s="51"/>
      <c r="E749" s="51" t="s">
        <v>1005</v>
      </c>
      <c r="F749" s="51"/>
      <c r="G749" s="51"/>
      <c r="H749" s="51" t="s">
        <v>1005</v>
      </c>
      <c r="I749" s="51" t="s">
        <v>1005</v>
      </c>
      <c r="J749" s="50" t="str">
        <f t="shared" si="22"/>
        <v>7935865004.pdf</v>
      </c>
      <c r="K749" s="51" t="s">
        <v>1006</v>
      </c>
      <c r="L749" s="51" t="s">
        <v>1121</v>
      </c>
      <c r="M749" s="50" t="str">
        <f t="shared" si="23"/>
        <v>13.800</v>
      </c>
      <c r="N749" s="50" t="str">
        <f>IF(A749&lt;&gt;"",VLOOKUP(RIGHT(A749,3)*1,[4]Des_Loc!A:B,2,0),"")</f>
        <v>ARAGUAINA</v>
      </c>
    </row>
    <row r="750" spans="1:14" ht="16.5" customHeight="1" x14ac:dyDescent="0.25">
      <c r="A750" s="52">
        <v>7934628004</v>
      </c>
      <c r="B750" s="51" t="s">
        <v>1003</v>
      </c>
      <c r="C750" s="51" t="s">
        <v>1021</v>
      </c>
      <c r="D750" s="51"/>
      <c r="E750" s="51" t="s">
        <v>1005</v>
      </c>
      <c r="F750" s="51"/>
      <c r="G750" s="51"/>
      <c r="H750" s="51" t="s">
        <v>1005</v>
      </c>
      <c r="I750" s="51" t="s">
        <v>1005</v>
      </c>
      <c r="J750" s="50" t="str">
        <f t="shared" si="22"/>
        <v>7934628004.pdf</v>
      </c>
      <c r="K750" s="51" t="s">
        <v>1006</v>
      </c>
      <c r="L750" s="51" t="s">
        <v>1121</v>
      </c>
      <c r="M750" s="50" t="str">
        <f t="shared" si="23"/>
        <v>13.800</v>
      </c>
      <c r="N750" s="50" t="str">
        <f>IF(A750&lt;&gt;"",VLOOKUP(RIGHT(A750,3)*1,[4]Des_Loc!A:B,2,0),"")</f>
        <v>ARAGUAINA</v>
      </c>
    </row>
    <row r="751" spans="1:14" ht="16.5" customHeight="1" x14ac:dyDescent="0.25">
      <c r="A751" s="52">
        <v>7900482004</v>
      </c>
      <c r="B751" s="51" t="s">
        <v>1003</v>
      </c>
      <c r="C751" s="51">
        <v>2</v>
      </c>
      <c r="D751" s="51"/>
      <c r="E751" s="51" t="s">
        <v>1005</v>
      </c>
      <c r="F751" s="51"/>
      <c r="G751" s="51"/>
      <c r="H751" s="51" t="s">
        <v>1005</v>
      </c>
      <c r="I751" s="51" t="s">
        <v>1005</v>
      </c>
      <c r="J751" s="50" t="str">
        <f t="shared" si="22"/>
        <v>7900482004.pdf</v>
      </c>
      <c r="K751" s="51" t="s">
        <v>1006</v>
      </c>
      <c r="L751" s="51" t="s">
        <v>1121</v>
      </c>
      <c r="M751" s="50" t="str">
        <f t="shared" si="23"/>
        <v>13.800</v>
      </c>
      <c r="N751" s="50" t="str">
        <f>IF(A751&lt;&gt;"",VLOOKUP(RIGHT(A751,3)*1,[4]Des_Loc!A:B,2,0),"")</f>
        <v>ARAGUAINA</v>
      </c>
    </row>
    <row r="752" spans="1:14" ht="16.5" customHeight="1" x14ac:dyDescent="0.25">
      <c r="A752" s="52">
        <v>7935866004</v>
      </c>
      <c r="B752" s="51" t="s">
        <v>1003</v>
      </c>
      <c r="C752" s="51" t="s">
        <v>1004</v>
      </c>
      <c r="D752" s="51" t="s">
        <v>1011</v>
      </c>
      <c r="E752" s="51" t="s">
        <v>1005</v>
      </c>
      <c r="F752" s="51" t="s">
        <v>1011</v>
      </c>
      <c r="G752" s="51" t="s">
        <v>1011</v>
      </c>
      <c r="H752" s="51" t="s">
        <v>1005</v>
      </c>
      <c r="I752" s="51" t="s">
        <v>1005</v>
      </c>
      <c r="J752" s="50" t="str">
        <f t="shared" si="22"/>
        <v>7935866004.pdf</v>
      </c>
      <c r="K752" s="51" t="s">
        <v>1006</v>
      </c>
      <c r="L752" s="51" t="s">
        <v>1165</v>
      </c>
      <c r="M752" s="50" t="str">
        <f t="shared" si="23"/>
        <v>13.800</v>
      </c>
      <c r="N752" s="50" t="str">
        <f>IF(A752&lt;&gt;"",VLOOKUP(RIGHT(A752,3)*1,[4]Des_Loc!A:B,2,0),"")</f>
        <v>ARAGUAINA</v>
      </c>
    </row>
    <row r="753" spans="1:14" ht="16.5" customHeight="1" x14ac:dyDescent="0.25">
      <c r="A753" s="52">
        <v>7935863004</v>
      </c>
      <c r="B753" s="51" t="s">
        <v>1003</v>
      </c>
      <c r="C753" s="51">
        <v>2</v>
      </c>
      <c r="D753" s="51"/>
      <c r="E753" s="51" t="s">
        <v>1005</v>
      </c>
      <c r="F753" s="51"/>
      <c r="G753" s="51"/>
      <c r="H753" s="51" t="s">
        <v>1005</v>
      </c>
      <c r="I753" s="51" t="s">
        <v>1005</v>
      </c>
      <c r="J753" s="50" t="str">
        <f t="shared" si="22"/>
        <v>7935863004.pdf</v>
      </c>
      <c r="K753" s="51" t="s">
        <v>1006</v>
      </c>
      <c r="L753" s="51" t="s">
        <v>1149</v>
      </c>
      <c r="M753" s="50" t="str">
        <f t="shared" si="23"/>
        <v>13.800</v>
      </c>
      <c r="N753" s="50" t="str">
        <f>IF(A753&lt;&gt;"",VLOOKUP(RIGHT(A753,3)*1,[4]Des_Loc!A:B,2,0),"")</f>
        <v>ARAGUAINA</v>
      </c>
    </row>
    <row r="754" spans="1:14" ht="16.5" customHeight="1" x14ac:dyDescent="0.25">
      <c r="A754" s="52">
        <v>7935864004</v>
      </c>
      <c r="B754" s="51" t="s">
        <v>1003</v>
      </c>
      <c r="C754" s="51">
        <v>2</v>
      </c>
      <c r="D754" s="51"/>
      <c r="E754" s="51" t="s">
        <v>1005</v>
      </c>
      <c r="F754" s="51"/>
      <c r="G754" s="51"/>
      <c r="H754" s="51" t="s">
        <v>1005</v>
      </c>
      <c r="I754" s="51" t="s">
        <v>1005</v>
      </c>
      <c r="J754" s="50" t="str">
        <f t="shared" si="22"/>
        <v>7935864004.pdf</v>
      </c>
      <c r="K754" s="51" t="s">
        <v>1006</v>
      </c>
      <c r="L754" s="51" t="s">
        <v>1065</v>
      </c>
      <c r="M754" s="50" t="str">
        <f t="shared" si="23"/>
        <v>13.800</v>
      </c>
      <c r="N754" s="50" t="str">
        <f>IF(A754&lt;&gt;"",VLOOKUP(RIGHT(A754,3)*1,[4]Des_Loc!A:B,2,0),"")</f>
        <v>ARAGUAINA</v>
      </c>
    </row>
    <row r="755" spans="1:14" ht="16.5" customHeight="1" x14ac:dyDescent="0.25">
      <c r="A755" s="52">
        <v>7936400004</v>
      </c>
      <c r="B755" s="51" t="s">
        <v>1003</v>
      </c>
      <c r="C755" s="51">
        <v>2</v>
      </c>
      <c r="D755" s="51"/>
      <c r="E755" s="51" t="s">
        <v>1005</v>
      </c>
      <c r="F755" s="51"/>
      <c r="G755" s="51"/>
      <c r="H755" s="51" t="s">
        <v>1005</v>
      </c>
      <c r="I755" s="51" t="s">
        <v>1005</v>
      </c>
      <c r="J755" s="50" t="str">
        <f t="shared" si="22"/>
        <v>7936400004.pdf</v>
      </c>
      <c r="K755" s="51" t="s">
        <v>1006</v>
      </c>
      <c r="L755" s="51" t="s">
        <v>1065</v>
      </c>
      <c r="M755" s="50" t="str">
        <f t="shared" si="23"/>
        <v>13.800</v>
      </c>
      <c r="N755" s="50" t="str">
        <f>IF(A755&lt;&gt;"",VLOOKUP(RIGHT(A755,3)*1,[4]Des_Loc!A:B,2,0),"")</f>
        <v>ARAGUAINA</v>
      </c>
    </row>
    <row r="756" spans="1:14" ht="16.5" customHeight="1" x14ac:dyDescent="0.25">
      <c r="A756" s="52">
        <v>7935858004</v>
      </c>
      <c r="B756" s="51" t="s">
        <v>1003</v>
      </c>
      <c r="C756" s="51">
        <v>2</v>
      </c>
      <c r="D756" s="51"/>
      <c r="E756" s="51" t="s">
        <v>1005</v>
      </c>
      <c r="F756" s="51"/>
      <c r="G756" s="51"/>
      <c r="H756" s="51" t="s">
        <v>1005</v>
      </c>
      <c r="I756" s="51" t="s">
        <v>1005</v>
      </c>
      <c r="J756" s="50" t="str">
        <f t="shared" si="22"/>
        <v>7935858004.pdf</v>
      </c>
      <c r="K756" s="51" t="s">
        <v>1006</v>
      </c>
      <c r="L756" s="51" t="s">
        <v>1065</v>
      </c>
      <c r="M756" s="50" t="str">
        <f t="shared" si="23"/>
        <v>13.800</v>
      </c>
      <c r="N756" s="50" t="str">
        <f>IF(A756&lt;&gt;"",VLOOKUP(RIGHT(A756,3)*1,[4]Des_Loc!A:B,2,0),"")</f>
        <v>ARAGUAINA</v>
      </c>
    </row>
    <row r="757" spans="1:14" ht="16.5" customHeight="1" x14ac:dyDescent="0.25">
      <c r="A757" s="52">
        <v>7902218004</v>
      </c>
      <c r="B757" s="51" t="s">
        <v>1003</v>
      </c>
      <c r="C757" s="51">
        <v>2</v>
      </c>
      <c r="D757" s="51"/>
      <c r="E757" s="51" t="s">
        <v>1005</v>
      </c>
      <c r="F757" s="51"/>
      <c r="G757" s="51"/>
      <c r="H757" s="51" t="s">
        <v>1005</v>
      </c>
      <c r="I757" s="51" t="s">
        <v>1005</v>
      </c>
      <c r="J757" s="50" t="str">
        <f t="shared" si="22"/>
        <v>7902218004.pdf</v>
      </c>
      <c r="K757" s="51" t="s">
        <v>1006</v>
      </c>
      <c r="L757" s="51" t="s">
        <v>606</v>
      </c>
      <c r="M757" s="50" t="str">
        <f t="shared" si="23"/>
        <v>13.800</v>
      </c>
      <c r="N757" s="50" t="str">
        <f>IF(A757&lt;&gt;"",VLOOKUP(RIGHT(A757,3)*1,[4]Des_Loc!A:B,2,0),"")</f>
        <v>ARAGUAINA</v>
      </c>
    </row>
    <row r="758" spans="1:14" ht="16.5" customHeight="1" x14ac:dyDescent="0.25">
      <c r="A758" s="52">
        <v>7935867004</v>
      </c>
      <c r="B758" s="51" t="s">
        <v>1003</v>
      </c>
      <c r="C758" s="51">
        <v>2</v>
      </c>
      <c r="D758" s="51"/>
      <c r="E758" s="51" t="s">
        <v>1005</v>
      </c>
      <c r="F758" s="51"/>
      <c r="G758" s="51"/>
      <c r="H758" s="51" t="s">
        <v>1005</v>
      </c>
      <c r="I758" s="51" t="s">
        <v>1005</v>
      </c>
      <c r="J758" s="50" t="str">
        <f t="shared" si="22"/>
        <v>7935867004.pdf</v>
      </c>
      <c r="K758" s="51" t="s">
        <v>1006</v>
      </c>
      <c r="L758" s="51" t="s">
        <v>606</v>
      </c>
      <c r="M758" s="50" t="str">
        <f t="shared" si="23"/>
        <v>13.800</v>
      </c>
      <c r="N758" s="50" t="str">
        <f>IF(A758&lt;&gt;"",VLOOKUP(RIGHT(A758,3)*1,[4]Des_Loc!A:B,2,0),"")</f>
        <v>ARAGUAINA</v>
      </c>
    </row>
    <row r="759" spans="1:14" ht="16.5" customHeight="1" x14ac:dyDescent="0.25">
      <c r="A759" s="52">
        <v>7900182004</v>
      </c>
      <c r="B759" s="51" t="s">
        <v>1003</v>
      </c>
      <c r="C759" s="51">
        <v>2</v>
      </c>
      <c r="D759" s="51"/>
      <c r="E759" s="51" t="s">
        <v>1005</v>
      </c>
      <c r="F759" s="51"/>
      <c r="G759" s="51"/>
      <c r="H759" s="51" t="s">
        <v>1005</v>
      </c>
      <c r="I759" s="51" t="s">
        <v>1005</v>
      </c>
      <c r="J759" s="50" t="str">
        <f t="shared" si="22"/>
        <v>7900182004.pdf</v>
      </c>
      <c r="K759" s="51" t="s">
        <v>1006</v>
      </c>
      <c r="L759" s="51" t="s">
        <v>1122</v>
      </c>
      <c r="M759" s="50" t="str">
        <f t="shared" si="23"/>
        <v>13.800</v>
      </c>
      <c r="N759" s="50" t="str">
        <f>IF(A759&lt;&gt;"",VLOOKUP(RIGHT(A759,3)*1,[4]Des_Loc!A:B,2,0),"")</f>
        <v>ARAGUAINA</v>
      </c>
    </row>
    <row r="760" spans="1:14" ht="16.5" customHeight="1" x14ac:dyDescent="0.25">
      <c r="A760" s="52">
        <v>7934846119</v>
      </c>
      <c r="B760" s="51" t="s">
        <v>1003</v>
      </c>
      <c r="C760" s="51" t="s">
        <v>1010</v>
      </c>
      <c r="D760" s="51" t="s">
        <v>1011</v>
      </c>
      <c r="E760" s="51" t="s">
        <v>1005</v>
      </c>
      <c r="F760" s="51" t="s">
        <v>1005</v>
      </c>
      <c r="G760" s="51" t="s">
        <v>1005</v>
      </c>
      <c r="H760" s="51" t="s">
        <v>1005</v>
      </c>
      <c r="I760" s="51" t="s">
        <v>1005</v>
      </c>
      <c r="J760" s="50" t="str">
        <f t="shared" si="22"/>
        <v>7934846119.pdf</v>
      </c>
      <c r="K760" s="51" t="s">
        <v>1006</v>
      </c>
      <c r="L760" s="51" t="s">
        <v>453</v>
      </c>
      <c r="M760" s="50" t="str">
        <f t="shared" si="23"/>
        <v>34.500</v>
      </c>
      <c r="N760" s="50" t="str">
        <f>IF(A760&lt;&gt;"",VLOOKUP(RIGHT(A760,3)*1,[4]Des_Loc!A:B,2,0),"")</f>
        <v>SAO BENTO DO TOCANTINS</v>
      </c>
    </row>
    <row r="761" spans="1:14" ht="16.5" customHeight="1" x14ac:dyDescent="0.25">
      <c r="A761" s="52">
        <v>7834814098</v>
      </c>
      <c r="B761" s="51" t="s">
        <v>1003</v>
      </c>
      <c r="C761" s="51">
        <v>3</v>
      </c>
      <c r="D761" s="51" t="s">
        <v>1011</v>
      </c>
      <c r="E761" s="51" t="s">
        <v>1005</v>
      </c>
      <c r="F761" s="51" t="s">
        <v>1005</v>
      </c>
      <c r="G761" s="51" t="s">
        <v>1005</v>
      </c>
      <c r="H761" s="51" t="s">
        <v>1005</v>
      </c>
      <c r="I761" s="51" t="s">
        <v>1005</v>
      </c>
      <c r="J761" s="50" t="str">
        <f t="shared" si="22"/>
        <v>7834814098.pdf</v>
      </c>
      <c r="K761" s="54" t="s">
        <v>1022</v>
      </c>
      <c r="L761" s="51" t="s">
        <v>1160</v>
      </c>
      <c r="M761" s="50" t="str">
        <f t="shared" si="23"/>
        <v>34.500</v>
      </c>
      <c r="N761" s="50" t="str">
        <f>IF(A761&lt;&gt;"",VLOOKUP(RIGHT(A761,3)*1,[4]Des_Loc!A:B,2,0),"")</f>
        <v>ANANAS</v>
      </c>
    </row>
    <row r="762" spans="1:14" ht="16.5" customHeight="1" x14ac:dyDescent="0.25">
      <c r="A762" s="52">
        <v>7838113073</v>
      </c>
      <c r="B762" s="51" t="s">
        <v>1003</v>
      </c>
      <c r="C762" s="51" t="s">
        <v>1010</v>
      </c>
      <c r="D762" s="51" t="s">
        <v>1011</v>
      </c>
      <c r="E762" s="51" t="s">
        <v>1011</v>
      </c>
      <c r="F762" s="51" t="s">
        <v>1005</v>
      </c>
      <c r="G762" s="51" t="s">
        <v>1005</v>
      </c>
      <c r="H762" s="51" t="s">
        <v>1005</v>
      </c>
      <c r="I762" s="51" t="s">
        <v>1005</v>
      </c>
      <c r="J762" s="50" t="str">
        <f t="shared" si="22"/>
        <v>7838113073.pdf</v>
      </c>
      <c r="K762" s="51" t="s">
        <v>1022</v>
      </c>
      <c r="L762" s="51" t="s">
        <v>1137</v>
      </c>
      <c r="M762" s="50" t="str">
        <f t="shared" si="23"/>
        <v>34.500</v>
      </c>
      <c r="N762" s="50" t="str">
        <f>IF(A762&lt;&gt;"",VLOOKUP(RIGHT(A762,3)*1,[4]Des_Loc!A:B,2,0),"")</f>
        <v>LAGOA DA CONFUSAO</v>
      </c>
    </row>
    <row r="763" spans="1:14" ht="16.5" customHeight="1" x14ac:dyDescent="0.25">
      <c r="A763" s="52">
        <v>7933993003</v>
      </c>
      <c r="B763" s="51" t="s">
        <v>1003</v>
      </c>
      <c r="C763" s="51">
        <v>2</v>
      </c>
      <c r="D763" s="51"/>
      <c r="E763" s="51" t="s">
        <v>1005</v>
      </c>
      <c r="F763" s="51"/>
      <c r="G763" s="51"/>
      <c r="H763" s="51" t="s">
        <v>1005</v>
      </c>
      <c r="I763" s="51" t="s">
        <v>1005</v>
      </c>
      <c r="J763" s="50" t="str">
        <f t="shared" si="22"/>
        <v>7933993003.pdf</v>
      </c>
      <c r="K763" s="51" t="s">
        <v>1006</v>
      </c>
      <c r="L763" s="51" t="s">
        <v>1111</v>
      </c>
      <c r="M763" s="50" t="str">
        <f t="shared" si="23"/>
        <v>34.500</v>
      </c>
      <c r="N763" s="50" t="str">
        <f>IF(A763&lt;&gt;"",VLOOKUP(RIGHT(A763,3)*1,[4]Des_Loc!A:B,2,0),"")</f>
        <v>GURUPI</v>
      </c>
    </row>
    <row r="764" spans="1:14" ht="16.5" customHeight="1" x14ac:dyDescent="0.25">
      <c r="A764" s="52">
        <v>7955677003</v>
      </c>
      <c r="B764" s="51" t="s">
        <v>1003</v>
      </c>
      <c r="C764" s="51">
        <v>2</v>
      </c>
      <c r="D764" s="51" t="s">
        <v>1005</v>
      </c>
      <c r="E764" s="51" t="s">
        <v>1005</v>
      </c>
      <c r="F764" s="51" t="s">
        <v>1005</v>
      </c>
      <c r="G764" s="51" t="s">
        <v>1005</v>
      </c>
      <c r="H764" s="51" t="s">
        <v>1005</v>
      </c>
      <c r="I764" s="51" t="s">
        <v>1005</v>
      </c>
      <c r="J764" s="50" t="str">
        <f t="shared" si="22"/>
        <v>7955677003.pdf</v>
      </c>
      <c r="K764" s="51" t="s">
        <v>1006</v>
      </c>
      <c r="L764" s="51" t="s">
        <v>1195</v>
      </c>
      <c r="M764" s="50" t="str">
        <f t="shared" si="23"/>
        <v>13.800</v>
      </c>
      <c r="N764" s="50" t="str">
        <f>IF(A764&lt;&gt;"",VLOOKUP(RIGHT(A764,3)*1,[4]Des_Loc!A:B,2,0),"")</f>
        <v>GURUPI</v>
      </c>
    </row>
    <row r="765" spans="1:14" ht="16.5" customHeight="1" x14ac:dyDescent="0.25">
      <c r="A765" s="52">
        <v>7915030003</v>
      </c>
      <c r="B765" s="51" t="s">
        <v>1003</v>
      </c>
      <c r="C765" s="51">
        <v>2</v>
      </c>
      <c r="D765" s="51"/>
      <c r="E765" s="51" t="s">
        <v>1005</v>
      </c>
      <c r="F765" s="51"/>
      <c r="G765" s="51"/>
      <c r="H765" s="51" t="s">
        <v>1005</v>
      </c>
      <c r="I765" s="51" t="s">
        <v>1005</v>
      </c>
      <c r="J765" s="50" t="str">
        <f t="shared" si="22"/>
        <v>7915030003.pdf</v>
      </c>
      <c r="K765" s="51" t="s">
        <v>1006</v>
      </c>
      <c r="L765" s="51" t="s">
        <v>1196</v>
      </c>
      <c r="M765" s="50" t="str">
        <f t="shared" si="23"/>
        <v>13.800</v>
      </c>
      <c r="N765" s="50" t="str">
        <f>IF(A765&lt;&gt;"",VLOOKUP(RIGHT(A765,3)*1,[4]Des_Loc!A:B,2,0),"")</f>
        <v>GURUPI</v>
      </c>
    </row>
    <row r="766" spans="1:14" ht="16.5" customHeight="1" x14ac:dyDescent="0.25">
      <c r="A766" s="52">
        <v>7933992003</v>
      </c>
      <c r="B766" s="51" t="s">
        <v>1003</v>
      </c>
      <c r="C766" s="51">
        <v>2</v>
      </c>
      <c r="D766" s="51"/>
      <c r="E766" s="51" t="s">
        <v>1005</v>
      </c>
      <c r="F766" s="51"/>
      <c r="G766" s="51"/>
      <c r="H766" s="51" t="s">
        <v>1005</v>
      </c>
      <c r="I766" s="51" t="s">
        <v>1005</v>
      </c>
      <c r="J766" s="50" t="str">
        <f t="shared" si="22"/>
        <v>7933992003.pdf</v>
      </c>
      <c r="K766" s="51" t="s">
        <v>1006</v>
      </c>
      <c r="L766" s="51" t="s">
        <v>1197</v>
      </c>
      <c r="M766" s="50" t="str">
        <f t="shared" si="23"/>
        <v>13.800</v>
      </c>
      <c r="N766" s="50" t="str">
        <f>IF(A766&lt;&gt;"",VLOOKUP(RIGHT(A766,3)*1,[4]Des_Loc!A:B,2,0),"")</f>
        <v>GURUPI</v>
      </c>
    </row>
    <row r="767" spans="1:14" ht="16.5" customHeight="1" x14ac:dyDescent="0.25">
      <c r="A767" s="52">
        <v>7936503003</v>
      </c>
      <c r="B767" s="51" t="s">
        <v>1003</v>
      </c>
      <c r="C767" s="51">
        <v>2</v>
      </c>
      <c r="D767" s="51"/>
      <c r="E767" s="51" t="s">
        <v>1005</v>
      </c>
      <c r="F767" s="51"/>
      <c r="G767" s="51"/>
      <c r="H767" s="51" t="s">
        <v>1005</v>
      </c>
      <c r="I767" s="51" t="s">
        <v>1005</v>
      </c>
      <c r="J767" s="50" t="str">
        <f t="shared" si="22"/>
        <v>7936503003.pdf</v>
      </c>
      <c r="K767" s="51" t="s">
        <v>1006</v>
      </c>
      <c r="L767" s="51" t="s">
        <v>1198</v>
      </c>
      <c r="M767" s="50" t="str">
        <f t="shared" si="23"/>
        <v>13.800</v>
      </c>
      <c r="N767" s="50" t="str">
        <f>IF(A767&lt;&gt;"",VLOOKUP(RIGHT(A767,3)*1,[4]Des_Loc!A:B,2,0),"")</f>
        <v>GURUPI</v>
      </c>
    </row>
    <row r="768" spans="1:14" ht="16.5" customHeight="1" x14ac:dyDescent="0.25">
      <c r="A768" s="52">
        <v>7936030003</v>
      </c>
      <c r="B768" s="51" t="s">
        <v>1003</v>
      </c>
      <c r="C768" s="51">
        <v>2</v>
      </c>
      <c r="D768" s="51" t="s">
        <v>1005</v>
      </c>
      <c r="E768" s="51" t="s">
        <v>1005</v>
      </c>
      <c r="F768" s="51" t="s">
        <v>1005</v>
      </c>
      <c r="G768" s="51" t="s">
        <v>1005</v>
      </c>
      <c r="H768" s="51" t="s">
        <v>1005</v>
      </c>
      <c r="I768" s="51" t="s">
        <v>1005</v>
      </c>
      <c r="J768" s="50" t="str">
        <f t="shared" si="22"/>
        <v>7936030003.pdf</v>
      </c>
      <c r="K768" s="54" t="s">
        <v>1022</v>
      </c>
      <c r="L768" s="51" t="s">
        <v>1196</v>
      </c>
      <c r="M768" s="50" t="str">
        <f t="shared" si="23"/>
        <v>13.800</v>
      </c>
      <c r="N768" s="50" t="str">
        <f>IF(A768&lt;&gt;"",VLOOKUP(RIGHT(A768,3)*1,[4]Des_Loc!A:B,2,0),"")</f>
        <v>GURUPI</v>
      </c>
    </row>
    <row r="769" spans="1:14" ht="16.5" customHeight="1" x14ac:dyDescent="0.25">
      <c r="A769" s="52">
        <v>7936031003</v>
      </c>
      <c r="B769" s="51" t="s">
        <v>1003</v>
      </c>
      <c r="C769" s="51">
        <v>2</v>
      </c>
      <c r="D769" s="51"/>
      <c r="E769" s="51" t="s">
        <v>1005</v>
      </c>
      <c r="F769" s="51"/>
      <c r="G769" s="51"/>
      <c r="H769" s="51" t="s">
        <v>1005</v>
      </c>
      <c r="I769" s="51" t="s">
        <v>1005</v>
      </c>
      <c r="J769" s="50" t="str">
        <f t="shared" si="22"/>
        <v>7936031003.pdf</v>
      </c>
      <c r="K769" s="51" t="s">
        <v>1006</v>
      </c>
      <c r="L769" s="51" t="s">
        <v>1058</v>
      </c>
      <c r="M769" s="50" t="str">
        <f t="shared" si="23"/>
        <v>13.800</v>
      </c>
      <c r="N769" s="50" t="str">
        <f>IF(A769&lt;&gt;"",VLOOKUP(RIGHT(A769,3)*1,[4]Des_Loc!A:B,2,0),"")</f>
        <v>GURUPI</v>
      </c>
    </row>
    <row r="770" spans="1:14" ht="16.5" customHeight="1" x14ac:dyDescent="0.25">
      <c r="A770" s="52">
        <v>7934696124</v>
      </c>
      <c r="B770" s="51" t="s">
        <v>1003</v>
      </c>
      <c r="C770" s="51" t="s">
        <v>1010</v>
      </c>
      <c r="D770" s="51" t="s">
        <v>1011</v>
      </c>
      <c r="E770" s="51" t="s">
        <v>1011</v>
      </c>
      <c r="F770" s="51" t="s">
        <v>1005</v>
      </c>
      <c r="G770" s="51" t="s">
        <v>1005</v>
      </c>
      <c r="H770" s="51" t="s">
        <v>1005</v>
      </c>
      <c r="I770" s="51" t="s">
        <v>1005</v>
      </c>
      <c r="J770" s="50" t="str">
        <f t="shared" ref="J770:J833" si="24">CONCATENATE(A770,".pdf")</f>
        <v>7934696124.pdf</v>
      </c>
      <c r="K770" s="51" t="s">
        <v>1006</v>
      </c>
      <c r="L770" s="51" t="s">
        <v>1081</v>
      </c>
      <c r="M770" s="50" t="str">
        <f t="shared" ref="M770:M833" si="25">IF(L770&lt;&gt;"",IF(LEFT(L770,2)="AL","13.800","34.500"),"")</f>
        <v>13.800</v>
      </c>
      <c r="N770" s="50" t="str">
        <f>IF(A770&lt;&gt;"",VLOOKUP(RIGHT(A770,3)*1,[4]Des_Loc!A:B,2,0),"")</f>
        <v>RIACHINHO</v>
      </c>
    </row>
    <row r="771" spans="1:14" ht="16.5" customHeight="1" x14ac:dyDescent="0.25">
      <c r="A771" s="52">
        <v>7934698002</v>
      </c>
      <c r="B771" s="51" t="s">
        <v>1003</v>
      </c>
      <c r="C771" s="51">
        <v>2</v>
      </c>
      <c r="D771" s="51"/>
      <c r="E771" s="51" t="s">
        <v>1005</v>
      </c>
      <c r="F771" s="51"/>
      <c r="G771" s="51"/>
      <c r="H771" s="51" t="s">
        <v>1005</v>
      </c>
      <c r="I771" s="51" t="s">
        <v>1005</v>
      </c>
      <c r="J771" s="50" t="str">
        <f t="shared" si="24"/>
        <v>7934698002.pdf</v>
      </c>
      <c r="K771" s="51" t="s">
        <v>1006</v>
      </c>
      <c r="L771" s="51" t="s">
        <v>1134</v>
      </c>
      <c r="M771" s="50" t="str">
        <f t="shared" si="25"/>
        <v>13.800</v>
      </c>
      <c r="N771" s="50" t="str">
        <f>IF(A771&lt;&gt;"",VLOOKUP(RIGHT(A771,3)*1,[4]Des_Loc!A:B,2,0),"")</f>
        <v>TOCANTINOPOLIS</v>
      </c>
    </row>
    <row r="772" spans="1:14" ht="16.5" customHeight="1" x14ac:dyDescent="0.25">
      <c r="A772" s="52">
        <v>7935588122</v>
      </c>
      <c r="B772" s="51" t="s">
        <v>1003</v>
      </c>
      <c r="C772" s="51">
        <v>3</v>
      </c>
      <c r="D772" s="51"/>
      <c r="E772" s="51" t="s">
        <v>1011</v>
      </c>
      <c r="F772" s="51"/>
      <c r="G772" s="51"/>
      <c r="H772" s="51" t="s">
        <v>1005</v>
      </c>
      <c r="I772" s="51" t="s">
        <v>1005</v>
      </c>
      <c r="J772" s="50" t="str">
        <f t="shared" si="24"/>
        <v>7935588122.pdf</v>
      </c>
      <c r="K772" s="51" t="s">
        <v>1006</v>
      </c>
      <c r="L772" s="51" t="s">
        <v>1068</v>
      </c>
      <c r="M772" s="50" t="str">
        <f t="shared" si="25"/>
        <v>34.500</v>
      </c>
      <c r="N772" s="50" t="str">
        <f>IF(A772&lt;&gt;"",VLOOKUP(RIGHT(A772,3)*1,[4]Des_Loc!A:B,2,0),"")</f>
        <v>PALMAS</v>
      </c>
    </row>
    <row r="773" spans="1:14" ht="16.5" customHeight="1" x14ac:dyDescent="0.25">
      <c r="A773" s="52">
        <v>7933799001</v>
      </c>
      <c r="B773" s="51" t="s">
        <v>1003</v>
      </c>
      <c r="C773" s="51">
        <v>3</v>
      </c>
      <c r="D773" s="51"/>
      <c r="E773" s="51" t="s">
        <v>1005</v>
      </c>
      <c r="F773" s="51"/>
      <c r="G773" s="51"/>
      <c r="H773" s="51" t="s">
        <v>1005</v>
      </c>
      <c r="I773" s="51" t="s">
        <v>1005</v>
      </c>
      <c r="J773" s="50" t="str">
        <f t="shared" si="24"/>
        <v>7933799001.pdf</v>
      </c>
      <c r="K773" s="51" t="s">
        <v>1006</v>
      </c>
      <c r="L773" s="51" t="s">
        <v>659</v>
      </c>
      <c r="M773" s="50" t="str">
        <f t="shared" si="25"/>
        <v>34.500</v>
      </c>
      <c r="N773" s="50" t="str">
        <f>IF(A773&lt;&gt;"",VLOOKUP(RIGHT(A773,3)*1,[4]Des_Loc!A:B,2,0),"")</f>
        <v>PORTO NACIONAL</v>
      </c>
    </row>
    <row r="774" spans="1:14" ht="16.5" customHeight="1" x14ac:dyDescent="0.25">
      <c r="A774" s="52">
        <v>7933959094</v>
      </c>
      <c r="B774" s="51" t="s">
        <v>1003</v>
      </c>
      <c r="C774" s="51" t="s">
        <v>1004</v>
      </c>
      <c r="D774" s="51"/>
      <c r="E774" s="51" t="s">
        <v>1005</v>
      </c>
      <c r="F774" s="51"/>
      <c r="G774" s="51"/>
      <c r="H774" s="51" t="s">
        <v>1005</v>
      </c>
      <c r="I774" s="51" t="s">
        <v>1005</v>
      </c>
      <c r="J774" s="50" t="str">
        <f t="shared" si="24"/>
        <v>7933959094.pdf</v>
      </c>
      <c r="K774" s="51" t="s">
        <v>1006</v>
      </c>
      <c r="L774" s="51" t="s">
        <v>1199</v>
      </c>
      <c r="M774" s="50" t="str">
        <f t="shared" si="25"/>
        <v>13.800</v>
      </c>
      <c r="N774" s="50" t="str">
        <f>IF(A774&lt;&gt;"",VLOOKUP(RIGHT(A774,3)*1,[4]Des_Loc!A:B,2,0),"")</f>
        <v>PEIXE</v>
      </c>
    </row>
    <row r="775" spans="1:14" ht="16.5" customHeight="1" x14ac:dyDescent="0.25">
      <c r="A775" s="52">
        <v>7933639037</v>
      </c>
      <c r="B775" s="51" t="s">
        <v>1003</v>
      </c>
      <c r="C775" s="51">
        <v>2</v>
      </c>
      <c r="D775" s="51" t="s">
        <v>1005</v>
      </c>
      <c r="E775" s="51" t="s">
        <v>1005</v>
      </c>
      <c r="F775" s="51" t="s">
        <v>1011</v>
      </c>
      <c r="G775" s="51" t="s">
        <v>1005</v>
      </c>
      <c r="H775" s="51" t="s">
        <v>1005</v>
      </c>
      <c r="I775" s="51" t="s">
        <v>1011</v>
      </c>
      <c r="J775" s="50" t="str">
        <f t="shared" si="24"/>
        <v>7933639037.pdf</v>
      </c>
      <c r="K775" s="51" t="s">
        <v>1006</v>
      </c>
      <c r="L775" s="51" t="s">
        <v>1200</v>
      </c>
      <c r="M775" s="50" t="str">
        <f t="shared" si="25"/>
        <v>13.800</v>
      </c>
      <c r="N775" s="50" t="str">
        <f>IF(A775&lt;&gt;"",VLOOKUP(RIGHT(A775,3)*1,[4]Des_Loc!A:B,2,0),"")</f>
        <v>ALIANCA DO TOCANTINS</v>
      </c>
    </row>
    <row r="776" spans="1:14" ht="16.5" customHeight="1" x14ac:dyDescent="0.25">
      <c r="A776" s="52">
        <v>7902099003</v>
      </c>
      <c r="B776" s="51" t="s">
        <v>1003</v>
      </c>
      <c r="C776" s="51">
        <v>2</v>
      </c>
      <c r="D776" s="51"/>
      <c r="E776" s="51" t="s">
        <v>1005</v>
      </c>
      <c r="F776" s="51"/>
      <c r="G776" s="51"/>
      <c r="H776" s="51" t="s">
        <v>1005</v>
      </c>
      <c r="I776" s="51" t="s">
        <v>1005</v>
      </c>
      <c r="J776" s="50" t="str">
        <f t="shared" si="24"/>
        <v>7902099003.pdf</v>
      </c>
      <c r="K776" s="51" t="s">
        <v>1006</v>
      </c>
      <c r="L776" s="51" t="s">
        <v>1201</v>
      </c>
      <c r="M776" s="50" t="str">
        <f t="shared" si="25"/>
        <v>13.800</v>
      </c>
      <c r="N776" s="50" t="str">
        <f>IF(A776&lt;&gt;"",VLOOKUP(RIGHT(A776,3)*1,[4]Des_Loc!A:B,2,0),"")</f>
        <v>GURUPI</v>
      </c>
    </row>
    <row r="777" spans="1:14" ht="16.5" customHeight="1" x14ac:dyDescent="0.25">
      <c r="A777" s="52">
        <v>7933994003</v>
      </c>
      <c r="B777" s="51" t="s">
        <v>1003</v>
      </c>
      <c r="C777" s="51" t="s">
        <v>1004</v>
      </c>
      <c r="D777" s="51"/>
      <c r="E777" s="51" t="s">
        <v>1005</v>
      </c>
      <c r="F777" s="51"/>
      <c r="G777" s="51"/>
      <c r="H777" s="51" t="s">
        <v>1005</v>
      </c>
      <c r="I777" s="51" t="s">
        <v>1005</v>
      </c>
      <c r="J777" s="50" t="str">
        <f t="shared" si="24"/>
        <v>7933994003.pdf</v>
      </c>
      <c r="K777" s="51" t="s">
        <v>1006</v>
      </c>
      <c r="L777" s="51" t="s">
        <v>1096</v>
      </c>
      <c r="M777" s="50" t="str">
        <f t="shared" si="25"/>
        <v>13.800</v>
      </c>
      <c r="N777" s="50" t="str">
        <f>IF(A777&lt;&gt;"",VLOOKUP(RIGHT(A777,3)*1,[4]Des_Loc!A:B,2,0),"")</f>
        <v>GURUPI</v>
      </c>
    </row>
    <row r="778" spans="1:14" ht="16.5" customHeight="1" x14ac:dyDescent="0.25">
      <c r="A778" s="52">
        <v>7932926001</v>
      </c>
      <c r="B778" s="51" t="s">
        <v>1003</v>
      </c>
      <c r="C778" s="51">
        <v>3</v>
      </c>
      <c r="D778" s="51" t="s">
        <v>1011</v>
      </c>
      <c r="E778" s="51" t="s">
        <v>1005</v>
      </c>
      <c r="F778" s="51" t="s">
        <v>1005</v>
      </c>
      <c r="G778" s="51" t="s">
        <v>1005</v>
      </c>
      <c r="H778" s="51" t="s">
        <v>1005</v>
      </c>
      <c r="I778" s="51" t="s">
        <v>1005</v>
      </c>
      <c r="J778" s="50" t="str">
        <f t="shared" si="24"/>
        <v>7932926001.pdf</v>
      </c>
      <c r="K778" s="51" t="s">
        <v>1006</v>
      </c>
      <c r="L778" s="51" t="s">
        <v>1014</v>
      </c>
      <c r="M778" s="50" t="str">
        <f t="shared" si="25"/>
        <v>13.800</v>
      </c>
      <c r="N778" s="50" t="str">
        <f>IF(A778&lt;&gt;"",VLOOKUP(RIGHT(A778,3)*1,[4]Des_Loc!A:B,2,0),"")</f>
        <v>PORTO NACIONAL</v>
      </c>
    </row>
    <row r="779" spans="1:14" ht="16.5" customHeight="1" x14ac:dyDescent="0.25">
      <c r="A779" s="52">
        <v>7932805001</v>
      </c>
      <c r="B779" s="51" t="s">
        <v>1003</v>
      </c>
      <c r="C779" s="51">
        <v>3</v>
      </c>
      <c r="D779" s="51" t="s">
        <v>1011</v>
      </c>
      <c r="E779" s="51" t="s">
        <v>1005</v>
      </c>
      <c r="F779" s="51" t="s">
        <v>1005</v>
      </c>
      <c r="G779" s="51" t="s">
        <v>1005</v>
      </c>
      <c r="H779" s="51" t="s">
        <v>1005</v>
      </c>
      <c r="I779" s="51" t="s">
        <v>1005</v>
      </c>
      <c r="J779" s="50" t="str">
        <f t="shared" si="24"/>
        <v>7932805001.pdf</v>
      </c>
      <c r="K779" s="51" t="s">
        <v>1006</v>
      </c>
      <c r="L779" s="51" t="s">
        <v>384</v>
      </c>
      <c r="M779" s="50" t="str">
        <f t="shared" si="25"/>
        <v>13.800</v>
      </c>
      <c r="N779" s="50" t="str">
        <f>IF(A779&lt;&gt;"",VLOOKUP(RIGHT(A779,3)*1,[4]Des_Loc!A:B,2,0),"")</f>
        <v>PORTO NACIONAL</v>
      </c>
    </row>
    <row r="780" spans="1:14" ht="16.5" customHeight="1" x14ac:dyDescent="0.25">
      <c r="A780" s="52">
        <v>7936332013</v>
      </c>
      <c r="B780" s="51" t="s">
        <v>1003</v>
      </c>
      <c r="C780" s="51">
        <v>3</v>
      </c>
      <c r="D780" s="51" t="s">
        <v>1011</v>
      </c>
      <c r="E780" s="51" t="s">
        <v>1005</v>
      </c>
      <c r="F780" s="51" t="s">
        <v>1005</v>
      </c>
      <c r="G780" s="51" t="s">
        <v>1005</v>
      </c>
      <c r="H780" s="51" t="s">
        <v>1005</v>
      </c>
      <c r="I780" s="51" t="s">
        <v>1005</v>
      </c>
      <c r="J780" s="50" t="str">
        <f t="shared" si="24"/>
        <v>7936332013.pdf</v>
      </c>
      <c r="K780" s="51" t="s">
        <v>1006</v>
      </c>
      <c r="L780" s="51" t="s">
        <v>392</v>
      </c>
      <c r="M780" s="50" t="str">
        <f t="shared" si="25"/>
        <v>13.800</v>
      </c>
      <c r="N780" s="50" t="str">
        <f>IF(A780&lt;&gt;"",VLOOKUP(RIGHT(A780,3)*1,[4]Des_Loc!A:B,2,0),"")</f>
        <v>PARAISO DO TOCANTINS</v>
      </c>
    </row>
    <row r="781" spans="1:14" ht="16.5" customHeight="1" x14ac:dyDescent="0.25">
      <c r="A781" s="52">
        <v>7933724257</v>
      </c>
      <c r="B781" s="51" t="s">
        <v>1003</v>
      </c>
      <c r="C781" s="51" t="s">
        <v>1004</v>
      </c>
      <c r="D781" s="51" t="s">
        <v>1005</v>
      </c>
      <c r="E781" s="51" t="s">
        <v>1005</v>
      </c>
      <c r="F781" s="51" t="s">
        <v>1005</v>
      </c>
      <c r="G781" s="51" t="s">
        <v>1005</v>
      </c>
      <c r="H781" s="51" t="s">
        <v>1005</v>
      </c>
      <c r="I781" s="51" t="s">
        <v>1005</v>
      </c>
      <c r="J781" s="50" t="str">
        <f t="shared" si="24"/>
        <v>7933724257.pdf</v>
      </c>
      <c r="K781" s="51" t="s">
        <v>1006</v>
      </c>
      <c r="L781" s="51" t="s">
        <v>518</v>
      </c>
      <c r="M781" s="50" t="str">
        <f t="shared" si="25"/>
        <v>34.500</v>
      </c>
      <c r="N781" s="50" t="str">
        <f>IF(A781&lt;&gt;"",VLOOKUP(RIGHT(A781,3)*1,[4]Des_Loc!A:B,2,0),"")</f>
        <v>SAO FELIX DO TOCANTINS</v>
      </c>
    </row>
    <row r="782" spans="1:14" ht="16.5" customHeight="1" x14ac:dyDescent="0.25">
      <c r="A782" s="52">
        <v>7933766059</v>
      </c>
      <c r="B782" s="51" t="s">
        <v>1003</v>
      </c>
      <c r="C782" s="51">
        <v>2</v>
      </c>
      <c r="D782" s="51"/>
      <c r="E782" s="51" t="s">
        <v>1005</v>
      </c>
      <c r="F782" s="51"/>
      <c r="G782" s="51"/>
      <c r="H782" s="51" t="s">
        <v>1005</v>
      </c>
      <c r="I782" s="51" t="s">
        <v>1005</v>
      </c>
      <c r="J782" s="50" t="str">
        <f t="shared" si="24"/>
        <v>7933766059.pdf</v>
      </c>
      <c r="K782" s="51" t="s">
        <v>1006</v>
      </c>
      <c r="L782" s="51" t="s">
        <v>726</v>
      </c>
      <c r="M782" s="50" t="str">
        <f t="shared" si="25"/>
        <v>13.800</v>
      </c>
      <c r="N782" s="50" t="str">
        <f>IF(A782&lt;&gt;"",VLOOKUP(RIGHT(A782,3)*1,[4]Des_Loc!A:B,2,0),"")</f>
        <v>TAQUARALTO</v>
      </c>
    </row>
    <row r="783" spans="1:14" ht="16.5" customHeight="1" x14ac:dyDescent="0.25">
      <c r="A783" s="52">
        <v>7933797059</v>
      </c>
      <c r="B783" s="51" t="s">
        <v>1003</v>
      </c>
      <c r="C783" s="51" t="s">
        <v>1004</v>
      </c>
      <c r="D783" s="51"/>
      <c r="E783" s="51" t="s">
        <v>1005</v>
      </c>
      <c r="F783" s="51"/>
      <c r="G783" s="51"/>
      <c r="H783" s="51" t="s">
        <v>1005</v>
      </c>
      <c r="I783" s="51" t="s">
        <v>1005</v>
      </c>
      <c r="J783" s="50" t="str">
        <f t="shared" si="24"/>
        <v>7933797059.pdf</v>
      </c>
      <c r="K783" s="51" t="s">
        <v>1006</v>
      </c>
      <c r="L783" s="51" t="s">
        <v>726</v>
      </c>
      <c r="M783" s="50" t="str">
        <f t="shared" si="25"/>
        <v>13.800</v>
      </c>
      <c r="N783" s="50" t="str">
        <f>IF(A783&lt;&gt;"",VLOOKUP(RIGHT(A783,3)*1,[4]Des_Loc!A:B,2,0),"")</f>
        <v>TAQUARALTO</v>
      </c>
    </row>
    <row r="784" spans="1:14" ht="16.5" customHeight="1" x14ac:dyDescent="0.25">
      <c r="A784" s="52">
        <v>7934697002</v>
      </c>
      <c r="B784" s="51" t="s">
        <v>1003</v>
      </c>
      <c r="C784" s="51">
        <v>2</v>
      </c>
      <c r="D784" s="51"/>
      <c r="E784" s="51" t="s">
        <v>1005</v>
      </c>
      <c r="F784" s="51"/>
      <c r="G784" s="51"/>
      <c r="H784" s="51" t="s">
        <v>1005</v>
      </c>
      <c r="I784" s="51" t="s">
        <v>1005</v>
      </c>
      <c r="J784" s="50" t="str">
        <f t="shared" si="24"/>
        <v>7934697002.pdf</v>
      </c>
      <c r="K784" s="51" t="s">
        <v>1006</v>
      </c>
      <c r="L784" s="51" t="s">
        <v>1134</v>
      </c>
      <c r="M784" s="50" t="str">
        <f t="shared" si="25"/>
        <v>13.800</v>
      </c>
      <c r="N784" s="50" t="str">
        <f>IF(A784&lt;&gt;"",VLOOKUP(RIGHT(A784,3)*1,[4]Des_Loc!A:B,2,0),"")</f>
        <v>TOCANTINOPOLIS</v>
      </c>
    </row>
    <row r="785" spans="1:14" ht="16.5" customHeight="1" x14ac:dyDescent="0.25">
      <c r="A785" s="52">
        <v>7940259107</v>
      </c>
      <c r="B785" s="51" t="s">
        <v>1003</v>
      </c>
      <c r="C785" s="51">
        <v>3</v>
      </c>
      <c r="D785" s="51"/>
      <c r="E785" s="51" t="s">
        <v>1005</v>
      </c>
      <c r="F785" s="51"/>
      <c r="G785" s="51"/>
      <c r="H785" s="51" t="s">
        <v>1005</v>
      </c>
      <c r="I785" s="51" t="s">
        <v>1005</v>
      </c>
      <c r="J785" s="50" t="str">
        <f t="shared" si="24"/>
        <v>7940259107.pdf</v>
      </c>
      <c r="K785" s="51" t="s">
        <v>1006</v>
      </c>
      <c r="L785" s="51" t="s">
        <v>1076</v>
      </c>
      <c r="M785" s="50" t="str">
        <f t="shared" si="25"/>
        <v>34.500</v>
      </c>
      <c r="N785" s="50" t="str">
        <f>IF(A785&lt;&gt;"",VLOOKUP(RIGHT(A785,3)*1,[4]Des_Loc!A:B,2,0),"")</f>
        <v>SANDOLANDIA</v>
      </c>
    </row>
    <row r="786" spans="1:14" ht="16.5" customHeight="1" x14ac:dyDescent="0.25">
      <c r="A786" s="52">
        <v>7932925122</v>
      </c>
      <c r="B786" s="51" t="s">
        <v>1003</v>
      </c>
      <c r="C786" s="51">
        <v>2</v>
      </c>
      <c r="D786" s="51" t="s">
        <v>1011</v>
      </c>
      <c r="E786" s="51" t="s">
        <v>1005</v>
      </c>
      <c r="F786" s="51" t="s">
        <v>1011</v>
      </c>
      <c r="G786" s="51" t="s">
        <v>1005</v>
      </c>
      <c r="H786" s="51" t="s">
        <v>1005</v>
      </c>
      <c r="I786" s="51" t="s">
        <v>1011</v>
      </c>
      <c r="J786" s="50" t="str">
        <f t="shared" si="24"/>
        <v>7932925122.pdf</v>
      </c>
      <c r="K786" s="51" t="s">
        <v>1006</v>
      </c>
      <c r="L786" s="51" t="s">
        <v>1181</v>
      </c>
      <c r="M786" s="50" t="str">
        <f t="shared" si="25"/>
        <v>13.800</v>
      </c>
      <c r="N786" s="50" t="str">
        <f>IF(A786&lt;&gt;"",VLOOKUP(RIGHT(A786,3)*1,[4]Des_Loc!A:B,2,0),"")</f>
        <v>PALMAS</v>
      </c>
    </row>
    <row r="787" spans="1:14" ht="16.5" customHeight="1" x14ac:dyDescent="0.25">
      <c r="A787" s="52">
        <v>7933960094</v>
      </c>
      <c r="B787" s="51" t="s">
        <v>1003</v>
      </c>
      <c r="C787" s="51">
        <v>3</v>
      </c>
      <c r="D787" s="51" t="s">
        <v>1011</v>
      </c>
      <c r="E787" s="51" t="s">
        <v>1011</v>
      </c>
      <c r="F787" s="51" t="s">
        <v>1011</v>
      </c>
      <c r="G787" s="51" t="s">
        <v>1005</v>
      </c>
      <c r="H787" s="51" t="s">
        <v>1005</v>
      </c>
      <c r="I787" s="51" t="s">
        <v>1011</v>
      </c>
      <c r="J787" s="50" t="str">
        <f t="shared" si="24"/>
        <v>7933960094.pdf</v>
      </c>
      <c r="K787" s="51" t="s">
        <v>1006</v>
      </c>
      <c r="L787" s="51" t="s">
        <v>1103</v>
      </c>
      <c r="M787" s="50" t="str">
        <f t="shared" si="25"/>
        <v>34.500</v>
      </c>
      <c r="N787" s="50" t="str">
        <f>IF(A787&lt;&gt;"",VLOOKUP(RIGHT(A787,3)*1,[4]Des_Loc!A:B,2,0),"")</f>
        <v>PEIXE</v>
      </c>
    </row>
    <row r="788" spans="1:14" ht="16.5" customHeight="1" x14ac:dyDescent="0.25">
      <c r="A788" s="52">
        <v>7936038076</v>
      </c>
      <c r="B788" s="51" t="s">
        <v>1003</v>
      </c>
      <c r="C788" s="51" t="s">
        <v>1008</v>
      </c>
      <c r="D788" s="51" t="s">
        <v>1005</v>
      </c>
      <c r="E788" s="51" t="s">
        <v>1005</v>
      </c>
      <c r="F788" s="51" t="s">
        <v>1005</v>
      </c>
      <c r="G788" s="51" t="s">
        <v>1005</v>
      </c>
      <c r="H788" s="51" t="s">
        <v>1005</v>
      </c>
      <c r="I788" s="51" t="s">
        <v>1005</v>
      </c>
      <c r="J788" s="50" t="str">
        <f t="shared" si="24"/>
        <v>7936038076.pdf</v>
      </c>
      <c r="K788" s="51" t="s">
        <v>1006</v>
      </c>
      <c r="L788" s="51" t="s">
        <v>1075</v>
      </c>
      <c r="M788" s="50" t="str">
        <f t="shared" si="25"/>
        <v>34.500</v>
      </c>
      <c r="N788" s="50" t="str">
        <f>IF(A788&lt;&gt;"",VLOOKUP(RIGHT(A788,3)*1,[4]Des_Loc!A:B,2,0),"")</f>
        <v>DUERE</v>
      </c>
    </row>
    <row r="789" spans="1:14" ht="16.5" customHeight="1" x14ac:dyDescent="0.25">
      <c r="A789" s="52">
        <v>7936041186</v>
      </c>
      <c r="B789" s="51" t="s">
        <v>1003</v>
      </c>
      <c r="C789" s="51" t="s">
        <v>1021</v>
      </c>
      <c r="D789" s="51" t="s">
        <v>1005</v>
      </c>
      <c r="E789" s="51" t="s">
        <v>1005</v>
      </c>
      <c r="F789" s="51" t="s">
        <v>1005</v>
      </c>
      <c r="G789" s="51" t="s">
        <v>1005</v>
      </c>
      <c r="H789" s="51" t="s">
        <v>1005</v>
      </c>
      <c r="I789" s="51" t="s">
        <v>1005</v>
      </c>
      <c r="J789" s="50" t="str">
        <f t="shared" si="24"/>
        <v>7936041186.pdf</v>
      </c>
      <c r="K789" s="51" t="s">
        <v>1006</v>
      </c>
      <c r="L789" s="51" t="s">
        <v>1103</v>
      </c>
      <c r="M789" s="50" t="str">
        <f t="shared" si="25"/>
        <v>34.500</v>
      </c>
      <c r="N789" s="50" t="str">
        <f>IF(A789&lt;&gt;"",VLOOKUP(RIGHT(A789,3)*1,[4]Des_Loc!A:B,2,0),"")</f>
        <v>JAU DO TOCANTINS</v>
      </c>
    </row>
    <row r="790" spans="1:14" ht="16.5" customHeight="1" x14ac:dyDescent="0.25">
      <c r="A790" s="52">
        <v>7935635043</v>
      </c>
      <c r="B790" s="51" t="s">
        <v>1003</v>
      </c>
      <c r="C790" s="51">
        <v>3</v>
      </c>
      <c r="D790" s="51"/>
      <c r="E790" s="51" t="s">
        <v>1005</v>
      </c>
      <c r="F790" s="51"/>
      <c r="G790" s="51"/>
      <c r="H790" s="51" t="s">
        <v>1005</v>
      </c>
      <c r="I790" s="51" t="s">
        <v>1005</v>
      </c>
      <c r="J790" s="50" t="str">
        <f t="shared" si="24"/>
        <v>7935635043.pdf</v>
      </c>
      <c r="K790" s="51" t="s">
        <v>1006</v>
      </c>
      <c r="L790" s="51" t="s">
        <v>430</v>
      </c>
      <c r="M790" s="50" t="str">
        <f t="shared" si="25"/>
        <v>34.500</v>
      </c>
      <c r="N790" s="50" t="str">
        <f>IF(A790&lt;&gt;"",VLOOKUP(RIGHT(A790,3)*1,[4]Des_Loc!A:B,2,0),"")</f>
        <v>SILVANOPOLIS</v>
      </c>
    </row>
    <row r="791" spans="1:14" ht="16.5" customHeight="1" x14ac:dyDescent="0.25">
      <c r="A791" s="52">
        <v>7933694038</v>
      </c>
      <c r="B791" s="51" t="s">
        <v>1003</v>
      </c>
      <c r="C791" s="51">
        <v>3</v>
      </c>
      <c r="D791" s="51" t="s">
        <v>1011</v>
      </c>
      <c r="E791" s="51" t="s">
        <v>1005</v>
      </c>
      <c r="F791" s="51" t="s">
        <v>1005</v>
      </c>
      <c r="G791" s="51" t="s">
        <v>1005</v>
      </c>
      <c r="H791" s="51" t="s">
        <v>1005</v>
      </c>
      <c r="I791" s="51" t="s">
        <v>1005</v>
      </c>
      <c r="J791" s="50" t="str">
        <f t="shared" si="24"/>
        <v>7933694038.pdf</v>
      </c>
      <c r="K791" s="51" t="s">
        <v>1006</v>
      </c>
      <c r="L791" s="51" t="s">
        <v>1094</v>
      </c>
      <c r="M791" s="50" t="str">
        <f t="shared" si="25"/>
        <v>34.500</v>
      </c>
      <c r="N791" s="50" t="str">
        <f>IF(A791&lt;&gt;"",VLOOKUP(RIGHT(A791,3)*1,[4]Des_Loc!A:B,2,0),"")</f>
        <v>TAGUATINGA</v>
      </c>
    </row>
    <row r="792" spans="1:14" ht="16.5" customHeight="1" x14ac:dyDescent="0.25">
      <c r="A792" s="52">
        <v>7965092045</v>
      </c>
      <c r="B792" s="51" t="s">
        <v>1003</v>
      </c>
      <c r="C792" s="51">
        <v>2</v>
      </c>
      <c r="D792" s="51" t="s">
        <v>1011</v>
      </c>
      <c r="E792" s="51" t="s">
        <v>1005</v>
      </c>
      <c r="F792" s="51" t="s">
        <v>1011</v>
      </c>
      <c r="G792" s="51" t="s">
        <v>1005</v>
      </c>
      <c r="H792" s="51" t="s">
        <v>1005</v>
      </c>
      <c r="I792" s="51" t="s">
        <v>1011</v>
      </c>
      <c r="J792" s="50" t="str">
        <f t="shared" si="24"/>
        <v>7965092045.pdf</v>
      </c>
      <c r="K792" s="51" t="s">
        <v>1006</v>
      </c>
      <c r="L792" s="51" t="s">
        <v>1202</v>
      </c>
      <c r="M792" s="50" t="str">
        <f t="shared" si="25"/>
        <v>13.800</v>
      </c>
      <c r="N792" s="50" t="str">
        <f>IF(A792&lt;&gt;"",VLOOKUP(RIGHT(A792,3)*1,[4]Des_Loc!A:B,2,0),"")</f>
        <v>AUGUSTINOPOLIS</v>
      </c>
    </row>
    <row r="793" spans="1:14" ht="16.5" customHeight="1" x14ac:dyDescent="0.25">
      <c r="A793" s="52">
        <v>7934170045</v>
      </c>
      <c r="B793" s="51" t="s">
        <v>1003</v>
      </c>
      <c r="C793" s="51" t="s">
        <v>1004</v>
      </c>
      <c r="D793" s="51"/>
      <c r="E793" s="51" t="s">
        <v>1005</v>
      </c>
      <c r="F793" s="51"/>
      <c r="G793" s="51"/>
      <c r="H793" s="51" t="s">
        <v>1005</v>
      </c>
      <c r="I793" s="51" t="s">
        <v>1005</v>
      </c>
      <c r="J793" s="50" t="str">
        <f t="shared" si="24"/>
        <v>7934170045.pdf</v>
      </c>
      <c r="K793" s="51" t="s">
        <v>1006</v>
      </c>
      <c r="L793" s="51" t="s">
        <v>1203</v>
      </c>
      <c r="M793" s="50" t="str">
        <f t="shared" si="25"/>
        <v>13.800</v>
      </c>
      <c r="N793" s="50" t="str">
        <f>IF(A793&lt;&gt;"",VLOOKUP(RIGHT(A793,3)*1,[4]Des_Loc!A:B,2,0),"")</f>
        <v>AUGUSTINOPOLIS</v>
      </c>
    </row>
    <row r="794" spans="1:14" ht="16.5" customHeight="1" x14ac:dyDescent="0.25">
      <c r="A794" s="52">
        <v>7937181030</v>
      </c>
      <c r="B794" s="51" t="s">
        <v>1003</v>
      </c>
      <c r="C794" s="51" t="s">
        <v>1008</v>
      </c>
      <c r="D794" s="51" t="s">
        <v>1005</v>
      </c>
      <c r="E794" s="51" t="s">
        <v>1005</v>
      </c>
      <c r="F794" s="51" t="s">
        <v>1005</v>
      </c>
      <c r="G794" s="51" t="s">
        <v>1005</v>
      </c>
      <c r="H794" s="51" t="s">
        <v>1005</v>
      </c>
      <c r="I794" s="51" t="s">
        <v>1005</v>
      </c>
      <c r="J794" s="50" t="str">
        <f t="shared" si="24"/>
        <v>7937181030.pdf</v>
      </c>
      <c r="K794" s="51" t="s">
        <v>1006</v>
      </c>
      <c r="L794" s="51" t="s">
        <v>1114</v>
      </c>
      <c r="M794" s="50" t="str">
        <f t="shared" si="25"/>
        <v>34.500</v>
      </c>
      <c r="N794" s="50" t="str">
        <f>IF(A794&lt;&gt;"",VLOOKUP(RIGHT(A794,3)*1,[4]Des_Loc!A:B,2,0),"")</f>
        <v>XAMBIOA</v>
      </c>
    </row>
    <row r="795" spans="1:14" ht="16.5" customHeight="1" x14ac:dyDescent="0.25">
      <c r="A795" s="52">
        <v>7935647122</v>
      </c>
      <c r="B795" s="51" t="s">
        <v>1003</v>
      </c>
      <c r="C795" s="51">
        <v>2</v>
      </c>
      <c r="D795" s="51" t="s">
        <v>1011</v>
      </c>
      <c r="E795" s="51" t="s">
        <v>1005</v>
      </c>
      <c r="F795" s="51" t="s">
        <v>1011</v>
      </c>
      <c r="G795" s="51" t="s">
        <v>1005</v>
      </c>
      <c r="H795" s="51" t="s">
        <v>1005</v>
      </c>
      <c r="I795" s="51" t="s">
        <v>1011</v>
      </c>
      <c r="J795" s="50" t="str">
        <f t="shared" si="24"/>
        <v>7935647122.pdf</v>
      </c>
      <c r="K795" s="51" t="s">
        <v>1006</v>
      </c>
      <c r="L795" s="51" t="s">
        <v>1181</v>
      </c>
      <c r="M795" s="50" t="str">
        <f t="shared" si="25"/>
        <v>13.800</v>
      </c>
      <c r="N795" s="50" t="str">
        <f>IF(A795&lt;&gt;"",VLOOKUP(RIGHT(A795,3)*1,[4]Des_Loc!A:B,2,0),"")</f>
        <v>PALMAS</v>
      </c>
    </row>
    <row r="796" spans="1:14" ht="16.5" customHeight="1" x14ac:dyDescent="0.25">
      <c r="A796" s="50">
        <v>7935601122</v>
      </c>
      <c r="B796" s="51" t="s">
        <v>1003</v>
      </c>
      <c r="C796" s="51">
        <v>2</v>
      </c>
      <c r="D796" s="51" t="s">
        <v>1011</v>
      </c>
      <c r="E796" s="51" t="s">
        <v>1005</v>
      </c>
      <c r="F796" s="51" t="s">
        <v>1011</v>
      </c>
      <c r="G796" s="51" t="s">
        <v>1005</v>
      </c>
      <c r="H796" s="51" t="s">
        <v>1005</v>
      </c>
      <c r="I796" s="51" t="s">
        <v>1011</v>
      </c>
      <c r="J796" s="50" t="str">
        <f t="shared" si="24"/>
        <v>7935601122.pdf</v>
      </c>
      <c r="K796" s="51" t="s">
        <v>1006</v>
      </c>
      <c r="L796" s="51" t="s">
        <v>1060</v>
      </c>
      <c r="M796" s="50" t="str">
        <f t="shared" si="25"/>
        <v>13.800</v>
      </c>
      <c r="N796" s="50" t="str">
        <f>IF(A796&lt;&gt;"",VLOOKUP(RIGHT(A796,3)*1,[4]Des_Loc!A:B,2,0),"")</f>
        <v>PALMAS</v>
      </c>
    </row>
    <row r="797" spans="1:14" ht="16.5" customHeight="1" x14ac:dyDescent="0.25">
      <c r="A797" s="52">
        <v>7940276037</v>
      </c>
      <c r="B797" s="51" t="s">
        <v>1003</v>
      </c>
      <c r="C797" s="51" t="s">
        <v>1004</v>
      </c>
      <c r="D797" s="51" t="s">
        <v>1011</v>
      </c>
      <c r="E797" s="51" t="s">
        <v>1005</v>
      </c>
      <c r="F797" s="51" t="s">
        <v>1005</v>
      </c>
      <c r="G797" s="51" t="s">
        <v>1005</v>
      </c>
      <c r="H797" s="51" t="s">
        <v>1005</v>
      </c>
      <c r="I797" s="51" t="s">
        <v>1005</v>
      </c>
      <c r="J797" s="50" t="str">
        <f t="shared" si="24"/>
        <v>7940276037.pdf</v>
      </c>
      <c r="K797" s="51" t="s">
        <v>1006</v>
      </c>
      <c r="L797" s="51" t="s">
        <v>1098</v>
      </c>
      <c r="M797" s="50" t="str">
        <f t="shared" si="25"/>
        <v>34.500</v>
      </c>
      <c r="N797" s="50" t="str">
        <f>IF(A797&lt;&gt;"",VLOOKUP(RIGHT(A797,3)*1,[4]Des_Loc!A:B,2,0),"")</f>
        <v>ALIANCA DO TOCANTINS</v>
      </c>
    </row>
    <row r="798" spans="1:14" ht="16.5" customHeight="1" x14ac:dyDescent="0.25">
      <c r="A798" s="52">
        <v>7936003094</v>
      </c>
      <c r="B798" s="51" t="s">
        <v>1003</v>
      </c>
      <c r="C798" s="51" t="s">
        <v>1008</v>
      </c>
      <c r="D798" s="51" t="s">
        <v>1005</v>
      </c>
      <c r="E798" s="51" t="s">
        <v>1005</v>
      </c>
      <c r="F798" s="51" t="s">
        <v>1005</v>
      </c>
      <c r="G798" s="51" t="s">
        <v>1005</v>
      </c>
      <c r="H798" s="51" t="s">
        <v>1005</v>
      </c>
      <c r="I798" s="51" t="s">
        <v>1005</v>
      </c>
      <c r="J798" s="50" t="str">
        <f t="shared" si="24"/>
        <v>7936003094.pdf</v>
      </c>
      <c r="K798" s="51" t="s">
        <v>1006</v>
      </c>
      <c r="L798" s="51" t="s">
        <v>1103</v>
      </c>
      <c r="M798" s="50" t="str">
        <f t="shared" si="25"/>
        <v>34.500</v>
      </c>
      <c r="N798" s="50" t="str">
        <f>IF(A798&lt;&gt;"",VLOOKUP(RIGHT(A798,3)*1,[4]Des_Loc!A:B,2,0),"")</f>
        <v>PEIXE</v>
      </c>
    </row>
    <row r="799" spans="1:14" ht="16.5" customHeight="1" x14ac:dyDescent="0.25">
      <c r="A799" s="52">
        <v>7940262032</v>
      </c>
      <c r="B799" s="51" t="s">
        <v>1003</v>
      </c>
      <c r="C799" s="51">
        <v>3</v>
      </c>
      <c r="D799" s="51" t="s">
        <v>1011</v>
      </c>
      <c r="E799" s="51" t="s">
        <v>1011</v>
      </c>
      <c r="F799" s="51" t="s">
        <v>1011</v>
      </c>
      <c r="G799" s="51" t="s">
        <v>1005</v>
      </c>
      <c r="H799" s="51" t="s">
        <v>1005</v>
      </c>
      <c r="I799" s="51" t="s">
        <v>1011</v>
      </c>
      <c r="J799" s="50" t="str">
        <f t="shared" si="24"/>
        <v>7940262032.pdf</v>
      </c>
      <c r="K799" s="51" t="s">
        <v>1006</v>
      </c>
      <c r="L799" s="51" t="s">
        <v>1037</v>
      </c>
      <c r="M799" s="50" t="str">
        <f t="shared" si="25"/>
        <v>34.500</v>
      </c>
      <c r="N799" s="50" t="str">
        <f>IF(A799&lt;&gt;"",VLOOKUP(RIGHT(A799,3)*1,[4]Des_Loc!A:B,2,0),"")</f>
        <v>ARAGUACU</v>
      </c>
    </row>
    <row r="800" spans="1:14" ht="16.5" customHeight="1" x14ac:dyDescent="0.25">
      <c r="A800" s="52">
        <v>7933951052</v>
      </c>
      <c r="B800" s="51" t="s">
        <v>1003</v>
      </c>
      <c r="C800" s="51">
        <v>3</v>
      </c>
      <c r="D800" s="51" t="s">
        <v>1011</v>
      </c>
      <c r="E800" s="51" t="s">
        <v>1011</v>
      </c>
      <c r="F800" s="51" t="s">
        <v>1005</v>
      </c>
      <c r="G800" s="51" t="s">
        <v>1005</v>
      </c>
      <c r="H800" s="51" t="s">
        <v>1005</v>
      </c>
      <c r="I800" s="51" t="s">
        <v>1005</v>
      </c>
      <c r="J800" s="50" t="str">
        <f t="shared" si="24"/>
        <v>7933951052.pdf</v>
      </c>
      <c r="K800" s="51" t="s">
        <v>1006</v>
      </c>
      <c r="L800" s="51" t="s">
        <v>1056</v>
      </c>
      <c r="M800" s="50" t="str">
        <f t="shared" si="25"/>
        <v>34.500</v>
      </c>
      <c r="N800" s="50" t="str">
        <f>IF(A800&lt;&gt;"",VLOOKUP(RIGHT(A800,3)*1,[4]Des_Loc!A:B,2,0),"")</f>
        <v>FORMOSO DO ARAGUAIA</v>
      </c>
    </row>
    <row r="801" spans="1:14" ht="16.5" customHeight="1" x14ac:dyDescent="0.25">
      <c r="A801" s="52">
        <v>7940258139</v>
      </c>
      <c r="B801" s="51" t="s">
        <v>1003</v>
      </c>
      <c r="C801" s="51" t="s">
        <v>1021</v>
      </c>
      <c r="D801" s="51" t="s">
        <v>1005</v>
      </c>
      <c r="E801" s="51" t="s">
        <v>1005</v>
      </c>
      <c r="F801" s="51" t="s">
        <v>1005</v>
      </c>
      <c r="G801" s="51" t="s">
        <v>1005</v>
      </c>
      <c r="H801" s="51" t="s">
        <v>1005</v>
      </c>
      <c r="I801" s="51" t="s">
        <v>1005</v>
      </c>
      <c r="J801" s="50" t="str">
        <f t="shared" si="24"/>
        <v>7940258139.pdf</v>
      </c>
      <c r="K801" s="51" t="s">
        <v>1006</v>
      </c>
      <c r="L801" s="51" t="s">
        <v>1076</v>
      </c>
      <c r="M801" s="50" t="str">
        <f t="shared" si="25"/>
        <v>34.500</v>
      </c>
      <c r="N801" s="50" t="str">
        <f>IF(A801&lt;&gt;"",VLOOKUP(RIGHT(A801,3)*1,[4]Des_Loc!A:B,2,0),"")</f>
        <v>DORILANDIA</v>
      </c>
    </row>
    <row r="802" spans="1:14" ht="16.5" customHeight="1" x14ac:dyDescent="0.25">
      <c r="A802" s="52">
        <v>7940275094</v>
      </c>
      <c r="B802" s="51" t="s">
        <v>1003</v>
      </c>
      <c r="C802" s="51" t="s">
        <v>1010</v>
      </c>
      <c r="D802" s="51" t="s">
        <v>1011</v>
      </c>
      <c r="E802" s="51" t="s">
        <v>1005</v>
      </c>
      <c r="F802" s="51" t="s">
        <v>1011</v>
      </c>
      <c r="G802" s="51" t="s">
        <v>1005</v>
      </c>
      <c r="H802" s="51" t="s">
        <v>1005</v>
      </c>
      <c r="I802" s="51" t="s">
        <v>1011</v>
      </c>
      <c r="J802" s="50" t="str">
        <f t="shared" si="24"/>
        <v>7940275094.pdf</v>
      </c>
      <c r="K802" s="51" t="s">
        <v>1006</v>
      </c>
      <c r="L802" s="51" t="s">
        <v>1080</v>
      </c>
      <c r="M802" s="50" t="str">
        <f t="shared" si="25"/>
        <v>34.500</v>
      </c>
      <c r="N802" s="50" t="str">
        <f>IF(A802&lt;&gt;"",VLOOKUP(RIGHT(A802,3)*1,[4]Des_Loc!A:B,2,0),"")</f>
        <v>PEIXE</v>
      </c>
    </row>
    <row r="803" spans="1:14" ht="16.5" customHeight="1" x14ac:dyDescent="0.25">
      <c r="A803" s="52">
        <v>7933637076</v>
      </c>
      <c r="B803" s="51" t="s">
        <v>1003</v>
      </c>
      <c r="C803" s="51">
        <v>2</v>
      </c>
      <c r="D803" s="51"/>
      <c r="E803" s="51" t="s">
        <v>1005</v>
      </c>
      <c r="F803" s="51"/>
      <c r="G803" s="51"/>
      <c r="H803" s="51" t="s">
        <v>1005</v>
      </c>
      <c r="I803" s="51" t="s">
        <v>1005</v>
      </c>
      <c r="J803" s="50" t="str">
        <f t="shared" si="24"/>
        <v>7933637076.pdf</v>
      </c>
      <c r="K803" s="51" t="s">
        <v>1006</v>
      </c>
      <c r="L803" s="51" t="s">
        <v>583</v>
      </c>
      <c r="M803" s="50" t="str">
        <f t="shared" si="25"/>
        <v>13.800</v>
      </c>
      <c r="N803" s="50" t="str">
        <f>IF(A803&lt;&gt;"",VLOOKUP(RIGHT(A803,3)*1,[4]Des_Loc!A:B,2,0),"")</f>
        <v>DUERE</v>
      </c>
    </row>
    <row r="804" spans="1:14" ht="16.5" customHeight="1" x14ac:dyDescent="0.25">
      <c r="A804" s="52">
        <v>7935646006</v>
      </c>
      <c r="B804" s="51" t="s">
        <v>1003</v>
      </c>
      <c r="C804" s="51">
        <v>3</v>
      </c>
      <c r="D804" s="51"/>
      <c r="E804" s="51" t="s">
        <v>1011</v>
      </c>
      <c r="F804" s="51"/>
      <c r="G804" s="51"/>
      <c r="H804" s="51" t="s">
        <v>1005</v>
      </c>
      <c r="I804" s="51" t="s">
        <v>1005</v>
      </c>
      <c r="J804" s="50" t="str">
        <f t="shared" si="24"/>
        <v>7935646006.pdf</v>
      </c>
      <c r="K804" s="51" t="s">
        <v>1006</v>
      </c>
      <c r="L804" s="51" t="s">
        <v>1068</v>
      </c>
      <c r="M804" s="50" t="str">
        <f t="shared" si="25"/>
        <v>34.500</v>
      </c>
      <c r="N804" s="50" t="str">
        <f>IF(A804&lt;&gt;"",VLOOKUP(RIGHT(A804,3)*1,[4]Des_Loc!A:B,2,0),"")</f>
        <v>TOCANTINIA</v>
      </c>
    </row>
    <row r="805" spans="1:14" ht="16.5" customHeight="1" x14ac:dyDescent="0.25">
      <c r="A805" s="52">
        <v>7936078018</v>
      </c>
      <c r="B805" s="51" t="s">
        <v>1003</v>
      </c>
      <c r="C805" s="51" t="s">
        <v>1021</v>
      </c>
      <c r="D805" s="51" t="s">
        <v>1005</v>
      </c>
      <c r="E805" s="51" t="s">
        <v>1005</v>
      </c>
      <c r="F805" s="51" t="s">
        <v>1005</v>
      </c>
      <c r="G805" s="51" t="s">
        <v>1005</v>
      </c>
      <c r="H805" s="51" t="s">
        <v>1005</v>
      </c>
      <c r="I805" s="51" t="s">
        <v>1005</v>
      </c>
      <c r="J805" s="50" t="str">
        <f t="shared" si="24"/>
        <v>7936078018.pdf</v>
      </c>
      <c r="K805" s="51" t="s">
        <v>1006</v>
      </c>
      <c r="L805" s="51" t="s">
        <v>470</v>
      </c>
      <c r="M805" s="50" t="str">
        <f t="shared" si="25"/>
        <v>34.500</v>
      </c>
      <c r="N805" s="50" t="str">
        <f>IF(A805&lt;&gt;"",VLOOKUP(RIGHT(A805,3)*1,[4]Des_Loc!A:B,2,0),"")</f>
        <v>BOM JESUS DO TOCANTINS</v>
      </c>
    </row>
    <row r="806" spans="1:14" ht="16.5" customHeight="1" x14ac:dyDescent="0.25">
      <c r="A806" s="52">
        <v>7933811051</v>
      </c>
      <c r="B806" s="51" t="s">
        <v>1003</v>
      </c>
      <c r="C806" s="51">
        <v>2</v>
      </c>
      <c r="D806" s="51" t="s">
        <v>1005</v>
      </c>
      <c r="E806" s="51" t="s">
        <v>1005</v>
      </c>
      <c r="F806" s="51" t="s">
        <v>1005</v>
      </c>
      <c r="G806" s="51" t="s">
        <v>1005</v>
      </c>
      <c r="H806" s="51" t="s">
        <v>1005</v>
      </c>
      <c r="I806" s="51" t="s">
        <v>1011</v>
      </c>
      <c r="J806" s="50" t="str">
        <f t="shared" si="24"/>
        <v>7933811051.pdf</v>
      </c>
      <c r="K806" s="51" t="s">
        <v>1006</v>
      </c>
      <c r="L806" s="51" t="s">
        <v>1038</v>
      </c>
      <c r="M806" s="50" t="str">
        <f t="shared" si="25"/>
        <v>34.500</v>
      </c>
      <c r="N806" s="50" t="str">
        <f>IF(A806&lt;&gt;"",VLOOKUP(RIGHT(A806,3)*1,[4]Des_Loc!A:B,2,0),"")</f>
        <v>LAVANDEIRA</v>
      </c>
    </row>
    <row r="807" spans="1:14" ht="16.5" customHeight="1" x14ac:dyDescent="0.25">
      <c r="A807" s="52">
        <v>7936769005</v>
      </c>
      <c r="B807" s="51" t="s">
        <v>1003</v>
      </c>
      <c r="C807" s="51">
        <v>3</v>
      </c>
      <c r="D807" s="51" t="s">
        <v>1011</v>
      </c>
      <c r="E807" s="51" t="s">
        <v>1005</v>
      </c>
      <c r="F807" s="51" t="s">
        <v>1005</v>
      </c>
      <c r="G807" s="51" t="s">
        <v>1005</v>
      </c>
      <c r="H807" s="51" t="s">
        <v>1005</v>
      </c>
      <c r="I807" s="51" t="s">
        <v>1005</v>
      </c>
      <c r="J807" s="50" t="str">
        <f t="shared" si="24"/>
        <v>7936769005.pdf</v>
      </c>
      <c r="K807" s="51" t="s">
        <v>1006</v>
      </c>
      <c r="L807" s="51" t="s">
        <v>1038</v>
      </c>
      <c r="M807" s="50" t="str">
        <f t="shared" si="25"/>
        <v>34.500</v>
      </c>
      <c r="N807" s="50" t="str">
        <f>IF(A807&lt;&gt;"",VLOOKUP(RIGHT(A807,3)*1,[4]Des_Loc!A:B,2,0),"")</f>
        <v>ARRAIAS</v>
      </c>
    </row>
    <row r="808" spans="1:14" ht="16.5" customHeight="1" x14ac:dyDescent="0.25">
      <c r="A808" s="52">
        <v>7933828091</v>
      </c>
      <c r="B808" s="51" t="s">
        <v>1003</v>
      </c>
      <c r="C808" s="51">
        <v>2</v>
      </c>
      <c r="D808" s="51" t="s">
        <v>1011</v>
      </c>
      <c r="E808" s="51" t="s">
        <v>1005</v>
      </c>
      <c r="F808" s="51" t="s">
        <v>1011</v>
      </c>
      <c r="G808" s="51" t="s">
        <v>1005</v>
      </c>
      <c r="H808" s="51" t="s">
        <v>1005</v>
      </c>
      <c r="I808" s="51" t="s">
        <v>1011</v>
      </c>
      <c r="J808" s="50" t="str">
        <f t="shared" si="24"/>
        <v>7933828091.pdf</v>
      </c>
      <c r="K808" s="51" t="s">
        <v>1006</v>
      </c>
      <c r="L808" s="51" t="s">
        <v>1204</v>
      </c>
      <c r="M808" s="50" t="str">
        <f t="shared" si="25"/>
        <v>13.800</v>
      </c>
      <c r="N808" s="50" t="str">
        <f>IF(A808&lt;&gt;"",VLOOKUP(RIGHT(A808,3)*1,[4]Des_Loc!A:B,2,0),"")</f>
        <v>ALMAS</v>
      </c>
    </row>
    <row r="809" spans="1:14" ht="16.5" customHeight="1" x14ac:dyDescent="0.25">
      <c r="A809" s="52">
        <v>7940273029</v>
      </c>
      <c r="B809" s="51" t="s">
        <v>1003</v>
      </c>
      <c r="C809" s="51">
        <v>3</v>
      </c>
      <c r="D809" s="51" t="s">
        <v>1011</v>
      </c>
      <c r="E809" s="51" t="s">
        <v>1005</v>
      </c>
      <c r="F809" s="51" t="s">
        <v>1005</v>
      </c>
      <c r="G809" s="51" t="s">
        <v>1005</v>
      </c>
      <c r="H809" s="51" t="s">
        <v>1005</v>
      </c>
      <c r="I809" s="51" t="s">
        <v>1005</v>
      </c>
      <c r="J809" s="50" t="str">
        <f t="shared" si="24"/>
        <v>7940273029.pdf</v>
      </c>
      <c r="K809" s="51" t="s">
        <v>1006</v>
      </c>
      <c r="L809" s="51" t="s">
        <v>1032</v>
      </c>
      <c r="M809" s="50" t="str">
        <f t="shared" si="25"/>
        <v>34.500</v>
      </c>
      <c r="N809" s="50" t="str">
        <f>IF(A809&lt;&gt;"",VLOOKUP(RIGHT(A809,3)*1,[4]Des_Loc!A:B,2,0),"")</f>
        <v>PALMEIROPOLIS</v>
      </c>
    </row>
    <row r="810" spans="1:14" ht="16.5" customHeight="1" x14ac:dyDescent="0.25">
      <c r="A810" s="52">
        <v>7933585074</v>
      </c>
      <c r="B810" s="51" t="s">
        <v>1003</v>
      </c>
      <c r="C810" s="51">
        <v>3</v>
      </c>
      <c r="D810" s="51" t="s">
        <v>1011</v>
      </c>
      <c r="E810" s="51" t="s">
        <v>1011</v>
      </c>
      <c r="F810" s="51" t="s">
        <v>1011</v>
      </c>
      <c r="G810" s="51" t="s">
        <v>1005</v>
      </c>
      <c r="H810" s="51" t="s">
        <v>1005</v>
      </c>
      <c r="I810" s="51" t="s">
        <v>1011</v>
      </c>
      <c r="J810" s="50" t="str">
        <f t="shared" si="24"/>
        <v>7933585074.pdf</v>
      </c>
      <c r="K810" s="51" t="s">
        <v>1006</v>
      </c>
      <c r="L810" s="51" t="s">
        <v>376</v>
      </c>
      <c r="M810" s="50" t="str">
        <f t="shared" si="25"/>
        <v>34.500</v>
      </c>
      <c r="N810" s="50" t="str">
        <f>IF(A810&lt;&gt;"",VLOOKUP(RIGHT(A810,3)*1,[4]Des_Loc!A:B,2,0),"")</f>
        <v>DIANOPOLIS</v>
      </c>
    </row>
    <row r="811" spans="1:14" ht="16.5" customHeight="1" x14ac:dyDescent="0.25">
      <c r="A811" s="52">
        <v>7940201060</v>
      </c>
      <c r="B811" s="51" t="s">
        <v>1003</v>
      </c>
      <c r="C811" s="51">
        <v>2</v>
      </c>
      <c r="D811" s="51" t="s">
        <v>1011</v>
      </c>
      <c r="E811" s="51" t="s">
        <v>1005</v>
      </c>
      <c r="F811" s="51" t="s">
        <v>1011</v>
      </c>
      <c r="G811" s="51" t="s">
        <v>1005</v>
      </c>
      <c r="H811" s="51" t="s">
        <v>1005</v>
      </c>
      <c r="I811" s="51" t="s">
        <v>1011</v>
      </c>
      <c r="J811" s="50" t="str">
        <f t="shared" si="24"/>
        <v>7940201060.pdf</v>
      </c>
      <c r="K811" s="51" t="s">
        <v>1006</v>
      </c>
      <c r="L811" s="51" t="s">
        <v>1125</v>
      </c>
      <c r="M811" s="50" t="str">
        <f t="shared" si="25"/>
        <v>13.800</v>
      </c>
      <c r="N811" s="50" t="str">
        <f>IF(A811&lt;&gt;"",VLOOKUP(RIGHT(A811,3)*1,[4]Des_Loc!A:B,2,0),"")</f>
        <v>NOVA OLINDA</v>
      </c>
    </row>
    <row r="812" spans="1:14" ht="16.5" customHeight="1" x14ac:dyDescent="0.25">
      <c r="A812" s="52">
        <v>7936096015</v>
      </c>
      <c r="B812" s="51" t="s">
        <v>1003</v>
      </c>
      <c r="C812" s="51" t="s">
        <v>1008</v>
      </c>
      <c r="D812" s="51" t="s">
        <v>1005</v>
      </c>
      <c r="E812" s="51" t="s">
        <v>1005</v>
      </c>
      <c r="F812" s="51" t="s">
        <v>1005</v>
      </c>
      <c r="G812" s="51" t="s">
        <v>1005</v>
      </c>
      <c r="H812" s="51" t="s">
        <v>1005</v>
      </c>
      <c r="I812" s="51" t="s">
        <v>1005</v>
      </c>
      <c r="J812" s="50" t="str">
        <f t="shared" si="24"/>
        <v>7936096015.pdf</v>
      </c>
      <c r="K812" s="51" t="s">
        <v>1006</v>
      </c>
      <c r="L812" s="51" t="s">
        <v>754</v>
      </c>
      <c r="M812" s="50" t="str">
        <f t="shared" si="25"/>
        <v>34.500</v>
      </c>
      <c r="N812" s="50" t="str">
        <f>IF(A812&lt;&gt;"",VLOOKUP(RIGHT(A812,3)*1,[4]Des_Loc!A:B,2,0),"")</f>
        <v>PEDRO AFONSO</v>
      </c>
    </row>
    <row r="813" spans="1:14" ht="16.5" customHeight="1" x14ac:dyDescent="0.25">
      <c r="A813" s="52">
        <v>7940411082</v>
      </c>
      <c r="B813" s="51" t="s">
        <v>1003</v>
      </c>
      <c r="C813" s="51">
        <v>3</v>
      </c>
      <c r="D813" s="51" t="s">
        <v>1011</v>
      </c>
      <c r="E813" s="51" t="s">
        <v>1011</v>
      </c>
      <c r="F813" s="51" t="s">
        <v>1005</v>
      </c>
      <c r="G813" s="51" t="s">
        <v>1005</v>
      </c>
      <c r="H813" s="51" t="s">
        <v>1005</v>
      </c>
      <c r="I813" s="51" t="s">
        <v>1005</v>
      </c>
      <c r="J813" s="50" t="str">
        <f t="shared" si="24"/>
        <v>7940411082.pdf</v>
      </c>
      <c r="K813" s="51" t="s">
        <v>1006</v>
      </c>
      <c r="L813" s="51" t="s">
        <v>754</v>
      </c>
      <c r="M813" s="50" t="str">
        <f t="shared" si="25"/>
        <v>34.500</v>
      </c>
      <c r="N813" s="50" t="str">
        <f>IF(A813&lt;&gt;"",VLOOKUP(RIGHT(A813,3)*1,[4]Des_Loc!A:B,2,0),"")</f>
        <v>LIZARDA</v>
      </c>
    </row>
    <row r="814" spans="1:14" ht="16.5" customHeight="1" x14ac:dyDescent="0.25">
      <c r="A814" s="52">
        <v>7933726256</v>
      </c>
      <c r="B814" s="51" t="s">
        <v>1003</v>
      </c>
      <c r="C814" s="51" t="s">
        <v>1021</v>
      </c>
      <c r="D814" s="51" t="s">
        <v>1005</v>
      </c>
      <c r="E814" s="51" t="s">
        <v>1005</v>
      </c>
      <c r="F814" s="51" t="s">
        <v>1005</v>
      </c>
      <c r="G814" s="51" t="s">
        <v>1005</v>
      </c>
      <c r="H814" s="51" t="s">
        <v>1005</v>
      </c>
      <c r="I814" s="51" t="s">
        <v>1005</v>
      </c>
      <c r="J814" s="50" t="str">
        <f t="shared" si="24"/>
        <v>7933726256.pdf</v>
      </c>
      <c r="K814" s="51" t="s">
        <v>1006</v>
      </c>
      <c r="L814" s="51" t="s">
        <v>518</v>
      </c>
      <c r="M814" s="50" t="str">
        <f t="shared" si="25"/>
        <v>34.500</v>
      </c>
      <c r="N814" s="50" t="str">
        <f>IF(A814&lt;&gt;"",VLOOKUP(RIGHT(A814,3)*1,[4]Des_Loc!A:B,2,0),"")</f>
        <v>MATEIROS</v>
      </c>
    </row>
    <row r="815" spans="1:14" ht="16.5" customHeight="1" x14ac:dyDescent="0.25">
      <c r="A815" s="52">
        <v>7931333013</v>
      </c>
      <c r="B815" s="51" t="s">
        <v>1003</v>
      </c>
      <c r="C815" s="51">
        <v>2</v>
      </c>
      <c r="D815" s="51"/>
      <c r="E815" s="51" t="s">
        <v>1005</v>
      </c>
      <c r="F815" s="51"/>
      <c r="G815" s="51"/>
      <c r="H815" s="51" t="s">
        <v>1005</v>
      </c>
      <c r="I815" s="51" t="s">
        <v>1005</v>
      </c>
      <c r="J815" s="50" t="str">
        <f t="shared" si="24"/>
        <v>7931333013.pdf</v>
      </c>
      <c r="K815" s="54" t="s">
        <v>1022</v>
      </c>
      <c r="L815" s="51" t="s">
        <v>1105</v>
      </c>
      <c r="M815" s="50" t="str">
        <f t="shared" si="25"/>
        <v>13.800</v>
      </c>
      <c r="N815" s="50" t="str">
        <f>IF(A815&lt;&gt;"",VLOOKUP(RIGHT(A815,3)*1,[4]Des_Loc!A:B,2,0),"")</f>
        <v>PARAISO DO TOCANTINS</v>
      </c>
    </row>
    <row r="816" spans="1:14" ht="16.5" customHeight="1" x14ac:dyDescent="0.25">
      <c r="A816" s="52">
        <v>7933796122</v>
      </c>
      <c r="B816" s="51" t="s">
        <v>1003</v>
      </c>
      <c r="C816" s="51" t="s">
        <v>1010</v>
      </c>
      <c r="D816" s="51" t="s">
        <v>1011</v>
      </c>
      <c r="E816" s="51" t="s">
        <v>1005</v>
      </c>
      <c r="F816" s="51" t="s">
        <v>1011</v>
      </c>
      <c r="G816" s="51" t="s">
        <v>1005</v>
      </c>
      <c r="H816" s="51" t="s">
        <v>1005</v>
      </c>
      <c r="I816" s="51" t="s">
        <v>1011</v>
      </c>
      <c r="J816" s="50" t="str">
        <f t="shared" si="24"/>
        <v>7933796122.pdf</v>
      </c>
      <c r="K816" s="51" t="s">
        <v>1006</v>
      </c>
      <c r="L816" s="51" t="s">
        <v>1109</v>
      </c>
      <c r="M816" s="50" t="str">
        <f t="shared" si="25"/>
        <v>13.800</v>
      </c>
      <c r="N816" s="50" t="str">
        <f>IF(A816&lt;&gt;"",VLOOKUP(RIGHT(A816,3)*1,[4]Des_Loc!A:B,2,0),"")</f>
        <v>PALMAS</v>
      </c>
    </row>
    <row r="817" spans="1:14" ht="16.5" customHeight="1" x14ac:dyDescent="0.25">
      <c r="A817" s="52">
        <v>7941657013</v>
      </c>
      <c r="B817" s="51" t="s">
        <v>1003</v>
      </c>
      <c r="C817" s="51">
        <v>2</v>
      </c>
      <c r="D817" s="51"/>
      <c r="E817" s="51" t="s">
        <v>1005</v>
      </c>
      <c r="F817" s="51"/>
      <c r="G817" s="51"/>
      <c r="H817" s="51" t="s">
        <v>1005</v>
      </c>
      <c r="I817" s="51" t="s">
        <v>1005</v>
      </c>
      <c r="J817" s="50" t="str">
        <f t="shared" si="24"/>
        <v>7941657013.pdf</v>
      </c>
      <c r="K817" s="51" t="s">
        <v>1006</v>
      </c>
      <c r="L817" s="51" t="s">
        <v>1205</v>
      </c>
      <c r="M817" s="50" t="str">
        <f t="shared" si="25"/>
        <v>13.800</v>
      </c>
      <c r="N817" s="50" t="str">
        <f>IF(A817&lt;&gt;"",VLOOKUP(RIGHT(A817,3)*1,[4]Des_Loc!A:B,2,0),"")</f>
        <v>PARAISO DO TOCANTINS</v>
      </c>
    </row>
    <row r="818" spans="1:14" ht="16.5" customHeight="1" x14ac:dyDescent="0.25">
      <c r="A818" s="52">
        <v>7939937044</v>
      </c>
      <c r="B818" s="51" t="s">
        <v>1003</v>
      </c>
      <c r="C818" s="51" t="s">
        <v>1004</v>
      </c>
      <c r="D818" s="51"/>
      <c r="E818" s="51" t="s">
        <v>1005</v>
      </c>
      <c r="F818" s="51"/>
      <c r="G818" s="51"/>
      <c r="H818" s="51" t="s">
        <v>1005</v>
      </c>
      <c r="I818" s="51" t="s">
        <v>1005</v>
      </c>
      <c r="J818" s="50" t="str">
        <f t="shared" si="24"/>
        <v>7939937044.pdf</v>
      </c>
      <c r="K818" s="51" t="s">
        <v>1006</v>
      </c>
      <c r="L818" s="51" t="s">
        <v>1206</v>
      </c>
      <c r="M818" s="50" t="str">
        <f t="shared" si="25"/>
        <v>13.800</v>
      </c>
      <c r="N818" s="50" t="str">
        <f>IF(A818&lt;&gt;"",VLOOKUP(RIGHT(A818,3)*1,[4]Des_Loc!A:B,2,0),"")</f>
        <v>FATIMA</v>
      </c>
    </row>
    <row r="819" spans="1:14" ht="16.5" customHeight="1" x14ac:dyDescent="0.25">
      <c r="A819" s="52">
        <v>7941437129</v>
      </c>
      <c r="B819" s="51" t="s">
        <v>1003</v>
      </c>
      <c r="C819" s="51">
        <v>3</v>
      </c>
      <c r="D819" s="51"/>
      <c r="E819" s="51" t="s">
        <v>1005</v>
      </c>
      <c r="F819" s="51"/>
      <c r="G819" s="51"/>
      <c r="H819" s="51" t="s">
        <v>1005</v>
      </c>
      <c r="I819" s="51" t="s">
        <v>1005</v>
      </c>
      <c r="J819" s="50" t="str">
        <f t="shared" si="24"/>
        <v>7941437129.pdf</v>
      </c>
      <c r="K819" s="51" t="s">
        <v>1006</v>
      </c>
      <c r="L819" s="51" t="s">
        <v>1104</v>
      </c>
      <c r="M819" s="50" t="str">
        <f t="shared" si="25"/>
        <v>13.800</v>
      </c>
      <c r="N819" s="50" t="str">
        <f>IF(A819&lt;&gt;"",VLOOKUP(RIGHT(A819,3)*1,[4]Des_Loc!A:B,2,0),"")</f>
        <v>SANTA TEREZINHA DO TOCANTINS</v>
      </c>
    </row>
    <row r="820" spans="1:14" ht="16.5" customHeight="1" x14ac:dyDescent="0.25">
      <c r="A820" s="52">
        <v>7941438060</v>
      </c>
      <c r="B820" s="51" t="s">
        <v>1003</v>
      </c>
      <c r="C820" s="51">
        <v>3</v>
      </c>
      <c r="D820" s="51"/>
      <c r="E820" s="51" t="s">
        <v>1005</v>
      </c>
      <c r="F820" s="51"/>
      <c r="G820" s="51"/>
      <c r="H820" s="51" t="s">
        <v>1005</v>
      </c>
      <c r="I820" s="51" t="s">
        <v>1005</v>
      </c>
      <c r="J820" s="50" t="str">
        <f t="shared" si="24"/>
        <v>7941438060.pdf</v>
      </c>
      <c r="K820" s="51" t="s">
        <v>1006</v>
      </c>
      <c r="L820" s="51" t="s">
        <v>412</v>
      </c>
      <c r="M820" s="50" t="str">
        <f t="shared" si="25"/>
        <v>13.800</v>
      </c>
      <c r="N820" s="50" t="str">
        <f>IF(A820&lt;&gt;"",VLOOKUP(RIGHT(A820,3)*1,[4]Des_Loc!A:B,2,0),"")</f>
        <v>NOVA OLINDA</v>
      </c>
    </row>
    <row r="821" spans="1:14" ht="16.5" customHeight="1" x14ac:dyDescent="0.25">
      <c r="A821" s="52">
        <v>7942460001</v>
      </c>
      <c r="B821" s="51" t="s">
        <v>1003</v>
      </c>
      <c r="C821" s="51">
        <v>3</v>
      </c>
      <c r="D821" s="51" t="s">
        <v>1005</v>
      </c>
      <c r="E821" s="51" t="s">
        <v>1005</v>
      </c>
      <c r="F821" s="51" t="s">
        <v>1005</v>
      </c>
      <c r="G821" s="51" t="s">
        <v>1005</v>
      </c>
      <c r="H821" s="51" t="s">
        <v>1005</v>
      </c>
      <c r="I821" s="51" t="s">
        <v>1005</v>
      </c>
      <c r="J821" s="50" t="str">
        <f t="shared" si="24"/>
        <v>7942460001.pdf</v>
      </c>
      <c r="K821" s="51" t="s">
        <v>1006</v>
      </c>
      <c r="L821" s="51" t="s">
        <v>392</v>
      </c>
      <c r="M821" s="50" t="str">
        <f t="shared" si="25"/>
        <v>13.800</v>
      </c>
      <c r="N821" s="50" t="str">
        <f>IF(A821&lt;&gt;"",VLOOKUP(RIGHT(A821,3)*1,[4]Des_Loc!A:B,2,0),"")</f>
        <v>PORTO NACIONAL</v>
      </c>
    </row>
    <row r="822" spans="1:14" ht="16.5" customHeight="1" x14ac:dyDescent="0.25">
      <c r="A822" s="52">
        <v>7943314023</v>
      </c>
      <c r="B822" s="51" t="s">
        <v>1003</v>
      </c>
      <c r="C822" s="51">
        <v>3</v>
      </c>
      <c r="D822" s="51" t="s">
        <v>1011</v>
      </c>
      <c r="E822" s="51" t="s">
        <v>1005</v>
      </c>
      <c r="F822" s="51" t="s">
        <v>1011</v>
      </c>
      <c r="G822" s="51" t="s">
        <v>1005</v>
      </c>
      <c r="H822" s="51" t="s">
        <v>1005</v>
      </c>
      <c r="I822" s="51" t="s">
        <v>1011</v>
      </c>
      <c r="J822" s="50" t="str">
        <f t="shared" si="24"/>
        <v>7943314023.pdf</v>
      </c>
      <c r="K822" s="51" t="s">
        <v>1006</v>
      </c>
      <c r="L822" s="51" t="s">
        <v>1110</v>
      </c>
      <c r="M822" s="50" t="str">
        <f t="shared" si="25"/>
        <v>13.800</v>
      </c>
      <c r="N822" s="50" t="str">
        <f>IF(A822&lt;&gt;"",VLOOKUP(RIGHT(A822,3)*1,[4]Des_Loc!A:B,2,0),"")</f>
        <v>COLINAS DO TOCANTINS</v>
      </c>
    </row>
    <row r="823" spans="1:14" ht="16.5" customHeight="1" x14ac:dyDescent="0.25">
      <c r="A823" s="52">
        <v>7943911003</v>
      </c>
      <c r="B823" s="51" t="s">
        <v>1003</v>
      </c>
      <c r="C823" s="51">
        <v>3</v>
      </c>
      <c r="D823" s="51" t="s">
        <v>1011</v>
      </c>
      <c r="E823" s="51" t="s">
        <v>1005</v>
      </c>
      <c r="F823" s="51" t="s">
        <v>1011</v>
      </c>
      <c r="G823" s="51" t="s">
        <v>1005</v>
      </c>
      <c r="H823" s="51" t="s">
        <v>1005</v>
      </c>
      <c r="I823" s="51" t="s">
        <v>1011</v>
      </c>
      <c r="J823" s="50" t="str">
        <f t="shared" si="24"/>
        <v>7943911003.pdf</v>
      </c>
      <c r="K823" s="51" t="s">
        <v>1006</v>
      </c>
      <c r="L823" s="51" t="s">
        <v>1207</v>
      </c>
      <c r="M823" s="50" t="str">
        <f t="shared" si="25"/>
        <v>34.500</v>
      </c>
      <c r="N823" s="50" t="str">
        <f>IF(A823&lt;&gt;"",VLOOKUP(RIGHT(A823,3)*1,[4]Des_Loc!A:B,2,0),"")</f>
        <v>GURUPI</v>
      </c>
    </row>
    <row r="824" spans="1:14" ht="16.5" customHeight="1" x14ac:dyDescent="0.25">
      <c r="A824" s="52">
        <v>7902296013</v>
      </c>
      <c r="B824" s="51" t="s">
        <v>1003</v>
      </c>
      <c r="C824" s="51">
        <v>3</v>
      </c>
      <c r="D824" s="51"/>
      <c r="E824" s="51" t="s">
        <v>1005</v>
      </c>
      <c r="F824" s="51"/>
      <c r="G824" s="51"/>
      <c r="H824" s="51" t="s">
        <v>1005</v>
      </c>
      <c r="I824" s="51" t="s">
        <v>1005</v>
      </c>
      <c r="J824" s="50" t="str">
        <f t="shared" si="24"/>
        <v>7902296013.pdf</v>
      </c>
      <c r="K824" s="51" t="s">
        <v>1006</v>
      </c>
      <c r="L824" s="51" t="s">
        <v>1205</v>
      </c>
      <c r="M824" s="50" t="str">
        <f t="shared" si="25"/>
        <v>13.800</v>
      </c>
      <c r="N824" s="50" t="str">
        <f>IF(A824&lt;&gt;"",VLOOKUP(RIGHT(A824,3)*1,[4]Des_Loc!A:B,2,0),"")</f>
        <v>PARAISO DO TOCANTINS</v>
      </c>
    </row>
    <row r="825" spans="1:14" ht="16.5" customHeight="1" x14ac:dyDescent="0.25">
      <c r="A825" s="52">
        <v>7934080094</v>
      </c>
      <c r="B825" s="51" t="s">
        <v>1003</v>
      </c>
      <c r="C825" s="51" t="s">
        <v>1025</v>
      </c>
      <c r="D825" s="51" t="s">
        <v>1011</v>
      </c>
      <c r="E825" s="51" t="s">
        <v>1005</v>
      </c>
      <c r="F825" s="51" t="s">
        <v>1011</v>
      </c>
      <c r="G825" s="51" t="s">
        <v>1005</v>
      </c>
      <c r="H825" s="51" t="s">
        <v>1005</v>
      </c>
      <c r="I825" s="51" t="s">
        <v>1011</v>
      </c>
      <c r="J825" s="50" t="str">
        <f t="shared" si="24"/>
        <v>7934080094.pdf</v>
      </c>
      <c r="K825" s="51" t="s">
        <v>1006</v>
      </c>
      <c r="L825" s="51" t="s">
        <v>1199</v>
      </c>
      <c r="M825" s="50" t="str">
        <f t="shared" si="25"/>
        <v>13.800</v>
      </c>
      <c r="N825" s="50" t="str">
        <f>IF(A825&lt;&gt;"",VLOOKUP(RIGHT(A825,3)*1,[4]Des_Loc!A:B,2,0),"")</f>
        <v>PEIXE</v>
      </c>
    </row>
    <row r="826" spans="1:14" ht="16.5" customHeight="1" x14ac:dyDescent="0.25">
      <c r="A826" s="52">
        <v>7941432077</v>
      </c>
      <c r="B826" s="51" t="s">
        <v>1003</v>
      </c>
      <c r="C826" s="51" t="s">
        <v>1004</v>
      </c>
      <c r="D826" s="51" t="s">
        <v>1005</v>
      </c>
      <c r="E826" s="51" t="s">
        <v>1005</v>
      </c>
      <c r="F826" s="51" t="s">
        <v>1005</v>
      </c>
      <c r="G826" s="51" t="s">
        <v>1005</v>
      </c>
      <c r="H826" s="51" t="s">
        <v>1005</v>
      </c>
      <c r="I826" s="51" t="s">
        <v>1005</v>
      </c>
      <c r="J826" s="50" t="str">
        <f t="shared" si="24"/>
        <v>7941432077.pdf</v>
      </c>
      <c r="K826" s="51" t="s">
        <v>1006</v>
      </c>
      <c r="L826" s="51" t="s">
        <v>1085</v>
      </c>
      <c r="M826" s="50" t="str">
        <f t="shared" si="25"/>
        <v>13.800</v>
      </c>
      <c r="N826" s="50" t="str">
        <f>IF(A826&lt;&gt;"",VLOOKUP(RIGHT(A826,3)*1,[4]Des_Loc!A:B,2,0),"")</f>
        <v>GOIATINS</v>
      </c>
    </row>
    <row r="827" spans="1:14" ht="16.5" customHeight="1" x14ac:dyDescent="0.25">
      <c r="A827" s="52">
        <v>7941708059</v>
      </c>
      <c r="B827" s="51" t="s">
        <v>1003</v>
      </c>
      <c r="C827" s="51" t="s">
        <v>1004</v>
      </c>
      <c r="D827" s="51"/>
      <c r="E827" s="51" t="s">
        <v>1005</v>
      </c>
      <c r="F827" s="51"/>
      <c r="G827" s="51"/>
      <c r="H827" s="51" t="s">
        <v>1005</v>
      </c>
      <c r="I827" s="51" t="s">
        <v>1005</v>
      </c>
      <c r="J827" s="50" t="str">
        <f t="shared" si="24"/>
        <v>7941708059.pdf</v>
      </c>
      <c r="K827" s="51" t="s">
        <v>1006</v>
      </c>
      <c r="L827" s="51" t="s">
        <v>1161</v>
      </c>
      <c r="M827" s="50" t="str">
        <f t="shared" si="25"/>
        <v>13.800</v>
      </c>
      <c r="N827" s="50" t="str">
        <f>IF(A827&lt;&gt;"",VLOOKUP(RIGHT(A827,3)*1,[4]Des_Loc!A:B,2,0),"")</f>
        <v>TAQUARALTO</v>
      </c>
    </row>
    <row r="828" spans="1:14" ht="16.5" customHeight="1" x14ac:dyDescent="0.25">
      <c r="A828" s="52">
        <v>7942191013</v>
      </c>
      <c r="B828" s="51" t="s">
        <v>1003</v>
      </c>
      <c r="C828" s="51">
        <v>2</v>
      </c>
      <c r="D828" s="51"/>
      <c r="E828" s="51" t="s">
        <v>1005</v>
      </c>
      <c r="F828" s="51"/>
      <c r="G828" s="51"/>
      <c r="H828" s="51" t="s">
        <v>1005</v>
      </c>
      <c r="I828" s="51" t="s">
        <v>1005</v>
      </c>
      <c r="J828" s="50" t="str">
        <f t="shared" si="24"/>
        <v>7942191013.pdf</v>
      </c>
      <c r="K828" s="51" t="s">
        <v>1006</v>
      </c>
      <c r="L828" s="51" t="s">
        <v>1105</v>
      </c>
      <c r="M828" s="50" t="str">
        <f t="shared" si="25"/>
        <v>13.800</v>
      </c>
      <c r="N828" s="50" t="str">
        <f>IF(A828&lt;&gt;"",VLOOKUP(RIGHT(A828,3)*1,[4]Des_Loc!A:B,2,0),"")</f>
        <v>PARAISO DO TOCANTINS</v>
      </c>
    </row>
    <row r="829" spans="1:14" ht="16.5" customHeight="1" x14ac:dyDescent="0.25">
      <c r="A829" s="52">
        <v>7943460003</v>
      </c>
      <c r="B829" s="51" t="s">
        <v>1003</v>
      </c>
      <c r="C829" s="51" t="s">
        <v>1004</v>
      </c>
      <c r="D829" s="51" t="s">
        <v>1005</v>
      </c>
      <c r="E829" s="51" t="s">
        <v>1005</v>
      </c>
      <c r="F829" s="51" t="s">
        <v>1005</v>
      </c>
      <c r="G829" s="51" t="s">
        <v>1005</v>
      </c>
      <c r="H829" s="51" t="s">
        <v>1005</v>
      </c>
      <c r="I829" s="51" t="s">
        <v>1005</v>
      </c>
      <c r="J829" s="50" t="str">
        <f t="shared" si="24"/>
        <v>7943460003.pdf</v>
      </c>
      <c r="K829" s="51" t="s">
        <v>1006</v>
      </c>
      <c r="L829" s="51" t="s">
        <v>1186</v>
      </c>
      <c r="M829" s="50" t="str">
        <f t="shared" si="25"/>
        <v>13.800</v>
      </c>
      <c r="N829" s="50" t="str">
        <f>IF(A829&lt;&gt;"",VLOOKUP(RIGHT(A829,3)*1,[4]Des_Loc!A:B,2,0),"")</f>
        <v>GURUPI</v>
      </c>
    </row>
    <row r="830" spans="1:14" ht="16.5" customHeight="1" x14ac:dyDescent="0.25">
      <c r="A830" s="52">
        <v>7941306005</v>
      </c>
      <c r="B830" s="51" t="s">
        <v>1003</v>
      </c>
      <c r="C830" s="51" t="s">
        <v>1008</v>
      </c>
      <c r="D830" s="51"/>
      <c r="E830" s="51" t="s">
        <v>1005</v>
      </c>
      <c r="F830" s="51"/>
      <c r="G830" s="51"/>
      <c r="H830" s="51" t="s">
        <v>1005</v>
      </c>
      <c r="I830" s="51" t="s">
        <v>1005</v>
      </c>
      <c r="J830" s="50" t="str">
        <f t="shared" si="24"/>
        <v>7941306005.pdf</v>
      </c>
      <c r="K830" s="51" t="s">
        <v>1006</v>
      </c>
      <c r="L830" s="51" t="s">
        <v>1208</v>
      </c>
      <c r="M830" s="50" t="str">
        <f t="shared" si="25"/>
        <v>13.800</v>
      </c>
      <c r="N830" s="50" t="str">
        <f>IF(A830&lt;&gt;"",VLOOKUP(RIGHT(A830,3)*1,[4]Des_Loc!A:B,2,0),"")</f>
        <v>ARRAIAS</v>
      </c>
    </row>
    <row r="831" spans="1:14" ht="16.5" customHeight="1" x14ac:dyDescent="0.25">
      <c r="A831" s="52">
        <v>7943907052</v>
      </c>
      <c r="B831" s="51" t="s">
        <v>1003</v>
      </c>
      <c r="C831" s="51" t="s">
        <v>1004</v>
      </c>
      <c r="D831" s="51"/>
      <c r="E831" s="51" t="s">
        <v>1005</v>
      </c>
      <c r="F831" s="51"/>
      <c r="G831" s="51"/>
      <c r="H831" s="51" t="s">
        <v>1005</v>
      </c>
      <c r="I831" s="51" t="s">
        <v>1005</v>
      </c>
      <c r="J831" s="50" t="str">
        <f t="shared" si="24"/>
        <v>7943907052.pdf</v>
      </c>
      <c r="K831" s="51" t="s">
        <v>1006</v>
      </c>
      <c r="L831" s="51" t="s">
        <v>1087</v>
      </c>
      <c r="M831" s="50" t="str">
        <f t="shared" si="25"/>
        <v>13.800</v>
      </c>
      <c r="N831" s="50" t="str">
        <f>IF(A831&lt;&gt;"",VLOOKUP(RIGHT(A831,3)*1,[4]Des_Loc!A:B,2,0),"")</f>
        <v>FORMOSO DO ARAGUAIA</v>
      </c>
    </row>
    <row r="832" spans="1:14" ht="16.5" customHeight="1" x14ac:dyDescent="0.25">
      <c r="A832" s="52">
        <v>7902736014</v>
      </c>
      <c r="B832" s="51" t="s">
        <v>1003</v>
      </c>
      <c r="C832" s="51">
        <v>3</v>
      </c>
      <c r="D832" s="51" t="s">
        <v>1011</v>
      </c>
      <c r="E832" s="51" t="s">
        <v>1005</v>
      </c>
      <c r="F832" s="51" t="s">
        <v>1011</v>
      </c>
      <c r="G832" s="51" t="s">
        <v>1005</v>
      </c>
      <c r="H832" s="51" t="s">
        <v>1005</v>
      </c>
      <c r="I832" s="51" t="s">
        <v>1011</v>
      </c>
      <c r="J832" s="50" t="str">
        <f t="shared" si="24"/>
        <v>7902736014.pdf</v>
      </c>
      <c r="K832" s="51" t="s">
        <v>1006</v>
      </c>
      <c r="L832" s="51" t="s">
        <v>1023</v>
      </c>
      <c r="M832" s="50" t="str">
        <f t="shared" si="25"/>
        <v>34.500</v>
      </c>
      <c r="N832" s="50" t="str">
        <f>IF(A832&lt;&gt;"",VLOOKUP(RIGHT(A832,3)*1,[4]Des_Loc!A:B,2,0),"")</f>
        <v>PIUM</v>
      </c>
    </row>
    <row r="833" spans="1:14" ht="16.5" customHeight="1" x14ac:dyDescent="0.25">
      <c r="A833" s="52">
        <v>7943908032</v>
      </c>
      <c r="B833" s="51" t="s">
        <v>1003</v>
      </c>
      <c r="C833" s="51" t="s">
        <v>1025</v>
      </c>
      <c r="D833" s="51" t="s">
        <v>1011</v>
      </c>
      <c r="E833" s="51" t="s">
        <v>1011</v>
      </c>
      <c r="F833" s="51" t="s">
        <v>1011</v>
      </c>
      <c r="G833" s="51" t="s">
        <v>1005</v>
      </c>
      <c r="H833" s="51" t="s">
        <v>1005</v>
      </c>
      <c r="I833" s="51" t="s">
        <v>1011</v>
      </c>
      <c r="J833" s="50" t="str">
        <f t="shared" si="24"/>
        <v>7943908032.pdf</v>
      </c>
      <c r="K833" s="51" t="s">
        <v>1006</v>
      </c>
      <c r="L833" s="51" t="s">
        <v>1018</v>
      </c>
      <c r="M833" s="50" t="str">
        <f t="shared" si="25"/>
        <v>13.800</v>
      </c>
      <c r="N833" s="50" t="str">
        <f>IF(A833&lt;&gt;"",VLOOKUP(RIGHT(A833,3)*1,[4]Des_Loc!A:B,2,0),"")</f>
        <v>ARAGUACU</v>
      </c>
    </row>
    <row r="834" spans="1:14" ht="16.5" customHeight="1" x14ac:dyDescent="0.25">
      <c r="A834" s="52">
        <v>7941433060</v>
      </c>
      <c r="B834" s="51" t="s">
        <v>1003</v>
      </c>
      <c r="C834" s="51" t="s">
        <v>1010</v>
      </c>
      <c r="D834" s="51"/>
      <c r="E834" s="51" t="s">
        <v>1011</v>
      </c>
      <c r="F834" s="51"/>
      <c r="G834" s="51"/>
      <c r="H834" s="51" t="s">
        <v>1005</v>
      </c>
      <c r="I834" s="51" t="s">
        <v>1005</v>
      </c>
      <c r="J834" s="50" t="str">
        <f t="shared" ref="J834:J897" si="26">CONCATENATE(A834,".pdf")</f>
        <v>7941433060.pdf</v>
      </c>
      <c r="K834" s="51" t="s">
        <v>1006</v>
      </c>
      <c r="L834" s="51" t="s">
        <v>412</v>
      </c>
      <c r="M834" s="50" t="str">
        <f t="shared" ref="M834:M897" si="27">IF(L834&lt;&gt;"",IF(LEFT(L834,2)="AL","13.800","34.500"),"")</f>
        <v>13.800</v>
      </c>
      <c r="N834" s="50" t="str">
        <f>IF(A834&lt;&gt;"",VLOOKUP(RIGHT(A834,3)*1,[4]Des_Loc!A:B,2,0),"")</f>
        <v>NOVA OLINDA</v>
      </c>
    </row>
    <row r="835" spans="1:14" ht="16.5" customHeight="1" x14ac:dyDescent="0.25">
      <c r="A835" s="52">
        <v>7923616017</v>
      </c>
      <c r="B835" s="51" t="s">
        <v>1003</v>
      </c>
      <c r="C835" s="51" t="s">
        <v>1025</v>
      </c>
      <c r="D835" s="51" t="s">
        <v>1011</v>
      </c>
      <c r="E835" s="51" t="s">
        <v>1005</v>
      </c>
      <c r="F835" s="51" t="s">
        <v>1011</v>
      </c>
      <c r="G835" s="51" t="s">
        <v>1011</v>
      </c>
      <c r="H835" s="51" t="s">
        <v>1011</v>
      </c>
      <c r="I835" s="51" t="s">
        <v>1011</v>
      </c>
      <c r="J835" s="50" t="str">
        <f t="shared" si="26"/>
        <v>7923616017.pdf</v>
      </c>
      <c r="K835" s="51" t="s">
        <v>1006</v>
      </c>
      <c r="L835" s="51" t="s">
        <v>436</v>
      </c>
      <c r="M835" s="50" t="str">
        <f t="shared" si="27"/>
        <v>13.800</v>
      </c>
      <c r="N835" s="50" t="str">
        <f>IF(A835&lt;&gt;"",VLOOKUP(RIGHT(A835,3)*1,[4]Des_Loc!A:B,2,0),"")</f>
        <v>BARROLANDIA</v>
      </c>
    </row>
    <row r="836" spans="1:14" ht="16.5" customHeight="1" x14ac:dyDescent="0.25">
      <c r="A836" s="52">
        <v>7930877081</v>
      </c>
      <c r="B836" s="51" t="s">
        <v>1003</v>
      </c>
      <c r="C836" s="51">
        <v>2</v>
      </c>
      <c r="D836" s="51"/>
      <c r="E836" s="51" t="s">
        <v>1005</v>
      </c>
      <c r="F836" s="51"/>
      <c r="G836" s="51"/>
      <c r="H836" s="51" t="s">
        <v>1005</v>
      </c>
      <c r="I836" s="51" t="s">
        <v>1005</v>
      </c>
      <c r="J836" s="50" t="str">
        <f t="shared" si="26"/>
        <v>7930877081.pdf</v>
      </c>
      <c r="K836" s="54" t="s">
        <v>1022</v>
      </c>
      <c r="L836" s="51" t="s">
        <v>1033</v>
      </c>
      <c r="M836" s="50" t="str">
        <f t="shared" si="27"/>
        <v>13.800</v>
      </c>
      <c r="N836" s="50" t="str">
        <f>IF(A836&lt;&gt;"",VLOOKUP(RIGHT(A836,3)*1,[4]Des_Loc!A:B,2,0),"")</f>
        <v>ITAGUATINS</v>
      </c>
    </row>
    <row r="837" spans="1:14" ht="16.5" customHeight="1" x14ac:dyDescent="0.25">
      <c r="A837" s="52">
        <v>7935612001</v>
      </c>
      <c r="B837" s="51" t="s">
        <v>1003</v>
      </c>
      <c r="C837" s="51">
        <v>3</v>
      </c>
      <c r="D837" s="51" t="s">
        <v>1011</v>
      </c>
      <c r="E837" s="51" t="s">
        <v>1005</v>
      </c>
      <c r="F837" s="51" t="s">
        <v>1005</v>
      </c>
      <c r="G837" s="51" t="s">
        <v>1005</v>
      </c>
      <c r="H837" s="51" t="s">
        <v>1005</v>
      </c>
      <c r="I837" s="51" t="s">
        <v>1005</v>
      </c>
      <c r="J837" s="50" t="str">
        <f t="shared" si="26"/>
        <v>7935612001.pdf</v>
      </c>
      <c r="K837" s="51" t="s">
        <v>1006</v>
      </c>
      <c r="L837" s="51" t="s">
        <v>1014</v>
      </c>
      <c r="M837" s="50" t="str">
        <f t="shared" si="27"/>
        <v>13.800</v>
      </c>
      <c r="N837" s="50" t="str">
        <f>IF(A837&lt;&gt;"",VLOOKUP(RIGHT(A837,3)*1,[4]Des_Loc!A:B,2,0),"")</f>
        <v>PORTO NACIONAL</v>
      </c>
    </row>
    <row r="838" spans="1:14" ht="16.5" customHeight="1" x14ac:dyDescent="0.25">
      <c r="A838" s="52">
        <v>7932922001</v>
      </c>
      <c r="B838" s="51" t="s">
        <v>1003</v>
      </c>
      <c r="C838" s="51" t="s">
        <v>1004</v>
      </c>
      <c r="D838" s="51" t="s">
        <v>1005</v>
      </c>
      <c r="E838" s="51" t="s">
        <v>1005</v>
      </c>
      <c r="F838" s="51" t="s">
        <v>1005</v>
      </c>
      <c r="G838" s="51" t="s">
        <v>1005</v>
      </c>
      <c r="H838" s="51" t="s">
        <v>1005</v>
      </c>
      <c r="I838" s="51" t="s">
        <v>1005</v>
      </c>
      <c r="J838" s="50" t="str">
        <f t="shared" si="26"/>
        <v>7932922001.pdf</v>
      </c>
      <c r="K838" s="51" t="s">
        <v>1006</v>
      </c>
      <c r="L838" s="51" t="s">
        <v>1066</v>
      </c>
      <c r="M838" s="50" t="str">
        <f t="shared" si="27"/>
        <v>13.800</v>
      </c>
      <c r="N838" s="50" t="str">
        <f>IF(A838&lt;&gt;"",VLOOKUP(RIGHT(A838,3)*1,[4]Des_Loc!A:B,2,0),"")</f>
        <v>PORTO NACIONAL</v>
      </c>
    </row>
    <row r="839" spans="1:14" ht="16.5" customHeight="1" x14ac:dyDescent="0.25">
      <c r="A839" s="52">
        <v>7905320122</v>
      </c>
      <c r="B839" s="51" t="s">
        <v>1003</v>
      </c>
      <c r="C839" s="51">
        <v>2</v>
      </c>
      <c r="D839" s="51" t="s">
        <v>1005</v>
      </c>
      <c r="E839" s="51" t="s">
        <v>1005</v>
      </c>
      <c r="F839" s="51" t="s">
        <v>1005</v>
      </c>
      <c r="G839" s="51" t="s">
        <v>1005</v>
      </c>
      <c r="H839" s="51" t="s">
        <v>1005</v>
      </c>
      <c r="I839" s="51" t="s">
        <v>1005</v>
      </c>
      <c r="J839" s="50" t="str">
        <f t="shared" si="26"/>
        <v>7905320122.pdf</v>
      </c>
      <c r="K839" s="54" t="s">
        <v>1022</v>
      </c>
      <c r="L839" s="51" t="s">
        <v>1073</v>
      </c>
      <c r="M839" s="50" t="str">
        <f t="shared" si="27"/>
        <v>13.800</v>
      </c>
      <c r="N839" s="50" t="str">
        <f>IF(A839&lt;&gt;"",VLOOKUP(RIGHT(A839,3)*1,[4]Des_Loc!A:B,2,0),"")</f>
        <v>PALMAS</v>
      </c>
    </row>
    <row r="840" spans="1:14" ht="16.5" customHeight="1" x14ac:dyDescent="0.25">
      <c r="A840" s="52">
        <v>7942731193</v>
      </c>
      <c r="B840" s="51" t="s">
        <v>1003</v>
      </c>
      <c r="C840" s="51" t="s">
        <v>1008</v>
      </c>
      <c r="D840" s="51" t="s">
        <v>1005</v>
      </c>
      <c r="E840" s="51" t="s">
        <v>1005</v>
      </c>
      <c r="F840" s="51" t="s">
        <v>1005</v>
      </c>
      <c r="G840" s="51" t="s">
        <v>1005</v>
      </c>
      <c r="H840" s="51" t="s">
        <v>1005</v>
      </c>
      <c r="I840" s="51" t="s">
        <v>1005</v>
      </c>
      <c r="J840" s="50" t="str">
        <f t="shared" si="26"/>
        <v>7942731193.pdf</v>
      </c>
      <c r="K840" s="51" t="s">
        <v>1006</v>
      </c>
      <c r="L840" s="51" t="s">
        <v>1036</v>
      </c>
      <c r="M840" s="50" t="str">
        <f t="shared" si="27"/>
        <v>34.500</v>
      </c>
      <c r="N840" s="50" t="str">
        <f>IF(A840&lt;&gt;"",VLOOKUP(RIGHT(A840,3)*1,[4]Des_Loc!A:B,2,0),"")</f>
        <v>CAMPOS LINDOS</v>
      </c>
    </row>
    <row r="841" spans="1:14" ht="16.5" customHeight="1" x14ac:dyDescent="0.25">
      <c r="A841" s="52">
        <v>7936029003</v>
      </c>
      <c r="B841" s="51" t="s">
        <v>1003</v>
      </c>
      <c r="C841" s="51" t="s">
        <v>1021</v>
      </c>
      <c r="D841" s="51"/>
      <c r="E841" s="51" t="s">
        <v>1005</v>
      </c>
      <c r="F841" s="51"/>
      <c r="G841" s="51"/>
      <c r="H841" s="51" t="s">
        <v>1005</v>
      </c>
      <c r="I841" s="51" t="s">
        <v>1005</v>
      </c>
      <c r="J841" s="50" t="str">
        <f t="shared" si="26"/>
        <v>7936029003.pdf</v>
      </c>
      <c r="K841" s="51" t="s">
        <v>1006</v>
      </c>
      <c r="L841" s="51" t="s">
        <v>1168</v>
      </c>
      <c r="M841" s="50" t="str">
        <f t="shared" si="27"/>
        <v>13.800</v>
      </c>
      <c r="N841" s="50" t="str">
        <f>IF(A841&lt;&gt;"",VLOOKUP(RIGHT(A841,3)*1,[4]Des_Loc!A:B,2,0),"")</f>
        <v>GURUPI</v>
      </c>
    </row>
    <row r="842" spans="1:14" ht="16.5" customHeight="1" x14ac:dyDescent="0.25">
      <c r="A842" s="52">
        <v>7941691084</v>
      </c>
      <c r="B842" s="51" t="s">
        <v>1003</v>
      </c>
      <c r="C842" s="51">
        <v>3</v>
      </c>
      <c r="D842" s="51" t="s">
        <v>1011</v>
      </c>
      <c r="E842" s="51" t="s">
        <v>1005</v>
      </c>
      <c r="F842" s="51" t="s">
        <v>1115</v>
      </c>
      <c r="G842" s="51" t="s">
        <v>1005</v>
      </c>
      <c r="H842" s="51" t="s">
        <v>1005</v>
      </c>
      <c r="I842" s="51" t="s">
        <v>1005</v>
      </c>
      <c r="J842" s="50" t="str">
        <f t="shared" si="26"/>
        <v>7941691084.pdf</v>
      </c>
      <c r="K842" s="51" t="s">
        <v>1006</v>
      </c>
      <c r="L842" s="51" t="s">
        <v>1023</v>
      </c>
      <c r="M842" s="50" t="str">
        <f t="shared" si="27"/>
        <v>34.500</v>
      </c>
      <c r="N842" s="50" t="str">
        <f>IF(A842&lt;&gt;"",VLOOKUP(RIGHT(A842,3)*1,[4]Des_Loc!A:B,2,0),"")</f>
        <v>DIVINOPOLIS</v>
      </c>
    </row>
    <row r="843" spans="1:14" ht="16.5" customHeight="1" x14ac:dyDescent="0.25">
      <c r="A843" s="52">
        <v>7939300004</v>
      </c>
      <c r="B843" s="51" t="s">
        <v>1003</v>
      </c>
      <c r="C843" s="51" t="s">
        <v>1004</v>
      </c>
      <c r="D843" s="51"/>
      <c r="E843" s="51" t="s">
        <v>1005</v>
      </c>
      <c r="F843" s="51"/>
      <c r="G843" s="51"/>
      <c r="H843" s="51" t="s">
        <v>1005</v>
      </c>
      <c r="I843" s="51" t="s">
        <v>1005</v>
      </c>
      <c r="J843" s="50" t="str">
        <f t="shared" si="26"/>
        <v>7939300004.pdf</v>
      </c>
      <c r="K843" s="51" t="s">
        <v>1006</v>
      </c>
      <c r="L843" s="51" t="s">
        <v>353</v>
      </c>
      <c r="M843" s="50" t="str">
        <f t="shared" si="27"/>
        <v>34.500</v>
      </c>
      <c r="N843" s="50" t="str">
        <f>IF(A843&lt;&gt;"",VLOOKUP(RIGHT(A843,3)*1,[4]Des_Loc!A:B,2,0),"")</f>
        <v>ARAGUAINA</v>
      </c>
    </row>
    <row r="844" spans="1:14" ht="16.5" customHeight="1" x14ac:dyDescent="0.25">
      <c r="A844" s="52">
        <v>7941727083</v>
      </c>
      <c r="B844" s="51" t="s">
        <v>1003</v>
      </c>
      <c r="C844" s="51">
        <v>3</v>
      </c>
      <c r="D844" s="51"/>
      <c r="E844" s="51" t="s">
        <v>1011</v>
      </c>
      <c r="F844" s="51"/>
      <c r="G844" s="51"/>
      <c r="H844" s="51" t="s">
        <v>1005</v>
      </c>
      <c r="I844" s="51" t="s">
        <v>1005</v>
      </c>
      <c r="J844" s="50" t="str">
        <f t="shared" si="26"/>
        <v>7941727083.pdf</v>
      </c>
      <c r="K844" s="51" t="s">
        <v>1006</v>
      </c>
      <c r="L844" s="51" t="s">
        <v>1015</v>
      </c>
      <c r="M844" s="50" t="str">
        <f t="shared" si="27"/>
        <v>34.500</v>
      </c>
      <c r="N844" s="50" t="str">
        <f>IF(A844&lt;&gt;"",VLOOKUP(RIGHT(A844,3)*1,[4]Des_Loc!A:B,2,0),"")</f>
        <v>APARECIDA DO RIO NEGRO</v>
      </c>
    </row>
    <row r="845" spans="1:14" ht="16.5" customHeight="1" x14ac:dyDescent="0.25">
      <c r="A845" s="52">
        <v>7941990086</v>
      </c>
      <c r="B845" s="51" t="s">
        <v>1003</v>
      </c>
      <c r="C845" s="51" t="s">
        <v>1004</v>
      </c>
      <c r="D845" s="51" t="s">
        <v>1005</v>
      </c>
      <c r="E845" s="51" t="s">
        <v>1005</v>
      </c>
      <c r="F845" s="51" t="s">
        <v>1005</v>
      </c>
      <c r="G845" s="51" t="s">
        <v>1005</v>
      </c>
      <c r="H845" s="51" t="s">
        <v>1005</v>
      </c>
      <c r="I845" s="51" t="s">
        <v>1005</v>
      </c>
      <c r="J845" s="50" t="str">
        <f t="shared" si="26"/>
        <v>7941990086.pdf</v>
      </c>
      <c r="K845" s="51" t="s">
        <v>1006</v>
      </c>
      <c r="L845" s="51" t="s">
        <v>1023</v>
      </c>
      <c r="M845" s="50" t="str">
        <f t="shared" si="27"/>
        <v>34.500</v>
      </c>
      <c r="N845" s="50" t="str">
        <f>IF(A845&lt;&gt;"",VLOOKUP(RIGHT(A845,3)*1,[4]Des_Loc!A:B,2,0),"")</f>
        <v>MARIANOPOLIS</v>
      </c>
    </row>
    <row r="846" spans="1:14" ht="16.5" customHeight="1" x14ac:dyDescent="0.25">
      <c r="A846" s="52">
        <v>7943319015</v>
      </c>
      <c r="B846" s="51" t="s">
        <v>1003</v>
      </c>
      <c r="C846" s="51">
        <v>3</v>
      </c>
      <c r="D846" s="51" t="s">
        <v>1011</v>
      </c>
      <c r="E846" s="51" t="s">
        <v>1005</v>
      </c>
      <c r="F846" s="51" t="s">
        <v>1011</v>
      </c>
      <c r="G846" s="51" t="s">
        <v>1005</v>
      </c>
      <c r="H846" s="51" t="s">
        <v>1005</v>
      </c>
      <c r="I846" s="51" t="s">
        <v>1011</v>
      </c>
      <c r="J846" s="50" t="str">
        <f t="shared" si="26"/>
        <v>7943319015.pdf</v>
      </c>
      <c r="K846" s="51" t="s">
        <v>1006</v>
      </c>
      <c r="L846" s="51" t="s">
        <v>754</v>
      </c>
      <c r="M846" s="50" t="str">
        <f t="shared" si="27"/>
        <v>34.500</v>
      </c>
      <c r="N846" s="50" t="str">
        <f>IF(A846&lt;&gt;"",VLOOKUP(RIGHT(A846,3)*1,[4]Des_Loc!A:B,2,0),"")</f>
        <v>PEDRO AFONSO</v>
      </c>
    </row>
    <row r="847" spans="1:14" ht="16.5" customHeight="1" x14ac:dyDescent="0.25">
      <c r="A847" s="52">
        <v>7943337227</v>
      </c>
      <c r="B847" s="51" t="s">
        <v>1003</v>
      </c>
      <c r="C847" s="51" t="s">
        <v>1010</v>
      </c>
      <c r="D847" s="51"/>
      <c r="E847" s="51" t="s">
        <v>1011</v>
      </c>
      <c r="F847" s="51"/>
      <c r="G847" s="51"/>
      <c r="H847" s="51" t="s">
        <v>1005</v>
      </c>
      <c r="I847" s="51" t="s">
        <v>1005</v>
      </c>
      <c r="J847" s="50" t="str">
        <f t="shared" si="26"/>
        <v>7943337227.pdf</v>
      </c>
      <c r="K847" s="51" t="s">
        <v>1006</v>
      </c>
      <c r="L847" s="51" t="s">
        <v>470</v>
      </c>
      <c r="M847" s="50" t="str">
        <f t="shared" si="27"/>
        <v>34.500</v>
      </c>
      <c r="N847" s="50" t="str">
        <f>IF(A847&lt;&gt;"",VLOOKUP(RIGHT(A847,3)*1,[4]Des_Loc!A:B,2,0),"")</f>
        <v>RECURSOLANDIA</v>
      </c>
    </row>
    <row r="848" spans="1:14" ht="16.5" customHeight="1" x14ac:dyDescent="0.25">
      <c r="A848" s="50">
        <v>7942299030</v>
      </c>
      <c r="B848" s="51" t="s">
        <v>1003</v>
      </c>
      <c r="C848" s="51">
        <v>3</v>
      </c>
      <c r="D848" s="51" t="s">
        <v>1011</v>
      </c>
      <c r="E848" s="51" t="s">
        <v>1011</v>
      </c>
      <c r="F848" s="51" t="s">
        <v>1011</v>
      </c>
      <c r="G848" s="51" t="s">
        <v>1005</v>
      </c>
      <c r="H848" s="51" t="s">
        <v>1005</v>
      </c>
      <c r="I848" s="51" t="s">
        <v>1011</v>
      </c>
      <c r="J848" s="50" t="str">
        <f t="shared" si="26"/>
        <v>7942299030.pdf</v>
      </c>
      <c r="K848" s="51" t="s">
        <v>1006</v>
      </c>
      <c r="L848" s="51" t="s">
        <v>1114</v>
      </c>
      <c r="M848" s="50" t="str">
        <f t="shared" si="27"/>
        <v>34.500</v>
      </c>
      <c r="N848" s="50" t="str">
        <f>IF(A848&lt;&gt;"",VLOOKUP(RIGHT(A848,3)*1,[4]Des_Loc!A:B,2,0),"")</f>
        <v>XAMBIOA</v>
      </c>
    </row>
    <row r="849" spans="1:14" ht="16.5" customHeight="1" x14ac:dyDescent="0.25">
      <c r="A849" s="52">
        <v>7942739030</v>
      </c>
      <c r="B849" s="51" t="s">
        <v>1003</v>
      </c>
      <c r="C849" s="51" t="s">
        <v>1021</v>
      </c>
      <c r="D849" s="51"/>
      <c r="E849" s="51" t="s">
        <v>1005</v>
      </c>
      <c r="F849" s="51"/>
      <c r="G849" s="51"/>
      <c r="H849" s="51" t="s">
        <v>1005</v>
      </c>
      <c r="I849" s="51" t="s">
        <v>1005</v>
      </c>
      <c r="J849" s="50" t="str">
        <f t="shared" si="26"/>
        <v>7942739030.pdf</v>
      </c>
      <c r="K849" s="51" t="s">
        <v>1006</v>
      </c>
      <c r="L849" s="51" t="s">
        <v>1114</v>
      </c>
      <c r="M849" s="50" t="str">
        <f t="shared" si="27"/>
        <v>34.500</v>
      </c>
      <c r="N849" s="50" t="str">
        <f>IF(A849&lt;&gt;"",VLOOKUP(RIGHT(A849,3)*1,[4]Des_Loc!A:B,2,0),"")</f>
        <v>XAMBIOA</v>
      </c>
    </row>
    <row r="850" spans="1:14" ht="16.5" customHeight="1" x14ac:dyDescent="0.25">
      <c r="A850" s="52">
        <v>7936306013</v>
      </c>
      <c r="B850" s="51" t="s">
        <v>1003</v>
      </c>
      <c r="C850" s="51" t="s">
        <v>1008</v>
      </c>
      <c r="D850" s="51" t="s">
        <v>1005</v>
      </c>
      <c r="E850" s="51" t="s">
        <v>1005</v>
      </c>
      <c r="F850" s="51" t="s">
        <v>1005</v>
      </c>
      <c r="G850" s="51" t="s">
        <v>1005</v>
      </c>
      <c r="H850" s="51" t="s">
        <v>1005</v>
      </c>
      <c r="I850" s="51" t="s">
        <v>1005</v>
      </c>
      <c r="J850" s="50" t="str">
        <f t="shared" si="26"/>
        <v>7936306013.pdf</v>
      </c>
      <c r="K850" s="51" t="s">
        <v>1006</v>
      </c>
      <c r="L850" s="51" t="s">
        <v>639</v>
      </c>
      <c r="M850" s="50" t="str">
        <f t="shared" si="27"/>
        <v>34.500</v>
      </c>
      <c r="N850" s="50" t="str">
        <f>IF(A850&lt;&gt;"",VLOOKUP(RIGHT(A850,3)*1,[4]Des_Loc!A:B,2,0),"")</f>
        <v>PARAISO DO TOCANTINS</v>
      </c>
    </row>
    <row r="851" spans="1:14" ht="16.5" customHeight="1" x14ac:dyDescent="0.25">
      <c r="A851" s="52">
        <v>7931590073</v>
      </c>
      <c r="B851" s="51" t="s">
        <v>1003</v>
      </c>
      <c r="C851" s="51">
        <v>3</v>
      </c>
      <c r="D851" s="51" t="s">
        <v>1011</v>
      </c>
      <c r="E851" s="51" t="s">
        <v>1005</v>
      </c>
      <c r="F851" s="51" t="s">
        <v>1005</v>
      </c>
      <c r="G851" s="51" t="s">
        <v>1005</v>
      </c>
      <c r="H851" s="51" t="s">
        <v>1005</v>
      </c>
      <c r="I851" s="51" t="s">
        <v>1005</v>
      </c>
      <c r="J851" s="50" t="str">
        <f t="shared" si="26"/>
        <v>7931590073.pdf</v>
      </c>
      <c r="K851" s="51" t="s">
        <v>1006</v>
      </c>
      <c r="L851" s="51" t="s">
        <v>1137</v>
      </c>
      <c r="M851" s="50" t="str">
        <f t="shared" si="27"/>
        <v>34.500</v>
      </c>
      <c r="N851" s="50" t="str">
        <f>IF(A851&lt;&gt;"",VLOOKUP(RIGHT(A851,3)*1,[4]Des_Loc!A:B,2,0),"")</f>
        <v>LAGOA DA CONFUSAO</v>
      </c>
    </row>
    <row r="852" spans="1:14" ht="16.5" customHeight="1" x14ac:dyDescent="0.25">
      <c r="A852" s="50">
        <v>7936126119</v>
      </c>
      <c r="B852" s="51" t="s">
        <v>1003</v>
      </c>
      <c r="C852" s="51" t="s">
        <v>1008</v>
      </c>
      <c r="D852" s="51"/>
      <c r="E852" s="51" t="s">
        <v>1005</v>
      </c>
      <c r="F852" s="51"/>
      <c r="G852" s="51"/>
      <c r="H852" s="51" t="s">
        <v>1005</v>
      </c>
      <c r="I852" s="51" t="s">
        <v>1005</v>
      </c>
      <c r="J852" s="50" t="str">
        <f t="shared" si="26"/>
        <v>7936126119.pdf</v>
      </c>
      <c r="K852" s="51" t="s">
        <v>1006</v>
      </c>
      <c r="L852" s="51" t="s">
        <v>453</v>
      </c>
      <c r="M852" s="50" t="str">
        <f t="shared" si="27"/>
        <v>34.500</v>
      </c>
      <c r="N852" s="50" t="str">
        <f>IF(A852&lt;&gt;"",VLOOKUP(RIGHT(A852,3)*1,[4]Des_Loc!A:B,2,0),"")</f>
        <v>SAO BENTO DO TOCANTINS</v>
      </c>
    </row>
    <row r="853" spans="1:14" ht="16.5" customHeight="1" x14ac:dyDescent="0.25">
      <c r="A853" s="52">
        <v>7938858074</v>
      </c>
      <c r="B853" s="51" t="s">
        <v>1003</v>
      </c>
      <c r="C853" s="51" t="s">
        <v>1010</v>
      </c>
      <c r="D853" s="51" t="s">
        <v>1011</v>
      </c>
      <c r="E853" s="51" t="s">
        <v>1005</v>
      </c>
      <c r="F853" s="51" t="s">
        <v>1011</v>
      </c>
      <c r="G853" s="51" t="s">
        <v>1005</v>
      </c>
      <c r="H853" s="51" t="s">
        <v>1005</v>
      </c>
      <c r="I853" s="51" t="s">
        <v>1011</v>
      </c>
      <c r="J853" s="50" t="str">
        <f t="shared" si="26"/>
        <v>7938858074.pdf</v>
      </c>
      <c r="K853" s="51" t="s">
        <v>1006</v>
      </c>
      <c r="L853" s="51" t="s">
        <v>376</v>
      </c>
      <c r="M853" s="50" t="str">
        <f t="shared" si="27"/>
        <v>34.500</v>
      </c>
      <c r="N853" s="50" t="str">
        <f>IF(A853&lt;&gt;"",VLOOKUP(RIGHT(A853,3)*1,[4]Des_Loc!A:B,2,0),"")</f>
        <v>DIANOPOLIS</v>
      </c>
    </row>
    <row r="854" spans="1:14" ht="16.5" customHeight="1" x14ac:dyDescent="0.25">
      <c r="A854" s="52">
        <v>7942038091</v>
      </c>
      <c r="B854" s="51" t="s">
        <v>1003</v>
      </c>
      <c r="C854" s="51">
        <v>3</v>
      </c>
      <c r="D854" s="51" t="s">
        <v>1011</v>
      </c>
      <c r="E854" s="51" t="s">
        <v>1011</v>
      </c>
      <c r="F854" s="51" t="s">
        <v>1005</v>
      </c>
      <c r="G854" s="51" t="s">
        <v>1005</v>
      </c>
      <c r="H854" s="51" t="s">
        <v>1005</v>
      </c>
      <c r="I854" s="51" t="s">
        <v>1005</v>
      </c>
      <c r="J854" s="50" t="str">
        <f t="shared" si="26"/>
        <v>7942038091.pdf</v>
      </c>
      <c r="K854" s="51" t="s">
        <v>1006</v>
      </c>
      <c r="L854" s="51" t="s">
        <v>1086</v>
      </c>
      <c r="M854" s="50" t="str">
        <f t="shared" si="27"/>
        <v>34.500</v>
      </c>
      <c r="N854" s="50" t="str">
        <f>IF(A854&lt;&gt;"",VLOOKUP(RIGHT(A854,3)*1,[4]Des_Loc!A:B,2,0),"")</f>
        <v>ALMAS</v>
      </c>
    </row>
    <row r="855" spans="1:14" ht="16.5" customHeight="1" x14ac:dyDescent="0.25">
      <c r="A855" s="52">
        <v>7942707040</v>
      </c>
      <c r="B855" s="51" t="s">
        <v>1003</v>
      </c>
      <c r="C855" s="51">
        <v>3</v>
      </c>
      <c r="D855" s="51" t="s">
        <v>1011</v>
      </c>
      <c r="E855" s="51" t="s">
        <v>1011</v>
      </c>
      <c r="F855" s="51" t="s">
        <v>1011</v>
      </c>
      <c r="G855" s="51" t="s">
        <v>1005</v>
      </c>
      <c r="H855" s="51" t="s">
        <v>1005</v>
      </c>
      <c r="I855" s="51" t="s">
        <v>1011</v>
      </c>
      <c r="J855" s="50" t="str">
        <f t="shared" si="26"/>
        <v>7942707040.pdf</v>
      </c>
      <c r="K855" s="51" t="s">
        <v>1006</v>
      </c>
      <c r="L855" s="51" t="s">
        <v>505</v>
      </c>
      <c r="M855" s="50" t="str">
        <f t="shared" si="27"/>
        <v>34.500</v>
      </c>
      <c r="N855" s="50" t="str">
        <f>IF(A855&lt;&gt;"",VLOOKUP(RIGHT(A855,3)*1,[4]Des_Loc!A:B,2,0),"")</f>
        <v>ARAGOMINAS</v>
      </c>
    </row>
    <row r="856" spans="1:14" ht="16.5" customHeight="1" x14ac:dyDescent="0.25">
      <c r="A856" s="52">
        <v>7933798256</v>
      </c>
      <c r="B856" s="51" t="s">
        <v>1003</v>
      </c>
      <c r="C856" s="51" t="s">
        <v>1021</v>
      </c>
      <c r="D856" s="51" t="s">
        <v>1005</v>
      </c>
      <c r="E856" s="51" t="s">
        <v>1005</v>
      </c>
      <c r="F856" s="51" t="s">
        <v>1005</v>
      </c>
      <c r="G856" s="51" t="s">
        <v>1005</v>
      </c>
      <c r="H856" s="51" t="s">
        <v>1005</v>
      </c>
      <c r="I856" s="51" t="s">
        <v>1005</v>
      </c>
      <c r="J856" s="50" t="str">
        <f t="shared" si="26"/>
        <v>7933798256.pdf</v>
      </c>
      <c r="K856" s="51" t="s">
        <v>1006</v>
      </c>
      <c r="L856" s="51" t="s">
        <v>518</v>
      </c>
      <c r="M856" s="50" t="str">
        <f t="shared" si="27"/>
        <v>34.500</v>
      </c>
      <c r="N856" s="50" t="str">
        <f>IF(A856&lt;&gt;"",VLOOKUP(RIGHT(A856,3)*1,[4]Des_Loc!A:B,2,0),"")</f>
        <v>MATEIROS</v>
      </c>
    </row>
    <row r="857" spans="1:14" ht="16.5" customHeight="1" x14ac:dyDescent="0.25">
      <c r="A857" s="52">
        <v>7941971014</v>
      </c>
      <c r="B857" s="51" t="s">
        <v>1003</v>
      </c>
      <c r="C857" s="51" t="s">
        <v>1010</v>
      </c>
      <c r="D857" s="51" t="s">
        <v>1011</v>
      </c>
      <c r="E857" s="51" t="s">
        <v>1005</v>
      </c>
      <c r="F857" s="51" t="s">
        <v>1005</v>
      </c>
      <c r="G857" s="51" t="s">
        <v>1005</v>
      </c>
      <c r="H857" s="51" t="s">
        <v>1005</v>
      </c>
      <c r="I857" s="51" t="s">
        <v>1005</v>
      </c>
      <c r="J857" s="50" t="str">
        <f t="shared" si="26"/>
        <v>7941971014.pdf</v>
      </c>
      <c r="K857" s="51" t="s">
        <v>1006</v>
      </c>
      <c r="L857" s="51" t="s">
        <v>599</v>
      </c>
      <c r="M857" s="50" t="str">
        <f t="shared" si="27"/>
        <v>34.500</v>
      </c>
      <c r="N857" s="50" t="str">
        <f>IF(A857&lt;&gt;"",VLOOKUP(RIGHT(A857,3)*1,[4]Des_Loc!A:B,2,0),"")</f>
        <v>PIUM</v>
      </c>
    </row>
    <row r="858" spans="1:14" ht="16.5" customHeight="1" x14ac:dyDescent="0.25">
      <c r="A858" s="52">
        <v>7942572059</v>
      </c>
      <c r="B858" s="51" t="s">
        <v>1003</v>
      </c>
      <c r="C858" s="51">
        <v>3</v>
      </c>
      <c r="D858" s="51"/>
      <c r="E858" s="51" t="s">
        <v>1011</v>
      </c>
      <c r="F858" s="51"/>
      <c r="G858" s="51"/>
      <c r="H858" s="51" t="s">
        <v>1005</v>
      </c>
      <c r="I858" s="51" t="s">
        <v>1005</v>
      </c>
      <c r="J858" s="50" t="str">
        <f t="shared" si="26"/>
        <v>7942572059.pdf</v>
      </c>
      <c r="K858" s="51" t="s">
        <v>1006</v>
      </c>
      <c r="L858" s="51" t="s">
        <v>571</v>
      </c>
      <c r="M858" s="50" t="str">
        <f t="shared" si="27"/>
        <v>34.500</v>
      </c>
      <c r="N858" s="50" t="str">
        <f>IF(A858&lt;&gt;"",VLOOKUP(RIGHT(A858,3)*1,[4]Des_Loc!A:B,2,0),"")</f>
        <v>TAQUARALTO</v>
      </c>
    </row>
    <row r="859" spans="1:14" ht="16.5" customHeight="1" x14ac:dyDescent="0.25">
      <c r="A859" s="50">
        <v>7942705030</v>
      </c>
      <c r="B859" s="51" t="s">
        <v>1003</v>
      </c>
      <c r="C859" s="51" t="s">
        <v>1008</v>
      </c>
      <c r="D859" s="51"/>
      <c r="E859" s="51" t="s">
        <v>1005</v>
      </c>
      <c r="F859" s="51"/>
      <c r="G859" s="51"/>
      <c r="H859" s="51" t="s">
        <v>1005</v>
      </c>
      <c r="I859" s="51" t="s">
        <v>1005</v>
      </c>
      <c r="J859" s="50" t="str">
        <f t="shared" si="26"/>
        <v>7942705030.pdf</v>
      </c>
      <c r="K859" s="51" t="s">
        <v>1006</v>
      </c>
      <c r="L859" s="51" t="s">
        <v>1114</v>
      </c>
      <c r="M859" s="50" t="str">
        <f t="shared" si="27"/>
        <v>34.500</v>
      </c>
      <c r="N859" s="50" t="str">
        <f>IF(A859&lt;&gt;"",VLOOKUP(RIGHT(A859,3)*1,[4]Des_Loc!A:B,2,0),"")</f>
        <v>XAMBIOA</v>
      </c>
    </row>
    <row r="860" spans="1:14" ht="16.5" customHeight="1" x14ac:dyDescent="0.25">
      <c r="A860" s="50">
        <v>7932924070</v>
      </c>
      <c r="B860" s="51" t="s">
        <v>1003</v>
      </c>
      <c r="C860" s="51" t="s">
        <v>1010</v>
      </c>
      <c r="D860" s="51" t="s">
        <v>1011</v>
      </c>
      <c r="E860" s="51" t="s">
        <v>1011</v>
      </c>
      <c r="F860" s="51" t="s">
        <v>1011</v>
      </c>
      <c r="G860" s="51" t="s">
        <v>1005</v>
      </c>
      <c r="H860" s="51" t="s">
        <v>1005</v>
      </c>
      <c r="I860" s="51" t="s">
        <v>1011</v>
      </c>
      <c r="J860" s="50" t="str">
        <f t="shared" si="26"/>
        <v>7932924070.pdf</v>
      </c>
      <c r="K860" s="51" t="s">
        <v>1006</v>
      </c>
      <c r="L860" s="51" t="s">
        <v>1015</v>
      </c>
      <c r="M860" s="50" t="str">
        <f t="shared" si="27"/>
        <v>34.500</v>
      </c>
      <c r="N860" s="50" t="str">
        <f>IF(A860&lt;&gt;"",VLOOKUP(RIGHT(A860,3)*1,[4]Des_Loc!A:B,2,0),"")</f>
        <v>RIO SONO</v>
      </c>
    </row>
    <row r="861" spans="1:14" ht="16.5" customHeight="1" x14ac:dyDescent="0.25">
      <c r="A861" s="50">
        <v>7942300004</v>
      </c>
      <c r="B861" s="51" t="s">
        <v>1003</v>
      </c>
      <c r="C861" s="51" t="s">
        <v>1010</v>
      </c>
      <c r="D861" s="51" t="s">
        <v>1011</v>
      </c>
      <c r="E861" s="51" t="s">
        <v>1011</v>
      </c>
      <c r="F861" s="51" t="s">
        <v>1005</v>
      </c>
      <c r="G861" s="51" t="s">
        <v>1005</v>
      </c>
      <c r="H861" s="51" t="s">
        <v>1005</v>
      </c>
      <c r="I861" s="51" t="s">
        <v>1005</v>
      </c>
      <c r="J861" s="50" t="str">
        <f t="shared" si="26"/>
        <v>7942300004.pdf</v>
      </c>
      <c r="K861" s="51" t="s">
        <v>1006</v>
      </c>
      <c r="L861" s="51" t="s">
        <v>505</v>
      </c>
      <c r="M861" s="50" t="str">
        <f t="shared" si="27"/>
        <v>34.500</v>
      </c>
      <c r="N861" s="50" t="str">
        <f>IF(A861&lt;&gt;"",VLOOKUP(RIGHT(A861,3)*1,[4]Des_Loc!A:B,2,0),"")</f>
        <v>ARAGUAINA</v>
      </c>
    </row>
    <row r="862" spans="1:14" ht="16.5" customHeight="1" x14ac:dyDescent="0.25">
      <c r="A862" s="50">
        <v>7940228004</v>
      </c>
      <c r="B862" s="51" t="s">
        <v>1003</v>
      </c>
      <c r="C862" s="51" t="s">
        <v>1025</v>
      </c>
      <c r="D862" s="51"/>
      <c r="E862" s="51" t="s">
        <v>1005</v>
      </c>
      <c r="F862" s="51"/>
      <c r="G862" s="51"/>
      <c r="H862" s="51" t="s">
        <v>1005</v>
      </c>
      <c r="I862" s="51" t="s">
        <v>1005</v>
      </c>
      <c r="J862" s="50" t="str">
        <f t="shared" si="26"/>
        <v>7940228004.pdf</v>
      </c>
      <c r="K862" s="51" t="s">
        <v>1006</v>
      </c>
      <c r="L862" s="51" t="s">
        <v>1209</v>
      </c>
      <c r="M862" s="50" t="str">
        <f t="shared" si="27"/>
        <v>13.800</v>
      </c>
      <c r="N862" s="50" t="str">
        <f>IF(A862&lt;&gt;"",VLOOKUP(RIGHT(A862,3)*1,[4]Des_Loc!A:B,2,0),"")</f>
        <v>ARAGUAINA</v>
      </c>
    </row>
    <row r="863" spans="1:14" ht="16.5" customHeight="1" x14ac:dyDescent="0.25">
      <c r="A863" s="50">
        <v>7933531028</v>
      </c>
      <c r="B863" s="51" t="s">
        <v>1003</v>
      </c>
      <c r="C863" s="51" t="s">
        <v>1025</v>
      </c>
      <c r="D863" s="51" t="s">
        <v>1011</v>
      </c>
      <c r="E863" s="51" t="s">
        <v>1005</v>
      </c>
      <c r="F863" s="51" t="s">
        <v>1011</v>
      </c>
      <c r="G863" s="51" t="s">
        <v>1005</v>
      </c>
      <c r="H863" s="51" t="s">
        <v>1005</v>
      </c>
      <c r="I863" s="51" t="s">
        <v>1011</v>
      </c>
      <c r="J863" s="50" t="str">
        <f t="shared" si="26"/>
        <v>7933531028.pdf</v>
      </c>
      <c r="K863" s="51" t="s">
        <v>1006</v>
      </c>
      <c r="L863" s="51" t="s">
        <v>1210</v>
      </c>
      <c r="M863" s="50" t="str">
        <f t="shared" si="27"/>
        <v>13.800</v>
      </c>
      <c r="N863" s="50" t="str">
        <f>IF(A863&lt;&gt;"",VLOOKUP(RIGHT(A863,3)*1,[4]Des_Loc!A:B,2,0),"")</f>
        <v>NATIVIDADE</v>
      </c>
    </row>
    <row r="864" spans="1:14" ht="16.5" customHeight="1" x14ac:dyDescent="0.25">
      <c r="A864" s="50">
        <v>7909579077</v>
      </c>
      <c r="B864" s="51" t="s">
        <v>1003</v>
      </c>
      <c r="C864" s="51" t="s">
        <v>1010</v>
      </c>
      <c r="D864" s="51" t="s">
        <v>1011</v>
      </c>
      <c r="E864" s="51" t="s">
        <v>1011</v>
      </c>
      <c r="F864" s="51" t="s">
        <v>1011</v>
      </c>
      <c r="G864" s="51" t="s">
        <v>1005</v>
      </c>
      <c r="H864" s="51" t="s">
        <v>1005</v>
      </c>
      <c r="I864" s="51" t="s">
        <v>1011</v>
      </c>
      <c r="J864" s="50" t="str">
        <f t="shared" si="26"/>
        <v>7909579077.pdf</v>
      </c>
      <c r="K864" s="51" t="s">
        <v>1006</v>
      </c>
      <c r="L864" s="51" t="s">
        <v>632</v>
      </c>
      <c r="M864" s="50" t="str">
        <f t="shared" si="27"/>
        <v>34.500</v>
      </c>
      <c r="N864" s="50" t="str">
        <f>IF(A864&lt;&gt;"",VLOOKUP(RIGHT(A864,3)*1,[4]Des_Loc!A:B,2,0),"")</f>
        <v>GOIATINS</v>
      </c>
    </row>
    <row r="865" spans="1:14" ht="16.5" customHeight="1" x14ac:dyDescent="0.25">
      <c r="A865" s="50">
        <v>7942465256</v>
      </c>
      <c r="B865" s="51" t="s">
        <v>1003</v>
      </c>
      <c r="C865" s="51" t="s">
        <v>1025</v>
      </c>
      <c r="D865" s="51" t="s">
        <v>1011</v>
      </c>
      <c r="E865" s="51" t="s">
        <v>1005</v>
      </c>
      <c r="F865" s="51" t="s">
        <v>1005</v>
      </c>
      <c r="G865" s="51" t="s">
        <v>1005</v>
      </c>
      <c r="H865" s="51" t="s">
        <v>1005</v>
      </c>
      <c r="I865" s="51" t="s">
        <v>1005</v>
      </c>
      <c r="J865" s="50" t="str">
        <f t="shared" si="26"/>
        <v>7942465256.pdf</v>
      </c>
      <c r="K865" s="51" t="s">
        <v>1006</v>
      </c>
      <c r="L865" s="51" t="s">
        <v>518</v>
      </c>
      <c r="M865" s="50" t="str">
        <f t="shared" si="27"/>
        <v>34.500</v>
      </c>
      <c r="N865" s="50" t="str">
        <f>IF(A865&lt;&gt;"",VLOOKUP(RIGHT(A865,3)*1,[4]Des_Loc!A:B,2,0),"")</f>
        <v>MATEIROS</v>
      </c>
    </row>
    <row r="866" spans="1:14" ht="16.5" customHeight="1" x14ac:dyDescent="0.25">
      <c r="A866" s="50">
        <v>7910463052</v>
      </c>
      <c r="B866" s="51" t="s">
        <v>1003</v>
      </c>
      <c r="C866" s="51" t="s">
        <v>1010</v>
      </c>
      <c r="D866" s="51" t="s">
        <v>1011</v>
      </c>
      <c r="E866" s="51" t="s">
        <v>1005</v>
      </c>
      <c r="F866" s="51" t="s">
        <v>1005</v>
      </c>
      <c r="G866" s="51" t="s">
        <v>1005</v>
      </c>
      <c r="H866" s="51" t="s">
        <v>1005</v>
      </c>
      <c r="I866" s="51" t="s">
        <v>1005</v>
      </c>
      <c r="J866" s="50" t="str">
        <f t="shared" si="26"/>
        <v>7910463052.pdf</v>
      </c>
      <c r="K866" s="54" t="s">
        <v>1009</v>
      </c>
      <c r="L866" s="51" t="s">
        <v>1076</v>
      </c>
      <c r="M866" s="50" t="str">
        <f t="shared" si="27"/>
        <v>34.500</v>
      </c>
      <c r="N866" s="50" t="str">
        <f>IF(A866&lt;&gt;"",VLOOKUP(RIGHT(A866,3)*1,[4]Des_Loc!A:B,2,0),"")</f>
        <v>FORMOSO DO ARAGUAIA</v>
      </c>
    </row>
    <row r="867" spans="1:14" ht="16.5" customHeight="1" x14ac:dyDescent="0.25">
      <c r="A867" s="50">
        <v>7944609063</v>
      </c>
      <c r="B867" s="51" t="s">
        <v>1003</v>
      </c>
      <c r="C867" s="51" t="s">
        <v>1021</v>
      </c>
      <c r="D867" s="51" t="s">
        <v>1005</v>
      </c>
      <c r="E867" s="51" t="s">
        <v>1005</v>
      </c>
      <c r="F867" s="51" t="s">
        <v>1005</v>
      </c>
      <c r="G867" s="51" t="s">
        <v>1005</v>
      </c>
      <c r="H867" s="51" t="s">
        <v>1005</v>
      </c>
      <c r="I867" s="51" t="s">
        <v>1005</v>
      </c>
      <c r="J867" s="50" t="str">
        <f t="shared" si="26"/>
        <v>7944609063.pdf</v>
      </c>
      <c r="K867" s="54" t="s">
        <v>1006</v>
      </c>
      <c r="L867" s="51" t="s">
        <v>1101</v>
      </c>
      <c r="M867" s="50" t="str">
        <f t="shared" si="27"/>
        <v>34.500</v>
      </c>
      <c r="N867" s="50" t="str">
        <f>IF(A867&lt;&gt;"",VLOOKUP(RIGHT(A867,3)*1,[4]Des_Loc!A:B,2,0),"")</f>
        <v>BANDEIRANTES DO TOCANTINS</v>
      </c>
    </row>
    <row r="868" spans="1:14" ht="16.5" customHeight="1" x14ac:dyDescent="0.25">
      <c r="A868" s="50">
        <v>7936134193</v>
      </c>
      <c r="B868" s="51" t="s">
        <v>1003</v>
      </c>
      <c r="C868" s="51" t="s">
        <v>1010</v>
      </c>
      <c r="D868" s="51" t="s">
        <v>1011</v>
      </c>
      <c r="E868" s="51" t="s">
        <v>1005</v>
      </c>
      <c r="F868" s="51" t="s">
        <v>1005</v>
      </c>
      <c r="G868" s="51" t="s">
        <v>1005</v>
      </c>
      <c r="H868" s="51" t="s">
        <v>1005</v>
      </c>
      <c r="I868" s="51" t="s">
        <v>1005</v>
      </c>
      <c r="J868" s="50" t="str">
        <f t="shared" si="26"/>
        <v>7936134193.pdf</v>
      </c>
      <c r="K868" s="51" t="s">
        <v>1006</v>
      </c>
      <c r="L868" s="51" t="s">
        <v>1036</v>
      </c>
      <c r="M868" s="50" t="str">
        <f t="shared" si="27"/>
        <v>34.500</v>
      </c>
      <c r="N868" s="50" t="str">
        <f>IF(A868&lt;&gt;"",VLOOKUP(RIGHT(A868,3)*1,[4]Des_Loc!A:B,2,0),"")</f>
        <v>CAMPOS LINDOS</v>
      </c>
    </row>
    <row r="869" spans="1:14" ht="16.5" customHeight="1" x14ac:dyDescent="0.25">
      <c r="A869" s="50">
        <v>7938992001</v>
      </c>
      <c r="B869" s="51" t="s">
        <v>1003</v>
      </c>
      <c r="C869" s="51" t="s">
        <v>1025</v>
      </c>
      <c r="D869" s="51" t="s">
        <v>1005</v>
      </c>
      <c r="E869" s="51" t="s">
        <v>1005</v>
      </c>
      <c r="F869" s="51" t="s">
        <v>1005</v>
      </c>
      <c r="G869" s="51" t="s">
        <v>1005</v>
      </c>
      <c r="H869" s="51" t="s">
        <v>1005</v>
      </c>
      <c r="I869" s="51" t="s">
        <v>1005</v>
      </c>
      <c r="J869" s="50" t="str">
        <f t="shared" si="26"/>
        <v>7938992001.pdf</v>
      </c>
      <c r="K869" s="54" t="s">
        <v>1006</v>
      </c>
      <c r="L869" s="51" t="s">
        <v>1057</v>
      </c>
      <c r="M869" s="50" t="str">
        <f t="shared" si="27"/>
        <v>13.800</v>
      </c>
      <c r="N869" s="50" t="str">
        <f>IF(A869&lt;&gt;"",VLOOKUP(RIGHT(A869,3)*1,[4]Des_Loc!A:B,2,0),"")</f>
        <v>PORTO NACIONAL</v>
      </c>
    </row>
    <row r="870" spans="1:14" ht="16.5" customHeight="1" x14ac:dyDescent="0.25">
      <c r="A870" s="50">
        <v>7944323084</v>
      </c>
      <c r="B870" s="51" t="s">
        <v>1003</v>
      </c>
      <c r="C870" s="51" t="s">
        <v>1025</v>
      </c>
      <c r="D870" s="51" t="s">
        <v>1011</v>
      </c>
      <c r="E870" s="51" t="s">
        <v>1005</v>
      </c>
      <c r="F870" s="51" t="s">
        <v>1011</v>
      </c>
      <c r="G870" s="51" t="s">
        <v>1005</v>
      </c>
      <c r="H870" s="51" t="s">
        <v>1005</v>
      </c>
      <c r="I870" s="51" t="s">
        <v>1011</v>
      </c>
      <c r="J870" s="50" t="str">
        <f t="shared" si="26"/>
        <v>7944323084.pdf</v>
      </c>
      <c r="K870" s="51" t="s">
        <v>1006</v>
      </c>
      <c r="L870" s="51" t="s">
        <v>1023</v>
      </c>
      <c r="M870" s="50" t="str">
        <f t="shared" si="27"/>
        <v>34.500</v>
      </c>
      <c r="N870" s="50" t="str">
        <f>IF(A870&lt;&gt;"",VLOOKUP(RIGHT(A870,3)*1,[4]Des_Loc!A:B,2,0),"")</f>
        <v>DIVINOPOLIS</v>
      </c>
    </row>
    <row r="871" spans="1:14" ht="16.5" customHeight="1" x14ac:dyDescent="0.25">
      <c r="A871" s="52">
        <v>7943788039</v>
      </c>
      <c r="B871" s="51" t="s">
        <v>1003</v>
      </c>
      <c r="C871" s="51" t="s">
        <v>1010</v>
      </c>
      <c r="D871" s="51"/>
      <c r="E871" s="51" t="s">
        <v>1011</v>
      </c>
      <c r="F871" s="51"/>
      <c r="G871" s="51"/>
      <c r="H871" s="51" t="s">
        <v>1005</v>
      </c>
      <c r="I871" s="51" t="s">
        <v>1005</v>
      </c>
      <c r="J871" s="50" t="str">
        <f t="shared" si="26"/>
        <v>7943788039.pdf</v>
      </c>
      <c r="K871" s="51" t="s">
        <v>1006</v>
      </c>
      <c r="L871" s="51" t="s">
        <v>677</v>
      </c>
      <c r="M871" s="50" t="str">
        <f t="shared" si="27"/>
        <v>34.500</v>
      </c>
      <c r="N871" s="50" t="str">
        <f>IF(A871&lt;&gt;"",VLOOKUP(RIGHT(A871,3)*1,[4]Des_Loc!A:B,2,0),"")</f>
        <v>ARAGUATINS</v>
      </c>
    </row>
    <row r="872" spans="1:14" ht="16.5" customHeight="1" x14ac:dyDescent="0.25">
      <c r="A872" s="52">
        <v>7943790134</v>
      </c>
      <c r="B872" s="51" t="s">
        <v>1003</v>
      </c>
      <c r="C872" s="51" t="s">
        <v>1010</v>
      </c>
      <c r="D872" s="51" t="s">
        <v>1011</v>
      </c>
      <c r="E872" s="51" t="s">
        <v>1005</v>
      </c>
      <c r="F872" s="51" t="s">
        <v>1005</v>
      </c>
      <c r="G872" s="51" t="s">
        <v>1011</v>
      </c>
      <c r="H872" s="51" t="s">
        <v>1005</v>
      </c>
      <c r="I872" s="51" t="s">
        <v>1005</v>
      </c>
      <c r="J872" s="50" t="str">
        <f t="shared" si="26"/>
        <v>7943790134.pdf</v>
      </c>
      <c r="K872" s="51" t="s">
        <v>1006</v>
      </c>
      <c r="L872" s="51" t="s">
        <v>677</v>
      </c>
      <c r="M872" s="50" t="str">
        <f t="shared" si="27"/>
        <v>34.500</v>
      </c>
      <c r="N872" s="50" t="str">
        <f>IF(A872&lt;&gt;"",VLOOKUP(RIGHT(A872,3)*1,[4]Des_Loc!A:B,2,0),"")</f>
        <v>ESPERANTINA</v>
      </c>
    </row>
    <row r="873" spans="1:14" ht="16.5" customHeight="1" x14ac:dyDescent="0.25">
      <c r="A873" s="50">
        <v>7943791134</v>
      </c>
      <c r="B873" s="51" t="s">
        <v>1003</v>
      </c>
      <c r="C873" s="51" t="s">
        <v>1010</v>
      </c>
      <c r="D873" s="51"/>
      <c r="E873" s="51" t="s">
        <v>1005</v>
      </c>
      <c r="F873" s="51"/>
      <c r="G873" s="51"/>
      <c r="H873" s="51" t="s">
        <v>1005</v>
      </c>
      <c r="I873" s="51" t="s">
        <v>1005</v>
      </c>
      <c r="J873" s="50" t="str">
        <f t="shared" si="26"/>
        <v>7943791134.pdf</v>
      </c>
      <c r="K873" s="51" t="s">
        <v>1006</v>
      </c>
      <c r="L873" s="51" t="s">
        <v>1012</v>
      </c>
      <c r="M873" s="50" t="str">
        <f t="shared" si="27"/>
        <v>34.500</v>
      </c>
      <c r="N873" s="50" t="str">
        <f>IF(A873&lt;&gt;"",VLOOKUP(RIGHT(A873,3)*1,[4]Des_Loc!A:B,2,0),"")</f>
        <v>ESPERANTINA</v>
      </c>
    </row>
    <row r="874" spans="1:14" ht="16.5" customHeight="1" x14ac:dyDescent="0.25">
      <c r="A874" s="50">
        <v>7943765131</v>
      </c>
      <c r="B874" s="51" t="s">
        <v>1003</v>
      </c>
      <c r="C874" s="51" t="s">
        <v>1008</v>
      </c>
      <c r="D874" s="51" t="s">
        <v>1005</v>
      </c>
      <c r="E874" s="51" t="s">
        <v>1005</v>
      </c>
      <c r="F874" s="51" t="s">
        <v>1005</v>
      </c>
      <c r="G874" s="51" t="s">
        <v>1005</v>
      </c>
      <c r="H874" s="51" t="s">
        <v>1005</v>
      </c>
      <c r="I874" s="51" t="s">
        <v>1005</v>
      </c>
      <c r="J874" s="50" t="str">
        <f t="shared" si="26"/>
        <v>7943765131.pdf</v>
      </c>
      <c r="K874" s="54" t="s">
        <v>1006</v>
      </c>
      <c r="L874" s="51" t="s">
        <v>1118</v>
      </c>
      <c r="M874" s="50" t="str">
        <f t="shared" si="27"/>
        <v>34.500</v>
      </c>
      <c r="N874" s="50" t="str">
        <f>IF(A874&lt;&gt;"",VLOOKUP(RIGHT(A874,3)*1,[4]Des_Loc!A:B,2,0),"")</f>
        <v>PRAIA NORTE</v>
      </c>
    </row>
    <row r="875" spans="1:14" ht="16.5" customHeight="1" x14ac:dyDescent="0.25">
      <c r="A875" s="50">
        <v>7944353028</v>
      </c>
      <c r="B875" s="51" t="s">
        <v>1003</v>
      </c>
      <c r="C875" s="51" t="s">
        <v>1021</v>
      </c>
      <c r="D875" s="51" t="s">
        <v>1005</v>
      </c>
      <c r="E875" s="51" t="s">
        <v>1005</v>
      </c>
      <c r="F875" s="51" t="s">
        <v>1005</v>
      </c>
      <c r="G875" s="51" t="s">
        <v>1005</v>
      </c>
      <c r="H875" s="51" t="s">
        <v>1005</v>
      </c>
      <c r="I875" s="51" t="s">
        <v>1005</v>
      </c>
      <c r="J875" s="50" t="str">
        <f t="shared" si="26"/>
        <v>7944353028.pdf</v>
      </c>
      <c r="K875" s="54" t="s">
        <v>1006</v>
      </c>
      <c r="L875" s="51" t="s">
        <v>361</v>
      </c>
      <c r="M875" s="50" t="str">
        <f t="shared" si="27"/>
        <v>34.500</v>
      </c>
      <c r="N875" s="50" t="str">
        <f>IF(A875&lt;&gt;"",VLOOKUP(RIGHT(A875,3)*1,[4]Des_Loc!A:B,2,0),"")</f>
        <v>NATIVIDADE</v>
      </c>
    </row>
    <row r="876" spans="1:14" ht="16.5" customHeight="1" x14ac:dyDescent="0.25">
      <c r="A876" s="50">
        <v>7942509028</v>
      </c>
      <c r="B876" s="51" t="s">
        <v>1003</v>
      </c>
      <c r="C876" s="51" t="s">
        <v>1010</v>
      </c>
      <c r="D876" s="51" t="s">
        <v>1011</v>
      </c>
      <c r="E876" s="51" t="s">
        <v>1011</v>
      </c>
      <c r="F876" s="51" t="s">
        <v>1005</v>
      </c>
      <c r="G876" s="51" t="s">
        <v>1005</v>
      </c>
      <c r="H876" s="51" t="s">
        <v>1005</v>
      </c>
      <c r="I876" s="51" t="s">
        <v>1005</v>
      </c>
      <c r="J876" s="50" t="str">
        <f t="shared" si="26"/>
        <v>7942509028.pdf</v>
      </c>
      <c r="K876" s="54" t="s">
        <v>1006</v>
      </c>
      <c r="L876" s="51" t="s">
        <v>361</v>
      </c>
      <c r="M876" s="50" t="str">
        <f t="shared" si="27"/>
        <v>34.500</v>
      </c>
      <c r="N876" s="50" t="str">
        <f>IF(A876&lt;&gt;"",VLOOKUP(RIGHT(A876,3)*1,[4]Des_Loc!A:B,2,0),"")</f>
        <v>NATIVIDADE</v>
      </c>
    </row>
    <row r="877" spans="1:14" ht="16.5" customHeight="1" x14ac:dyDescent="0.25">
      <c r="A877" s="50">
        <v>7944575055</v>
      </c>
      <c r="B877" s="51" t="s">
        <v>1003</v>
      </c>
      <c r="C877" s="51" t="s">
        <v>1010</v>
      </c>
      <c r="D877" s="51" t="s">
        <v>1011</v>
      </c>
      <c r="E877" s="51" t="s">
        <v>1011</v>
      </c>
      <c r="F877" s="51" t="s">
        <v>1011</v>
      </c>
      <c r="G877" s="51" t="s">
        <v>1005</v>
      </c>
      <c r="H877" s="51" t="s">
        <v>1005</v>
      </c>
      <c r="I877" s="51" t="s">
        <v>1005</v>
      </c>
      <c r="J877" s="50" t="str">
        <f t="shared" si="26"/>
        <v>7944575055.pdf</v>
      </c>
      <c r="K877" s="51" t="s">
        <v>1006</v>
      </c>
      <c r="L877" s="51" t="s">
        <v>749</v>
      </c>
      <c r="M877" s="50" t="str">
        <f t="shared" si="27"/>
        <v>34.500</v>
      </c>
      <c r="N877" s="50" t="str">
        <f>IF(A877&lt;&gt;"",VLOOKUP(RIGHT(A877,3)*1,[4]Des_Loc!A:B,2,0),"")</f>
        <v>ARAGUACEMA</v>
      </c>
    </row>
    <row r="878" spans="1:14" ht="16.5" customHeight="1" x14ac:dyDescent="0.25">
      <c r="A878" s="50">
        <v>7944239196</v>
      </c>
      <c r="B878" s="51" t="s">
        <v>1003</v>
      </c>
      <c r="C878" s="51" t="s">
        <v>1010</v>
      </c>
      <c r="D878" s="51" t="s">
        <v>1011</v>
      </c>
      <c r="E878" s="51" t="s">
        <v>1011</v>
      </c>
      <c r="F878" s="51" t="s">
        <v>1005</v>
      </c>
      <c r="G878" s="51" t="s">
        <v>1005</v>
      </c>
      <c r="H878" s="51" t="s">
        <v>1005</v>
      </c>
      <c r="I878" s="51" t="s">
        <v>1005</v>
      </c>
      <c r="J878" s="50" t="str">
        <f t="shared" si="26"/>
        <v>7944239196.pdf</v>
      </c>
      <c r="K878" s="54" t="s">
        <v>1006</v>
      </c>
      <c r="L878" s="51" t="s">
        <v>571</v>
      </c>
      <c r="M878" s="50" t="str">
        <f t="shared" si="27"/>
        <v>34.500</v>
      </c>
      <c r="N878" s="50" t="str">
        <f>IF(A878&lt;&gt;"",VLOOKUP(RIGHT(A878,3)*1,[4]Des_Loc!A:B,2,0),"")</f>
        <v>LAGOA DO TOCANTINS</v>
      </c>
    </row>
    <row r="879" spans="1:14" ht="16.5" customHeight="1" x14ac:dyDescent="0.25">
      <c r="A879" s="50">
        <v>7944603053</v>
      </c>
      <c r="B879" s="51" t="s">
        <v>1003</v>
      </c>
      <c r="C879" s="51" t="s">
        <v>1010</v>
      </c>
      <c r="D879" s="51" t="s">
        <v>1011</v>
      </c>
      <c r="E879" s="51" t="s">
        <v>1011</v>
      </c>
      <c r="F879" s="51" t="s">
        <v>1005</v>
      </c>
      <c r="G879" s="51" t="s">
        <v>1005</v>
      </c>
      <c r="H879" s="51" t="s">
        <v>1005</v>
      </c>
      <c r="I879" s="51" t="s">
        <v>1005</v>
      </c>
      <c r="J879" s="50" t="str">
        <f t="shared" si="26"/>
        <v>7944603053.pdf</v>
      </c>
      <c r="K879" s="54" t="s">
        <v>1006</v>
      </c>
      <c r="L879" s="51" t="s">
        <v>497</v>
      </c>
      <c r="M879" s="50" t="str">
        <f t="shared" si="27"/>
        <v>34.500</v>
      </c>
      <c r="N879" s="50" t="str">
        <f>IF(A879&lt;&gt;"",VLOOKUP(RIGHT(A879,3)*1,[4]Des_Loc!A:B,2,0),"")</f>
        <v>PIRAQUE</v>
      </c>
    </row>
    <row r="880" spans="1:14" ht="16.5" customHeight="1" x14ac:dyDescent="0.25">
      <c r="A880" s="50">
        <v>7944606060</v>
      </c>
      <c r="B880" s="51" t="s">
        <v>1003</v>
      </c>
      <c r="C880" s="51" t="s">
        <v>1010</v>
      </c>
      <c r="D880" s="51" t="s">
        <v>1011</v>
      </c>
      <c r="E880" s="51" t="s">
        <v>1011</v>
      </c>
      <c r="F880" s="51" t="s">
        <v>1005</v>
      </c>
      <c r="G880" s="51" t="s">
        <v>1005</v>
      </c>
      <c r="H880" s="51" t="s">
        <v>1005</v>
      </c>
      <c r="I880" s="51" t="s">
        <v>1005</v>
      </c>
      <c r="J880" s="50" t="str">
        <f t="shared" si="26"/>
        <v>7944606060.pdf</v>
      </c>
      <c r="K880" s="54" t="s">
        <v>1006</v>
      </c>
      <c r="L880" s="51" t="s">
        <v>412</v>
      </c>
      <c r="M880" s="50" t="str">
        <f t="shared" si="27"/>
        <v>13.800</v>
      </c>
      <c r="N880" s="50" t="str">
        <f>IF(A880&lt;&gt;"",VLOOKUP(RIGHT(A880,3)*1,[4]Des_Loc!A:B,2,0),"")</f>
        <v>NOVA OLINDA</v>
      </c>
    </row>
    <row r="881" spans="1:14" ht="16.5" customHeight="1" x14ac:dyDescent="0.25">
      <c r="A881" s="50">
        <v>7941528043</v>
      </c>
      <c r="B881" s="51" t="s">
        <v>1003</v>
      </c>
      <c r="C881" s="51" t="s">
        <v>1010</v>
      </c>
      <c r="D881" s="51" t="s">
        <v>1011</v>
      </c>
      <c r="E881" s="51" t="s">
        <v>1011</v>
      </c>
      <c r="F881" s="51" t="s">
        <v>1005</v>
      </c>
      <c r="G881" s="51" t="s">
        <v>1005</v>
      </c>
      <c r="H881" s="51" t="s">
        <v>1005</v>
      </c>
      <c r="I881" s="51" t="s">
        <v>1005</v>
      </c>
      <c r="J881" s="50" t="str">
        <f t="shared" si="26"/>
        <v>7941528043.pdf</v>
      </c>
      <c r="K881" s="54" t="s">
        <v>1006</v>
      </c>
      <c r="L881" s="51" t="s">
        <v>344</v>
      </c>
      <c r="M881" s="50" t="str">
        <f t="shared" si="27"/>
        <v>34.500</v>
      </c>
      <c r="N881" s="50" t="str">
        <f>IF(A881&lt;&gt;"",VLOOKUP(RIGHT(A881,3)*1,[4]Des_Loc!A:B,2,0),"")</f>
        <v>SILVANOPOLIS</v>
      </c>
    </row>
    <row r="882" spans="1:14" ht="16.5" customHeight="1" x14ac:dyDescent="0.25">
      <c r="A882" s="50">
        <v>7944319149</v>
      </c>
      <c r="B882" s="51" t="s">
        <v>1003</v>
      </c>
      <c r="C882" s="51" t="s">
        <v>1010</v>
      </c>
      <c r="D882" s="51" t="s">
        <v>1011</v>
      </c>
      <c r="E882" s="51" t="s">
        <v>1011</v>
      </c>
      <c r="F882" s="51" t="s">
        <v>1005</v>
      </c>
      <c r="G882" s="51" t="s">
        <v>1005</v>
      </c>
      <c r="H882" s="51" t="s">
        <v>1005</v>
      </c>
      <c r="I882" s="51" t="s">
        <v>1005</v>
      </c>
      <c r="J882" s="50" t="str">
        <f t="shared" si="26"/>
        <v>7944319149.pdf</v>
      </c>
      <c r="K882" s="54" t="s">
        <v>1006</v>
      </c>
      <c r="L882" s="51" t="s">
        <v>1042</v>
      </c>
      <c r="M882" s="50" t="str">
        <f t="shared" si="27"/>
        <v>34.500</v>
      </c>
      <c r="N882" s="50" t="str">
        <f>IF(A882&lt;&gt;"",VLOOKUP(RIGHT(A882,3)*1,[4]Des_Loc!A:B,2,0),"")</f>
        <v>CASEARA</v>
      </c>
    </row>
    <row r="883" spans="1:14" ht="16.5" customHeight="1" x14ac:dyDescent="0.25">
      <c r="A883" s="50">
        <v>7944559149</v>
      </c>
      <c r="B883" s="51" t="s">
        <v>1003</v>
      </c>
      <c r="C883" s="51" t="s">
        <v>1010</v>
      </c>
      <c r="D883" s="51" t="s">
        <v>1011</v>
      </c>
      <c r="E883" s="51" t="s">
        <v>1005</v>
      </c>
      <c r="F883" s="51" t="s">
        <v>1011</v>
      </c>
      <c r="G883" s="51" t="s">
        <v>1005</v>
      </c>
      <c r="H883" s="51" t="s">
        <v>1005</v>
      </c>
      <c r="I883" s="51" t="s">
        <v>1011</v>
      </c>
      <c r="J883" s="50" t="str">
        <f t="shared" si="26"/>
        <v>7944559149.pdf</v>
      </c>
      <c r="K883" s="51" t="s">
        <v>1006</v>
      </c>
      <c r="L883" s="51" t="s">
        <v>749</v>
      </c>
      <c r="M883" s="50" t="str">
        <f t="shared" si="27"/>
        <v>34.500</v>
      </c>
      <c r="N883" s="50" t="str">
        <f>IF(A883&lt;&gt;"",VLOOKUP(RIGHT(A883,3)*1,[4]Des_Loc!A:B,2,0),"")</f>
        <v>CASEARA</v>
      </c>
    </row>
    <row r="884" spans="1:14" ht="16.5" customHeight="1" x14ac:dyDescent="0.25">
      <c r="A884" s="50">
        <v>7932515092</v>
      </c>
      <c r="B884" s="51" t="s">
        <v>1003</v>
      </c>
      <c r="C884" s="51" t="s">
        <v>1010</v>
      </c>
      <c r="D884" s="51" t="s">
        <v>1011</v>
      </c>
      <c r="E884" s="51" t="s">
        <v>1011</v>
      </c>
      <c r="F884" s="51" t="s">
        <v>1005</v>
      </c>
      <c r="G884" s="51" t="s">
        <v>1005</v>
      </c>
      <c r="H884" s="51" t="s">
        <v>1005</v>
      </c>
      <c r="I884" s="51" t="s">
        <v>1005</v>
      </c>
      <c r="J884" s="50" t="str">
        <f t="shared" si="26"/>
        <v>7932515092.pdf</v>
      </c>
      <c r="K884" s="51" t="s">
        <v>1006</v>
      </c>
      <c r="L884" s="51" t="s">
        <v>1015</v>
      </c>
      <c r="M884" s="50" t="str">
        <f t="shared" si="27"/>
        <v>34.500</v>
      </c>
      <c r="N884" s="50" t="str">
        <f>IF(A884&lt;&gt;"",VLOOKUP(RIGHT(A884,3)*1,[4]Des_Loc!A:B,2,0),"")</f>
        <v>NOVO ACORDO</v>
      </c>
    </row>
    <row r="885" spans="1:14" ht="16.5" customHeight="1" x14ac:dyDescent="0.25">
      <c r="A885" s="50">
        <v>7942476001</v>
      </c>
      <c r="B885" s="51" t="s">
        <v>1003</v>
      </c>
      <c r="C885" s="51" t="s">
        <v>1010</v>
      </c>
      <c r="D885" s="51" t="s">
        <v>1011</v>
      </c>
      <c r="E885" s="51" t="s">
        <v>1011</v>
      </c>
      <c r="F885" s="51" t="s">
        <v>1005</v>
      </c>
      <c r="G885" s="51" t="s">
        <v>1005</v>
      </c>
      <c r="H885" s="51" t="s">
        <v>1005</v>
      </c>
      <c r="I885" s="51" t="s">
        <v>1005</v>
      </c>
      <c r="J885" s="50" t="str">
        <f t="shared" si="26"/>
        <v>7942476001.pdf</v>
      </c>
      <c r="K885" s="54" t="s">
        <v>1006</v>
      </c>
      <c r="L885" s="51" t="s">
        <v>1190</v>
      </c>
      <c r="M885" s="50" t="str">
        <f t="shared" si="27"/>
        <v>13.800</v>
      </c>
      <c r="N885" s="50" t="str">
        <f>IF(A885&lt;&gt;"",VLOOKUP(RIGHT(A885,3)*1,[4]Des_Loc!A:B,2,0),"")</f>
        <v>PORTO NACIONAL</v>
      </c>
    </row>
    <row r="886" spans="1:14" ht="16.5" customHeight="1" x14ac:dyDescent="0.25">
      <c r="A886" s="50">
        <v>7942944111</v>
      </c>
      <c r="B886" s="51" t="s">
        <v>1003</v>
      </c>
      <c r="C886" s="51" t="s">
        <v>1010</v>
      </c>
      <c r="D886" s="51" t="s">
        <v>1011</v>
      </c>
      <c r="E886" s="51" t="s">
        <v>1011</v>
      </c>
      <c r="F886" s="51" t="s">
        <v>1005</v>
      </c>
      <c r="G886" s="51" t="s">
        <v>1005</v>
      </c>
      <c r="H886" s="51" t="s">
        <v>1005</v>
      </c>
      <c r="I886" s="51" t="s">
        <v>1005</v>
      </c>
      <c r="J886" s="50" t="str">
        <f t="shared" si="26"/>
        <v>7942944111.pdf</v>
      </c>
      <c r="K886" s="54" t="s">
        <v>1006</v>
      </c>
      <c r="L886" s="51" t="s">
        <v>627</v>
      </c>
      <c r="M886" s="50" t="str">
        <f t="shared" si="27"/>
        <v>34.500</v>
      </c>
      <c r="N886" s="50" t="str">
        <f>IF(A886&lt;&gt;"",VLOOKUP(RIGHT(A886,3)*1,[4]Des_Loc!A:B,2,0),"")</f>
        <v>PEQUIZEIRO</v>
      </c>
    </row>
    <row r="887" spans="1:14" ht="16.5" customHeight="1" x14ac:dyDescent="0.25">
      <c r="A887" s="50">
        <v>7943242111</v>
      </c>
      <c r="B887" s="51" t="s">
        <v>1003</v>
      </c>
      <c r="C887" s="51" t="s">
        <v>1010</v>
      </c>
      <c r="D887" s="51" t="s">
        <v>1011</v>
      </c>
      <c r="E887" s="51" t="s">
        <v>1011</v>
      </c>
      <c r="F887" s="51" t="s">
        <v>1005</v>
      </c>
      <c r="G887" s="51" t="s">
        <v>1005</v>
      </c>
      <c r="H887" s="51" t="s">
        <v>1005</v>
      </c>
      <c r="I887" s="51" t="s">
        <v>1005</v>
      </c>
      <c r="J887" s="50" t="str">
        <f t="shared" si="26"/>
        <v>7943242111.pdf</v>
      </c>
      <c r="K887" s="54" t="s">
        <v>1006</v>
      </c>
      <c r="L887" s="51" t="s">
        <v>627</v>
      </c>
      <c r="M887" s="50" t="str">
        <f t="shared" si="27"/>
        <v>34.500</v>
      </c>
      <c r="N887" s="50" t="str">
        <f>IF(A887&lt;&gt;"",VLOOKUP(RIGHT(A887,3)*1,[4]Des_Loc!A:B,2,0),"")</f>
        <v>PEQUIZEIRO</v>
      </c>
    </row>
    <row r="888" spans="1:14" ht="16.5" customHeight="1" x14ac:dyDescent="0.25">
      <c r="A888" s="50">
        <v>7944210122</v>
      </c>
      <c r="B888" s="51" t="s">
        <v>1003</v>
      </c>
      <c r="C888" s="51" t="s">
        <v>1025</v>
      </c>
      <c r="D888" s="51" t="s">
        <v>1005</v>
      </c>
      <c r="E888" s="51" t="s">
        <v>1005</v>
      </c>
      <c r="F888" s="51" t="s">
        <v>1005</v>
      </c>
      <c r="G888" s="51" t="s">
        <v>1005</v>
      </c>
      <c r="H888" s="51" t="s">
        <v>1005</v>
      </c>
      <c r="I888" s="51" t="s">
        <v>1005</v>
      </c>
      <c r="J888" s="50" t="str">
        <f t="shared" si="26"/>
        <v>7944210122.pdf</v>
      </c>
      <c r="K888" s="54" t="s">
        <v>1006</v>
      </c>
      <c r="L888" s="51" t="s">
        <v>1053</v>
      </c>
      <c r="M888" s="50" t="str">
        <f t="shared" si="27"/>
        <v>13.800</v>
      </c>
      <c r="N888" s="50" t="str">
        <f>IF(A888&lt;&gt;"",VLOOKUP(RIGHT(A888,3)*1,[4]Des_Loc!A:B,2,0),"")</f>
        <v>PALMAS</v>
      </c>
    </row>
    <row r="889" spans="1:14" ht="16.5" customHeight="1" x14ac:dyDescent="0.25">
      <c r="A889" s="50">
        <v>7943541003</v>
      </c>
      <c r="B889" s="51" t="s">
        <v>1003</v>
      </c>
      <c r="C889" s="51" t="s">
        <v>1025</v>
      </c>
      <c r="D889" s="51" t="s">
        <v>1005</v>
      </c>
      <c r="E889" s="51" t="s">
        <v>1005</v>
      </c>
      <c r="F889" s="51" t="s">
        <v>1005</v>
      </c>
      <c r="G889" s="51" t="s">
        <v>1005</v>
      </c>
      <c r="H889" s="51" t="s">
        <v>1005</v>
      </c>
      <c r="I889" s="51" t="s">
        <v>1005</v>
      </c>
      <c r="J889" s="50" t="str">
        <f t="shared" si="26"/>
        <v>7943541003.pdf</v>
      </c>
      <c r="K889" s="54" t="s">
        <v>1006</v>
      </c>
      <c r="L889" s="51" t="s">
        <v>1201</v>
      </c>
      <c r="M889" s="50" t="str">
        <f t="shared" si="27"/>
        <v>13.800</v>
      </c>
      <c r="N889" s="50" t="str">
        <f>IF(A889&lt;&gt;"",VLOOKUP(RIGHT(A889,3)*1,[4]Des_Loc!A:B,2,0),"")</f>
        <v>GURUPI</v>
      </c>
    </row>
    <row r="890" spans="1:14" ht="16.5" customHeight="1" x14ac:dyDescent="0.25">
      <c r="A890" s="50">
        <v>7944612080</v>
      </c>
      <c r="B890" s="51" t="s">
        <v>1003</v>
      </c>
      <c r="C890" s="51" t="s">
        <v>1010</v>
      </c>
      <c r="D890" s="51" t="s">
        <v>1011</v>
      </c>
      <c r="E890" s="51" t="s">
        <v>1011</v>
      </c>
      <c r="F890" s="51" t="s">
        <v>1005</v>
      </c>
      <c r="G890" s="51" t="s">
        <v>1005</v>
      </c>
      <c r="H890" s="51" t="s">
        <v>1005</v>
      </c>
      <c r="I890" s="51" t="s">
        <v>1005</v>
      </c>
      <c r="J890" s="50" t="str">
        <f t="shared" si="26"/>
        <v>7944612080.pdf</v>
      </c>
      <c r="K890" s="54" t="s">
        <v>1006</v>
      </c>
      <c r="L890" s="51" t="s">
        <v>497</v>
      </c>
      <c r="M890" s="50" t="str">
        <f t="shared" si="27"/>
        <v>34.500</v>
      </c>
      <c r="N890" s="50" t="str">
        <f>IF(A890&lt;&gt;"",VLOOKUP(RIGHT(A890,3)*1,[4]Des_Loc!A:B,2,0),"")</f>
        <v>DARCINOPOLIS</v>
      </c>
    </row>
    <row r="891" spans="1:14" ht="16.5" customHeight="1" x14ac:dyDescent="0.25">
      <c r="A891" s="50">
        <v>7942485096</v>
      </c>
      <c r="B891" s="51" t="s">
        <v>1003</v>
      </c>
      <c r="C891" s="51" t="s">
        <v>1010</v>
      </c>
      <c r="D891" s="51" t="s">
        <v>1005</v>
      </c>
      <c r="E891" s="51" t="s">
        <v>1005</v>
      </c>
      <c r="F891" s="51" t="s">
        <v>1005</v>
      </c>
      <c r="G891" s="51" t="s">
        <v>1005</v>
      </c>
      <c r="H891" s="51" t="s">
        <v>1005</v>
      </c>
      <c r="I891" s="51" t="s">
        <v>1005</v>
      </c>
      <c r="J891" s="50" t="str">
        <f t="shared" si="26"/>
        <v>7942485096.pdf</v>
      </c>
      <c r="K891" s="54" t="s">
        <v>1006</v>
      </c>
      <c r="L891" s="51" t="s">
        <v>518</v>
      </c>
      <c r="M891" s="50" t="str">
        <f t="shared" si="27"/>
        <v>34.500</v>
      </c>
      <c r="N891" s="50" t="str">
        <f>IF(A891&lt;&gt;"",VLOOKUP(RIGHT(A891,3)*1,[4]Des_Loc!A:B,2,0),"")</f>
        <v>PINDORAMA DO TOCANTINS</v>
      </c>
    </row>
    <row r="892" spans="1:14" ht="16.5" customHeight="1" x14ac:dyDescent="0.25">
      <c r="A892" s="50">
        <v>7942481096</v>
      </c>
      <c r="B892" s="51" t="s">
        <v>1003</v>
      </c>
      <c r="C892" s="51" t="s">
        <v>1010</v>
      </c>
      <c r="D892" s="51" t="s">
        <v>1011</v>
      </c>
      <c r="E892" s="47" t="s">
        <v>1011</v>
      </c>
      <c r="F892" s="51" t="s">
        <v>1005</v>
      </c>
      <c r="G892" s="51" t="s">
        <v>1005</v>
      </c>
      <c r="H892" s="51" t="s">
        <v>1005</v>
      </c>
      <c r="I892" s="51" t="s">
        <v>1005</v>
      </c>
      <c r="J892" s="50" t="str">
        <f t="shared" si="26"/>
        <v>7942481096.pdf</v>
      </c>
      <c r="K892" s="51" t="s">
        <v>1006</v>
      </c>
      <c r="L892" s="51" t="s">
        <v>518</v>
      </c>
      <c r="M892" s="50" t="str">
        <f t="shared" si="27"/>
        <v>34.500</v>
      </c>
      <c r="N892" s="50" t="str">
        <f>IF(A892&lt;&gt;"",VLOOKUP(RIGHT(A892,3)*1,[4]Des_Loc!A:B,2,0),"")</f>
        <v>PINDORAMA DO TOCANTINS</v>
      </c>
    </row>
    <row r="893" spans="1:14" ht="16.5" customHeight="1" x14ac:dyDescent="0.25">
      <c r="A893" s="50">
        <v>7942482096</v>
      </c>
      <c r="B893" s="51" t="s">
        <v>1003</v>
      </c>
      <c r="C893" s="51" t="s">
        <v>1021</v>
      </c>
      <c r="D893" s="51" t="s">
        <v>1005</v>
      </c>
      <c r="E893" s="51" t="s">
        <v>1005</v>
      </c>
      <c r="F893" s="51" t="s">
        <v>1005</v>
      </c>
      <c r="G893" s="51" t="s">
        <v>1005</v>
      </c>
      <c r="H893" s="51" t="s">
        <v>1005</v>
      </c>
      <c r="I893" s="51" t="s">
        <v>1005</v>
      </c>
      <c r="J893" s="50" t="str">
        <f t="shared" si="26"/>
        <v>7942482096.pdf</v>
      </c>
      <c r="K893" s="54" t="s">
        <v>1006</v>
      </c>
      <c r="L893" s="51" t="s">
        <v>518</v>
      </c>
      <c r="M893" s="50" t="str">
        <f t="shared" si="27"/>
        <v>34.500</v>
      </c>
      <c r="N893" s="50" t="str">
        <f>IF(A893&lt;&gt;"",VLOOKUP(RIGHT(A893,3)*1,[4]Des_Loc!A:B,2,0),"")</f>
        <v>PINDORAMA DO TOCANTINS</v>
      </c>
    </row>
    <row r="894" spans="1:14" ht="16.5" customHeight="1" x14ac:dyDescent="0.25">
      <c r="A894" s="50">
        <v>7945470059</v>
      </c>
      <c r="B894" s="51" t="s">
        <v>1003</v>
      </c>
      <c r="C894" s="51" t="s">
        <v>1025</v>
      </c>
      <c r="D894" s="51" t="s">
        <v>1005</v>
      </c>
      <c r="E894" s="51" t="s">
        <v>1005</v>
      </c>
      <c r="F894" s="51" t="s">
        <v>1005</v>
      </c>
      <c r="G894" s="51" t="s">
        <v>1005</v>
      </c>
      <c r="H894" s="51" t="s">
        <v>1005</v>
      </c>
      <c r="I894" s="51" t="s">
        <v>1005</v>
      </c>
      <c r="J894" s="50" t="str">
        <f t="shared" si="26"/>
        <v>7945470059.pdf</v>
      </c>
      <c r="K894" s="54" t="s">
        <v>1006</v>
      </c>
      <c r="L894" s="51" t="s">
        <v>1070</v>
      </c>
      <c r="M894" s="50" t="str">
        <f t="shared" si="27"/>
        <v>13.800</v>
      </c>
      <c r="N894" s="50" t="str">
        <f>IF(A894&lt;&gt;"",VLOOKUP(RIGHT(A894,3)*1,[4]Des_Loc!A:B,2,0),"")</f>
        <v>TAQUARALTO</v>
      </c>
    </row>
    <row r="895" spans="1:14" ht="16.5" customHeight="1" x14ac:dyDescent="0.25">
      <c r="A895" s="50">
        <v>7932806189</v>
      </c>
      <c r="B895" s="51" t="s">
        <v>1003</v>
      </c>
      <c r="C895" s="51" t="s">
        <v>1010</v>
      </c>
      <c r="D895" s="51" t="s">
        <v>1011</v>
      </c>
      <c r="E895" s="51" t="s">
        <v>1005</v>
      </c>
      <c r="F895" s="51" t="s">
        <v>1005</v>
      </c>
      <c r="G895" s="51" t="s">
        <v>1005</v>
      </c>
      <c r="H895" s="51" t="s">
        <v>1005</v>
      </c>
      <c r="I895" s="51" t="s">
        <v>1005</v>
      </c>
      <c r="J895" s="50" t="str">
        <f t="shared" si="26"/>
        <v>7932806189.pdf</v>
      </c>
      <c r="K895" s="51" t="s">
        <v>1006</v>
      </c>
      <c r="L895" s="51" t="s">
        <v>1193</v>
      </c>
      <c r="M895" s="50" t="str">
        <f t="shared" si="27"/>
        <v>13.800</v>
      </c>
      <c r="N895" s="50" t="str">
        <f>IF(A895&lt;&gt;"",VLOOKUP(RIGHT(A895,3)*1,[4]Des_Loc!A:B,2,0),"")</f>
        <v>NOVA PINHEROPOLIS</v>
      </c>
    </row>
    <row r="896" spans="1:14" ht="16.5" customHeight="1" x14ac:dyDescent="0.25">
      <c r="A896" s="50">
        <v>7942706030</v>
      </c>
      <c r="B896" s="51" t="s">
        <v>1003</v>
      </c>
      <c r="C896" s="51" t="s">
        <v>1010</v>
      </c>
      <c r="D896" s="51" t="s">
        <v>1011</v>
      </c>
      <c r="E896" s="51" t="s">
        <v>1011</v>
      </c>
      <c r="F896" s="51" t="s">
        <v>1005</v>
      </c>
      <c r="G896" s="51" t="s">
        <v>1005</v>
      </c>
      <c r="H896" s="51" t="s">
        <v>1005</v>
      </c>
      <c r="I896" s="51" t="s">
        <v>1005</v>
      </c>
      <c r="J896" s="50" t="str">
        <f t="shared" si="26"/>
        <v>7942706030.pdf</v>
      </c>
      <c r="K896" s="51" t="s">
        <v>1006</v>
      </c>
      <c r="L896" s="51" t="s">
        <v>1114</v>
      </c>
      <c r="M896" s="50" t="str">
        <f t="shared" si="27"/>
        <v>34.500</v>
      </c>
      <c r="N896" s="50" t="str">
        <f>IF(A896&lt;&gt;"",VLOOKUP(RIGHT(A896,3)*1,[4]Des_Loc!A:B,2,0),"")</f>
        <v>XAMBIOA</v>
      </c>
    </row>
    <row r="897" spans="1:14" ht="16.5" customHeight="1" x14ac:dyDescent="0.25">
      <c r="A897" s="50">
        <v>7942708123</v>
      </c>
      <c r="B897" s="51" t="s">
        <v>1003</v>
      </c>
      <c r="C897" s="51" t="s">
        <v>1021</v>
      </c>
      <c r="D897" s="51"/>
      <c r="E897" s="51" t="s">
        <v>1005</v>
      </c>
      <c r="F897" s="51"/>
      <c r="G897" s="51"/>
      <c r="H897" s="51" t="s">
        <v>1005</v>
      </c>
      <c r="I897" s="51" t="s">
        <v>1005</v>
      </c>
      <c r="J897" s="50" t="str">
        <f t="shared" si="26"/>
        <v>7942708123.pdf</v>
      </c>
      <c r="K897" s="51" t="s">
        <v>1006</v>
      </c>
      <c r="L897" s="51" t="s">
        <v>594</v>
      </c>
      <c r="M897" s="50" t="str">
        <f t="shared" si="27"/>
        <v>34.500</v>
      </c>
      <c r="N897" s="50" t="str">
        <f>IF(A897&lt;&gt;"",VLOOKUP(RIGHT(A897,3)*1,[4]Des_Loc!A:B,2,0),"")</f>
        <v>AGUIARNOPOLIS</v>
      </c>
    </row>
    <row r="898" spans="1:14" ht="16.5" customHeight="1" x14ac:dyDescent="0.25">
      <c r="A898" s="50">
        <v>7946375097</v>
      </c>
      <c r="B898" s="51" t="s">
        <v>1003</v>
      </c>
      <c r="C898" s="51" t="s">
        <v>1021</v>
      </c>
      <c r="D898" s="51" t="s">
        <v>1005</v>
      </c>
      <c r="E898" s="51" t="s">
        <v>1005</v>
      </c>
      <c r="F898" s="51" t="s">
        <v>1005</v>
      </c>
      <c r="G898" s="51" t="s">
        <v>1005</v>
      </c>
      <c r="H898" s="51" t="s">
        <v>1005</v>
      </c>
      <c r="I898" s="51" t="s">
        <v>1005</v>
      </c>
      <c r="J898" s="50" t="str">
        <f t="shared" ref="J898:J961" si="28">CONCATENATE(A898,".pdf")</f>
        <v>7946375097.pdf</v>
      </c>
      <c r="K898" s="54" t="s">
        <v>1067</v>
      </c>
      <c r="L898" s="51" t="s">
        <v>1103</v>
      </c>
      <c r="M898" s="50" t="str">
        <f t="shared" ref="M898:M961" si="29">IF(L898&lt;&gt;"",IF(LEFT(L898,2)="AL","13.800","34.500"),"")</f>
        <v>34.500</v>
      </c>
      <c r="N898" s="50" t="str">
        <f>IF(A898&lt;&gt;"",VLOOKUP(RIGHT(A898,3)*1,[4]Des_Loc!A:B,2,0),"")</f>
        <v>TALISMA</v>
      </c>
    </row>
    <row r="899" spans="1:14" ht="16.5" customHeight="1" x14ac:dyDescent="0.25">
      <c r="A899" s="52">
        <v>7931682122</v>
      </c>
      <c r="B899" s="51" t="s">
        <v>1003</v>
      </c>
      <c r="C899" s="51" t="s">
        <v>1021</v>
      </c>
      <c r="D899" s="51"/>
      <c r="E899" s="51" t="s">
        <v>1005</v>
      </c>
      <c r="F899" s="51"/>
      <c r="G899" s="51"/>
      <c r="H899" s="51" t="s">
        <v>1005</v>
      </c>
      <c r="I899" s="51" t="s">
        <v>1005</v>
      </c>
      <c r="J899" s="50" t="str">
        <f t="shared" si="28"/>
        <v>7931682122.pdf</v>
      </c>
      <c r="K899" s="51" t="s">
        <v>1006</v>
      </c>
      <c r="L899" s="51" t="s">
        <v>1131</v>
      </c>
      <c r="M899" s="50" t="str">
        <f t="shared" si="29"/>
        <v>13.800</v>
      </c>
      <c r="N899" s="50" t="str">
        <f>IF(A899&lt;&gt;"",VLOOKUP(RIGHT(A899,3)*1,[4]Des_Loc!A:B,2,0),"")</f>
        <v>PALMAS</v>
      </c>
    </row>
    <row r="900" spans="1:14" ht="16.5" customHeight="1" x14ac:dyDescent="0.25">
      <c r="A900" s="50">
        <v>7943905021</v>
      </c>
      <c r="B900" s="51" t="s">
        <v>1003</v>
      </c>
      <c r="C900" s="51" t="s">
        <v>1025</v>
      </c>
      <c r="D900" s="51"/>
      <c r="E900" s="51" t="s">
        <v>1005</v>
      </c>
      <c r="F900" s="51"/>
      <c r="G900" s="51"/>
      <c r="H900" s="51" t="s">
        <v>1005</v>
      </c>
      <c r="I900" s="51" t="s">
        <v>1005</v>
      </c>
      <c r="J900" s="50" t="str">
        <f t="shared" si="28"/>
        <v>7943905021.pdf</v>
      </c>
      <c r="K900" s="51" t="s">
        <v>1006</v>
      </c>
      <c r="L900" s="51" t="s">
        <v>1211</v>
      </c>
      <c r="M900" s="50" t="str">
        <f t="shared" si="29"/>
        <v>13.800</v>
      </c>
      <c r="N900" s="50" t="str">
        <f>IF(A900&lt;&gt;"",VLOOKUP(RIGHT(A900,3)*1,[4]Des_Loc!A:B,2,0),"")</f>
        <v>PARANA</v>
      </c>
    </row>
    <row r="901" spans="1:14" ht="16.5" customHeight="1" x14ac:dyDescent="0.25">
      <c r="A901" s="52">
        <v>7946460007</v>
      </c>
      <c r="B901" s="51" t="s">
        <v>1003</v>
      </c>
      <c r="C901" s="51" t="s">
        <v>1008</v>
      </c>
      <c r="D901" s="51" t="s">
        <v>1005</v>
      </c>
      <c r="E901" s="51" t="s">
        <v>1005</v>
      </c>
      <c r="F901" s="51" t="s">
        <v>1005</v>
      </c>
      <c r="G901" s="51" t="s">
        <v>1005</v>
      </c>
      <c r="H901" s="51" t="s">
        <v>1005</v>
      </c>
      <c r="I901" s="51" t="s">
        <v>1005</v>
      </c>
      <c r="J901" s="50" t="str">
        <f t="shared" si="28"/>
        <v>7946460007.pdf</v>
      </c>
      <c r="K901" s="51" t="s">
        <v>1006</v>
      </c>
      <c r="L901" s="51" t="s">
        <v>425</v>
      </c>
      <c r="M901" s="50" t="str">
        <f t="shared" si="29"/>
        <v>34.500</v>
      </c>
      <c r="N901" s="50" t="str">
        <f>IF(A901&lt;&gt;"",VLOOKUP(RIGHT(A901,3)*1,[4]Des_Loc!A:B,2,0),"")</f>
        <v>MIRACEMA DO TOCANTINS</v>
      </c>
    </row>
    <row r="902" spans="1:14" ht="16.5" customHeight="1" x14ac:dyDescent="0.25">
      <c r="A902" s="52">
        <v>7947024076</v>
      </c>
      <c r="B902" s="51" t="s">
        <v>1003</v>
      </c>
      <c r="C902" s="51" t="s">
        <v>1010</v>
      </c>
      <c r="D902" s="51" t="s">
        <v>1005</v>
      </c>
      <c r="E902" s="51" t="s">
        <v>1005</v>
      </c>
      <c r="F902" s="51" t="s">
        <v>1005</v>
      </c>
      <c r="G902" s="51" t="s">
        <v>1005</v>
      </c>
      <c r="H902" s="51" t="s">
        <v>1005</v>
      </c>
      <c r="I902" s="51" t="s">
        <v>1005</v>
      </c>
      <c r="J902" s="50" t="str">
        <f t="shared" si="28"/>
        <v>7947024076.pdf</v>
      </c>
      <c r="K902" s="51" t="s">
        <v>1067</v>
      </c>
      <c r="L902" s="51" t="s">
        <v>1137</v>
      </c>
      <c r="M902" s="50" t="str">
        <f t="shared" si="29"/>
        <v>34.500</v>
      </c>
      <c r="N902" s="50" t="str">
        <f>IF(A902&lt;&gt;"",VLOOKUP(RIGHT(A902,3)*1,[4]Des_Loc!A:B,2,0),"")</f>
        <v>DUERE</v>
      </c>
    </row>
    <row r="903" spans="1:14" ht="16.5" customHeight="1" x14ac:dyDescent="0.25">
      <c r="A903" s="52">
        <v>7948074010</v>
      </c>
      <c r="B903" s="51" t="s">
        <v>1003</v>
      </c>
      <c r="C903" s="51" t="s">
        <v>1010</v>
      </c>
      <c r="D903" s="51" t="s">
        <v>1011</v>
      </c>
      <c r="E903" s="51" t="s">
        <v>1005</v>
      </c>
      <c r="F903" s="51" t="s">
        <v>1005</v>
      </c>
      <c r="G903" s="51" t="s">
        <v>1005</v>
      </c>
      <c r="H903" s="51" t="s">
        <v>1005</v>
      </c>
      <c r="I903" s="51" t="s">
        <v>1005</v>
      </c>
      <c r="J903" s="50" t="str">
        <f t="shared" si="28"/>
        <v>7948074010.pdf</v>
      </c>
      <c r="K903" s="51" t="s">
        <v>1067</v>
      </c>
      <c r="L903" s="51" t="s">
        <v>1068</v>
      </c>
      <c r="M903" s="50" t="str">
        <f t="shared" si="29"/>
        <v>34.500</v>
      </c>
      <c r="N903" s="50" t="str">
        <f>IF(A903&lt;&gt;"",VLOOKUP(RIGHT(A903,3)*1,[4]Des_Loc!A:B,2,0),"")</f>
        <v>LAJEADO</v>
      </c>
    </row>
    <row r="904" spans="1:14" ht="16.5" customHeight="1" x14ac:dyDescent="0.25">
      <c r="A904" s="52">
        <v>7946214086</v>
      </c>
      <c r="B904" s="51" t="s">
        <v>1003</v>
      </c>
      <c r="C904" s="51" t="s">
        <v>1008</v>
      </c>
      <c r="D904" s="51" t="s">
        <v>1005</v>
      </c>
      <c r="E904" s="51" t="s">
        <v>1005</v>
      </c>
      <c r="F904" s="51" t="s">
        <v>1005</v>
      </c>
      <c r="G904" s="51" t="s">
        <v>1005</v>
      </c>
      <c r="H904" s="51" t="s">
        <v>1005</v>
      </c>
      <c r="I904" s="51" t="s">
        <v>1005</v>
      </c>
      <c r="J904" s="50" t="str">
        <f t="shared" si="28"/>
        <v>7946214086.pdf</v>
      </c>
      <c r="K904" s="51" t="s">
        <v>1006</v>
      </c>
      <c r="L904" s="51" t="s">
        <v>1042</v>
      </c>
      <c r="M904" s="50" t="str">
        <f t="shared" si="29"/>
        <v>34.500</v>
      </c>
      <c r="N904" s="50" t="str">
        <f>IF(A904&lt;&gt;"",VLOOKUP(RIGHT(A904,3)*1,[4]Des_Loc!A:B,2,0),"")</f>
        <v>MARIANOPOLIS</v>
      </c>
    </row>
    <row r="905" spans="1:14" ht="16.5" customHeight="1" x14ac:dyDescent="0.25">
      <c r="A905" s="52">
        <v>7946687086</v>
      </c>
      <c r="B905" s="51" t="s">
        <v>1003</v>
      </c>
      <c r="C905" s="51" t="s">
        <v>1010</v>
      </c>
      <c r="D905" s="51" t="s">
        <v>1011</v>
      </c>
      <c r="E905" s="51" t="s">
        <v>1005</v>
      </c>
      <c r="F905" s="51" t="s">
        <v>1005</v>
      </c>
      <c r="G905" s="51" t="s">
        <v>1005</v>
      </c>
      <c r="H905" s="51" t="s">
        <v>1011</v>
      </c>
      <c r="I905" s="51" t="s">
        <v>1005</v>
      </c>
      <c r="J905" s="50" t="str">
        <f t="shared" si="28"/>
        <v>7946687086.pdf</v>
      </c>
      <c r="K905" s="51" t="s">
        <v>1006</v>
      </c>
      <c r="L905" s="51" t="s">
        <v>1042</v>
      </c>
      <c r="M905" s="50" t="str">
        <f t="shared" si="29"/>
        <v>34.500</v>
      </c>
      <c r="N905" s="50" t="str">
        <f>IF(A905&lt;&gt;"",VLOOKUP(RIGHT(A905,3)*1,[4]Des_Loc!A:B,2,0),"")</f>
        <v>MARIANOPOLIS</v>
      </c>
    </row>
    <row r="906" spans="1:14" ht="16.5" customHeight="1" x14ac:dyDescent="0.25">
      <c r="A906" s="52">
        <v>7941992012</v>
      </c>
      <c r="B906" s="51" t="s">
        <v>1003</v>
      </c>
      <c r="C906" s="51" t="s">
        <v>1010</v>
      </c>
      <c r="D906" s="51" t="s">
        <v>1011</v>
      </c>
      <c r="E906" s="51" t="s">
        <v>1005</v>
      </c>
      <c r="F906" s="51" t="s">
        <v>1011</v>
      </c>
      <c r="G906" s="51" t="s">
        <v>1011</v>
      </c>
      <c r="H906" s="51" t="s">
        <v>1005</v>
      </c>
      <c r="I906" s="51" t="s">
        <v>1005</v>
      </c>
      <c r="J906" s="50" t="str">
        <f t="shared" si="28"/>
        <v>7941992012.pdf</v>
      </c>
      <c r="K906" s="51" t="s">
        <v>1067</v>
      </c>
      <c r="L906" s="51" t="s">
        <v>1030</v>
      </c>
      <c r="M906" s="50" t="str">
        <f t="shared" si="29"/>
        <v>34.500</v>
      </c>
      <c r="N906" s="50" t="str">
        <f>IF(A906&lt;&gt;"",VLOOKUP(RIGHT(A906,3)*1,[4]Des_Loc!A:B,2,0),"")</f>
        <v>CRISTALANDIA</v>
      </c>
    </row>
    <row r="907" spans="1:14" ht="16.5" customHeight="1" x14ac:dyDescent="0.25">
      <c r="A907" s="52">
        <v>7947548073</v>
      </c>
      <c r="B907" s="51" t="s">
        <v>1003</v>
      </c>
      <c r="C907" s="51" t="s">
        <v>1010</v>
      </c>
      <c r="D907" s="51" t="s">
        <v>1011</v>
      </c>
      <c r="E907" s="51" t="s">
        <v>1011</v>
      </c>
      <c r="F907" s="51" t="s">
        <v>1115</v>
      </c>
      <c r="G907" s="51" t="s">
        <v>1005</v>
      </c>
      <c r="H907" s="51" t="s">
        <v>1005</v>
      </c>
      <c r="I907" s="51" t="s">
        <v>1005</v>
      </c>
      <c r="J907" s="50" t="str">
        <f t="shared" si="28"/>
        <v>7947548073.pdf</v>
      </c>
      <c r="K907" s="51" t="s">
        <v>1067</v>
      </c>
      <c r="L907" s="51" t="s">
        <v>1030</v>
      </c>
      <c r="M907" s="50" t="str">
        <f t="shared" si="29"/>
        <v>34.500</v>
      </c>
      <c r="N907" s="50" t="str">
        <f>IF(A907&lt;&gt;"",VLOOKUP(RIGHT(A907,3)*1,[4]Des_Loc!A:B,2,0),"")</f>
        <v>LAGOA DA CONFUSAO</v>
      </c>
    </row>
    <row r="908" spans="1:14" ht="16.5" customHeight="1" x14ac:dyDescent="0.25">
      <c r="A908" s="52">
        <v>7947165045</v>
      </c>
      <c r="B908" s="51" t="s">
        <v>1003</v>
      </c>
      <c r="C908" s="51" t="s">
        <v>1008</v>
      </c>
      <c r="D908" s="51" t="s">
        <v>1005</v>
      </c>
      <c r="E908" s="51" t="s">
        <v>1005</v>
      </c>
      <c r="F908" s="51" t="s">
        <v>1005</v>
      </c>
      <c r="G908" s="51" t="s">
        <v>1005</v>
      </c>
      <c r="H908" s="51" t="s">
        <v>1005</v>
      </c>
      <c r="I908" s="51" t="s">
        <v>1005</v>
      </c>
      <c r="J908" s="50" t="str">
        <f t="shared" si="28"/>
        <v>7947165045.pdf</v>
      </c>
      <c r="K908" s="51" t="s">
        <v>1067</v>
      </c>
      <c r="L908" s="51" t="s">
        <v>1012</v>
      </c>
      <c r="M908" s="50" t="str">
        <f t="shared" si="29"/>
        <v>34.500</v>
      </c>
      <c r="N908" s="50" t="str">
        <f>IF(A908&lt;&gt;"",VLOOKUP(RIGHT(A908,3)*1,[4]Des_Loc!A:B,2,0),"")</f>
        <v>AUGUSTINOPOLIS</v>
      </c>
    </row>
    <row r="909" spans="1:14" ht="16.5" customHeight="1" x14ac:dyDescent="0.25">
      <c r="A909" s="52">
        <v>7949656024</v>
      </c>
      <c r="B909" s="51" t="s">
        <v>1003</v>
      </c>
      <c r="C909" s="51" t="s">
        <v>1010</v>
      </c>
      <c r="D909" s="51" t="s">
        <v>1011</v>
      </c>
      <c r="E909" s="51" t="s">
        <v>1011</v>
      </c>
      <c r="F909" s="51" t="s">
        <v>1005</v>
      </c>
      <c r="G909" s="51" t="s">
        <v>1011</v>
      </c>
      <c r="H909" s="51" t="s">
        <v>1005</v>
      </c>
      <c r="I909" s="51" t="s">
        <v>1005</v>
      </c>
      <c r="J909" s="50" t="str">
        <f t="shared" si="28"/>
        <v>7949656024.pdf</v>
      </c>
      <c r="K909" s="51" t="s">
        <v>1067</v>
      </c>
      <c r="L909" s="51" t="s">
        <v>1047</v>
      </c>
      <c r="M909" s="50" t="str">
        <f t="shared" si="29"/>
        <v>34.500</v>
      </c>
      <c r="N909" s="50" t="str">
        <f>IF(A909&lt;&gt;"",VLOOKUP(RIGHT(A909,3)*1,[4]Des_Loc!A:B,2,0),"")</f>
        <v>ITAPORA DO TOCANTINS</v>
      </c>
    </row>
    <row r="910" spans="1:14" ht="16.5" customHeight="1" x14ac:dyDescent="0.25">
      <c r="A910" s="52">
        <v>7949829058</v>
      </c>
      <c r="B910" s="51" t="s">
        <v>1003</v>
      </c>
      <c r="C910" s="51" t="s">
        <v>1010</v>
      </c>
      <c r="D910" s="51" t="s">
        <v>1011</v>
      </c>
      <c r="E910" s="51" t="s">
        <v>1011</v>
      </c>
      <c r="F910" s="51" t="s">
        <v>1005</v>
      </c>
      <c r="G910" s="51" t="s">
        <v>1005</v>
      </c>
      <c r="H910" s="51" t="s">
        <v>1005</v>
      </c>
      <c r="I910" s="51" t="s">
        <v>1005</v>
      </c>
      <c r="J910" s="50" t="str">
        <f t="shared" si="28"/>
        <v>7949829058.pdf</v>
      </c>
      <c r="K910" s="51" t="s">
        <v>1067</v>
      </c>
      <c r="L910" s="51" t="s">
        <v>505</v>
      </c>
      <c r="M910" s="50" t="str">
        <f t="shared" si="29"/>
        <v>34.500</v>
      </c>
      <c r="N910" s="50" t="str">
        <f>IF(A910&lt;&gt;"",VLOOKUP(RIGHT(A910,3)*1,[4]Des_Loc!A:B,2,0),"")</f>
        <v>SANTA FE DO ARAGUAIA</v>
      </c>
    </row>
    <row r="911" spans="1:14" ht="16.5" customHeight="1" x14ac:dyDescent="0.25">
      <c r="A911" s="52">
        <v>7964716048</v>
      </c>
      <c r="B911" s="51" t="s">
        <v>1003</v>
      </c>
      <c r="C911" s="51" t="s">
        <v>1010</v>
      </c>
      <c r="D911" s="51" t="s">
        <v>1011</v>
      </c>
      <c r="E911" s="51" t="s">
        <v>1005</v>
      </c>
      <c r="F911" s="51" t="s">
        <v>1005</v>
      </c>
      <c r="G911" s="51" t="s">
        <v>1005</v>
      </c>
      <c r="H911" s="51" t="s">
        <v>1005</v>
      </c>
      <c r="I911" s="51" t="s">
        <v>1005</v>
      </c>
      <c r="J911" s="50" t="str">
        <f t="shared" si="28"/>
        <v>7964716048.pdf</v>
      </c>
      <c r="K911" s="51" t="s">
        <v>1067</v>
      </c>
      <c r="L911" s="51" t="s">
        <v>1126</v>
      </c>
      <c r="M911" s="50" t="str">
        <f t="shared" si="29"/>
        <v>34.500</v>
      </c>
      <c r="N911" s="50" t="str">
        <f>IF(A911&lt;&gt;"",VLOOKUP(RIGHT(A911,3)*1,[4]Des_Loc!A:B,2,0),"")</f>
        <v>FORTALEZA DO TABOCAO</v>
      </c>
    </row>
    <row r="912" spans="1:14" ht="16.5" customHeight="1" x14ac:dyDescent="0.25">
      <c r="A912" s="52">
        <v>7949660066</v>
      </c>
      <c r="B912" s="51" t="s">
        <v>1003</v>
      </c>
      <c r="C912" s="51" t="s">
        <v>1008</v>
      </c>
      <c r="D912" s="51" t="s">
        <v>1011</v>
      </c>
      <c r="E912" s="51" t="s">
        <v>1005</v>
      </c>
      <c r="F912" s="51" t="s">
        <v>1005</v>
      </c>
      <c r="G912" s="51" t="s">
        <v>1005</v>
      </c>
      <c r="H912" s="51" t="s">
        <v>1005</v>
      </c>
      <c r="I912" s="51" t="s">
        <v>1005</v>
      </c>
      <c r="J912" s="50" t="str">
        <f t="shared" si="28"/>
        <v>7949660066.pdf</v>
      </c>
      <c r="K912" s="51" t="s">
        <v>1067</v>
      </c>
      <c r="L912" s="51" t="s">
        <v>1047</v>
      </c>
      <c r="M912" s="50" t="str">
        <f t="shared" si="29"/>
        <v>34.500</v>
      </c>
      <c r="N912" s="50" t="str">
        <f>IF(A912&lt;&gt;"",VLOOKUP(RIGHT(A912,3)*1,[4]Des_Loc!A:B,2,0),"")</f>
        <v>TUPIRATINS</v>
      </c>
    </row>
    <row r="913" spans="1:14" ht="16.5" customHeight="1" x14ac:dyDescent="0.25">
      <c r="A913" s="52">
        <v>7949644098</v>
      </c>
      <c r="B913" s="51" t="s">
        <v>1003</v>
      </c>
      <c r="C913" s="51" t="s">
        <v>1010</v>
      </c>
      <c r="D913" s="51" t="s">
        <v>1011</v>
      </c>
      <c r="E913" s="51" t="s">
        <v>1011</v>
      </c>
      <c r="F913" s="51" t="s">
        <v>1011</v>
      </c>
      <c r="G913" s="51" t="s">
        <v>1005</v>
      </c>
      <c r="H913" s="51" t="s">
        <v>1005</v>
      </c>
      <c r="I913" s="51" t="s">
        <v>1011</v>
      </c>
      <c r="J913" s="50" t="str">
        <f t="shared" si="28"/>
        <v>7949644098.pdf</v>
      </c>
      <c r="K913" s="51" t="s">
        <v>1006</v>
      </c>
      <c r="L913" s="51" t="s">
        <v>1160</v>
      </c>
      <c r="M913" s="50" t="str">
        <f t="shared" si="29"/>
        <v>34.500</v>
      </c>
      <c r="N913" s="50" t="str">
        <f>IF(A913&lt;&gt;"",VLOOKUP(RIGHT(A913,3)*1,[4]Des_Loc!A:B,2,0),"")</f>
        <v>ANANAS</v>
      </c>
    </row>
    <row r="914" spans="1:14" ht="16.5" customHeight="1" x14ac:dyDescent="0.25">
      <c r="A914" s="52">
        <v>7949686066</v>
      </c>
      <c r="B914" s="51" t="s">
        <v>1003</v>
      </c>
      <c r="C914" s="51" t="s">
        <v>1010</v>
      </c>
      <c r="D914" s="51"/>
      <c r="E914" s="51" t="s">
        <v>1011</v>
      </c>
      <c r="F914" s="51"/>
      <c r="G914" s="51"/>
      <c r="H914" s="51" t="s">
        <v>1005</v>
      </c>
      <c r="I914" s="51" t="s">
        <v>1005</v>
      </c>
      <c r="J914" s="50" t="str">
        <f t="shared" si="28"/>
        <v>7949686066.pdf</v>
      </c>
      <c r="K914" s="51" t="s">
        <v>1067</v>
      </c>
      <c r="L914" s="51" t="s">
        <v>1047</v>
      </c>
      <c r="M914" s="50" t="str">
        <f t="shared" si="29"/>
        <v>34.500</v>
      </c>
      <c r="N914" s="50" t="str">
        <f>IF(A914&lt;&gt;"",VLOOKUP(RIGHT(A914,3)*1,[4]Des_Loc!A:B,2,0),"")</f>
        <v>TUPIRATINS</v>
      </c>
    </row>
    <row r="915" spans="1:14" ht="16.5" customHeight="1" x14ac:dyDescent="0.25">
      <c r="A915" s="52">
        <v>7947959026</v>
      </c>
      <c r="B915" s="51" t="s">
        <v>1003</v>
      </c>
      <c r="C915" s="51" t="s">
        <v>1008</v>
      </c>
      <c r="D915" s="51" t="s">
        <v>1005</v>
      </c>
      <c r="E915" s="51" t="s">
        <v>1005</v>
      </c>
      <c r="F915" s="51" t="s">
        <v>1005</v>
      </c>
      <c r="G915" s="51" t="s">
        <v>1005</v>
      </c>
      <c r="H915" s="51" t="s">
        <v>1005</v>
      </c>
      <c r="I915" s="51" t="s">
        <v>1005</v>
      </c>
      <c r="J915" s="50" t="str">
        <f t="shared" si="28"/>
        <v>7947959026.pdf</v>
      </c>
      <c r="K915" s="51" t="s">
        <v>1006</v>
      </c>
      <c r="L915" s="51" t="s">
        <v>518</v>
      </c>
      <c r="M915" s="50" t="str">
        <f t="shared" si="29"/>
        <v>34.500</v>
      </c>
      <c r="N915" s="50" t="str">
        <f>IF(A915&lt;&gt;"",VLOOKUP(RIGHT(A915,3)*1,[4]Des_Loc!A:B,2,0),"")</f>
        <v>PONTE ALTA TOCANTINS</v>
      </c>
    </row>
    <row r="916" spans="1:14" ht="16.5" customHeight="1" x14ac:dyDescent="0.25">
      <c r="A916" s="52">
        <v>7947961035</v>
      </c>
      <c r="B916" s="51" t="s">
        <v>1003</v>
      </c>
      <c r="C916" s="51" t="s">
        <v>1010</v>
      </c>
      <c r="D916" s="51"/>
      <c r="E916" s="51" t="s">
        <v>1005</v>
      </c>
      <c r="F916" s="51"/>
      <c r="G916" s="51"/>
      <c r="H916" s="51" t="s">
        <v>1005</v>
      </c>
      <c r="I916" s="51" t="s">
        <v>1005</v>
      </c>
      <c r="J916" s="50" t="str">
        <f t="shared" si="28"/>
        <v>7947961035.pdf</v>
      </c>
      <c r="K916" s="51" t="s">
        <v>1067</v>
      </c>
      <c r="L916" s="51" t="s">
        <v>344</v>
      </c>
      <c r="M916" s="50" t="str">
        <f t="shared" si="29"/>
        <v>34.500</v>
      </c>
      <c r="N916" s="50" t="str">
        <f>IF(A916&lt;&gt;"",VLOOKUP(RIGHT(A916,3)*1,[4]Des_Loc!A:B,2,0),"")</f>
        <v>MONTE DO CARMO</v>
      </c>
    </row>
    <row r="917" spans="1:14" ht="16.5" customHeight="1" x14ac:dyDescent="0.25">
      <c r="A917" s="52">
        <v>7942799122</v>
      </c>
      <c r="B917" s="51" t="s">
        <v>1003</v>
      </c>
      <c r="C917" s="51" t="s">
        <v>1021</v>
      </c>
      <c r="D917" s="51"/>
      <c r="E917" s="51" t="s">
        <v>1005</v>
      </c>
      <c r="F917" s="51"/>
      <c r="G917" s="51"/>
      <c r="H917" s="51" t="s">
        <v>1005</v>
      </c>
      <c r="I917" s="51" t="s">
        <v>1005</v>
      </c>
      <c r="J917" s="50" t="str">
        <f t="shared" si="28"/>
        <v>7942799122.pdf</v>
      </c>
      <c r="K917" s="51" t="s">
        <v>1067</v>
      </c>
      <c r="L917" s="51" t="s">
        <v>1015</v>
      </c>
      <c r="M917" s="50" t="str">
        <f t="shared" si="29"/>
        <v>34.500</v>
      </c>
      <c r="N917" s="50" t="str">
        <f>IF(A917&lt;&gt;"",VLOOKUP(RIGHT(A917,3)*1,[4]Des_Loc!A:B,2,0),"")</f>
        <v>PALMAS</v>
      </c>
    </row>
    <row r="918" spans="1:14" ht="16.5" customHeight="1" x14ac:dyDescent="0.25">
      <c r="A918" s="52">
        <v>7947203070</v>
      </c>
      <c r="B918" s="51" t="s">
        <v>1003</v>
      </c>
      <c r="C918" s="51" t="s">
        <v>1008</v>
      </c>
      <c r="D918" s="51"/>
      <c r="E918" s="51" t="s">
        <v>1005</v>
      </c>
      <c r="F918" s="51"/>
      <c r="G918" s="51"/>
      <c r="H918" s="51" t="s">
        <v>1005</v>
      </c>
      <c r="I918" s="51" t="s">
        <v>1005</v>
      </c>
      <c r="J918" s="50" t="str">
        <f t="shared" si="28"/>
        <v>7947203070.pdf</v>
      </c>
      <c r="K918" s="51" t="s">
        <v>1067</v>
      </c>
      <c r="L918" s="51" t="s">
        <v>754</v>
      </c>
      <c r="M918" s="50" t="str">
        <f t="shared" si="29"/>
        <v>34.500</v>
      </c>
      <c r="N918" s="50" t="str">
        <f>IF(A918&lt;&gt;"",VLOOKUP(RIGHT(A918,3)*1,[4]Des_Loc!A:B,2,0),"")</f>
        <v>RIO SONO</v>
      </c>
    </row>
    <row r="919" spans="1:14" ht="16.5" customHeight="1" x14ac:dyDescent="0.25">
      <c r="A919" s="52">
        <v>7947761063</v>
      </c>
      <c r="B919" s="51" t="s">
        <v>1003</v>
      </c>
      <c r="C919" s="51" t="s">
        <v>1010</v>
      </c>
      <c r="D919" s="51" t="s">
        <v>1011</v>
      </c>
      <c r="E919" s="51" t="s">
        <v>1005</v>
      </c>
      <c r="F919" s="51" t="s">
        <v>1011</v>
      </c>
      <c r="G919" s="51" t="s">
        <v>1005</v>
      </c>
      <c r="H919" s="51" t="s">
        <v>1005</v>
      </c>
      <c r="I919" s="51" t="s">
        <v>1005</v>
      </c>
      <c r="J919" s="50" t="str">
        <f t="shared" si="28"/>
        <v>7947761063.pdf</v>
      </c>
      <c r="K919" s="51" t="s">
        <v>1067</v>
      </c>
      <c r="L919" s="51" t="s">
        <v>1101</v>
      </c>
      <c r="M919" s="50" t="str">
        <f t="shared" si="29"/>
        <v>34.500</v>
      </c>
      <c r="N919" s="50" t="str">
        <f>IF(A919&lt;&gt;"",VLOOKUP(RIGHT(A919,3)*1,[4]Des_Loc!A:B,2,0),"")</f>
        <v>BANDEIRANTES DO TOCANTINS</v>
      </c>
    </row>
    <row r="920" spans="1:14" ht="16.5" customHeight="1" x14ac:dyDescent="0.25">
      <c r="A920" s="52">
        <v>7946713015</v>
      </c>
      <c r="B920" s="51" t="s">
        <v>1003</v>
      </c>
      <c r="C920" s="51" t="s">
        <v>1021</v>
      </c>
      <c r="D920" s="51" t="s">
        <v>1005</v>
      </c>
      <c r="E920" s="51" t="s">
        <v>1005</v>
      </c>
      <c r="F920" s="51" t="s">
        <v>1005</v>
      </c>
      <c r="G920" s="51" t="s">
        <v>1005</v>
      </c>
      <c r="H920" s="51" t="s">
        <v>1005</v>
      </c>
      <c r="I920" s="51" t="s">
        <v>1005</v>
      </c>
      <c r="J920" s="50" t="str">
        <f t="shared" si="28"/>
        <v>7946713015.pdf</v>
      </c>
      <c r="K920" s="51" t="s">
        <v>1067</v>
      </c>
      <c r="L920" s="51" t="s">
        <v>754</v>
      </c>
      <c r="M920" s="50" t="str">
        <f t="shared" si="29"/>
        <v>34.500</v>
      </c>
      <c r="N920" s="50" t="str">
        <f>IF(A920&lt;&gt;"",VLOOKUP(RIGHT(A920,3)*1,[4]Des_Loc!A:B,2,0),"")</f>
        <v>PEDRO AFONSO</v>
      </c>
    </row>
    <row r="921" spans="1:14" ht="16.5" customHeight="1" x14ac:dyDescent="0.25">
      <c r="A921" s="52">
        <v>7947968083</v>
      </c>
      <c r="B921" s="51" t="s">
        <v>1003</v>
      </c>
      <c r="C921" s="51" t="s">
        <v>1010</v>
      </c>
      <c r="D921" s="51"/>
      <c r="E921" s="51" t="s">
        <v>1005</v>
      </c>
      <c r="F921" s="51"/>
      <c r="G921" s="51"/>
      <c r="H921" s="51" t="s">
        <v>1005</v>
      </c>
      <c r="I921" s="51" t="s">
        <v>1005</v>
      </c>
      <c r="J921" s="50" t="str">
        <f t="shared" si="28"/>
        <v>7947968083.pdf</v>
      </c>
      <c r="K921" s="51" t="s">
        <v>1067</v>
      </c>
      <c r="L921" s="51" t="s">
        <v>1015</v>
      </c>
      <c r="M921" s="50" t="str">
        <f t="shared" si="29"/>
        <v>34.500</v>
      </c>
      <c r="N921" s="50" t="str">
        <f>IF(A921&lt;&gt;"",VLOOKUP(RIGHT(A921,3)*1,[4]Des_Loc!A:B,2,0),"")</f>
        <v>APARECIDA DO RIO NEGRO</v>
      </c>
    </row>
    <row r="922" spans="1:14" ht="16.5" customHeight="1" x14ac:dyDescent="0.25">
      <c r="A922" s="52">
        <v>7949688227</v>
      </c>
      <c r="B922" s="51" t="s">
        <v>1003</v>
      </c>
      <c r="C922" s="51" t="s">
        <v>1010</v>
      </c>
      <c r="D922" s="51" t="s">
        <v>1011</v>
      </c>
      <c r="E922" s="51" t="s">
        <v>1011</v>
      </c>
      <c r="F922" s="51" t="s">
        <v>1011</v>
      </c>
      <c r="G922" s="51" t="s">
        <v>1005</v>
      </c>
      <c r="H922" s="51" t="s">
        <v>1005</v>
      </c>
      <c r="I922" s="51" t="s">
        <v>1011</v>
      </c>
      <c r="J922" s="50" t="str">
        <f t="shared" si="28"/>
        <v>7949688227.pdf</v>
      </c>
      <c r="K922" s="51" t="s">
        <v>1067</v>
      </c>
      <c r="L922" s="51" t="s">
        <v>470</v>
      </c>
      <c r="M922" s="50" t="str">
        <f t="shared" si="29"/>
        <v>34.500</v>
      </c>
      <c r="N922" s="50" t="str">
        <f>IF(A922&lt;&gt;"",VLOOKUP(RIGHT(A922,3)*1,[4]Des_Loc!A:B,2,0),"")</f>
        <v>RECURSOLANDIA</v>
      </c>
    </row>
    <row r="923" spans="1:14" ht="16.5" customHeight="1" x14ac:dyDescent="0.25">
      <c r="A923" s="52">
        <v>7948412064</v>
      </c>
      <c r="B923" s="51" t="s">
        <v>1003</v>
      </c>
      <c r="C923" s="51" t="s">
        <v>1010</v>
      </c>
      <c r="D923" s="51" t="s">
        <v>1011</v>
      </c>
      <c r="E923" s="51" t="s">
        <v>1005</v>
      </c>
      <c r="F923" s="51" t="s">
        <v>1005</v>
      </c>
      <c r="G923" s="51" t="s">
        <v>1005</v>
      </c>
      <c r="H923" s="51" t="s">
        <v>1005</v>
      </c>
      <c r="I923" s="51" t="s">
        <v>1005</v>
      </c>
      <c r="J923" s="50" t="str">
        <f t="shared" si="28"/>
        <v>7948412064.pdf</v>
      </c>
      <c r="K923" s="51" t="s">
        <v>1006</v>
      </c>
      <c r="L923" s="51" t="s">
        <v>1083</v>
      </c>
      <c r="M923" s="50" t="str">
        <f t="shared" si="29"/>
        <v>34.500</v>
      </c>
      <c r="N923" s="50" t="str">
        <f>IF(A923&lt;&gt;"",VLOOKUP(RIGHT(A923,3)*1,[4]Des_Loc!A:B,2,0),"")</f>
        <v>BRASILANDIA DO TOCANTINS</v>
      </c>
    </row>
    <row r="924" spans="1:14" ht="16.5" customHeight="1" x14ac:dyDescent="0.25">
      <c r="A924" s="52">
        <v>7947962110</v>
      </c>
      <c r="B924" s="51" t="s">
        <v>1003</v>
      </c>
      <c r="C924" s="51" t="s">
        <v>1008</v>
      </c>
      <c r="D924" s="51" t="s">
        <v>1005</v>
      </c>
      <c r="E924" s="51" t="s">
        <v>1005</v>
      </c>
      <c r="F924" s="51" t="s">
        <v>1005</v>
      </c>
      <c r="G924" s="51" t="s">
        <v>1005</v>
      </c>
      <c r="H924" s="51" t="s">
        <v>1005</v>
      </c>
      <c r="I924" s="51" t="s">
        <v>1005</v>
      </c>
      <c r="J924" s="50" t="str">
        <f t="shared" si="28"/>
        <v>7947962110.pdf</v>
      </c>
      <c r="K924" s="51" t="s">
        <v>1006</v>
      </c>
      <c r="L924" s="51" t="s">
        <v>1030</v>
      </c>
      <c r="M924" s="50" t="str">
        <f t="shared" si="29"/>
        <v>34.500</v>
      </c>
      <c r="N924" s="50" t="str">
        <f>IF(A924&lt;&gt;"",VLOOKUP(RIGHT(A924,3)*1,[4]Des_Loc!A:B,2,0),"")</f>
        <v>SANTA RITA DO TOCANTINS</v>
      </c>
    </row>
    <row r="925" spans="1:14" ht="16.5" customHeight="1" x14ac:dyDescent="0.25">
      <c r="A925" s="52">
        <v>7949650109</v>
      </c>
      <c r="B925" s="51" t="s">
        <v>1003</v>
      </c>
      <c r="C925" s="51" t="s">
        <v>1010</v>
      </c>
      <c r="D925" s="51" t="s">
        <v>1011</v>
      </c>
      <c r="E925" s="51" t="s">
        <v>1005</v>
      </c>
      <c r="F925" s="51" t="s">
        <v>1005</v>
      </c>
      <c r="G925" s="51" t="s">
        <v>1005</v>
      </c>
      <c r="H925" s="51" t="s">
        <v>1005</v>
      </c>
      <c r="I925" s="51" t="s">
        <v>1005</v>
      </c>
      <c r="J925" s="50" t="str">
        <f t="shared" si="28"/>
        <v>7949650109.pdf</v>
      </c>
      <c r="K925" s="51" t="s">
        <v>1067</v>
      </c>
      <c r="L925" s="51" t="s">
        <v>453</v>
      </c>
      <c r="M925" s="50" t="str">
        <f t="shared" si="29"/>
        <v>34.500</v>
      </c>
      <c r="N925" s="50" t="str">
        <f>IF(A925&lt;&gt;"",VLOOKUP(RIGHT(A925,3)*1,[4]Des_Loc!A:B,2,0),"")</f>
        <v>ANGICO</v>
      </c>
    </row>
    <row r="926" spans="1:14" ht="16.5" customHeight="1" x14ac:dyDescent="0.25">
      <c r="A926" s="52">
        <v>7943023122</v>
      </c>
      <c r="B926" s="51" t="s">
        <v>1003</v>
      </c>
      <c r="C926" s="51" t="s">
        <v>1025</v>
      </c>
      <c r="D926" s="51" t="s">
        <v>1011</v>
      </c>
      <c r="E926" s="51" t="s">
        <v>1005</v>
      </c>
      <c r="F926" s="51" t="s">
        <v>1011</v>
      </c>
      <c r="G926" s="51" t="s">
        <v>1005</v>
      </c>
      <c r="H926" s="51" t="s">
        <v>1005</v>
      </c>
      <c r="I926" s="51" t="s">
        <v>1011</v>
      </c>
      <c r="J926" s="50" t="str">
        <f t="shared" si="28"/>
        <v>7943023122.pdf</v>
      </c>
      <c r="K926" s="51" t="s">
        <v>1006</v>
      </c>
      <c r="L926" s="51" t="s">
        <v>1088</v>
      </c>
      <c r="M926" s="50" t="str">
        <f t="shared" si="29"/>
        <v>13.800</v>
      </c>
      <c r="N926" s="50" t="str">
        <f>IF(A926&lt;&gt;"",VLOOKUP(RIGHT(A926,3)*1,[4]Des_Loc!A:B,2,0),"")</f>
        <v>PALMAS</v>
      </c>
    </row>
    <row r="927" spans="1:14" ht="16.5" customHeight="1" x14ac:dyDescent="0.25">
      <c r="A927" s="52">
        <v>7949647081</v>
      </c>
      <c r="B927" s="51" t="s">
        <v>1003</v>
      </c>
      <c r="C927" s="51" t="s">
        <v>1010</v>
      </c>
      <c r="D927" s="51" t="s">
        <v>1011</v>
      </c>
      <c r="E927" s="51" t="s">
        <v>1011</v>
      </c>
      <c r="F927" s="51" t="s">
        <v>1011</v>
      </c>
      <c r="G927" s="51" t="s">
        <v>1005</v>
      </c>
      <c r="H927" s="51" t="s">
        <v>1005</v>
      </c>
      <c r="I927" s="51" t="s">
        <v>1011</v>
      </c>
      <c r="J927" s="50" t="str">
        <f t="shared" si="28"/>
        <v>7949647081.pdf</v>
      </c>
      <c r="K927" s="51" t="s">
        <v>1006</v>
      </c>
      <c r="L927" s="51" t="s">
        <v>1033</v>
      </c>
      <c r="M927" s="50" t="str">
        <f t="shared" si="29"/>
        <v>13.800</v>
      </c>
      <c r="N927" s="50" t="str">
        <f>IF(A927&lt;&gt;"",VLOOKUP(RIGHT(A927,3)*1,[4]Des_Loc!A:B,2,0),"")</f>
        <v>ITAGUATINS</v>
      </c>
    </row>
    <row r="928" spans="1:14" ht="16.5" customHeight="1" x14ac:dyDescent="0.25">
      <c r="A928" s="52">
        <v>7949673009</v>
      </c>
      <c r="B928" s="51" t="s">
        <v>1003</v>
      </c>
      <c r="C928" s="51" t="s">
        <v>1010</v>
      </c>
      <c r="D928" s="51"/>
      <c r="E928" s="51" t="s">
        <v>1011</v>
      </c>
      <c r="F928" s="51"/>
      <c r="G928" s="51"/>
      <c r="H928" s="51" t="s">
        <v>1005</v>
      </c>
      <c r="I928" s="51" t="s">
        <v>1005</v>
      </c>
      <c r="J928" s="50" t="str">
        <f t="shared" si="28"/>
        <v>7949673009.pdf</v>
      </c>
      <c r="K928" s="51" t="s">
        <v>1067</v>
      </c>
      <c r="L928" s="51" t="s">
        <v>419</v>
      </c>
      <c r="M928" s="50" t="str">
        <f t="shared" si="29"/>
        <v>13.800</v>
      </c>
      <c r="N928" s="50" t="str">
        <f>IF(A928&lt;&gt;"",VLOOKUP(RIGHT(A928,3)*1,[4]Des_Loc!A:B,2,0),"")</f>
        <v>GUARAI</v>
      </c>
    </row>
    <row r="929" spans="1:14" ht="16.5" customHeight="1" x14ac:dyDescent="0.25">
      <c r="A929" s="52">
        <v>7949652078</v>
      </c>
      <c r="B929" s="51" t="s">
        <v>1003</v>
      </c>
      <c r="C929" s="51" t="s">
        <v>1010</v>
      </c>
      <c r="D929" s="51" t="s">
        <v>1011</v>
      </c>
      <c r="E929" s="51" t="s">
        <v>1011</v>
      </c>
      <c r="F929" s="51" t="s">
        <v>1005</v>
      </c>
      <c r="G929" s="51" t="s">
        <v>1005</v>
      </c>
      <c r="H929" s="51" t="s">
        <v>1005</v>
      </c>
      <c r="I929" s="51" t="s">
        <v>1005</v>
      </c>
      <c r="J929" s="50" t="str">
        <f t="shared" si="28"/>
        <v>7949652078.pdf</v>
      </c>
      <c r="K929" s="51" t="s">
        <v>1067</v>
      </c>
      <c r="L929" s="51" t="s">
        <v>470</v>
      </c>
      <c r="M929" s="50" t="str">
        <f t="shared" si="29"/>
        <v>34.500</v>
      </c>
      <c r="N929" s="50" t="str">
        <f>IF(A929&lt;&gt;"",VLOOKUP(RIGHT(A929,3)*1,[4]Des_Loc!A:B,2,0),"")</f>
        <v>ITACAJA</v>
      </c>
    </row>
    <row r="930" spans="1:14" ht="16.5" customHeight="1" x14ac:dyDescent="0.25">
      <c r="A930" s="52">
        <v>7949649145</v>
      </c>
      <c r="B930" s="51" t="s">
        <v>1003</v>
      </c>
      <c r="C930" s="51" t="s">
        <v>1025</v>
      </c>
      <c r="D930" s="51" t="s">
        <v>1011</v>
      </c>
      <c r="E930" s="51" t="s">
        <v>1005</v>
      </c>
      <c r="F930" s="51" t="s">
        <v>1011</v>
      </c>
      <c r="G930" s="51" t="s">
        <v>1005</v>
      </c>
      <c r="H930" s="51" t="s">
        <v>1005</v>
      </c>
      <c r="I930" s="51" t="s">
        <v>1011</v>
      </c>
      <c r="J930" s="50" t="str">
        <f t="shared" si="28"/>
        <v>7949649145.pdf</v>
      </c>
      <c r="K930" s="51" t="s">
        <v>1006</v>
      </c>
      <c r="L930" s="51" t="s">
        <v>1033</v>
      </c>
      <c r="M930" s="50" t="str">
        <f t="shared" si="29"/>
        <v>13.800</v>
      </c>
      <c r="N930" s="50" t="str">
        <f>IF(A930&lt;&gt;"",VLOOKUP(RIGHT(A930,3)*1,[4]Des_Loc!A:B,2,0),"")</f>
        <v>MAURILANDIA DO TOCANTINS</v>
      </c>
    </row>
    <row r="931" spans="1:14" ht="16.5" customHeight="1" x14ac:dyDescent="0.25">
      <c r="A931" s="52">
        <v>7949648145</v>
      </c>
      <c r="B931" s="51" t="s">
        <v>1003</v>
      </c>
      <c r="C931" s="51" t="s">
        <v>1025</v>
      </c>
      <c r="D931" s="51" t="s">
        <v>1011</v>
      </c>
      <c r="E931" s="51" t="s">
        <v>1005</v>
      </c>
      <c r="F931" s="51" t="s">
        <v>1011</v>
      </c>
      <c r="G931" s="51" t="s">
        <v>1005</v>
      </c>
      <c r="H931" s="51" t="s">
        <v>1005</v>
      </c>
      <c r="I931" s="51" t="s">
        <v>1011</v>
      </c>
      <c r="J931" s="50" t="str">
        <f t="shared" si="28"/>
        <v>7949648145.pdf</v>
      </c>
      <c r="K931" s="51" t="s">
        <v>1006</v>
      </c>
      <c r="L931" s="51" t="s">
        <v>1033</v>
      </c>
      <c r="M931" s="50" t="str">
        <f t="shared" si="29"/>
        <v>13.800</v>
      </c>
      <c r="N931" s="50" t="str">
        <f>IF(A931&lt;&gt;"",VLOOKUP(RIGHT(A931,3)*1,[4]Des_Loc!A:B,2,0),"")</f>
        <v>MAURILANDIA DO TOCANTINS</v>
      </c>
    </row>
    <row r="932" spans="1:14" ht="16.5" customHeight="1" x14ac:dyDescent="0.25">
      <c r="A932" s="52">
        <v>7946963052</v>
      </c>
      <c r="B932" s="51" t="s">
        <v>1003</v>
      </c>
      <c r="C932" s="51" t="s">
        <v>1010</v>
      </c>
      <c r="D932" s="51" t="s">
        <v>1011</v>
      </c>
      <c r="E932" s="51" t="s">
        <v>1005</v>
      </c>
      <c r="F932" s="51" t="s">
        <v>1005</v>
      </c>
      <c r="G932" s="51" t="s">
        <v>1005</v>
      </c>
      <c r="H932" s="51" t="s">
        <v>1005</v>
      </c>
      <c r="I932" s="51" t="s">
        <v>1005</v>
      </c>
      <c r="J932" s="50" t="str">
        <f t="shared" si="28"/>
        <v>7946963052.pdf</v>
      </c>
      <c r="K932" s="51" t="s">
        <v>1006</v>
      </c>
      <c r="L932" s="51" t="s">
        <v>1024</v>
      </c>
      <c r="M932" s="50" t="str">
        <f t="shared" si="29"/>
        <v>13.800</v>
      </c>
      <c r="N932" s="50" t="str">
        <f>IF(A932&lt;&gt;"",VLOOKUP(RIGHT(A932,3)*1,[4]Des_Loc!A:B,2,0),"")</f>
        <v>FORMOSO DO ARAGUAIA</v>
      </c>
    </row>
    <row r="933" spans="1:14" ht="16.5" customHeight="1" x14ac:dyDescent="0.25">
      <c r="A933" s="52">
        <v>7949808058</v>
      </c>
      <c r="B933" s="51" t="s">
        <v>1003</v>
      </c>
      <c r="C933" s="51" t="s">
        <v>1010</v>
      </c>
      <c r="D933" s="51" t="s">
        <v>1011</v>
      </c>
      <c r="E933" s="51" t="s">
        <v>1005</v>
      </c>
      <c r="F933" s="51" t="s">
        <v>1005</v>
      </c>
      <c r="G933" s="51" t="s">
        <v>1005</v>
      </c>
      <c r="H933" s="51" t="s">
        <v>1005</v>
      </c>
      <c r="I933" s="51" t="s">
        <v>1005</v>
      </c>
      <c r="J933" s="50" t="str">
        <f t="shared" si="28"/>
        <v>7949808058.pdf</v>
      </c>
      <c r="K933" s="51" t="s">
        <v>1006</v>
      </c>
      <c r="L933" s="51" t="s">
        <v>353</v>
      </c>
      <c r="M933" s="50" t="str">
        <f t="shared" si="29"/>
        <v>34.500</v>
      </c>
      <c r="N933" s="50" t="str">
        <f>IF(A933&lt;&gt;"",VLOOKUP(RIGHT(A933,3)*1,[4]Des_Loc!A:B,2,0),"")</f>
        <v>SANTA FE DO ARAGUAIA</v>
      </c>
    </row>
    <row r="934" spans="1:14" ht="16.5" customHeight="1" x14ac:dyDescent="0.25">
      <c r="A934" s="52">
        <v>7950310122</v>
      </c>
      <c r="B934" s="51" t="s">
        <v>1003</v>
      </c>
      <c r="C934" s="51" t="s">
        <v>1025</v>
      </c>
      <c r="D934" s="51" t="s">
        <v>1011</v>
      </c>
      <c r="E934" s="51" t="s">
        <v>1005</v>
      </c>
      <c r="F934" s="51" t="s">
        <v>1011</v>
      </c>
      <c r="G934" s="51" t="s">
        <v>1005</v>
      </c>
      <c r="H934" s="51" t="s">
        <v>1005</v>
      </c>
      <c r="I934" s="51" t="s">
        <v>1011</v>
      </c>
      <c r="J934" s="50" t="str">
        <f t="shared" si="28"/>
        <v>7950310122.pdf</v>
      </c>
      <c r="K934" s="51" t="s">
        <v>1006</v>
      </c>
      <c r="L934" s="51" t="s">
        <v>1212</v>
      </c>
      <c r="M934" s="50" t="str">
        <f t="shared" si="29"/>
        <v>13.800</v>
      </c>
      <c r="N934" s="50" t="str">
        <f>IF(A934&lt;&gt;"",VLOOKUP(RIGHT(A934,3)*1,[4]Des_Loc!A:B,2,0),"")</f>
        <v>PALMAS</v>
      </c>
    </row>
    <row r="935" spans="1:14" ht="16.5" customHeight="1" x14ac:dyDescent="0.25">
      <c r="A935" s="52">
        <v>7949704122</v>
      </c>
      <c r="B935" s="51" t="s">
        <v>1003</v>
      </c>
      <c r="C935" s="51" t="s">
        <v>1025</v>
      </c>
      <c r="D935" s="51" t="s">
        <v>1011</v>
      </c>
      <c r="E935" s="51" t="s">
        <v>1005</v>
      </c>
      <c r="F935" s="51" t="s">
        <v>1011</v>
      </c>
      <c r="G935" s="51" t="s">
        <v>1005</v>
      </c>
      <c r="H935" s="51" t="s">
        <v>1005</v>
      </c>
      <c r="I935" s="51" t="s">
        <v>1011</v>
      </c>
      <c r="J935" s="50" t="str">
        <f t="shared" si="28"/>
        <v>7949704122.pdf</v>
      </c>
      <c r="K935" s="51" t="s">
        <v>1006</v>
      </c>
      <c r="L935" s="51" t="s">
        <v>1212</v>
      </c>
      <c r="M935" s="50" t="str">
        <f t="shared" si="29"/>
        <v>13.800</v>
      </c>
      <c r="N935" s="50" t="str">
        <f>IF(A935&lt;&gt;"",VLOOKUP(RIGHT(A935,3)*1,[4]Des_Loc!A:B,2,0),"")</f>
        <v>PALMAS</v>
      </c>
    </row>
    <row r="936" spans="1:14" ht="16.5" customHeight="1" x14ac:dyDescent="0.25">
      <c r="A936" s="52">
        <v>7944996027</v>
      </c>
      <c r="B936" s="51" t="s">
        <v>1003</v>
      </c>
      <c r="C936" s="51" t="s">
        <v>1213</v>
      </c>
      <c r="D936" s="51" t="s">
        <v>1011</v>
      </c>
      <c r="E936" s="51" t="s">
        <v>1005</v>
      </c>
      <c r="F936" s="51" t="s">
        <v>1005</v>
      </c>
      <c r="G936" s="51" t="s">
        <v>1005</v>
      </c>
      <c r="H936" s="51" t="s">
        <v>1005</v>
      </c>
      <c r="I936" s="51" t="s">
        <v>1005</v>
      </c>
      <c r="J936" s="50" t="str">
        <f t="shared" si="28"/>
        <v>7944996027.pdf</v>
      </c>
      <c r="K936" s="51" t="s">
        <v>1006</v>
      </c>
      <c r="L936" s="51" t="s">
        <v>1094</v>
      </c>
      <c r="M936" s="50" t="str">
        <f t="shared" si="29"/>
        <v>34.500</v>
      </c>
      <c r="N936" s="50" t="str">
        <f>IF(A936&lt;&gt;"",VLOOKUP(RIGHT(A936,3)*1,[4]Des_Loc!A:B,2,0),"")</f>
        <v>PONTE ALTA BOM JESUS</v>
      </c>
    </row>
    <row r="937" spans="1:14" ht="16.5" customHeight="1" x14ac:dyDescent="0.25">
      <c r="A937" s="52">
        <v>7949315055</v>
      </c>
      <c r="B937" s="51" t="s">
        <v>1003</v>
      </c>
      <c r="C937" s="51" t="s">
        <v>1010</v>
      </c>
      <c r="D937" s="51" t="s">
        <v>1011</v>
      </c>
      <c r="E937" s="51" t="s">
        <v>1005</v>
      </c>
      <c r="F937" s="51" t="s">
        <v>1005</v>
      </c>
      <c r="G937" s="51" t="s">
        <v>1005</v>
      </c>
      <c r="H937" s="51" t="s">
        <v>1005</v>
      </c>
      <c r="I937" s="51" t="s">
        <v>1005</v>
      </c>
      <c r="J937" s="50" t="str">
        <f t="shared" si="28"/>
        <v>7949315055.pdf</v>
      </c>
      <c r="K937" s="51" t="s">
        <v>1006</v>
      </c>
      <c r="L937" s="51" t="s">
        <v>749</v>
      </c>
      <c r="M937" s="50" t="str">
        <f t="shared" si="29"/>
        <v>34.500</v>
      </c>
      <c r="N937" s="50" t="str">
        <f>IF(A937&lt;&gt;"",VLOOKUP(RIGHT(A937,3)*1,[4]Des_Loc!A:B,2,0),"")</f>
        <v>ARAGUACEMA</v>
      </c>
    </row>
    <row r="938" spans="1:14" ht="16.5" customHeight="1" x14ac:dyDescent="0.25">
      <c r="A938" s="52">
        <v>7900757013</v>
      </c>
      <c r="B938" s="51" t="s">
        <v>1003</v>
      </c>
      <c r="C938" s="51" t="s">
        <v>1025</v>
      </c>
      <c r="D938" s="51"/>
      <c r="E938" s="51" t="s">
        <v>1005</v>
      </c>
      <c r="F938" s="51"/>
      <c r="G938" s="51"/>
      <c r="H938" s="51" t="s">
        <v>1005</v>
      </c>
      <c r="I938" s="51" t="s">
        <v>1005</v>
      </c>
      <c r="J938" s="50" t="str">
        <f t="shared" si="28"/>
        <v>7900757013.pdf</v>
      </c>
      <c r="K938" s="51" t="s">
        <v>1006</v>
      </c>
      <c r="L938" s="51" t="s">
        <v>476</v>
      </c>
      <c r="M938" s="50" t="str">
        <f t="shared" si="29"/>
        <v>13.800</v>
      </c>
      <c r="N938" s="50" t="str">
        <f>IF(A938&lt;&gt;"",VLOOKUP(RIGHT(A938,3)*1,[4]Des_Loc!A:B,2,0),"")</f>
        <v>PARAISO DO TOCANTINS</v>
      </c>
    </row>
    <row r="939" spans="1:14" ht="16.5" customHeight="1" x14ac:dyDescent="0.25">
      <c r="A939" s="52">
        <v>7946935086</v>
      </c>
      <c r="B939" s="51" t="s">
        <v>1003</v>
      </c>
      <c r="C939" s="51" t="s">
        <v>1010</v>
      </c>
      <c r="D939" s="51" t="s">
        <v>1011</v>
      </c>
      <c r="E939" s="51" t="s">
        <v>1011</v>
      </c>
      <c r="F939" s="51" t="s">
        <v>1011</v>
      </c>
      <c r="G939" s="51" t="s">
        <v>1005</v>
      </c>
      <c r="H939" s="51" t="s">
        <v>1005</v>
      </c>
      <c r="I939" s="51" t="s">
        <v>1005</v>
      </c>
      <c r="J939" s="50" t="str">
        <f t="shared" si="28"/>
        <v>7946935086.pdf</v>
      </c>
      <c r="K939" s="51" t="s">
        <v>1067</v>
      </c>
      <c r="L939" s="51" t="s">
        <v>1042</v>
      </c>
      <c r="M939" s="50" t="str">
        <f t="shared" si="29"/>
        <v>34.500</v>
      </c>
      <c r="N939" s="50" t="str">
        <f>IF(A939&lt;&gt;"",VLOOKUP(RIGHT(A939,3)*1,[4]Des_Loc!A:B,2,0),"")</f>
        <v>MARIANOPOLIS</v>
      </c>
    </row>
    <row r="940" spans="1:14" ht="16.5" customHeight="1" x14ac:dyDescent="0.25">
      <c r="A940" s="52">
        <v>7946037077</v>
      </c>
      <c r="B940" s="51" t="s">
        <v>1003</v>
      </c>
      <c r="C940" s="51" t="s">
        <v>1010</v>
      </c>
      <c r="D940" s="51" t="s">
        <v>1011</v>
      </c>
      <c r="E940" s="51" t="s">
        <v>1011</v>
      </c>
      <c r="F940" s="51" t="s">
        <v>1011</v>
      </c>
      <c r="G940" s="51" t="s">
        <v>1005</v>
      </c>
      <c r="H940" s="51" t="s">
        <v>1005</v>
      </c>
      <c r="I940" s="51" t="s">
        <v>1011</v>
      </c>
      <c r="J940" s="50" t="str">
        <f t="shared" si="28"/>
        <v>7946037077.pdf</v>
      </c>
      <c r="K940" s="51" t="s">
        <v>1006</v>
      </c>
      <c r="L940" s="51" t="s">
        <v>632</v>
      </c>
      <c r="M940" s="50" t="str">
        <f t="shared" si="29"/>
        <v>34.500</v>
      </c>
      <c r="N940" s="50" t="str">
        <f>IF(A940&lt;&gt;"",VLOOKUP(RIGHT(A940,3)*1,[4]Des_Loc!A:B,2,0),"")</f>
        <v>GOIATINS</v>
      </c>
    </row>
    <row r="941" spans="1:14" ht="16.5" customHeight="1" x14ac:dyDescent="0.25">
      <c r="A941" s="52">
        <v>7949948001</v>
      </c>
      <c r="B941" s="51" t="s">
        <v>1003</v>
      </c>
      <c r="C941" s="51" t="s">
        <v>1004</v>
      </c>
      <c r="D941" s="51" t="s">
        <v>1005</v>
      </c>
      <c r="E941" s="51" t="s">
        <v>1005</v>
      </c>
      <c r="F941" s="51" t="s">
        <v>1005</v>
      </c>
      <c r="G941" s="51" t="s">
        <v>1005</v>
      </c>
      <c r="H941" s="51" t="s">
        <v>1005</v>
      </c>
      <c r="I941" s="51" t="s">
        <v>1005</v>
      </c>
      <c r="J941" s="50" t="str">
        <f t="shared" si="28"/>
        <v>7949948001.pdf</v>
      </c>
      <c r="K941" s="51" t="s">
        <v>1006</v>
      </c>
      <c r="L941" s="51" t="s">
        <v>1057</v>
      </c>
      <c r="M941" s="50" t="str">
        <f t="shared" si="29"/>
        <v>13.800</v>
      </c>
      <c r="N941" s="50" t="str">
        <f>IF(A941&lt;&gt;"",VLOOKUP(RIGHT(A941,3)*1,[4]Des_Loc!A:B,2,0),"")</f>
        <v>PORTO NACIONAL</v>
      </c>
    </row>
    <row r="942" spans="1:14" ht="16.5" customHeight="1" x14ac:dyDescent="0.25">
      <c r="A942" s="52">
        <v>7948946263</v>
      </c>
      <c r="B942" s="51" t="s">
        <v>1003</v>
      </c>
      <c r="C942" s="51" t="s">
        <v>1010</v>
      </c>
      <c r="D942" s="51" t="s">
        <v>1011</v>
      </c>
      <c r="E942" s="51" t="s">
        <v>1005</v>
      </c>
      <c r="F942" s="51" t="s">
        <v>1005</v>
      </c>
      <c r="G942" s="51" t="s">
        <v>1005</v>
      </c>
      <c r="H942" s="51" t="s">
        <v>1005</v>
      </c>
      <c r="I942" s="51" t="s">
        <v>1005</v>
      </c>
      <c r="J942" s="50" t="str">
        <f t="shared" si="28"/>
        <v>7948946263.pdf</v>
      </c>
      <c r="K942" s="51" t="s">
        <v>1006</v>
      </c>
      <c r="L942" s="51" t="s">
        <v>1214</v>
      </c>
      <c r="M942" s="50" t="str">
        <f t="shared" si="29"/>
        <v>34.500</v>
      </c>
      <c r="N942" s="50" t="str">
        <f>IF(A942&lt;&gt;"",VLOOKUP(RIGHT(A942,3)*1,[4]Des_Loc!A:B,2,0),"")</f>
        <v>RIO DA CONCEICAO</v>
      </c>
    </row>
    <row r="943" spans="1:14" ht="16.5" customHeight="1" x14ac:dyDescent="0.25">
      <c r="A943" s="52">
        <v>7947530073</v>
      </c>
      <c r="B943" s="51" t="s">
        <v>1003</v>
      </c>
      <c r="C943" s="51" t="s">
        <v>1010</v>
      </c>
      <c r="D943" s="51" t="s">
        <v>1011</v>
      </c>
      <c r="E943" s="51" t="s">
        <v>1005</v>
      </c>
      <c r="F943" s="51" t="s">
        <v>1005</v>
      </c>
      <c r="G943" s="51" t="s">
        <v>1005</v>
      </c>
      <c r="H943" s="51" t="s">
        <v>1005</v>
      </c>
      <c r="I943" s="51" t="s">
        <v>1005</v>
      </c>
      <c r="J943" s="50" t="str">
        <f t="shared" si="28"/>
        <v>7947530073.pdf</v>
      </c>
      <c r="K943" s="51" t="s">
        <v>1067</v>
      </c>
      <c r="L943" s="51" t="s">
        <v>1215</v>
      </c>
      <c r="M943" s="50" t="str">
        <f t="shared" si="29"/>
        <v>34.500</v>
      </c>
      <c r="N943" s="50" t="str">
        <f>IF(A943&lt;&gt;"",VLOOKUP(RIGHT(A943,3)*1,[4]Des_Loc!A:B,2,0),"")</f>
        <v>LAGOA DA CONFUSAO</v>
      </c>
    </row>
    <row r="944" spans="1:14" ht="16.5" customHeight="1" x14ac:dyDescent="0.25">
      <c r="A944" s="52">
        <v>7947534073</v>
      </c>
      <c r="B944" s="51" t="s">
        <v>1003</v>
      </c>
      <c r="C944" s="51" t="s">
        <v>1010</v>
      </c>
      <c r="D944" s="51" t="s">
        <v>1011</v>
      </c>
      <c r="E944" s="51" t="s">
        <v>1005</v>
      </c>
      <c r="F944" s="51" t="s">
        <v>1005</v>
      </c>
      <c r="G944" s="51" t="s">
        <v>1005</v>
      </c>
      <c r="H944" s="51" t="s">
        <v>1005</v>
      </c>
      <c r="I944" s="51" t="s">
        <v>1005</v>
      </c>
      <c r="J944" s="50" t="str">
        <f t="shared" si="28"/>
        <v>7947534073.pdf</v>
      </c>
      <c r="K944" s="51" t="s">
        <v>1067</v>
      </c>
      <c r="L944" s="51" t="s">
        <v>1137</v>
      </c>
      <c r="M944" s="50" t="str">
        <f t="shared" si="29"/>
        <v>34.500</v>
      </c>
      <c r="N944" s="50" t="str">
        <f>IF(A944&lt;&gt;"",VLOOKUP(RIGHT(A944,3)*1,[4]Des_Loc!A:B,2,0),"")</f>
        <v>LAGOA DA CONFUSAO</v>
      </c>
    </row>
    <row r="945" spans="1:14" ht="16.5" customHeight="1" x14ac:dyDescent="0.25">
      <c r="A945" s="52">
        <v>7952358011</v>
      </c>
      <c r="B945" s="51" t="s">
        <v>1003</v>
      </c>
      <c r="C945" s="51" t="s">
        <v>1025</v>
      </c>
      <c r="D945" s="51" t="s">
        <v>1011</v>
      </c>
      <c r="E945" s="51" t="s">
        <v>1005</v>
      </c>
      <c r="F945" s="51" t="s">
        <v>1011</v>
      </c>
      <c r="G945" s="51" t="s">
        <v>1005</v>
      </c>
      <c r="H945" s="51" t="s">
        <v>1005</v>
      </c>
      <c r="I945" s="51" t="s">
        <v>1011</v>
      </c>
      <c r="J945" s="50" t="str">
        <f t="shared" si="28"/>
        <v>7952358011.pdf</v>
      </c>
      <c r="K945" s="51" t="s">
        <v>1006</v>
      </c>
      <c r="L945" s="51" t="s">
        <v>368</v>
      </c>
      <c r="M945" s="50" t="str">
        <f t="shared" si="29"/>
        <v>13.800</v>
      </c>
      <c r="N945" s="50" t="str">
        <f>IF(A945&lt;&gt;"",VLOOKUP(RIGHT(A945,3)*1,[4]Des_Loc!A:B,2,0),"")</f>
        <v>TUPIRAMA</v>
      </c>
    </row>
    <row r="946" spans="1:14" ht="16.5" customHeight="1" x14ac:dyDescent="0.25">
      <c r="A946" s="52">
        <v>7961879122</v>
      </c>
      <c r="B946" s="51" t="s">
        <v>1003</v>
      </c>
      <c r="C946" s="51" t="s">
        <v>1025</v>
      </c>
      <c r="D946" s="51" t="s">
        <v>1011</v>
      </c>
      <c r="E946" s="51" t="s">
        <v>1005</v>
      </c>
      <c r="F946" s="51" t="s">
        <v>1005</v>
      </c>
      <c r="G946" s="51" t="s">
        <v>1005</v>
      </c>
      <c r="H946" s="51" t="s">
        <v>1005</v>
      </c>
      <c r="I946" s="51" t="s">
        <v>1005</v>
      </c>
      <c r="J946" s="50" t="str">
        <f t="shared" si="28"/>
        <v>7961879122.pdf</v>
      </c>
      <c r="K946" s="51" t="s">
        <v>1006</v>
      </c>
      <c r="L946" s="51" t="s">
        <v>1055</v>
      </c>
      <c r="M946" s="50" t="str">
        <f t="shared" si="29"/>
        <v>13.800</v>
      </c>
      <c r="N946" s="50" t="str">
        <f>IF(A946&lt;&gt;"",VLOOKUP(RIGHT(A946,3)*1,[4]Des_Loc!A:B,2,0),"")</f>
        <v>PALMAS</v>
      </c>
    </row>
    <row r="947" spans="1:14" ht="16.5" customHeight="1" x14ac:dyDescent="0.25">
      <c r="A947" s="52">
        <v>7941530122</v>
      </c>
      <c r="B947" s="51" t="s">
        <v>1003</v>
      </c>
      <c r="C947" s="51" t="s">
        <v>1025</v>
      </c>
      <c r="D947" s="51" t="s">
        <v>1011</v>
      </c>
      <c r="E947" s="51" t="s">
        <v>1005</v>
      </c>
      <c r="F947" s="51" t="s">
        <v>1011</v>
      </c>
      <c r="G947" s="51" t="s">
        <v>1005</v>
      </c>
      <c r="H947" s="51" t="s">
        <v>1005</v>
      </c>
      <c r="I947" s="51" t="s">
        <v>1011</v>
      </c>
      <c r="J947" s="50" t="str">
        <f t="shared" si="28"/>
        <v>7941530122.pdf</v>
      </c>
      <c r="K947" s="51" t="s">
        <v>1006</v>
      </c>
      <c r="L947" s="51" t="s">
        <v>1055</v>
      </c>
      <c r="M947" s="50" t="str">
        <f t="shared" si="29"/>
        <v>13.800</v>
      </c>
      <c r="N947" s="50" t="str">
        <f>IF(A947&lt;&gt;"",VLOOKUP(RIGHT(A947,3)*1,[4]Des_Loc!A:B,2,0),"")</f>
        <v>PALMAS</v>
      </c>
    </row>
    <row r="948" spans="1:14" ht="16.5" customHeight="1" x14ac:dyDescent="0.25">
      <c r="A948" s="52">
        <v>7951455001</v>
      </c>
      <c r="B948" s="51" t="s">
        <v>1003</v>
      </c>
      <c r="C948" s="51" t="s">
        <v>1010</v>
      </c>
      <c r="D948" s="51" t="s">
        <v>1011</v>
      </c>
      <c r="E948" s="51" t="s">
        <v>1005</v>
      </c>
      <c r="F948" s="51" t="s">
        <v>1005</v>
      </c>
      <c r="G948" s="51" t="s">
        <v>1005</v>
      </c>
      <c r="H948" s="51" t="s">
        <v>1005</v>
      </c>
      <c r="I948" s="51" t="s">
        <v>1005</v>
      </c>
      <c r="J948" s="50" t="str">
        <f t="shared" si="28"/>
        <v>7951455001.pdf</v>
      </c>
      <c r="K948" s="51" t="s">
        <v>1006</v>
      </c>
      <c r="L948" s="51" t="s">
        <v>1193</v>
      </c>
      <c r="M948" s="50" t="str">
        <f t="shared" si="29"/>
        <v>13.800</v>
      </c>
      <c r="N948" s="50" t="str">
        <f>IF(A948&lt;&gt;"",VLOOKUP(RIGHT(A948,3)*1,[4]Des_Loc!A:B,2,0),"")</f>
        <v>PORTO NACIONAL</v>
      </c>
    </row>
    <row r="949" spans="1:14" ht="16.5" customHeight="1" x14ac:dyDescent="0.25">
      <c r="A949" s="52">
        <v>7951919036</v>
      </c>
      <c r="B949" s="51" t="s">
        <v>1003</v>
      </c>
      <c r="C949" s="51" t="s">
        <v>1004</v>
      </c>
      <c r="D949" s="51" t="s">
        <v>1005</v>
      </c>
      <c r="E949" s="51" t="s">
        <v>1005</v>
      </c>
      <c r="F949" s="51" t="s">
        <v>1005</v>
      </c>
      <c r="G949" s="51" t="s">
        <v>1005</v>
      </c>
      <c r="H949" s="51" t="s">
        <v>1005</v>
      </c>
      <c r="I949" s="51" t="s">
        <v>1005</v>
      </c>
      <c r="J949" s="50" t="str">
        <f t="shared" si="28"/>
        <v>7951919036.pdf</v>
      </c>
      <c r="K949" s="51" t="s">
        <v>1006</v>
      </c>
      <c r="L949" s="51" t="s">
        <v>1039</v>
      </c>
      <c r="M949" s="50" t="str">
        <f t="shared" si="29"/>
        <v>13.800</v>
      </c>
      <c r="N949" s="50" t="str">
        <f>IF(A949&lt;&gt;"",VLOOKUP(RIGHT(A949,3)*1,[4]Des_Loc!A:B,2,0),"")</f>
        <v>ALVORADA</v>
      </c>
    </row>
    <row r="950" spans="1:14" ht="16.5" customHeight="1" x14ac:dyDescent="0.25">
      <c r="A950" s="52">
        <v>7951921036</v>
      </c>
      <c r="B950" s="51" t="s">
        <v>1003</v>
      </c>
      <c r="C950" s="51" t="s">
        <v>1004</v>
      </c>
      <c r="D950" s="51" t="s">
        <v>1005</v>
      </c>
      <c r="E950" s="51" t="s">
        <v>1005</v>
      </c>
      <c r="F950" s="51" t="s">
        <v>1005</v>
      </c>
      <c r="G950" s="51" t="s">
        <v>1005</v>
      </c>
      <c r="H950" s="51" t="s">
        <v>1005</v>
      </c>
      <c r="I950" s="51" t="s">
        <v>1005</v>
      </c>
      <c r="J950" s="50" t="str">
        <f t="shared" si="28"/>
        <v>7951921036.pdf</v>
      </c>
      <c r="K950" s="51" t="s">
        <v>1006</v>
      </c>
      <c r="L950" s="51" t="s">
        <v>1026</v>
      </c>
      <c r="M950" s="50" t="str">
        <f t="shared" si="29"/>
        <v>13.800</v>
      </c>
      <c r="N950" s="50" t="str">
        <f>IF(A950&lt;&gt;"",VLOOKUP(RIGHT(A950,3)*1,[4]Des_Loc!A:B,2,0),"")</f>
        <v>ALVORADA</v>
      </c>
    </row>
    <row r="951" spans="1:14" ht="16.5" customHeight="1" x14ac:dyDescent="0.25">
      <c r="A951" s="52">
        <v>7951935118</v>
      </c>
      <c r="B951" s="51" t="s">
        <v>1003</v>
      </c>
      <c r="C951" s="51" t="s">
        <v>1010</v>
      </c>
      <c r="D951" s="51" t="s">
        <v>1011</v>
      </c>
      <c r="E951" s="51" t="s">
        <v>1005</v>
      </c>
      <c r="F951" s="51" t="s">
        <v>1005</v>
      </c>
      <c r="G951" s="51" t="s">
        <v>1005</v>
      </c>
      <c r="H951" s="51" t="s">
        <v>1005</v>
      </c>
      <c r="I951" s="51" t="s">
        <v>1005</v>
      </c>
      <c r="J951" s="50" t="str">
        <f t="shared" si="28"/>
        <v>7951935118.pdf</v>
      </c>
      <c r="K951" s="51" t="s">
        <v>1006</v>
      </c>
      <c r="L951" s="51" t="s">
        <v>1188</v>
      </c>
      <c r="M951" s="50" t="str">
        <f t="shared" si="29"/>
        <v>13.800</v>
      </c>
      <c r="N951" s="50" t="str">
        <f>IF(A951&lt;&gt;"",VLOOKUP(RIGHT(A951,3)*1,[4]Des_Loc!A:B,2,0),"")</f>
        <v>MARILANDIA</v>
      </c>
    </row>
    <row r="952" spans="1:14" ht="16.5" customHeight="1" x14ac:dyDescent="0.25">
      <c r="A952" s="52">
        <v>7951933032</v>
      </c>
      <c r="B952" s="51" t="s">
        <v>1003</v>
      </c>
      <c r="C952" s="51" t="s">
        <v>1025</v>
      </c>
      <c r="D952" s="51" t="s">
        <v>1011</v>
      </c>
      <c r="E952" s="51" t="s">
        <v>1005</v>
      </c>
      <c r="F952" s="51" t="s">
        <v>1011</v>
      </c>
      <c r="G952" s="51" t="s">
        <v>1005</v>
      </c>
      <c r="H952" s="51" t="s">
        <v>1005</v>
      </c>
      <c r="I952" s="51" t="s">
        <v>1011</v>
      </c>
      <c r="J952" s="50" t="str">
        <f t="shared" si="28"/>
        <v>7951933032.pdf</v>
      </c>
      <c r="K952" s="51" t="s">
        <v>1006</v>
      </c>
      <c r="L952" s="51" t="s">
        <v>1018</v>
      </c>
      <c r="M952" s="50" t="str">
        <f t="shared" si="29"/>
        <v>13.800</v>
      </c>
      <c r="N952" s="50" t="str">
        <f>IF(A952&lt;&gt;"",VLOOKUP(RIGHT(A952,3)*1,[4]Des_Loc!A:B,2,0),"")</f>
        <v>ARAGUACU</v>
      </c>
    </row>
    <row r="953" spans="1:14" ht="16.5" customHeight="1" x14ac:dyDescent="0.25">
      <c r="A953" s="52">
        <v>7948517004</v>
      </c>
      <c r="B953" s="51" t="s">
        <v>1003</v>
      </c>
      <c r="C953" s="51" t="s">
        <v>1010</v>
      </c>
      <c r="D953" s="51" t="s">
        <v>1011</v>
      </c>
      <c r="E953" s="51" t="s">
        <v>1005</v>
      </c>
      <c r="F953" s="51" t="s">
        <v>1011</v>
      </c>
      <c r="G953" s="51" t="s">
        <v>1005</v>
      </c>
      <c r="H953" s="51" t="s">
        <v>1005</v>
      </c>
      <c r="I953" s="51" t="s">
        <v>1011</v>
      </c>
      <c r="J953" s="50" t="str">
        <f t="shared" si="28"/>
        <v>7948517004.pdf</v>
      </c>
      <c r="K953" s="51" t="s">
        <v>1006</v>
      </c>
      <c r="L953" s="51" t="s">
        <v>1119</v>
      </c>
      <c r="M953" s="50" t="str">
        <f t="shared" si="29"/>
        <v>34.500</v>
      </c>
      <c r="N953" s="50" t="str">
        <f>IF(A953&lt;&gt;"",VLOOKUP(RIGHT(A953,3)*1,[4]Des_Loc!A:B,2,0),"")</f>
        <v>ARAGUAINA</v>
      </c>
    </row>
    <row r="954" spans="1:14" ht="16.5" customHeight="1" x14ac:dyDescent="0.25">
      <c r="A954" s="52">
        <v>7949914001</v>
      </c>
      <c r="B954" s="51" t="s">
        <v>1003</v>
      </c>
      <c r="C954" s="51" t="s">
        <v>1010</v>
      </c>
      <c r="D954" s="51" t="s">
        <v>1011</v>
      </c>
      <c r="E954" s="51" t="s">
        <v>1005</v>
      </c>
      <c r="F954" s="51" t="s">
        <v>1005</v>
      </c>
      <c r="G954" s="51" t="s">
        <v>1005</v>
      </c>
      <c r="H954" s="51" t="s">
        <v>1005</v>
      </c>
      <c r="I954" s="51" t="s">
        <v>1005</v>
      </c>
      <c r="J954" s="50" t="str">
        <f t="shared" si="28"/>
        <v>7949914001.pdf</v>
      </c>
      <c r="K954" s="51" t="s">
        <v>1006</v>
      </c>
      <c r="L954" s="51" t="s">
        <v>384</v>
      </c>
      <c r="M954" s="50" t="str">
        <f t="shared" si="29"/>
        <v>13.800</v>
      </c>
      <c r="N954" s="50" t="str">
        <f>IF(A954&lt;&gt;"",VLOOKUP(RIGHT(A954,3)*1,[4]Des_Loc!A:B,2,0),"")</f>
        <v>PORTO NACIONAL</v>
      </c>
    </row>
    <row r="955" spans="1:14" ht="16.5" customHeight="1" x14ac:dyDescent="0.25">
      <c r="A955" s="52">
        <v>7952508016</v>
      </c>
      <c r="B955" s="51" t="s">
        <v>1003</v>
      </c>
      <c r="C955" s="51" t="s">
        <v>1010</v>
      </c>
      <c r="D955" s="51" t="s">
        <v>1011</v>
      </c>
      <c r="E955" s="51" t="s">
        <v>1005</v>
      </c>
      <c r="F955" s="51" t="s">
        <v>1005</v>
      </c>
      <c r="G955" s="51" t="s">
        <v>1005</v>
      </c>
      <c r="H955" s="51" t="s">
        <v>1005</v>
      </c>
      <c r="I955" s="51" t="s">
        <v>1005</v>
      </c>
      <c r="J955" s="50" t="str">
        <f t="shared" si="28"/>
        <v>7952508016.pdf</v>
      </c>
      <c r="K955" s="51" t="s">
        <v>1006</v>
      </c>
      <c r="L955" s="51" t="s">
        <v>1114</v>
      </c>
      <c r="M955" s="50" t="str">
        <f t="shared" si="29"/>
        <v>34.500</v>
      </c>
      <c r="N955" s="50" t="str">
        <f>IF(A955&lt;&gt;"",VLOOKUP(RIGHT(A955,3)*1,[4]Des_Loc!A:B,2,0),"")</f>
        <v>WANDERLANDIA</v>
      </c>
    </row>
    <row r="956" spans="1:14" ht="16.5" customHeight="1" x14ac:dyDescent="0.25">
      <c r="A956" s="52">
        <v>7950099122</v>
      </c>
      <c r="B956" s="51" t="s">
        <v>1003</v>
      </c>
      <c r="C956" s="51" t="s">
        <v>1004</v>
      </c>
      <c r="D956" s="51" t="s">
        <v>1011</v>
      </c>
      <c r="E956" s="51" t="s">
        <v>1005</v>
      </c>
      <c r="F956" s="51" t="s">
        <v>1005</v>
      </c>
      <c r="G956" s="51" t="s">
        <v>1005</v>
      </c>
      <c r="H956" s="51" t="s">
        <v>1005</v>
      </c>
      <c r="I956" s="51" t="s">
        <v>1005</v>
      </c>
      <c r="J956" s="50" t="str">
        <f t="shared" si="28"/>
        <v>7950099122.pdf</v>
      </c>
      <c r="K956" s="51" t="s">
        <v>1006</v>
      </c>
      <c r="L956" s="51" t="s">
        <v>1089</v>
      </c>
      <c r="M956" s="50" t="str">
        <f t="shared" si="29"/>
        <v>13.800</v>
      </c>
      <c r="N956" s="50" t="str">
        <f>IF(A956&lt;&gt;"",VLOOKUP(RIGHT(A956,3)*1,[4]Des_Loc!A:B,2,0),"")</f>
        <v>PALMAS</v>
      </c>
    </row>
    <row r="957" spans="1:14" ht="16.5" customHeight="1" x14ac:dyDescent="0.25">
      <c r="A957" s="52">
        <v>7942326052</v>
      </c>
      <c r="B957" s="51" t="s">
        <v>1003</v>
      </c>
      <c r="C957" s="51" t="s">
        <v>1004</v>
      </c>
      <c r="D957" s="51" t="s">
        <v>1005</v>
      </c>
      <c r="E957" s="51" t="s">
        <v>1005</v>
      </c>
      <c r="F957" s="51" t="s">
        <v>1005</v>
      </c>
      <c r="G957" s="51" t="s">
        <v>1005</v>
      </c>
      <c r="H957" s="51" t="s">
        <v>1005</v>
      </c>
      <c r="I957" s="51" t="s">
        <v>1005</v>
      </c>
      <c r="J957" s="50" t="str">
        <f t="shared" si="28"/>
        <v>7942326052.pdf</v>
      </c>
      <c r="K957" s="51" t="s">
        <v>1006</v>
      </c>
      <c r="L957" s="51" t="s">
        <v>1024</v>
      </c>
      <c r="M957" s="50" t="str">
        <f t="shared" si="29"/>
        <v>13.800</v>
      </c>
      <c r="N957" s="50" t="str">
        <f>IF(A957&lt;&gt;"",VLOOKUP(RIGHT(A957,3)*1,[4]Des_Loc!A:B,2,0),"")</f>
        <v>FORMOSO DO ARAGUAIA</v>
      </c>
    </row>
    <row r="958" spans="1:14" ht="16.5" customHeight="1" x14ac:dyDescent="0.25">
      <c r="A958" s="52">
        <v>7948484047</v>
      </c>
      <c r="B958" s="51" t="s">
        <v>1003</v>
      </c>
      <c r="C958" s="51" t="s">
        <v>1010</v>
      </c>
      <c r="D958" s="51" t="s">
        <v>1011</v>
      </c>
      <c r="E958" s="51" t="s">
        <v>1005</v>
      </c>
      <c r="F958" s="51" t="s">
        <v>1011</v>
      </c>
      <c r="G958" s="51" t="s">
        <v>1005</v>
      </c>
      <c r="H958" s="51" t="s">
        <v>1005</v>
      </c>
      <c r="I958" s="51" t="s">
        <v>1011</v>
      </c>
      <c r="J958" s="50" t="str">
        <f t="shared" si="28"/>
        <v>7948484047.pdf</v>
      </c>
      <c r="K958" s="51" t="s">
        <v>1006</v>
      </c>
      <c r="L958" s="51" t="s">
        <v>511</v>
      </c>
      <c r="M958" s="50" t="str">
        <f t="shared" si="29"/>
        <v>13.800</v>
      </c>
      <c r="N958" s="50" t="str">
        <f>IF(A958&lt;&gt;"",VLOOKUP(RIGHT(A958,3)*1,[4]Des_Loc!A:B,2,0),"")</f>
        <v>FIGUEIROPOLIS</v>
      </c>
    </row>
    <row r="959" spans="1:14" ht="16.5" customHeight="1" x14ac:dyDescent="0.25">
      <c r="A959" s="52">
        <v>7950408097</v>
      </c>
      <c r="B959" s="51" t="s">
        <v>1003</v>
      </c>
      <c r="C959" s="51" t="s">
        <v>1010</v>
      </c>
      <c r="D959" s="51" t="s">
        <v>1005</v>
      </c>
      <c r="E959" s="51" t="s">
        <v>1011</v>
      </c>
      <c r="F959" s="51" t="s">
        <v>1005</v>
      </c>
      <c r="G959" s="51" t="s">
        <v>1005</v>
      </c>
      <c r="H959" s="51" t="s">
        <v>1005</v>
      </c>
      <c r="I959" s="51" t="s">
        <v>1005</v>
      </c>
      <c r="J959" s="50" t="str">
        <f t="shared" si="28"/>
        <v>7950408097.pdf</v>
      </c>
      <c r="K959" s="51" t="s">
        <v>1006</v>
      </c>
      <c r="L959" s="51" t="s">
        <v>1026</v>
      </c>
      <c r="M959" s="50" t="str">
        <f t="shared" si="29"/>
        <v>13.800</v>
      </c>
      <c r="N959" s="50" t="str">
        <f>IF(A959&lt;&gt;"",VLOOKUP(RIGHT(A959,3)*1,[4]Des_Loc!A:B,2,0),"")</f>
        <v>TALISMA</v>
      </c>
    </row>
    <row r="960" spans="1:14" ht="16.5" customHeight="1" x14ac:dyDescent="0.25">
      <c r="A960" s="52">
        <v>7949042019</v>
      </c>
      <c r="B960" s="51" t="s">
        <v>1003</v>
      </c>
      <c r="C960" s="51" t="s">
        <v>1008</v>
      </c>
      <c r="D960" s="51" t="s">
        <v>1005</v>
      </c>
      <c r="E960" s="51" t="s">
        <v>1005</v>
      </c>
      <c r="F960" s="51" t="s">
        <v>1005</v>
      </c>
      <c r="G960" s="51" t="s">
        <v>1005</v>
      </c>
      <c r="H960" s="51" t="s">
        <v>1005</v>
      </c>
      <c r="I960" s="51" t="s">
        <v>1005</v>
      </c>
      <c r="J960" s="50" t="str">
        <f t="shared" si="28"/>
        <v>7949042019.pdf</v>
      </c>
      <c r="K960" s="51" t="s">
        <v>1006</v>
      </c>
      <c r="L960" s="51" t="s">
        <v>1167</v>
      </c>
      <c r="M960" s="50" t="str">
        <f t="shared" si="29"/>
        <v>34.500</v>
      </c>
      <c r="N960" s="50" t="str">
        <f>IF(A960&lt;&gt;"",VLOOKUP(RIGHT(A960,3)*1,[4]Des_Loc!A:B,2,0),"")</f>
        <v>FILADELFIA</v>
      </c>
    </row>
    <row r="961" spans="1:14" ht="16.5" customHeight="1" x14ac:dyDescent="0.25">
      <c r="A961" s="52">
        <v>7952505080</v>
      </c>
      <c r="B961" s="51" t="s">
        <v>1003</v>
      </c>
      <c r="C961" s="51" t="s">
        <v>1021</v>
      </c>
      <c r="D961" s="51" t="s">
        <v>1005</v>
      </c>
      <c r="E961" s="51" t="s">
        <v>1005</v>
      </c>
      <c r="F961" s="51" t="s">
        <v>1005</v>
      </c>
      <c r="G961" s="51" t="s">
        <v>1005</v>
      </c>
      <c r="H961" s="51" t="s">
        <v>1005</v>
      </c>
      <c r="I961" s="51" t="s">
        <v>1005</v>
      </c>
      <c r="J961" s="50" t="str">
        <f t="shared" si="28"/>
        <v>7952505080.pdf</v>
      </c>
      <c r="K961" s="51" t="s">
        <v>1006</v>
      </c>
      <c r="L961" s="51" t="s">
        <v>497</v>
      </c>
      <c r="M961" s="50" t="str">
        <f t="shared" si="29"/>
        <v>34.500</v>
      </c>
      <c r="N961" s="50" t="str">
        <f>IF(A961&lt;&gt;"",VLOOKUP(RIGHT(A961,3)*1,[4]Des_Loc!A:B,2,0),"")</f>
        <v>DARCINOPOLIS</v>
      </c>
    </row>
    <row r="962" spans="1:14" ht="16.5" customHeight="1" x14ac:dyDescent="0.25">
      <c r="A962" s="52">
        <v>7952853030</v>
      </c>
      <c r="B962" s="51" t="s">
        <v>1003</v>
      </c>
      <c r="C962" s="51" t="s">
        <v>1010</v>
      </c>
      <c r="D962" s="51" t="s">
        <v>1011</v>
      </c>
      <c r="E962" s="51" t="s">
        <v>1005</v>
      </c>
      <c r="F962" s="51" t="s">
        <v>1005</v>
      </c>
      <c r="G962" s="51" t="s">
        <v>1005</v>
      </c>
      <c r="H962" s="51" t="s">
        <v>1005</v>
      </c>
      <c r="I962" s="51" t="s">
        <v>1005</v>
      </c>
      <c r="J962" s="50" t="str">
        <f t="shared" ref="J962:J1025" si="30">CONCATENATE(A962,".pdf")</f>
        <v>7952853030.pdf</v>
      </c>
      <c r="K962" s="51" t="s">
        <v>1006</v>
      </c>
      <c r="L962" s="51" t="s">
        <v>1114</v>
      </c>
      <c r="M962" s="50" t="str">
        <f t="shared" ref="M962:M1025" si="31">IF(L962&lt;&gt;"",IF(LEFT(L962,2)="AL","13.800","34.500"),"")</f>
        <v>34.500</v>
      </c>
      <c r="N962" s="50" t="str">
        <f>IF(A962&lt;&gt;"",VLOOKUP(RIGHT(A962,3)*1,[4]Des_Loc!A:B,2,0),"")</f>
        <v>XAMBIOA</v>
      </c>
    </row>
    <row r="963" spans="1:14" ht="16.5" customHeight="1" x14ac:dyDescent="0.25">
      <c r="A963" s="52">
        <v>7951760055</v>
      </c>
      <c r="B963" s="51" t="s">
        <v>1003</v>
      </c>
      <c r="C963" s="51" t="s">
        <v>1021</v>
      </c>
      <c r="D963" s="51" t="s">
        <v>1005</v>
      </c>
      <c r="E963" s="51" t="s">
        <v>1005</v>
      </c>
      <c r="F963" s="51" t="s">
        <v>1005</v>
      </c>
      <c r="G963" s="51" t="s">
        <v>1005</v>
      </c>
      <c r="H963" s="51" t="s">
        <v>1005</v>
      </c>
      <c r="I963" s="51" t="s">
        <v>1005</v>
      </c>
      <c r="J963" s="50" t="str">
        <f t="shared" si="30"/>
        <v>7951760055.pdf</v>
      </c>
      <c r="K963" s="51" t="s">
        <v>1006</v>
      </c>
      <c r="L963" s="51" t="s">
        <v>749</v>
      </c>
      <c r="M963" s="50" t="str">
        <f t="shared" si="31"/>
        <v>34.500</v>
      </c>
      <c r="N963" s="50" t="str">
        <f>IF(A963&lt;&gt;"",VLOOKUP(RIGHT(A963,3)*1,[4]Des_Loc!A:B,2,0),"")</f>
        <v>ARAGUACEMA</v>
      </c>
    </row>
    <row r="964" spans="1:14" ht="16.5" customHeight="1" x14ac:dyDescent="0.25">
      <c r="A964" s="52">
        <v>7952046029</v>
      </c>
      <c r="B964" s="51" t="s">
        <v>1003</v>
      </c>
      <c r="C964" s="51" t="s">
        <v>1010</v>
      </c>
      <c r="D964" s="51" t="s">
        <v>1011</v>
      </c>
      <c r="E964" s="51" t="s">
        <v>1011</v>
      </c>
      <c r="F964" s="51" t="s">
        <v>1005</v>
      </c>
      <c r="G964" s="51" t="s">
        <v>1005</v>
      </c>
      <c r="H964" s="51" t="s">
        <v>1005</v>
      </c>
      <c r="I964" s="51" t="s">
        <v>1005</v>
      </c>
      <c r="J964" s="50" t="str">
        <f t="shared" si="30"/>
        <v>7952046029.pdf</v>
      </c>
      <c r="K964" s="51" t="s">
        <v>1006</v>
      </c>
      <c r="L964" s="51" t="s">
        <v>1020</v>
      </c>
      <c r="M964" s="50" t="str">
        <f t="shared" si="31"/>
        <v>13.800</v>
      </c>
      <c r="N964" s="50" t="str">
        <f>IF(A964&lt;&gt;"",VLOOKUP(RIGHT(A964,3)*1,[4]Des_Loc!A:B,2,0),"")</f>
        <v>PALMEIROPOLIS</v>
      </c>
    </row>
    <row r="965" spans="1:14" ht="16.5" customHeight="1" x14ac:dyDescent="0.25">
      <c r="A965" s="52">
        <v>7951449253</v>
      </c>
      <c r="B965" s="51" t="s">
        <v>1003</v>
      </c>
      <c r="C965" s="51" t="s">
        <v>1008</v>
      </c>
      <c r="D965" s="51" t="s">
        <v>1005</v>
      </c>
      <c r="E965" s="51" t="s">
        <v>1005</v>
      </c>
      <c r="F965" s="51" t="s">
        <v>1005</v>
      </c>
      <c r="G965" s="51" t="s">
        <v>1005</v>
      </c>
      <c r="H965" s="51" t="s">
        <v>1005</v>
      </c>
      <c r="I965" s="51" t="s">
        <v>1005</v>
      </c>
      <c r="J965" s="50" t="str">
        <f t="shared" si="30"/>
        <v>7951449253.pdf</v>
      </c>
      <c r="K965" s="51" t="s">
        <v>1006</v>
      </c>
      <c r="L965" s="51" t="s">
        <v>639</v>
      </c>
      <c r="M965" s="50" t="str">
        <f t="shared" si="31"/>
        <v>34.500</v>
      </c>
      <c r="N965" s="50" t="str">
        <f>IF(A965&lt;&gt;"",VLOOKUP(RIGHT(A965,3)*1,[4]Des_Loc!A:B,2,0),"")</f>
        <v>CHAPADA DE AREIA</v>
      </c>
    </row>
    <row r="966" spans="1:14" ht="16.5" customHeight="1" x14ac:dyDescent="0.25">
      <c r="A966" s="52">
        <v>7949925001</v>
      </c>
      <c r="B966" s="51" t="s">
        <v>1003</v>
      </c>
      <c r="C966" s="51" t="s">
        <v>1008</v>
      </c>
      <c r="D966" s="51" t="s">
        <v>1005</v>
      </c>
      <c r="E966" s="51" t="s">
        <v>1005</v>
      </c>
      <c r="F966" s="51" t="s">
        <v>1005</v>
      </c>
      <c r="G966" s="51" t="s">
        <v>1005</v>
      </c>
      <c r="H966" s="51" t="s">
        <v>1005</v>
      </c>
      <c r="I966" s="51" t="s">
        <v>1005</v>
      </c>
      <c r="J966" s="50" t="str">
        <f t="shared" si="30"/>
        <v>7949925001.pdf</v>
      </c>
      <c r="K966" s="51" t="s">
        <v>1006</v>
      </c>
      <c r="L966" s="51" t="s">
        <v>1043</v>
      </c>
      <c r="M966" s="50" t="str">
        <f t="shared" si="31"/>
        <v>34.500</v>
      </c>
      <c r="N966" s="50" t="str">
        <f>IF(A966&lt;&gt;"",VLOOKUP(RIGHT(A966,3)*1,[4]Des_Loc!A:B,2,0),"")</f>
        <v>PORTO NACIONAL</v>
      </c>
    </row>
    <row r="967" spans="1:14" ht="16.5" customHeight="1" x14ac:dyDescent="0.25">
      <c r="A967" s="52">
        <v>7952522025</v>
      </c>
      <c r="B967" s="51" t="s">
        <v>1003</v>
      </c>
      <c r="C967" s="51" t="s">
        <v>1010</v>
      </c>
      <c r="D967" s="51" t="s">
        <v>1011</v>
      </c>
      <c r="E967" s="51" t="s">
        <v>1011</v>
      </c>
      <c r="F967" s="51" t="s">
        <v>1011</v>
      </c>
      <c r="G967" s="51" t="s">
        <v>1005</v>
      </c>
      <c r="H967" s="51" t="s">
        <v>1005</v>
      </c>
      <c r="I967" s="51" t="s">
        <v>1011</v>
      </c>
      <c r="J967" s="50" t="str">
        <f t="shared" si="30"/>
        <v>7952522025.pdf</v>
      </c>
      <c r="K967" s="51" t="s">
        <v>1006</v>
      </c>
      <c r="L967" s="51" t="s">
        <v>353</v>
      </c>
      <c r="M967" s="50" t="str">
        <f t="shared" si="31"/>
        <v>34.500</v>
      </c>
      <c r="N967" s="50" t="str">
        <f>IF(A967&lt;&gt;"",VLOOKUP(RIGHT(A967,3)*1,[4]Des_Loc!A:B,2,0),"")</f>
        <v>ARAPOEMA</v>
      </c>
    </row>
    <row r="968" spans="1:14" ht="16.5" customHeight="1" x14ac:dyDescent="0.25">
      <c r="A968" s="52">
        <v>7952534136</v>
      </c>
      <c r="B968" s="51" t="s">
        <v>1003</v>
      </c>
      <c r="C968" s="51" t="s">
        <v>1010</v>
      </c>
      <c r="D968" s="51" t="s">
        <v>1011</v>
      </c>
      <c r="E968" s="51" t="s">
        <v>1005</v>
      </c>
      <c r="F968" s="51" t="s">
        <v>1005</v>
      </c>
      <c r="G968" s="51" t="s">
        <v>1005</v>
      </c>
      <c r="H968" s="51" t="s">
        <v>1005</v>
      </c>
      <c r="I968" s="51" t="s">
        <v>1005</v>
      </c>
      <c r="J968" s="50" t="str">
        <f t="shared" si="30"/>
        <v>7952534136.pdf</v>
      </c>
      <c r="K968" s="51" t="s">
        <v>1006</v>
      </c>
      <c r="L968" s="51" t="s">
        <v>353</v>
      </c>
      <c r="M968" s="50" t="str">
        <f t="shared" si="31"/>
        <v>34.500</v>
      </c>
      <c r="N968" s="50" t="str">
        <f>IF(A968&lt;&gt;"",VLOOKUP(RIGHT(A968,3)*1,[4]Des_Loc!A:B,2,0),"")</f>
        <v>PAU D'ARCO</v>
      </c>
    </row>
    <row r="969" spans="1:14" ht="16.5" customHeight="1" x14ac:dyDescent="0.25">
      <c r="A969" s="52">
        <v>7952894004</v>
      </c>
      <c r="B969" s="51" t="s">
        <v>1003</v>
      </c>
      <c r="C969" s="51" t="s">
        <v>1010</v>
      </c>
      <c r="D969" s="51" t="s">
        <v>1011</v>
      </c>
      <c r="E969" s="51" t="s">
        <v>1005</v>
      </c>
      <c r="F969" s="51" t="s">
        <v>1005</v>
      </c>
      <c r="G969" s="51" t="s">
        <v>1005</v>
      </c>
      <c r="H969" s="51" t="s">
        <v>1005</v>
      </c>
      <c r="I969" s="51" t="s">
        <v>1005</v>
      </c>
      <c r="J969" s="50" t="str">
        <f t="shared" si="30"/>
        <v>7952894004.pdf</v>
      </c>
      <c r="K969" s="51" t="s">
        <v>1006</v>
      </c>
      <c r="L969" s="51" t="s">
        <v>353</v>
      </c>
      <c r="M969" s="50" t="str">
        <f t="shared" si="31"/>
        <v>34.500</v>
      </c>
      <c r="N969" s="50" t="str">
        <f>IF(A969&lt;&gt;"",VLOOKUP(RIGHT(A969,3)*1,[4]Des_Loc!A:B,2,0),"")</f>
        <v>ARAGUAINA</v>
      </c>
    </row>
    <row r="970" spans="1:14" ht="16.5" customHeight="1" x14ac:dyDescent="0.25">
      <c r="A970" s="52">
        <v>7953208154</v>
      </c>
      <c r="B970" s="51" t="s">
        <v>1003</v>
      </c>
      <c r="C970" s="51" t="s">
        <v>1010</v>
      </c>
      <c r="D970" s="51" t="s">
        <v>1011</v>
      </c>
      <c r="E970" s="51" t="s">
        <v>1005</v>
      </c>
      <c r="F970" s="51" t="s">
        <v>1011</v>
      </c>
      <c r="G970" s="51" t="s">
        <v>1005</v>
      </c>
      <c r="H970" s="51" t="s">
        <v>1005</v>
      </c>
      <c r="I970" s="51" t="s">
        <v>1011</v>
      </c>
      <c r="J970" s="50" t="str">
        <f t="shared" si="30"/>
        <v>7953208154.pdf</v>
      </c>
      <c r="K970" s="51" t="s">
        <v>1006</v>
      </c>
      <c r="L970" s="51" t="s">
        <v>1029</v>
      </c>
      <c r="M970" s="50" t="str">
        <f t="shared" si="31"/>
        <v>34.500</v>
      </c>
      <c r="N970" s="50" t="str">
        <f>IF(A970&lt;&gt;"",VLOOKUP(RIGHT(A970,3)*1,[4]Des_Loc!A:B,2,0),"")</f>
        <v>JUARINA</v>
      </c>
    </row>
    <row r="971" spans="1:14" ht="16.5" customHeight="1" x14ac:dyDescent="0.25">
      <c r="A971" s="52">
        <v>7953211079</v>
      </c>
      <c r="B971" s="51" t="s">
        <v>1003</v>
      </c>
      <c r="C971" s="51" t="s">
        <v>1025</v>
      </c>
      <c r="D971" s="51" t="s">
        <v>1011</v>
      </c>
      <c r="E971" s="51" t="s">
        <v>1005</v>
      </c>
      <c r="F971" s="51" t="s">
        <v>1011</v>
      </c>
      <c r="G971" s="51" t="s">
        <v>1005</v>
      </c>
      <c r="H971" s="51" t="s">
        <v>1005</v>
      </c>
      <c r="I971" s="51" t="s">
        <v>1011</v>
      </c>
      <c r="J971" s="50" t="str">
        <f t="shared" si="30"/>
        <v>7953211079.pdf</v>
      </c>
      <c r="K971" s="51" t="s">
        <v>1006</v>
      </c>
      <c r="L971" s="51" t="s">
        <v>1047</v>
      </c>
      <c r="M971" s="50" t="str">
        <f t="shared" si="31"/>
        <v>34.500</v>
      </c>
      <c r="N971" s="50" t="str">
        <f>IF(A971&lt;&gt;"",VLOOKUP(RIGHT(A971,3)*1,[4]Des_Loc!A:B,2,0),"")</f>
        <v>ITAPIRATINS</v>
      </c>
    </row>
    <row r="972" spans="1:14" ht="16.5" customHeight="1" x14ac:dyDescent="0.25">
      <c r="A972" s="52">
        <v>7948471021</v>
      </c>
      <c r="B972" s="51" t="s">
        <v>1003</v>
      </c>
      <c r="C972" s="51" t="s">
        <v>1010</v>
      </c>
      <c r="D972" s="51" t="s">
        <v>1011</v>
      </c>
      <c r="E972" s="51" t="s">
        <v>1005</v>
      </c>
      <c r="F972" s="51" t="s">
        <v>1011</v>
      </c>
      <c r="G972" s="51" t="s">
        <v>1005</v>
      </c>
      <c r="H972" s="51" t="s">
        <v>1005</v>
      </c>
      <c r="I972" s="51" t="s">
        <v>1011</v>
      </c>
      <c r="J972" s="50" t="str">
        <f t="shared" si="30"/>
        <v>7948471021.pdf</v>
      </c>
      <c r="K972" s="51" t="s">
        <v>1006</v>
      </c>
      <c r="L972" s="51" t="s">
        <v>1077</v>
      </c>
      <c r="M972" s="50" t="str">
        <f t="shared" si="31"/>
        <v>34.500</v>
      </c>
      <c r="N972" s="50" t="str">
        <f>IF(A972&lt;&gt;"",VLOOKUP(RIGHT(A972,3)*1,[4]Des_Loc!A:B,2,0),"")</f>
        <v>PARANA</v>
      </c>
    </row>
    <row r="973" spans="1:14" ht="16.5" customHeight="1" x14ac:dyDescent="0.25">
      <c r="A973" s="52">
        <v>7953006081</v>
      </c>
      <c r="B973" s="51" t="s">
        <v>1003</v>
      </c>
      <c r="C973" s="51" t="s">
        <v>1010</v>
      </c>
      <c r="D973" s="51" t="s">
        <v>1011</v>
      </c>
      <c r="E973" s="51" t="s">
        <v>1005</v>
      </c>
      <c r="F973" s="51" t="s">
        <v>1011</v>
      </c>
      <c r="G973" s="51" t="s">
        <v>1005</v>
      </c>
      <c r="H973" s="51" t="s">
        <v>1005</v>
      </c>
      <c r="I973" s="51" t="s">
        <v>1011</v>
      </c>
      <c r="J973" s="50" t="str">
        <f t="shared" si="30"/>
        <v>7953006081.pdf</v>
      </c>
      <c r="K973" s="51" t="s">
        <v>1006</v>
      </c>
      <c r="L973" s="51" t="s">
        <v>1033</v>
      </c>
      <c r="M973" s="50" t="str">
        <f t="shared" si="31"/>
        <v>13.800</v>
      </c>
      <c r="N973" s="50" t="str">
        <f>IF(A973&lt;&gt;"",VLOOKUP(RIGHT(A973,3)*1,[4]Des_Loc!A:B,2,0),"")</f>
        <v>ITAGUATINS</v>
      </c>
    </row>
    <row r="974" spans="1:14" ht="16.5" customHeight="1" x14ac:dyDescent="0.25">
      <c r="A974" s="52">
        <v>7948112088</v>
      </c>
      <c r="B974" s="51" t="s">
        <v>1003</v>
      </c>
      <c r="C974" s="51" t="s">
        <v>1010</v>
      </c>
      <c r="D974" s="51" t="s">
        <v>1011</v>
      </c>
      <c r="E974" s="51" t="s">
        <v>1005</v>
      </c>
      <c r="F974" s="51" t="s">
        <v>1011</v>
      </c>
      <c r="G974" s="51" t="s">
        <v>1005</v>
      </c>
      <c r="H974" s="51" t="s">
        <v>1005</v>
      </c>
      <c r="I974" s="51" t="s">
        <v>1011</v>
      </c>
      <c r="J974" s="50" t="str">
        <f t="shared" si="30"/>
        <v>7948112088.pdf</v>
      </c>
      <c r="K974" s="51" t="s">
        <v>1006</v>
      </c>
      <c r="L974" s="51" t="s">
        <v>1061</v>
      </c>
      <c r="M974" s="50" t="str">
        <f t="shared" si="31"/>
        <v>13.800</v>
      </c>
      <c r="N974" s="50" t="str">
        <f>IF(A974&lt;&gt;"",VLOOKUP(RIGHT(A974,3)*1,[4]Des_Loc!A:B,2,0),"")</f>
        <v>SITIO NOVO DO TOCANTINS</v>
      </c>
    </row>
    <row r="975" spans="1:14" ht="16.5" customHeight="1" x14ac:dyDescent="0.25">
      <c r="A975" s="52">
        <v>7951887110</v>
      </c>
      <c r="B975" s="51" t="s">
        <v>1003</v>
      </c>
      <c r="C975" s="51" t="s">
        <v>1008</v>
      </c>
      <c r="D975" s="51" t="s">
        <v>1005</v>
      </c>
      <c r="E975" s="51" t="s">
        <v>1005</v>
      </c>
      <c r="F975" s="51" t="s">
        <v>1005</v>
      </c>
      <c r="G975" s="51" t="s">
        <v>1005</v>
      </c>
      <c r="H975" s="51" t="s">
        <v>1005</v>
      </c>
      <c r="I975" s="51" t="s">
        <v>1005</v>
      </c>
      <c r="J975" s="50" t="str">
        <f t="shared" si="30"/>
        <v>7951887110.pdf</v>
      </c>
      <c r="K975" s="51" t="s">
        <v>1006</v>
      </c>
      <c r="L975" s="51" t="s">
        <v>599</v>
      </c>
      <c r="M975" s="50" t="str">
        <f t="shared" si="31"/>
        <v>34.500</v>
      </c>
      <c r="N975" s="50" t="str">
        <f>IF(A975&lt;&gt;"",VLOOKUP(RIGHT(A975,3)*1,[4]Des_Loc!A:B,2,0),"")</f>
        <v>SANTA RITA DO TOCANTINS</v>
      </c>
    </row>
    <row r="976" spans="1:14" ht="16.5" customHeight="1" x14ac:dyDescent="0.25">
      <c r="A976" s="52">
        <v>7952853077</v>
      </c>
      <c r="B976" s="51" t="s">
        <v>1003</v>
      </c>
      <c r="C976" s="51" t="s">
        <v>1008</v>
      </c>
      <c r="D976" s="51" t="s">
        <v>1005</v>
      </c>
      <c r="E976" s="51" t="s">
        <v>1005</v>
      </c>
      <c r="F976" s="51" t="s">
        <v>1005</v>
      </c>
      <c r="G976" s="51" t="s">
        <v>1005</v>
      </c>
      <c r="H976" s="51" t="s">
        <v>1005</v>
      </c>
      <c r="I976" s="51" t="s">
        <v>1005</v>
      </c>
      <c r="J976" s="50" t="str">
        <f t="shared" si="30"/>
        <v>7952853077.pdf</v>
      </c>
      <c r="K976" s="51" t="s">
        <v>1006</v>
      </c>
      <c r="L976" s="51" t="s">
        <v>632</v>
      </c>
      <c r="M976" s="50" t="str">
        <f t="shared" si="31"/>
        <v>34.500</v>
      </c>
      <c r="N976" s="50" t="str">
        <f>IF(A976&lt;&gt;"",VLOOKUP(RIGHT(A976,3)*1,[4]Des_Loc!A:B,2,0),"")</f>
        <v>GOIATINS</v>
      </c>
    </row>
    <row r="977" spans="1:14" ht="16.5" customHeight="1" x14ac:dyDescent="0.25">
      <c r="A977" s="52">
        <v>7948631032</v>
      </c>
      <c r="B977" s="51" t="s">
        <v>1003</v>
      </c>
      <c r="C977" s="51" t="s">
        <v>1025</v>
      </c>
      <c r="D977" s="51" t="s">
        <v>1011</v>
      </c>
      <c r="E977" s="51" t="s">
        <v>1011</v>
      </c>
      <c r="F977" s="51" t="s">
        <v>1011</v>
      </c>
      <c r="G977" s="51" t="s">
        <v>1005</v>
      </c>
      <c r="H977" s="51" t="s">
        <v>1005</v>
      </c>
      <c r="I977" s="51" t="s">
        <v>1011</v>
      </c>
      <c r="J977" s="50" t="str">
        <f t="shared" si="30"/>
        <v>7948631032.pdf</v>
      </c>
      <c r="K977" s="51" t="s">
        <v>1006</v>
      </c>
      <c r="L977" s="51" t="s">
        <v>1037</v>
      </c>
      <c r="M977" s="50" t="str">
        <f t="shared" si="31"/>
        <v>34.500</v>
      </c>
      <c r="N977" s="50" t="str">
        <f>IF(A977&lt;&gt;"",VLOOKUP(RIGHT(A977,3)*1,[4]Des_Loc!A:B,2,0),"")</f>
        <v>ARAGUACU</v>
      </c>
    </row>
    <row r="978" spans="1:14" ht="16.5" customHeight="1" x14ac:dyDescent="0.25">
      <c r="A978" s="52">
        <v>7950592046</v>
      </c>
      <c r="B978" s="51" t="s">
        <v>1003</v>
      </c>
      <c r="C978" s="51" t="s">
        <v>1008</v>
      </c>
      <c r="D978" s="51" t="s">
        <v>1005</v>
      </c>
      <c r="E978" s="51" t="s">
        <v>1005</v>
      </c>
      <c r="F978" s="51" t="s">
        <v>1005</v>
      </c>
      <c r="G978" s="51" t="s">
        <v>1005</v>
      </c>
      <c r="H978" s="51" t="s">
        <v>1005</v>
      </c>
      <c r="I978" s="51" t="s">
        <v>1005</v>
      </c>
      <c r="J978" s="50" t="str">
        <f t="shared" si="30"/>
        <v>7950592046.pdf</v>
      </c>
      <c r="K978" s="51" t="s">
        <v>1006</v>
      </c>
      <c r="L978" s="51" t="s">
        <v>1019</v>
      </c>
      <c r="M978" s="50" t="str">
        <f t="shared" si="31"/>
        <v>34.500</v>
      </c>
      <c r="N978" s="50" t="str">
        <f>IF(A978&lt;&gt;"",VLOOKUP(RIGHT(A978,3)*1,[4]Des_Loc!A:B,2,0),"")</f>
        <v>NOVA ROSALANDIA</v>
      </c>
    </row>
    <row r="979" spans="1:14" ht="16.5" customHeight="1" x14ac:dyDescent="0.25">
      <c r="A979" s="52">
        <v>7951872071</v>
      </c>
      <c r="B979" s="51" t="s">
        <v>1003</v>
      </c>
      <c r="C979" s="51" t="s">
        <v>1010</v>
      </c>
      <c r="D979" s="51" t="s">
        <v>1011</v>
      </c>
      <c r="E979" s="51" t="s">
        <v>1011</v>
      </c>
      <c r="F979" s="51" t="s">
        <v>1005</v>
      </c>
      <c r="G979" s="51" t="s">
        <v>1005</v>
      </c>
      <c r="H979" s="51" t="s">
        <v>1005</v>
      </c>
      <c r="I979" s="51" t="s">
        <v>1005</v>
      </c>
      <c r="J979" s="50" t="str">
        <f t="shared" si="30"/>
        <v>7951872071.pdf</v>
      </c>
      <c r="K979" s="51" t="s">
        <v>1006</v>
      </c>
      <c r="L979" s="51" t="s">
        <v>1019</v>
      </c>
      <c r="M979" s="50" t="str">
        <f t="shared" si="31"/>
        <v>34.500</v>
      </c>
      <c r="N979" s="50" t="str">
        <f>IF(A979&lt;&gt;"",VLOOKUP(RIGHT(A979,3)*1,[4]Des_Loc!A:B,2,0),"")</f>
        <v>BREJINHO DE NAZARE</v>
      </c>
    </row>
    <row r="980" spans="1:14" ht="16.5" customHeight="1" x14ac:dyDescent="0.25">
      <c r="A980" s="52">
        <v>7948129130</v>
      </c>
      <c r="B980" s="51" t="s">
        <v>1003</v>
      </c>
      <c r="C980" s="51" t="s">
        <v>1010</v>
      </c>
      <c r="D980" s="51" t="s">
        <v>1011</v>
      </c>
      <c r="E980" s="51" t="s">
        <v>1005</v>
      </c>
      <c r="F980" s="51" t="s">
        <v>1005</v>
      </c>
      <c r="G980" s="51" t="s">
        <v>1005</v>
      </c>
      <c r="H980" s="51" t="s">
        <v>1005</v>
      </c>
      <c r="I980" s="51" t="s">
        <v>1005</v>
      </c>
      <c r="J980" s="50" t="str">
        <f t="shared" si="30"/>
        <v>7948129130.pdf</v>
      </c>
      <c r="K980" s="51" t="s">
        <v>1006</v>
      </c>
      <c r="L980" s="51" t="s">
        <v>1166</v>
      </c>
      <c r="M980" s="50" t="str">
        <f t="shared" si="31"/>
        <v>34.500</v>
      </c>
      <c r="N980" s="50" t="str">
        <f>IF(A980&lt;&gt;"",VLOOKUP(RIGHT(A980,3)*1,[4]Des_Loc!A:B,2,0),"")</f>
        <v>BELA VISTA</v>
      </c>
    </row>
    <row r="981" spans="1:14" ht="16.5" customHeight="1" x14ac:dyDescent="0.25">
      <c r="A981" s="52">
        <v>7952228122</v>
      </c>
      <c r="B981" s="51" t="s">
        <v>1003</v>
      </c>
      <c r="C981" s="51" t="s">
        <v>1010</v>
      </c>
      <c r="D981" s="51" t="s">
        <v>1011</v>
      </c>
      <c r="E981" s="51" t="s">
        <v>1005</v>
      </c>
      <c r="F981" s="51" t="s">
        <v>1005</v>
      </c>
      <c r="G981" s="51" t="s">
        <v>1005</v>
      </c>
      <c r="H981" s="51" t="s">
        <v>1005</v>
      </c>
      <c r="I981" s="51" t="s">
        <v>1005</v>
      </c>
      <c r="J981" s="50" t="str">
        <f t="shared" si="30"/>
        <v>7952228122.pdf</v>
      </c>
      <c r="K981" s="51" t="s">
        <v>1006</v>
      </c>
      <c r="L981" s="51" t="s">
        <v>571</v>
      </c>
      <c r="M981" s="50" t="str">
        <f t="shared" si="31"/>
        <v>34.500</v>
      </c>
      <c r="N981" s="50" t="str">
        <f>IF(A981&lt;&gt;"",VLOOKUP(RIGHT(A981,3)*1,[4]Des_Loc!A:B,2,0),"")</f>
        <v>PALMAS</v>
      </c>
    </row>
    <row r="982" spans="1:14" ht="16.5" customHeight="1" x14ac:dyDescent="0.25">
      <c r="A982" s="52">
        <v>7953143122</v>
      </c>
      <c r="B982" s="51" t="s">
        <v>1003</v>
      </c>
      <c r="C982" s="51" t="s">
        <v>1010</v>
      </c>
      <c r="D982" s="51" t="s">
        <v>1011</v>
      </c>
      <c r="E982" s="51" t="s">
        <v>1011</v>
      </c>
      <c r="F982" s="51" t="s">
        <v>1011</v>
      </c>
      <c r="G982" s="51" t="s">
        <v>1005</v>
      </c>
      <c r="H982" s="51" t="s">
        <v>1005</v>
      </c>
      <c r="I982" s="51" t="s">
        <v>1011</v>
      </c>
      <c r="J982" s="50" t="str">
        <f t="shared" si="30"/>
        <v>7953143122.pdf</v>
      </c>
      <c r="K982" s="51" t="s">
        <v>1006</v>
      </c>
      <c r="L982" s="51" t="s">
        <v>571</v>
      </c>
      <c r="M982" s="50" t="str">
        <f t="shared" si="31"/>
        <v>34.500</v>
      </c>
      <c r="N982" s="50" t="str">
        <f>IF(A982&lt;&gt;"",VLOOKUP(RIGHT(A982,3)*1,[4]Des_Loc!A:B,2,0),"")</f>
        <v>PALMAS</v>
      </c>
    </row>
    <row r="983" spans="1:14" ht="16.5" customHeight="1" x14ac:dyDescent="0.25">
      <c r="A983" s="52">
        <v>7951107122</v>
      </c>
      <c r="B983" s="51" t="s">
        <v>1003</v>
      </c>
      <c r="C983" s="51" t="s">
        <v>1010</v>
      </c>
      <c r="D983" s="51" t="s">
        <v>1011</v>
      </c>
      <c r="E983" s="51" t="s">
        <v>1005</v>
      </c>
      <c r="F983" s="51" t="s">
        <v>1005</v>
      </c>
      <c r="G983" s="51" t="s">
        <v>1005</v>
      </c>
      <c r="H983" s="51" t="s">
        <v>1005</v>
      </c>
      <c r="I983" s="51" t="s">
        <v>1005</v>
      </c>
      <c r="J983" s="50" t="str">
        <f t="shared" si="30"/>
        <v>7951107122.pdf</v>
      </c>
      <c r="K983" s="51" t="s">
        <v>1006</v>
      </c>
      <c r="L983" s="51" t="s">
        <v>571</v>
      </c>
      <c r="M983" s="50" t="str">
        <f t="shared" si="31"/>
        <v>34.500</v>
      </c>
      <c r="N983" s="50" t="str">
        <f>IF(A983&lt;&gt;"",VLOOKUP(RIGHT(A983,3)*1,[4]Des_Loc!A:B,2,0),"")</f>
        <v>PALMAS</v>
      </c>
    </row>
    <row r="984" spans="1:14" ht="16.5" customHeight="1" x14ac:dyDescent="0.25">
      <c r="A984" s="52">
        <v>7950870127</v>
      </c>
      <c r="B984" s="51" t="s">
        <v>1003</v>
      </c>
      <c r="C984" s="51" t="s">
        <v>1008</v>
      </c>
      <c r="D984" s="51" t="s">
        <v>1005</v>
      </c>
      <c r="E984" s="51" t="s">
        <v>1005</v>
      </c>
      <c r="F984" s="51" t="s">
        <v>1005</v>
      </c>
      <c r="G984" s="51" t="s">
        <v>1005</v>
      </c>
      <c r="H984" s="51" t="s">
        <v>1005</v>
      </c>
      <c r="I984" s="51" t="s">
        <v>1005</v>
      </c>
      <c r="J984" s="50" t="str">
        <f t="shared" si="30"/>
        <v>7950870127.pdf</v>
      </c>
      <c r="K984" s="51" t="s">
        <v>1006</v>
      </c>
      <c r="L984" s="51" t="s">
        <v>594</v>
      </c>
      <c r="M984" s="50" t="str">
        <f t="shared" si="31"/>
        <v>34.500</v>
      </c>
      <c r="N984" s="50" t="str">
        <f>IF(A984&lt;&gt;"",VLOOKUP(RIGHT(A984,3)*1,[4]Des_Loc!A:B,2,0),"")</f>
        <v>PALMEIRAS DO TOCANTINS</v>
      </c>
    </row>
    <row r="985" spans="1:14" ht="16.5" customHeight="1" x14ac:dyDescent="0.25">
      <c r="A985" s="52">
        <v>7951766110</v>
      </c>
      <c r="B985" s="51" t="s">
        <v>1003</v>
      </c>
      <c r="C985" s="51" t="s">
        <v>1010</v>
      </c>
      <c r="D985" s="51" t="s">
        <v>1011</v>
      </c>
      <c r="E985" s="51" t="s">
        <v>1005</v>
      </c>
      <c r="F985" s="51" t="s">
        <v>1005</v>
      </c>
      <c r="G985" s="51" t="s">
        <v>1005</v>
      </c>
      <c r="H985" s="51" t="s">
        <v>1005</v>
      </c>
      <c r="I985" s="51" t="s">
        <v>1005</v>
      </c>
      <c r="J985" s="50" t="str">
        <f t="shared" si="30"/>
        <v>7951766110.pdf</v>
      </c>
      <c r="K985" s="51" t="s">
        <v>1006</v>
      </c>
      <c r="L985" s="51" t="s">
        <v>599</v>
      </c>
      <c r="M985" s="50" t="str">
        <f t="shared" si="31"/>
        <v>34.500</v>
      </c>
      <c r="N985" s="50" t="str">
        <f>IF(A985&lt;&gt;"",VLOOKUP(RIGHT(A985,3)*1,[4]Des_Loc!A:B,2,0),"")</f>
        <v>SANTA RITA DO TOCANTINS</v>
      </c>
    </row>
    <row r="986" spans="1:14" ht="16.5" customHeight="1" x14ac:dyDescent="0.25">
      <c r="A986" s="52">
        <v>7953120122</v>
      </c>
      <c r="B986" s="51" t="s">
        <v>1003</v>
      </c>
      <c r="C986" s="51" t="s">
        <v>1004</v>
      </c>
      <c r="D986" s="51" t="s">
        <v>1005</v>
      </c>
      <c r="E986" s="51" t="s">
        <v>1005</v>
      </c>
      <c r="F986" s="51" t="s">
        <v>1005</v>
      </c>
      <c r="G986" s="51" t="s">
        <v>1005</v>
      </c>
      <c r="H986" s="51" t="s">
        <v>1005</v>
      </c>
      <c r="I986" s="51" t="s">
        <v>1005</v>
      </c>
      <c r="J986" s="50" t="str">
        <f t="shared" si="30"/>
        <v>7953120122.pdf</v>
      </c>
      <c r="K986" s="51" t="s">
        <v>1006</v>
      </c>
      <c r="L986" s="51" t="s">
        <v>1212</v>
      </c>
      <c r="M986" s="50" t="str">
        <f t="shared" si="31"/>
        <v>13.800</v>
      </c>
      <c r="N986" s="50" t="str">
        <f>IF(A986&lt;&gt;"",VLOOKUP(RIGHT(A986,3)*1,[4]Des_Loc!A:B,2,0),"")</f>
        <v>PALMAS</v>
      </c>
    </row>
    <row r="987" spans="1:14" ht="16.5" customHeight="1" x14ac:dyDescent="0.25">
      <c r="A987" s="52">
        <v>7952705103</v>
      </c>
      <c r="B987" s="51" t="s">
        <v>1003</v>
      </c>
      <c r="C987" s="51" t="s">
        <v>1010</v>
      </c>
      <c r="D987" s="51" t="s">
        <v>1011</v>
      </c>
      <c r="E987" s="51" t="s">
        <v>1005</v>
      </c>
      <c r="F987" s="51" t="s">
        <v>1005</v>
      </c>
      <c r="G987" s="51" t="s">
        <v>1005</v>
      </c>
      <c r="H987" s="51" t="s">
        <v>1005</v>
      </c>
      <c r="I987" s="51" t="s">
        <v>1005</v>
      </c>
      <c r="J987" s="50" t="str">
        <f t="shared" si="30"/>
        <v>7952705103.pdf</v>
      </c>
      <c r="K987" s="51" t="s">
        <v>1006</v>
      </c>
      <c r="L987" s="51" t="s">
        <v>1141</v>
      </c>
      <c r="M987" s="50" t="str">
        <f t="shared" si="31"/>
        <v>34.500</v>
      </c>
      <c r="N987" s="50" t="str">
        <f>IF(A987&lt;&gt;"",VLOOKUP(RIGHT(A987,3)*1,[4]Des_Loc!A:B,2,0),"")</f>
        <v>SAO MIGUEL DO TOCANTINS</v>
      </c>
    </row>
    <row r="988" spans="1:14" ht="16.5" customHeight="1" x14ac:dyDescent="0.25">
      <c r="A988" s="52">
        <v>7950261190</v>
      </c>
      <c r="B988" s="51" t="s">
        <v>1003</v>
      </c>
      <c r="C988" s="51" t="s">
        <v>1021</v>
      </c>
      <c r="D988" s="51" t="s">
        <v>1005</v>
      </c>
      <c r="E988" s="51" t="s">
        <v>1005</v>
      </c>
      <c r="F988" s="51" t="s">
        <v>1005</v>
      </c>
      <c r="G988" s="51" t="s">
        <v>1005</v>
      </c>
      <c r="H988" s="51" t="s">
        <v>1005</v>
      </c>
      <c r="I988" s="51" t="s">
        <v>1005</v>
      </c>
      <c r="J988" s="50" t="str">
        <f t="shared" si="30"/>
        <v>7950261190.pdf</v>
      </c>
      <c r="K988" s="51" t="s">
        <v>1006</v>
      </c>
      <c r="L988" s="51" t="s">
        <v>1136</v>
      </c>
      <c r="M988" s="50" t="str">
        <f t="shared" si="31"/>
        <v>34.500</v>
      </c>
      <c r="N988" s="50" t="str">
        <f>IF(A988&lt;&gt;"",VLOOKUP(RIGHT(A988,3)*1,[4]Des_Loc!A:B,2,0),"")</f>
        <v>NOVO JARDIM</v>
      </c>
    </row>
    <row r="989" spans="1:14" ht="16.5" customHeight="1" x14ac:dyDescent="0.25">
      <c r="A989" s="52">
        <v>7950287005</v>
      </c>
      <c r="B989" s="51" t="s">
        <v>1003</v>
      </c>
      <c r="C989" s="51" t="s">
        <v>1010</v>
      </c>
      <c r="D989" s="51" t="s">
        <v>1011</v>
      </c>
      <c r="E989" s="51" t="s">
        <v>1005</v>
      </c>
      <c r="F989" s="51" t="s">
        <v>1005</v>
      </c>
      <c r="G989" s="51" t="s">
        <v>1005</v>
      </c>
      <c r="H989" s="51" t="s">
        <v>1005</v>
      </c>
      <c r="I989" s="51" t="s">
        <v>1005</v>
      </c>
      <c r="J989" s="50" t="str">
        <f t="shared" si="30"/>
        <v>7950287005.pdf</v>
      </c>
      <c r="K989" s="51" t="s">
        <v>1006</v>
      </c>
      <c r="L989" s="51" t="s">
        <v>1038</v>
      </c>
      <c r="M989" s="50" t="str">
        <f t="shared" si="31"/>
        <v>34.500</v>
      </c>
      <c r="N989" s="50" t="str">
        <f>IF(A989&lt;&gt;"",VLOOKUP(RIGHT(A989,3)*1,[4]Des_Loc!A:B,2,0),"")</f>
        <v>ARRAIAS</v>
      </c>
    </row>
    <row r="990" spans="1:14" ht="16.5" customHeight="1" x14ac:dyDescent="0.25">
      <c r="A990" s="52">
        <v>7950291049</v>
      </c>
      <c r="B990" s="51" t="s">
        <v>1003</v>
      </c>
      <c r="C990" s="51" t="s">
        <v>1010</v>
      </c>
      <c r="D990" s="51" t="s">
        <v>1011</v>
      </c>
      <c r="E990" s="51" t="s">
        <v>1005</v>
      </c>
      <c r="F990" s="51" t="s">
        <v>1005</v>
      </c>
      <c r="G990" s="51" t="s">
        <v>1005</v>
      </c>
      <c r="H990" s="51" t="s">
        <v>1005</v>
      </c>
      <c r="I990" s="51" t="s">
        <v>1005</v>
      </c>
      <c r="J990" s="50" t="str">
        <f t="shared" si="30"/>
        <v>7950291049.pdf</v>
      </c>
      <c r="K990" s="51" t="s">
        <v>1006</v>
      </c>
      <c r="L990" s="51" t="s">
        <v>1094</v>
      </c>
      <c r="M990" s="50" t="str">
        <f t="shared" si="31"/>
        <v>34.500</v>
      </c>
      <c r="N990" s="50" t="str">
        <f>IF(A990&lt;&gt;"",VLOOKUP(RIGHT(A990,3)*1,[4]Des_Loc!A:B,2,0),"")</f>
        <v>AURORA DO TOCANTINS</v>
      </c>
    </row>
    <row r="991" spans="1:14" ht="16.5" customHeight="1" x14ac:dyDescent="0.25">
      <c r="A991" s="52">
        <v>7950296049</v>
      </c>
      <c r="B991" s="51" t="s">
        <v>1003</v>
      </c>
      <c r="C991" s="51" t="s">
        <v>1021</v>
      </c>
      <c r="D991" s="51" t="s">
        <v>1005</v>
      </c>
      <c r="E991" s="51" t="s">
        <v>1005</v>
      </c>
      <c r="F991" s="51" t="s">
        <v>1005</v>
      </c>
      <c r="G991" s="51" t="s">
        <v>1005</v>
      </c>
      <c r="H991" s="51" t="s">
        <v>1005</v>
      </c>
      <c r="I991" s="51" t="s">
        <v>1005</v>
      </c>
      <c r="J991" s="50" t="str">
        <f t="shared" si="30"/>
        <v>7950296049.pdf</v>
      </c>
      <c r="K991" s="51" t="s">
        <v>1006</v>
      </c>
      <c r="L991" s="51" t="s">
        <v>1038</v>
      </c>
      <c r="M991" s="50" t="str">
        <f t="shared" si="31"/>
        <v>34.500</v>
      </c>
      <c r="N991" s="50" t="str">
        <f>IF(A991&lt;&gt;"",VLOOKUP(RIGHT(A991,3)*1,[4]Des_Loc!A:B,2,0),"")</f>
        <v>AURORA DO TOCANTINS</v>
      </c>
    </row>
    <row r="992" spans="1:14" ht="16.5" customHeight="1" x14ac:dyDescent="0.25">
      <c r="A992" s="52">
        <v>7950283147</v>
      </c>
      <c r="B992" s="51" t="s">
        <v>1003</v>
      </c>
      <c r="C992" s="51" t="s">
        <v>1010</v>
      </c>
      <c r="D992" s="51" t="s">
        <v>1011</v>
      </c>
      <c r="E992" s="51" t="s">
        <v>1005</v>
      </c>
      <c r="F992" s="51" t="s">
        <v>1011</v>
      </c>
      <c r="G992" s="51" t="s">
        <v>1005</v>
      </c>
      <c r="H992" s="51" t="s">
        <v>1005</v>
      </c>
      <c r="I992" s="51" t="s">
        <v>1011</v>
      </c>
      <c r="J992" s="50" t="str">
        <f t="shared" si="30"/>
        <v>7950283147.pdf</v>
      </c>
      <c r="K992" s="51" t="s">
        <v>1006</v>
      </c>
      <c r="L992" s="51" t="s">
        <v>331</v>
      </c>
      <c r="M992" s="50" t="str">
        <f t="shared" si="31"/>
        <v>34.500</v>
      </c>
      <c r="N992" s="50" t="str">
        <f>IF(A992&lt;&gt;"",VLOOKUP(RIGHT(A992,3)*1,[4]Des_Loc!A:B,2,0),"")</f>
        <v>TAIPAS DO TOCANTINS</v>
      </c>
    </row>
    <row r="993" spans="1:14" ht="16.5" customHeight="1" x14ac:dyDescent="0.25">
      <c r="A993" s="52">
        <v>7948761028</v>
      </c>
      <c r="B993" s="51" t="s">
        <v>1003</v>
      </c>
      <c r="C993" s="51" t="s">
        <v>1010</v>
      </c>
      <c r="D993" s="51" t="s">
        <v>1011</v>
      </c>
      <c r="E993" s="51" t="s">
        <v>1005</v>
      </c>
      <c r="F993" s="51" t="s">
        <v>1011</v>
      </c>
      <c r="G993" s="51" t="s">
        <v>1005</v>
      </c>
      <c r="H993" s="51" t="s">
        <v>1005</v>
      </c>
      <c r="I993" s="51" t="s">
        <v>1011</v>
      </c>
      <c r="J993" s="50" t="str">
        <f t="shared" si="30"/>
        <v>7948761028.pdf</v>
      </c>
      <c r="K993" s="51" t="s">
        <v>1006</v>
      </c>
      <c r="L993" s="51" t="s">
        <v>361</v>
      </c>
      <c r="M993" s="50" t="str">
        <f t="shared" si="31"/>
        <v>34.500</v>
      </c>
      <c r="N993" s="50" t="str">
        <f>IF(A993&lt;&gt;"",VLOOKUP(RIGHT(A993,3)*1,[4]Des_Loc!A:B,2,0),"")</f>
        <v>NATIVIDADE</v>
      </c>
    </row>
    <row r="994" spans="1:14" ht="16.5" customHeight="1" x14ac:dyDescent="0.25">
      <c r="A994" s="52">
        <v>7951345028</v>
      </c>
      <c r="B994" s="51" t="s">
        <v>1003</v>
      </c>
      <c r="C994" s="51" t="s">
        <v>1004</v>
      </c>
      <c r="D994" s="51" t="s">
        <v>1011</v>
      </c>
      <c r="E994" s="51" t="s">
        <v>1005</v>
      </c>
      <c r="F994" s="51" t="s">
        <v>1005</v>
      </c>
      <c r="G994" s="51" t="s">
        <v>1005</v>
      </c>
      <c r="H994" s="51" t="s">
        <v>1005</v>
      </c>
      <c r="I994" s="51" t="s">
        <v>1005</v>
      </c>
      <c r="J994" s="50" t="str">
        <f t="shared" si="30"/>
        <v>7951345028.pdf</v>
      </c>
      <c r="K994" s="51" t="s">
        <v>1006</v>
      </c>
      <c r="L994" s="51" t="s">
        <v>361</v>
      </c>
      <c r="M994" s="50" t="str">
        <f t="shared" si="31"/>
        <v>34.500</v>
      </c>
      <c r="N994" s="50" t="str">
        <f>IF(A994&lt;&gt;"",VLOOKUP(RIGHT(A994,3)*1,[4]Des_Loc!A:B,2,0),"")</f>
        <v>NATIVIDADE</v>
      </c>
    </row>
    <row r="995" spans="1:14" ht="16.5" customHeight="1" x14ac:dyDescent="0.25">
      <c r="A995" s="52">
        <v>7950282038</v>
      </c>
      <c r="B995" s="51" t="s">
        <v>1003</v>
      </c>
      <c r="C995" s="51" t="s">
        <v>1021</v>
      </c>
      <c r="D995" s="51" t="s">
        <v>1005</v>
      </c>
      <c r="E995" s="51" t="s">
        <v>1005</v>
      </c>
      <c r="F995" s="51" t="s">
        <v>1005</v>
      </c>
      <c r="G995" s="51" t="s">
        <v>1005</v>
      </c>
      <c r="H995" s="51" t="s">
        <v>1005</v>
      </c>
      <c r="I995" s="51" t="s">
        <v>1005</v>
      </c>
      <c r="J995" s="50" t="str">
        <f t="shared" si="30"/>
        <v>7950282038.pdf</v>
      </c>
      <c r="K995" s="51" t="s">
        <v>1006</v>
      </c>
      <c r="L995" s="51" t="s">
        <v>1094</v>
      </c>
      <c r="M995" s="50" t="str">
        <f t="shared" si="31"/>
        <v>34.500</v>
      </c>
      <c r="N995" s="50" t="str">
        <f>IF(A995&lt;&gt;"",VLOOKUP(RIGHT(A995,3)*1,[4]Des_Loc!A:B,2,0),"")</f>
        <v>TAGUATINGA</v>
      </c>
    </row>
    <row r="996" spans="1:14" ht="16.5" customHeight="1" x14ac:dyDescent="0.25">
      <c r="A996" s="52">
        <v>7950298038</v>
      </c>
      <c r="B996" s="51" t="s">
        <v>1003</v>
      </c>
      <c r="C996" s="51" t="s">
        <v>1021</v>
      </c>
      <c r="D996" s="51" t="s">
        <v>1005</v>
      </c>
      <c r="E996" s="51" t="s">
        <v>1005</v>
      </c>
      <c r="F996" s="51" t="s">
        <v>1005</v>
      </c>
      <c r="G996" s="51" t="s">
        <v>1005</v>
      </c>
      <c r="H996" s="51" t="s">
        <v>1005</v>
      </c>
      <c r="I996" s="51" t="s">
        <v>1005</v>
      </c>
      <c r="J996" s="50" t="str">
        <f t="shared" si="30"/>
        <v>7950298038.pdf</v>
      </c>
      <c r="K996" s="51" t="s">
        <v>1006</v>
      </c>
      <c r="L996" s="51" t="s">
        <v>1094</v>
      </c>
      <c r="M996" s="50" t="str">
        <f t="shared" si="31"/>
        <v>34.500</v>
      </c>
      <c r="N996" s="50" t="str">
        <f>IF(A996&lt;&gt;"",VLOOKUP(RIGHT(A996,3)*1,[4]Des_Loc!A:B,2,0),"")</f>
        <v>TAGUATINGA</v>
      </c>
    </row>
    <row r="997" spans="1:14" ht="16.5" customHeight="1" x14ac:dyDescent="0.25">
      <c r="A997" s="52">
        <v>7950260038</v>
      </c>
      <c r="B997" s="51" t="s">
        <v>1003</v>
      </c>
      <c r="C997" s="51" t="s">
        <v>1021</v>
      </c>
      <c r="D997" s="51" t="s">
        <v>1005</v>
      </c>
      <c r="E997" s="51" t="s">
        <v>1005</v>
      </c>
      <c r="F997" s="51" t="s">
        <v>1005</v>
      </c>
      <c r="G997" s="51" t="s">
        <v>1005</v>
      </c>
      <c r="H997" s="51" t="s">
        <v>1005</v>
      </c>
      <c r="I997" s="51" t="s">
        <v>1005</v>
      </c>
      <c r="J997" s="50" t="str">
        <f t="shared" si="30"/>
        <v>7950260038.pdf</v>
      </c>
      <c r="K997" s="51" t="s">
        <v>1006</v>
      </c>
      <c r="L997" s="51" t="s">
        <v>1094</v>
      </c>
      <c r="M997" s="50" t="str">
        <f t="shared" si="31"/>
        <v>34.500</v>
      </c>
      <c r="N997" s="50" t="str">
        <f>IF(A997&lt;&gt;"",VLOOKUP(RIGHT(A997,3)*1,[4]Des_Loc!A:B,2,0),"")</f>
        <v>TAGUATINGA</v>
      </c>
    </row>
    <row r="998" spans="1:14" ht="16.5" customHeight="1" x14ac:dyDescent="0.25">
      <c r="A998" s="52">
        <v>7953078085</v>
      </c>
      <c r="B998" s="51" t="s">
        <v>1003</v>
      </c>
      <c r="C998" s="51" t="s">
        <v>1010</v>
      </c>
      <c r="D998" s="53" t="s">
        <v>1011</v>
      </c>
      <c r="E998" s="51" t="s">
        <v>1005</v>
      </c>
      <c r="F998" s="51" t="s">
        <v>1005</v>
      </c>
      <c r="G998" s="51" t="s">
        <v>1005</v>
      </c>
      <c r="H998" s="51" t="s">
        <v>1005</v>
      </c>
      <c r="I998" s="51" t="s">
        <v>1005</v>
      </c>
      <c r="J998" s="50" t="str">
        <f t="shared" si="30"/>
        <v>7953078085.pdf</v>
      </c>
      <c r="K998" s="51" t="s">
        <v>1006</v>
      </c>
      <c r="L998" s="51" t="s">
        <v>1023</v>
      </c>
      <c r="M998" s="50" t="str">
        <f t="shared" si="31"/>
        <v>34.500</v>
      </c>
      <c r="N998" s="50" t="str">
        <f>IF(A998&lt;&gt;"",VLOOKUP(RIGHT(A998,3)*1,[4]Des_Loc!A:B,2,0),"")</f>
        <v>MONTE SANTO DO TOCANTINS</v>
      </c>
    </row>
    <row r="999" spans="1:14" ht="16.5" customHeight="1" x14ac:dyDescent="0.25">
      <c r="A999" s="52">
        <v>7951634086</v>
      </c>
      <c r="B999" s="51" t="s">
        <v>1003</v>
      </c>
      <c r="C999" s="51" t="s">
        <v>1021</v>
      </c>
      <c r="D999" s="51" t="s">
        <v>1011</v>
      </c>
      <c r="E999" s="51" t="s">
        <v>1005</v>
      </c>
      <c r="F999" s="51" t="s">
        <v>1005</v>
      </c>
      <c r="G999" s="51" t="s">
        <v>1005</v>
      </c>
      <c r="H999" s="51" t="s">
        <v>1005</v>
      </c>
      <c r="I999" s="51" t="s">
        <v>1005</v>
      </c>
      <c r="J999" s="50" t="str">
        <f t="shared" si="30"/>
        <v>7951634086.pdf</v>
      </c>
      <c r="K999" s="51" t="s">
        <v>1006</v>
      </c>
      <c r="L999" s="51" t="s">
        <v>1023</v>
      </c>
      <c r="M999" s="50" t="str">
        <f t="shared" si="31"/>
        <v>34.500</v>
      </c>
      <c r="N999" s="50" t="str">
        <f>IF(A999&lt;&gt;"",VLOOKUP(RIGHT(A999,3)*1,[4]Des_Loc!A:B,2,0),"")</f>
        <v>MARIANOPOLIS</v>
      </c>
    </row>
    <row r="1000" spans="1:14" ht="16.5" customHeight="1" x14ac:dyDescent="0.25">
      <c r="A1000" s="52">
        <v>7951946041</v>
      </c>
      <c r="B1000" s="51" t="s">
        <v>1003</v>
      </c>
      <c r="C1000" s="51" t="s">
        <v>1010</v>
      </c>
      <c r="D1000" s="51" t="s">
        <v>1005</v>
      </c>
      <c r="E1000" s="51" t="s">
        <v>1005</v>
      </c>
      <c r="F1000" s="51" t="s">
        <v>1005</v>
      </c>
      <c r="G1000" s="51" t="s">
        <v>1005</v>
      </c>
      <c r="H1000" s="51" t="s">
        <v>1005</v>
      </c>
      <c r="I1000" s="51" t="s">
        <v>1005</v>
      </c>
      <c r="J1000" s="50" t="str">
        <f t="shared" si="30"/>
        <v>7951946041.pdf</v>
      </c>
      <c r="K1000" s="51" t="s">
        <v>1006</v>
      </c>
      <c r="L1000" s="51" t="s">
        <v>1216</v>
      </c>
      <c r="M1000" s="50" t="str">
        <f t="shared" si="31"/>
        <v>13.800</v>
      </c>
      <c r="N1000" s="50" t="str">
        <f>IF(A1000&lt;&gt;"",VLOOKUP(RIGHT(A1000,3)*1,[4]Des_Loc!A:B,2,0),"")</f>
        <v>CRIXAS DO TOCANTINS</v>
      </c>
    </row>
    <row r="1001" spans="1:14" ht="16.5" customHeight="1" x14ac:dyDescent="0.25">
      <c r="A1001" s="52">
        <v>7948507052</v>
      </c>
      <c r="B1001" s="51" t="s">
        <v>1003</v>
      </c>
      <c r="C1001" s="51" t="s">
        <v>1021</v>
      </c>
      <c r="D1001" s="51" t="s">
        <v>1011</v>
      </c>
      <c r="E1001" s="51" t="s">
        <v>1005</v>
      </c>
      <c r="F1001" s="51" t="s">
        <v>1005</v>
      </c>
      <c r="G1001" s="51" t="s">
        <v>1005</v>
      </c>
      <c r="H1001" s="51" t="s">
        <v>1005</v>
      </c>
      <c r="I1001" s="51" t="s">
        <v>1005</v>
      </c>
      <c r="J1001" s="50" t="str">
        <f t="shared" si="30"/>
        <v>7948507052.pdf</v>
      </c>
      <c r="K1001" s="51" t="s">
        <v>1006</v>
      </c>
      <c r="L1001" s="51" t="s">
        <v>1076</v>
      </c>
      <c r="M1001" s="50" t="str">
        <f t="shared" si="31"/>
        <v>34.500</v>
      </c>
      <c r="N1001" s="50" t="str">
        <f>IF(A1001&lt;&gt;"",VLOOKUP(RIGHT(A1001,3)*1,[4]Des_Loc!A:B,2,0),"")</f>
        <v>FORMOSO DO ARAGUAIA</v>
      </c>
    </row>
    <row r="1002" spans="1:14" ht="16.5" customHeight="1" x14ac:dyDescent="0.25">
      <c r="A1002" s="52">
        <v>7950387026</v>
      </c>
      <c r="B1002" s="51" t="s">
        <v>1003</v>
      </c>
      <c r="C1002" s="51" t="s">
        <v>1010</v>
      </c>
      <c r="D1002" s="51" t="s">
        <v>1011</v>
      </c>
      <c r="E1002" s="51" t="s">
        <v>1005</v>
      </c>
      <c r="F1002" s="51" t="s">
        <v>1011</v>
      </c>
      <c r="G1002" s="51" t="s">
        <v>1005</v>
      </c>
      <c r="H1002" s="51" t="s">
        <v>1005</v>
      </c>
      <c r="I1002" s="51" t="s">
        <v>1011</v>
      </c>
      <c r="J1002" s="50" t="str">
        <f t="shared" si="30"/>
        <v>7950387026.pdf</v>
      </c>
      <c r="K1002" s="51" t="s">
        <v>1006</v>
      </c>
      <c r="L1002" s="51" t="s">
        <v>518</v>
      </c>
      <c r="M1002" s="50" t="str">
        <f t="shared" si="31"/>
        <v>34.500</v>
      </c>
      <c r="N1002" s="50" t="str">
        <f>IF(A1002&lt;&gt;"",VLOOKUP(RIGHT(A1002,3)*1,[4]Des_Loc!A:B,2,0),"")</f>
        <v>PONTE ALTA TOCANTINS</v>
      </c>
    </row>
    <row r="1003" spans="1:14" ht="16.5" customHeight="1" x14ac:dyDescent="0.25">
      <c r="A1003" s="52">
        <v>7929657074</v>
      </c>
      <c r="B1003" s="51" t="s">
        <v>1003</v>
      </c>
      <c r="C1003" s="51" t="s">
        <v>1010</v>
      </c>
      <c r="D1003" s="51" t="s">
        <v>1011</v>
      </c>
      <c r="E1003" s="51" t="s">
        <v>1005</v>
      </c>
      <c r="F1003" s="51" t="s">
        <v>1005</v>
      </c>
      <c r="G1003" s="51" t="s">
        <v>1005</v>
      </c>
      <c r="H1003" s="51" t="s">
        <v>1005</v>
      </c>
      <c r="I1003" s="51" t="s">
        <v>1005</v>
      </c>
      <c r="J1003" s="50" t="str">
        <f t="shared" si="30"/>
        <v>7929657074.pdf</v>
      </c>
      <c r="K1003" s="51" t="s">
        <v>1006</v>
      </c>
      <c r="L1003" s="51" t="s">
        <v>331</v>
      </c>
      <c r="M1003" s="50" t="str">
        <f t="shared" si="31"/>
        <v>34.500</v>
      </c>
      <c r="N1003" s="50" t="str">
        <f>IF(A1003&lt;&gt;"",VLOOKUP(RIGHT(A1003,3)*1,[4]Des_Loc!A:B,2,0),"")</f>
        <v>DIANOPOLIS</v>
      </c>
    </row>
    <row r="1004" spans="1:14" ht="16.5" customHeight="1" x14ac:dyDescent="0.25">
      <c r="A1004" s="52">
        <v>7953610256</v>
      </c>
      <c r="B1004" s="51" t="s">
        <v>1003</v>
      </c>
      <c r="C1004" s="51" t="s">
        <v>1025</v>
      </c>
      <c r="D1004" s="51" t="s">
        <v>1011</v>
      </c>
      <c r="E1004" s="51" t="s">
        <v>1005</v>
      </c>
      <c r="F1004" s="51" t="s">
        <v>1005</v>
      </c>
      <c r="G1004" s="51" t="s">
        <v>1005</v>
      </c>
      <c r="H1004" s="51" t="s">
        <v>1005</v>
      </c>
      <c r="I1004" s="51" t="s">
        <v>1005</v>
      </c>
      <c r="J1004" s="50" t="str">
        <f t="shared" si="30"/>
        <v>7953610256.pdf</v>
      </c>
      <c r="K1004" s="51" t="s">
        <v>1006</v>
      </c>
      <c r="L1004" s="51" t="s">
        <v>518</v>
      </c>
      <c r="M1004" s="50" t="str">
        <f t="shared" si="31"/>
        <v>34.500</v>
      </c>
      <c r="N1004" s="50" t="str">
        <f>IF(A1004&lt;&gt;"",VLOOKUP(RIGHT(A1004,3)*1,[4]Des_Loc!A:B,2,0),"")</f>
        <v>MATEIROS</v>
      </c>
    </row>
    <row r="1005" spans="1:14" ht="16.5" customHeight="1" x14ac:dyDescent="0.25">
      <c r="A1005" s="52">
        <v>7954050193</v>
      </c>
      <c r="B1005" s="51" t="s">
        <v>1003</v>
      </c>
      <c r="C1005" s="51" t="s">
        <v>1021</v>
      </c>
      <c r="D1005" s="51" t="s">
        <v>1005</v>
      </c>
      <c r="E1005" s="51" t="s">
        <v>1005</v>
      </c>
      <c r="F1005" s="51" t="s">
        <v>1005</v>
      </c>
      <c r="G1005" s="51" t="s">
        <v>1005</v>
      </c>
      <c r="H1005" s="51" t="s">
        <v>1005</v>
      </c>
      <c r="I1005" s="51" t="s">
        <v>1005</v>
      </c>
      <c r="J1005" s="50" t="str">
        <f t="shared" si="30"/>
        <v>7954050193.pdf</v>
      </c>
      <c r="K1005" s="51" t="s">
        <v>1006</v>
      </c>
      <c r="L1005" s="51" t="s">
        <v>1036</v>
      </c>
      <c r="M1005" s="50" t="str">
        <f t="shared" si="31"/>
        <v>34.500</v>
      </c>
      <c r="N1005" s="50" t="str">
        <f>IF(A1005&lt;&gt;"",VLOOKUP(RIGHT(A1005,3)*1,[4]Des_Loc!A:B,2,0),"")</f>
        <v>CAMPOS LINDOS</v>
      </c>
    </row>
    <row r="1006" spans="1:14" ht="16.5" customHeight="1" x14ac:dyDescent="0.25">
      <c r="A1006" s="52">
        <v>7953695077</v>
      </c>
      <c r="B1006" s="51" t="s">
        <v>1003</v>
      </c>
      <c r="C1006" s="51" t="s">
        <v>1004</v>
      </c>
      <c r="D1006" s="51" t="s">
        <v>1011</v>
      </c>
      <c r="E1006" s="51" t="s">
        <v>1005</v>
      </c>
      <c r="F1006" s="51" t="s">
        <v>1005</v>
      </c>
      <c r="G1006" s="51" t="s">
        <v>1005</v>
      </c>
      <c r="H1006" s="51" t="s">
        <v>1005</v>
      </c>
      <c r="I1006" s="51" t="s">
        <v>1005</v>
      </c>
      <c r="J1006" s="50" t="str">
        <f t="shared" si="30"/>
        <v>7953695077.pdf</v>
      </c>
      <c r="K1006" s="51" t="s">
        <v>1006</v>
      </c>
      <c r="L1006" s="51" t="s">
        <v>632</v>
      </c>
      <c r="M1006" s="50" t="str">
        <f t="shared" si="31"/>
        <v>34.500</v>
      </c>
      <c r="N1006" s="50" t="str">
        <f>IF(A1006&lt;&gt;"",VLOOKUP(RIGHT(A1006,3)*1,[4]Des_Loc!A:B,2,0),"")</f>
        <v>GOIATINS</v>
      </c>
    </row>
    <row r="1007" spans="1:14" ht="16.5" customHeight="1" x14ac:dyDescent="0.25">
      <c r="A1007" s="52">
        <v>7951972003</v>
      </c>
      <c r="B1007" s="51" t="s">
        <v>1003</v>
      </c>
      <c r="C1007" s="51" t="s">
        <v>1008</v>
      </c>
      <c r="D1007" s="51" t="s">
        <v>1011</v>
      </c>
      <c r="E1007" s="51" t="s">
        <v>1005</v>
      </c>
      <c r="F1007" s="51" t="s">
        <v>1005</v>
      </c>
      <c r="G1007" s="51" t="s">
        <v>1005</v>
      </c>
      <c r="H1007" s="51" t="s">
        <v>1005</v>
      </c>
      <c r="I1007" s="51" t="s">
        <v>1005</v>
      </c>
      <c r="J1007" s="50" t="str">
        <f t="shared" si="30"/>
        <v>7951972003.pdf</v>
      </c>
      <c r="K1007" s="51" t="s">
        <v>1006</v>
      </c>
      <c r="L1007" s="51" t="s">
        <v>1080</v>
      </c>
      <c r="M1007" s="50" t="str">
        <f t="shared" si="31"/>
        <v>34.500</v>
      </c>
      <c r="N1007" s="50" t="str">
        <f>IF(A1007&lt;&gt;"",VLOOKUP(RIGHT(A1007,3)*1,[4]Des_Loc!A:B,2,0),"")</f>
        <v>GURUPI</v>
      </c>
    </row>
    <row r="1008" spans="1:14" ht="16.5" customHeight="1" x14ac:dyDescent="0.25">
      <c r="A1008" s="52">
        <v>7951973003</v>
      </c>
      <c r="B1008" s="51" t="s">
        <v>1003</v>
      </c>
      <c r="C1008" s="51" t="s">
        <v>1025</v>
      </c>
      <c r="D1008" s="51" t="s">
        <v>1011</v>
      </c>
      <c r="E1008" s="51" t="s">
        <v>1005</v>
      </c>
      <c r="F1008" s="51" t="s">
        <v>1005</v>
      </c>
      <c r="G1008" s="51" t="s">
        <v>1005</v>
      </c>
      <c r="H1008" s="51" t="s">
        <v>1005</v>
      </c>
      <c r="I1008" s="51" t="s">
        <v>1005</v>
      </c>
      <c r="J1008" s="50" t="str">
        <f t="shared" si="30"/>
        <v>7951973003.pdf</v>
      </c>
      <c r="K1008" s="51" t="s">
        <v>1006</v>
      </c>
      <c r="L1008" s="51" t="s">
        <v>1059</v>
      </c>
      <c r="M1008" s="50" t="str">
        <f t="shared" si="31"/>
        <v>13.800</v>
      </c>
      <c r="N1008" s="50" t="str">
        <f>IF(A1008&lt;&gt;"",VLOOKUP(RIGHT(A1008,3)*1,[4]Des_Loc!A:B,2,0),"")</f>
        <v>GURUPI</v>
      </c>
    </row>
    <row r="1009" spans="1:14" ht="16.5" customHeight="1" x14ac:dyDescent="0.25">
      <c r="A1009" s="52">
        <v>7951356092</v>
      </c>
      <c r="B1009" s="51" t="s">
        <v>1003</v>
      </c>
      <c r="C1009" s="51" t="s">
        <v>1010</v>
      </c>
      <c r="D1009" s="51" t="s">
        <v>1011</v>
      </c>
      <c r="E1009" s="51" t="s">
        <v>1011</v>
      </c>
      <c r="F1009" s="51" t="s">
        <v>1011</v>
      </c>
      <c r="G1009" s="51" t="s">
        <v>1005</v>
      </c>
      <c r="H1009" s="51" t="s">
        <v>1005</v>
      </c>
      <c r="I1009" s="51" t="s">
        <v>1011</v>
      </c>
      <c r="J1009" s="50" t="str">
        <f t="shared" si="30"/>
        <v>7951356092.pdf</v>
      </c>
      <c r="K1009" s="51" t="s">
        <v>1006</v>
      </c>
      <c r="L1009" s="51" t="s">
        <v>1015</v>
      </c>
      <c r="M1009" s="50" t="str">
        <f t="shared" si="31"/>
        <v>34.500</v>
      </c>
      <c r="N1009" s="50" t="str">
        <f>IF(A1009&lt;&gt;"",VLOOKUP(RIGHT(A1009,3)*1,[4]Des_Loc!A:B,2,0),"")</f>
        <v>NOVO ACORDO</v>
      </c>
    </row>
    <row r="1010" spans="1:14" ht="16.5" customHeight="1" x14ac:dyDescent="0.25">
      <c r="A1010" s="52">
        <v>7952668060</v>
      </c>
      <c r="B1010" s="51" t="s">
        <v>1003</v>
      </c>
      <c r="C1010" s="51" t="s">
        <v>1025</v>
      </c>
      <c r="D1010" s="51" t="s">
        <v>1011</v>
      </c>
      <c r="E1010" s="51" t="s">
        <v>1005</v>
      </c>
      <c r="F1010" s="51" t="s">
        <v>1011</v>
      </c>
      <c r="G1010" s="51" t="s">
        <v>1005</v>
      </c>
      <c r="H1010" s="51" t="s">
        <v>1005</v>
      </c>
      <c r="I1010" s="51" t="s">
        <v>1011</v>
      </c>
      <c r="J1010" s="50" t="str">
        <f t="shared" si="30"/>
        <v>7952668060.pdf</v>
      </c>
      <c r="K1010" s="51" t="s">
        <v>1006</v>
      </c>
      <c r="L1010" s="51" t="s">
        <v>1125</v>
      </c>
      <c r="M1010" s="50" t="str">
        <f t="shared" si="31"/>
        <v>13.800</v>
      </c>
      <c r="N1010" s="50" t="str">
        <f>IF(A1010&lt;&gt;"",VLOOKUP(RIGHT(A1010,3)*1,[4]Des_Loc!A:B,2,0),"")</f>
        <v>NOVA OLINDA</v>
      </c>
    </row>
    <row r="1011" spans="1:14" ht="16.5" customHeight="1" x14ac:dyDescent="0.25">
      <c r="A1011" s="52">
        <v>7954864073</v>
      </c>
      <c r="B1011" s="51" t="s">
        <v>1003</v>
      </c>
      <c r="C1011" s="51" t="s">
        <v>1010</v>
      </c>
      <c r="D1011" s="51" t="s">
        <v>1011</v>
      </c>
      <c r="E1011" s="51" t="s">
        <v>1011</v>
      </c>
      <c r="F1011" s="51" t="s">
        <v>1011</v>
      </c>
      <c r="G1011" s="51" t="s">
        <v>1005</v>
      </c>
      <c r="H1011" s="51" t="s">
        <v>1005</v>
      </c>
      <c r="I1011" s="51" t="s">
        <v>1011</v>
      </c>
      <c r="J1011" s="50" t="str">
        <f t="shared" si="30"/>
        <v>7954864073.pdf</v>
      </c>
      <c r="K1011" s="51" t="s">
        <v>1006</v>
      </c>
      <c r="L1011" s="51" t="s">
        <v>1137</v>
      </c>
      <c r="M1011" s="50" t="str">
        <f t="shared" si="31"/>
        <v>34.500</v>
      </c>
      <c r="N1011" s="50" t="str">
        <f>IF(A1011&lt;&gt;"",VLOOKUP(RIGHT(A1011,3)*1,[4]Des_Loc!A:B,2,0),"")</f>
        <v>LAGOA DA CONFUSAO</v>
      </c>
    </row>
    <row r="1012" spans="1:14" ht="16.5" customHeight="1" x14ac:dyDescent="0.25">
      <c r="A1012" s="52">
        <v>7951445073</v>
      </c>
      <c r="B1012" s="51" t="s">
        <v>1003</v>
      </c>
      <c r="C1012" s="51" t="s">
        <v>1010</v>
      </c>
      <c r="D1012" s="51" t="s">
        <v>1011</v>
      </c>
      <c r="E1012" s="51" t="s">
        <v>1005</v>
      </c>
      <c r="F1012" s="51" t="s">
        <v>1005</v>
      </c>
      <c r="G1012" s="51" t="s">
        <v>1005</v>
      </c>
      <c r="H1012" s="51" t="s">
        <v>1005</v>
      </c>
      <c r="I1012" s="51" t="s">
        <v>1005</v>
      </c>
      <c r="J1012" s="50" t="str">
        <f t="shared" si="30"/>
        <v>7951445073.pdf</v>
      </c>
      <c r="K1012" s="51" t="s">
        <v>1006</v>
      </c>
      <c r="L1012" s="51" t="s">
        <v>1137</v>
      </c>
      <c r="M1012" s="50" t="str">
        <f t="shared" si="31"/>
        <v>34.500</v>
      </c>
      <c r="N1012" s="50" t="str">
        <f>IF(A1012&lt;&gt;"",VLOOKUP(RIGHT(A1012,3)*1,[4]Des_Loc!A:B,2,0),"")</f>
        <v>LAGOA DA CONFUSAO</v>
      </c>
    </row>
    <row r="1013" spans="1:14" ht="16.5" customHeight="1" x14ac:dyDescent="0.25">
      <c r="A1013" s="52">
        <v>7951446073</v>
      </c>
      <c r="B1013" s="51" t="s">
        <v>1003</v>
      </c>
      <c r="C1013" s="51" t="s">
        <v>1010</v>
      </c>
      <c r="D1013" s="51" t="s">
        <v>1011</v>
      </c>
      <c r="E1013" s="51" t="s">
        <v>1011</v>
      </c>
      <c r="F1013" s="51" t="s">
        <v>1011</v>
      </c>
      <c r="G1013" s="51" t="s">
        <v>1005</v>
      </c>
      <c r="H1013" s="51" t="s">
        <v>1005</v>
      </c>
      <c r="I1013" s="51" t="s">
        <v>1011</v>
      </c>
      <c r="J1013" s="50" t="str">
        <f t="shared" si="30"/>
        <v>7951446073.pdf</v>
      </c>
      <c r="K1013" s="51" t="s">
        <v>1006</v>
      </c>
      <c r="L1013" s="51" t="s">
        <v>1137</v>
      </c>
      <c r="M1013" s="50" t="str">
        <f t="shared" si="31"/>
        <v>34.500</v>
      </c>
      <c r="N1013" s="50" t="str">
        <f>IF(A1013&lt;&gt;"",VLOOKUP(RIGHT(A1013,3)*1,[4]Des_Loc!A:B,2,0),"")</f>
        <v>LAGOA DA CONFUSAO</v>
      </c>
    </row>
    <row r="1014" spans="1:14" ht="16.5" customHeight="1" x14ac:dyDescent="0.25">
      <c r="A1014" s="52">
        <v>7953364073</v>
      </c>
      <c r="B1014" s="51" t="s">
        <v>1003</v>
      </c>
      <c r="C1014" s="51" t="s">
        <v>1010</v>
      </c>
      <c r="D1014" s="51" t="s">
        <v>1011</v>
      </c>
      <c r="E1014" s="51" t="s">
        <v>1005</v>
      </c>
      <c r="F1014" s="51" t="s">
        <v>1005</v>
      </c>
      <c r="G1014" s="51" t="s">
        <v>1005</v>
      </c>
      <c r="H1014" s="51" t="s">
        <v>1005</v>
      </c>
      <c r="I1014" s="51" t="s">
        <v>1005</v>
      </c>
      <c r="J1014" s="50" t="str">
        <f t="shared" si="30"/>
        <v>7953364073.pdf</v>
      </c>
      <c r="K1014" s="51" t="s">
        <v>1006</v>
      </c>
      <c r="L1014" s="51" t="s">
        <v>1137</v>
      </c>
      <c r="M1014" s="50" t="str">
        <f t="shared" si="31"/>
        <v>34.500</v>
      </c>
      <c r="N1014" s="50" t="str">
        <f>IF(A1014&lt;&gt;"",VLOOKUP(RIGHT(A1014,3)*1,[4]Des_Loc!A:B,2,0),"")</f>
        <v>LAGOA DA CONFUSAO</v>
      </c>
    </row>
    <row r="1015" spans="1:14" ht="16.5" customHeight="1" x14ac:dyDescent="0.25">
      <c r="A1015" s="52">
        <v>7954668084</v>
      </c>
      <c r="B1015" s="51" t="s">
        <v>1003</v>
      </c>
      <c r="C1015" s="51" t="s">
        <v>1010</v>
      </c>
      <c r="D1015" s="51" t="s">
        <v>1011</v>
      </c>
      <c r="E1015" s="51" t="s">
        <v>1005</v>
      </c>
      <c r="F1015" s="51" t="s">
        <v>1011</v>
      </c>
      <c r="G1015" s="51" t="s">
        <v>1005</v>
      </c>
      <c r="H1015" s="51" t="s">
        <v>1005</v>
      </c>
      <c r="I1015" s="51" t="s">
        <v>1011</v>
      </c>
      <c r="J1015" s="50" t="str">
        <f t="shared" si="30"/>
        <v>7954668084.pdf</v>
      </c>
      <c r="K1015" s="51" t="s">
        <v>1006</v>
      </c>
      <c r="L1015" s="51" t="s">
        <v>526</v>
      </c>
      <c r="M1015" s="50" t="str">
        <f t="shared" si="31"/>
        <v>34.500</v>
      </c>
      <c r="N1015" s="50" t="str">
        <f>IF(A1015&lt;&gt;"",VLOOKUP(RIGHT(A1015,3)*1,[4]Des_Loc!A:B,2,0),"")</f>
        <v>DIVINOPOLIS</v>
      </c>
    </row>
    <row r="1016" spans="1:14" ht="16.5" customHeight="1" x14ac:dyDescent="0.25">
      <c r="A1016" s="52">
        <v>7947668005</v>
      </c>
      <c r="B1016" s="51" t="s">
        <v>1003</v>
      </c>
      <c r="C1016" s="51" t="s">
        <v>1010</v>
      </c>
      <c r="D1016" s="51" t="s">
        <v>1011</v>
      </c>
      <c r="E1016" s="51" t="s">
        <v>1005</v>
      </c>
      <c r="F1016" s="51" t="s">
        <v>1005</v>
      </c>
      <c r="G1016" s="51" t="s">
        <v>1005</v>
      </c>
      <c r="H1016" s="51" t="s">
        <v>1005</v>
      </c>
      <c r="I1016" s="51" t="s">
        <v>1005</v>
      </c>
      <c r="J1016" s="50" t="str">
        <f t="shared" si="30"/>
        <v>7947668005.pdf</v>
      </c>
      <c r="K1016" s="51" t="s">
        <v>1006</v>
      </c>
      <c r="L1016" s="51" t="s">
        <v>1078</v>
      </c>
      <c r="M1016" s="50" t="str">
        <f t="shared" si="31"/>
        <v>34.500</v>
      </c>
      <c r="N1016" s="50" t="str">
        <f>IF(A1016&lt;&gt;"",VLOOKUP(RIGHT(A1016,3)*1,[4]Des_Loc!A:B,2,0),"")</f>
        <v>ARRAIAS</v>
      </c>
    </row>
    <row r="1017" spans="1:14" ht="16.5" customHeight="1" x14ac:dyDescent="0.25">
      <c r="A1017" s="52">
        <v>7951844001</v>
      </c>
      <c r="B1017" s="51" t="s">
        <v>1003</v>
      </c>
      <c r="C1017" s="51" t="s">
        <v>1025</v>
      </c>
      <c r="D1017" s="51" t="s">
        <v>1011</v>
      </c>
      <c r="E1017" s="51" t="s">
        <v>1005</v>
      </c>
      <c r="F1017" s="51" t="s">
        <v>1011</v>
      </c>
      <c r="G1017" s="51" t="s">
        <v>1005</v>
      </c>
      <c r="H1017" s="51" t="s">
        <v>1005</v>
      </c>
      <c r="I1017" s="51" t="s">
        <v>1011</v>
      </c>
      <c r="J1017" s="50" t="str">
        <f t="shared" si="30"/>
        <v>7951844001.pdf</v>
      </c>
      <c r="K1017" s="51" t="s">
        <v>1006</v>
      </c>
      <c r="L1017" s="51" t="s">
        <v>1217</v>
      </c>
      <c r="M1017" s="50" t="str">
        <f t="shared" si="31"/>
        <v>13.800</v>
      </c>
      <c r="N1017" s="50" t="str">
        <f>IF(A1017&lt;&gt;"",VLOOKUP(RIGHT(A1017,3)*1,[4]Des_Loc!A:B,2,0),"")</f>
        <v>PORTO NACIONAL</v>
      </c>
    </row>
    <row r="1018" spans="1:14" ht="16.5" customHeight="1" x14ac:dyDescent="0.25">
      <c r="A1018" s="52">
        <v>7952138122</v>
      </c>
      <c r="B1018" s="51" t="s">
        <v>1003</v>
      </c>
      <c r="C1018" s="51" t="s">
        <v>1004</v>
      </c>
      <c r="D1018" s="51" t="s">
        <v>1005</v>
      </c>
      <c r="E1018" s="51" t="s">
        <v>1005</v>
      </c>
      <c r="F1018" s="51" t="s">
        <v>1005</v>
      </c>
      <c r="G1018" s="51" t="s">
        <v>1005</v>
      </c>
      <c r="H1018" s="51" t="s">
        <v>1005</v>
      </c>
      <c r="I1018" s="51" t="s">
        <v>1005</v>
      </c>
      <c r="J1018" s="50" t="str">
        <f t="shared" si="30"/>
        <v>7952138122.pdf</v>
      </c>
      <c r="K1018" s="51" t="s">
        <v>1006</v>
      </c>
      <c r="L1018" s="51" t="s">
        <v>1043</v>
      </c>
      <c r="M1018" s="50" t="str">
        <f t="shared" si="31"/>
        <v>34.500</v>
      </c>
      <c r="N1018" s="50" t="str">
        <f>IF(A1018&lt;&gt;"",VLOOKUP(RIGHT(A1018,3)*1,[4]Des_Loc!A:B,2,0),"")</f>
        <v>PALMAS</v>
      </c>
    </row>
    <row r="1019" spans="1:14" ht="16.5" customHeight="1" x14ac:dyDescent="0.25">
      <c r="A1019" s="52">
        <v>7952416122</v>
      </c>
      <c r="B1019" s="51" t="s">
        <v>1003</v>
      </c>
      <c r="C1019" s="51" t="s">
        <v>1010</v>
      </c>
      <c r="D1019" s="51" t="s">
        <v>1011</v>
      </c>
      <c r="E1019" s="51" t="s">
        <v>1011</v>
      </c>
      <c r="F1019" s="51" t="s">
        <v>1011</v>
      </c>
      <c r="G1019" s="51" t="s">
        <v>1005</v>
      </c>
      <c r="H1019" s="51" t="s">
        <v>1005</v>
      </c>
      <c r="I1019" s="51" t="s">
        <v>1011</v>
      </c>
      <c r="J1019" s="50" t="str">
        <f t="shared" si="30"/>
        <v>7952416122.pdf</v>
      </c>
      <c r="K1019" s="51" t="s">
        <v>1006</v>
      </c>
      <c r="L1019" s="51" t="s">
        <v>1043</v>
      </c>
      <c r="M1019" s="50" t="str">
        <f t="shared" si="31"/>
        <v>34.500</v>
      </c>
      <c r="N1019" s="50" t="str">
        <f>IF(A1019&lt;&gt;"",VLOOKUP(RIGHT(A1019,3)*1,[4]Des_Loc!A:B,2,0),"")</f>
        <v>PALMAS</v>
      </c>
    </row>
    <row r="1020" spans="1:14" ht="16.5" customHeight="1" x14ac:dyDescent="0.25">
      <c r="A1020" s="52">
        <v>7953394054</v>
      </c>
      <c r="B1020" s="51" t="s">
        <v>1003</v>
      </c>
      <c r="C1020" s="51" t="s">
        <v>1010</v>
      </c>
      <c r="D1020" s="51" t="s">
        <v>1011</v>
      </c>
      <c r="E1020" s="51" t="s">
        <v>1005</v>
      </c>
      <c r="F1020" s="51" t="s">
        <v>1005</v>
      </c>
      <c r="G1020" s="51" t="s">
        <v>1005</v>
      </c>
      <c r="H1020" s="51" t="s">
        <v>1005</v>
      </c>
      <c r="I1020" s="51" t="s">
        <v>1005</v>
      </c>
      <c r="J1020" s="50" t="str">
        <f t="shared" si="30"/>
        <v>7953394054.pdf</v>
      </c>
      <c r="K1020" s="51" t="s">
        <v>1006</v>
      </c>
      <c r="L1020" s="51" t="s">
        <v>1019</v>
      </c>
      <c r="M1020" s="50" t="str">
        <f t="shared" si="31"/>
        <v>34.500</v>
      </c>
      <c r="N1020" s="50" t="str">
        <f>IF(A1020&lt;&gt;"",VLOOKUP(RIGHT(A1020,3)*1,[4]Des_Loc!A:B,2,0),"")</f>
        <v>PUGMIL</v>
      </c>
    </row>
    <row r="1021" spans="1:14" ht="16.5" customHeight="1" x14ac:dyDescent="0.25">
      <c r="A1021" s="52">
        <v>7949249030</v>
      </c>
      <c r="B1021" s="51" t="s">
        <v>1003</v>
      </c>
      <c r="C1021" s="51" t="s">
        <v>1010</v>
      </c>
      <c r="D1021" s="51" t="s">
        <v>1011</v>
      </c>
      <c r="E1021" s="51" t="s">
        <v>1005</v>
      </c>
      <c r="F1021" s="51" t="s">
        <v>1005</v>
      </c>
      <c r="G1021" s="51" t="s">
        <v>1005</v>
      </c>
      <c r="H1021" s="51" t="s">
        <v>1005</v>
      </c>
      <c r="I1021" s="51" t="s">
        <v>1005</v>
      </c>
      <c r="J1021" s="50" t="str">
        <f t="shared" si="30"/>
        <v>7949249030.pdf</v>
      </c>
      <c r="K1021" s="51" t="s">
        <v>1006</v>
      </c>
      <c r="L1021" s="51" t="s">
        <v>1144</v>
      </c>
      <c r="M1021" s="50" t="str">
        <f t="shared" si="31"/>
        <v>34.500</v>
      </c>
      <c r="N1021" s="50" t="str">
        <f>IF(A1021&lt;&gt;"",VLOOKUP(RIGHT(A1021,3)*1,[4]Des_Loc!A:B,2,0),"")</f>
        <v>XAMBIOA</v>
      </c>
    </row>
    <row r="1022" spans="1:14" ht="16.5" customHeight="1" x14ac:dyDescent="0.25">
      <c r="A1022" s="52">
        <v>7952613004</v>
      </c>
      <c r="B1022" s="51" t="s">
        <v>1003</v>
      </c>
      <c r="C1022" s="51" t="s">
        <v>1010</v>
      </c>
      <c r="D1022" s="51" t="s">
        <v>1005</v>
      </c>
      <c r="E1022" s="51" t="s">
        <v>1005</v>
      </c>
      <c r="F1022" s="51" t="s">
        <v>1005</v>
      </c>
      <c r="G1022" s="51" t="s">
        <v>1005</v>
      </c>
      <c r="H1022" s="51" t="s">
        <v>1005</v>
      </c>
      <c r="I1022" s="51" t="s">
        <v>1005</v>
      </c>
      <c r="J1022" s="50" t="str">
        <f t="shared" si="30"/>
        <v>7952613004.pdf</v>
      </c>
      <c r="K1022" s="51" t="s">
        <v>1006</v>
      </c>
      <c r="L1022" s="51" t="s">
        <v>497</v>
      </c>
      <c r="M1022" s="50" t="str">
        <f t="shared" si="31"/>
        <v>34.500</v>
      </c>
      <c r="N1022" s="50" t="str">
        <f>IF(A1022&lt;&gt;"",VLOOKUP(RIGHT(A1022,3)*1,[4]Des_Loc!A:B,2,0),"")</f>
        <v>ARAGUAINA</v>
      </c>
    </row>
    <row r="1023" spans="1:14" ht="16.5" customHeight="1" x14ac:dyDescent="0.25">
      <c r="A1023" s="52">
        <v>7952852014</v>
      </c>
      <c r="B1023" s="51" t="s">
        <v>1003</v>
      </c>
      <c r="C1023" s="51" t="s">
        <v>1008</v>
      </c>
      <c r="D1023" s="51" t="s">
        <v>1005</v>
      </c>
      <c r="E1023" s="51" t="s">
        <v>1005</v>
      </c>
      <c r="F1023" s="51" t="s">
        <v>1005</v>
      </c>
      <c r="G1023" s="51" t="s">
        <v>1005</v>
      </c>
      <c r="H1023" s="51" t="s">
        <v>1005</v>
      </c>
      <c r="I1023" s="51" t="s">
        <v>1005</v>
      </c>
      <c r="J1023" s="50" t="str">
        <f t="shared" si="30"/>
        <v>7952852014.pdf</v>
      </c>
      <c r="K1023" s="51" t="s">
        <v>1006</v>
      </c>
      <c r="L1023" s="51" t="s">
        <v>639</v>
      </c>
      <c r="M1023" s="50" t="str">
        <f t="shared" si="31"/>
        <v>34.500</v>
      </c>
      <c r="N1023" s="50" t="str">
        <f>IF(A1023&lt;&gt;"",VLOOKUP(RIGHT(A1023,3)*1,[4]Des_Loc!A:B,2,0),"")</f>
        <v>PIUM</v>
      </c>
    </row>
    <row r="1024" spans="1:14" ht="16.5" customHeight="1" x14ac:dyDescent="0.25">
      <c r="A1024" s="52">
        <v>7954534046</v>
      </c>
      <c r="B1024" s="51" t="s">
        <v>1003</v>
      </c>
      <c r="C1024" s="51" t="s">
        <v>1008</v>
      </c>
      <c r="D1024" s="51" t="s">
        <v>1005</v>
      </c>
      <c r="E1024" s="51" t="s">
        <v>1005</v>
      </c>
      <c r="F1024" s="51" t="s">
        <v>1005</v>
      </c>
      <c r="G1024" s="51" t="s">
        <v>1005</v>
      </c>
      <c r="H1024" s="51" t="s">
        <v>1005</v>
      </c>
      <c r="I1024" s="51" t="s">
        <v>1005</v>
      </c>
      <c r="J1024" s="50" t="str">
        <f t="shared" si="30"/>
        <v>7954534046.pdf</v>
      </c>
      <c r="K1024" s="51" t="s">
        <v>1006</v>
      </c>
      <c r="L1024" s="51" t="s">
        <v>1019</v>
      </c>
      <c r="M1024" s="50" t="str">
        <f t="shared" si="31"/>
        <v>34.500</v>
      </c>
      <c r="N1024" s="50" t="str">
        <f>IF(A1024&lt;&gt;"",VLOOKUP(RIGHT(A1024,3)*1,[4]Des_Loc!A:B,2,0),"")</f>
        <v>NOVA ROSALANDIA</v>
      </c>
    </row>
    <row r="1025" spans="1:14" ht="16.5" customHeight="1" x14ac:dyDescent="0.25">
      <c r="A1025" s="52">
        <v>7952841155</v>
      </c>
      <c r="B1025" s="51" t="s">
        <v>1003</v>
      </c>
      <c r="C1025" s="51" t="s">
        <v>1008</v>
      </c>
      <c r="D1025" s="51" t="s">
        <v>1005</v>
      </c>
      <c r="E1025" s="51" t="s">
        <v>1005</v>
      </c>
      <c r="F1025" s="51" t="s">
        <v>1005</v>
      </c>
      <c r="G1025" s="51" t="s">
        <v>1005</v>
      </c>
      <c r="H1025" s="51" t="s">
        <v>1005</v>
      </c>
      <c r="I1025" s="51" t="s">
        <v>1005</v>
      </c>
      <c r="J1025" s="50" t="str">
        <f t="shared" si="30"/>
        <v>7952841155.pdf</v>
      </c>
      <c r="K1025" s="51" t="s">
        <v>1006</v>
      </c>
      <c r="L1025" s="51" t="s">
        <v>1150</v>
      </c>
      <c r="M1025" s="50" t="str">
        <f t="shared" si="31"/>
        <v>34.500</v>
      </c>
      <c r="N1025" s="50" t="str">
        <f>IF(A1025&lt;&gt;"",VLOOKUP(RIGHT(A1025,3)*1,[4]Des_Loc!A:B,2,0),"")</f>
        <v>PALMEIRANTE</v>
      </c>
    </row>
    <row r="1026" spans="1:14" ht="16.5" customHeight="1" x14ac:dyDescent="0.25">
      <c r="A1026" s="52">
        <v>7954476060</v>
      </c>
      <c r="B1026" s="51" t="s">
        <v>1003</v>
      </c>
      <c r="C1026" s="51" t="s">
        <v>1010</v>
      </c>
      <c r="D1026" s="51" t="s">
        <v>1011</v>
      </c>
      <c r="E1026" s="51" t="s">
        <v>1011</v>
      </c>
      <c r="F1026" s="51" t="s">
        <v>1011</v>
      </c>
      <c r="G1026" s="51" t="s">
        <v>1005</v>
      </c>
      <c r="H1026" s="51" t="s">
        <v>1005</v>
      </c>
      <c r="I1026" s="51" t="s">
        <v>1005</v>
      </c>
      <c r="J1026" s="50" t="str">
        <f t="shared" ref="J1026:J1089" si="32">CONCATENATE(A1026,".pdf")</f>
        <v>7954476060.pdf</v>
      </c>
      <c r="K1026" s="51" t="s">
        <v>1006</v>
      </c>
      <c r="L1026" s="51" t="s">
        <v>412</v>
      </c>
      <c r="M1026" s="50" t="str">
        <f t="shared" ref="M1026:M1089" si="33">IF(L1026&lt;&gt;"",IF(LEFT(L1026,2)="AL","13.800","34.500"),"")</f>
        <v>13.800</v>
      </c>
      <c r="N1026" s="50" t="str">
        <f>IF(A1026&lt;&gt;"",VLOOKUP(RIGHT(A1026,3)*1,[4]Des_Loc!A:B,2,0),"")</f>
        <v>NOVA OLINDA</v>
      </c>
    </row>
    <row r="1027" spans="1:14" ht="16.5" customHeight="1" x14ac:dyDescent="0.25">
      <c r="A1027" s="52">
        <v>7954491004</v>
      </c>
      <c r="B1027" s="51" t="s">
        <v>1003</v>
      </c>
      <c r="C1027" s="51" t="s">
        <v>1025</v>
      </c>
      <c r="D1027" s="51" t="s">
        <v>1011</v>
      </c>
      <c r="E1027" s="51" t="s">
        <v>1011</v>
      </c>
      <c r="F1027" s="51" t="s">
        <v>1011</v>
      </c>
      <c r="G1027" s="51" t="s">
        <v>1005</v>
      </c>
      <c r="H1027" s="51" t="s">
        <v>1005</v>
      </c>
      <c r="I1027" s="51" t="s">
        <v>1011</v>
      </c>
      <c r="J1027" s="50" t="str">
        <f t="shared" si="32"/>
        <v>7954491004.pdf</v>
      </c>
      <c r="K1027" s="51" t="s">
        <v>1006</v>
      </c>
      <c r="L1027" s="51" t="s">
        <v>533</v>
      </c>
      <c r="M1027" s="50" t="str">
        <f t="shared" si="33"/>
        <v>34.500</v>
      </c>
      <c r="N1027" s="50" t="str">
        <f>IF(A1027&lt;&gt;"",VLOOKUP(RIGHT(A1027,3)*1,[4]Des_Loc!A:B,2,0),"")</f>
        <v>ARAGUAINA</v>
      </c>
    </row>
    <row r="1028" spans="1:14" ht="16.5" customHeight="1" x14ac:dyDescent="0.25">
      <c r="A1028" s="52">
        <v>7950004155</v>
      </c>
      <c r="B1028" s="51" t="s">
        <v>1003</v>
      </c>
      <c r="C1028" s="51" t="s">
        <v>1025</v>
      </c>
      <c r="D1028" s="51" t="s">
        <v>1011</v>
      </c>
      <c r="E1028" s="51" t="s">
        <v>1005</v>
      </c>
      <c r="F1028" s="51" t="s">
        <v>1011</v>
      </c>
      <c r="G1028" s="51" t="s">
        <v>1005</v>
      </c>
      <c r="H1028" s="51" t="s">
        <v>1005</v>
      </c>
      <c r="I1028" s="51" t="s">
        <v>1011</v>
      </c>
      <c r="J1028" s="50" t="str">
        <f t="shared" si="32"/>
        <v>7950004155.pdf</v>
      </c>
      <c r="K1028" s="51" t="s">
        <v>1006</v>
      </c>
      <c r="L1028" s="51" t="s">
        <v>1150</v>
      </c>
      <c r="M1028" s="50" t="str">
        <f t="shared" si="33"/>
        <v>34.500</v>
      </c>
      <c r="N1028" s="50" t="str">
        <f>IF(A1028&lt;&gt;"",VLOOKUP(RIGHT(A1028,3)*1,[4]Des_Loc!A:B,2,0),"")</f>
        <v>PALMEIRANTE</v>
      </c>
    </row>
    <row r="1029" spans="1:14" ht="16.5" customHeight="1" x14ac:dyDescent="0.25">
      <c r="A1029" s="52">
        <v>7948105221</v>
      </c>
      <c r="B1029" s="51" t="s">
        <v>1003</v>
      </c>
      <c r="C1029" s="51" t="s">
        <v>1021</v>
      </c>
      <c r="D1029" s="51" t="s">
        <v>1005</v>
      </c>
      <c r="E1029" s="51" t="s">
        <v>1005</v>
      </c>
      <c r="F1029" s="51" t="s">
        <v>1005</v>
      </c>
      <c r="G1029" s="51" t="s">
        <v>1005</v>
      </c>
      <c r="H1029" s="51" t="s">
        <v>1005</v>
      </c>
      <c r="I1029" s="51" t="s">
        <v>1005</v>
      </c>
      <c r="J1029" s="50" t="str">
        <f t="shared" si="32"/>
        <v>7948105221.pdf</v>
      </c>
      <c r="K1029" s="51" t="s">
        <v>1006</v>
      </c>
      <c r="L1029" s="51" t="s">
        <v>1138</v>
      </c>
      <c r="M1029" s="50" t="str">
        <f t="shared" si="33"/>
        <v>13.800</v>
      </c>
      <c r="N1029" s="50" t="str">
        <f>IF(A1029&lt;&gt;"",VLOOKUP(RIGHT(A1029,3)*1,[4]Des_Loc!A:B,2,0),"")</f>
        <v>PEQUIZEIRO DO AXIXA</v>
      </c>
    </row>
    <row r="1030" spans="1:14" ht="16.5" customHeight="1" x14ac:dyDescent="0.25">
      <c r="A1030" s="52">
        <v>7948105088</v>
      </c>
      <c r="B1030" s="51" t="s">
        <v>1003</v>
      </c>
      <c r="C1030" s="51"/>
      <c r="D1030" s="51"/>
      <c r="E1030" s="51" t="s">
        <v>1005</v>
      </c>
      <c r="F1030" s="51"/>
      <c r="G1030" s="51"/>
      <c r="H1030" s="51" t="s">
        <v>1005</v>
      </c>
      <c r="I1030" s="51"/>
      <c r="J1030" s="50" t="str">
        <f t="shared" si="32"/>
        <v>7948105088.pdf</v>
      </c>
      <c r="K1030" s="51" t="s">
        <v>1006</v>
      </c>
      <c r="L1030" s="51" t="s">
        <v>1111</v>
      </c>
      <c r="M1030" s="50" t="str">
        <f t="shared" si="33"/>
        <v>34.500</v>
      </c>
      <c r="N1030" s="50" t="str">
        <f>IF(A1030&lt;&gt;"",VLOOKUP(RIGHT(A1030,3)*1,[4]Des_Loc!A:B,2,0),"")</f>
        <v>SITIO NOVO DO TOCANTINS</v>
      </c>
    </row>
    <row r="1031" spans="1:14" ht="16.5" customHeight="1" x14ac:dyDescent="0.25">
      <c r="A1031" s="52">
        <v>7948140088</v>
      </c>
      <c r="B1031" s="51" t="s">
        <v>1003</v>
      </c>
      <c r="C1031" s="51" t="s">
        <v>1004</v>
      </c>
      <c r="D1031" s="51" t="s">
        <v>1005</v>
      </c>
      <c r="E1031" s="51" t="s">
        <v>1005</v>
      </c>
      <c r="F1031" s="51" t="s">
        <v>1005</v>
      </c>
      <c r="G1031" s="51" t="s">
        <v>1005</v>
      </c>
      <c r="H1031" s="51" t="s">
        <v>1005</v>
      </c>
      <c r="I1031" s="51" t="s">
        <v>1005</v>
      </c>
      <c r="J1031" s="50" t="str">
        <f t="shared" si="32"/>
        <v>7948140088.pdf</v>
      </c>
      <c r="K1031" s="51" t="s">
        <v>1006</v>
      </c>
      <c r="L1031" s="51" t="s">
        <v>1061</v>
      </c>
      <c r="M1031" s="50" t="str">
        <f t="shared" si="33"/>
        <v>13.800</v>
      </c>
      <c r="N1031" s="50" t="str">
        <f>IF(A1031&lt;&gt;"",VLOOKUP(RIGHT(A1031,3)*1,[4]Des_Loc!A:B,2,0),"")</f>
        <v>SITIO NOVO DO TOCANTINS</v>
      </c>
    </row>
    <row r="1032" spans="1:14" ht="16.5" customHeight="1" x14ac:dyDescent="0.25">
      <c r="A1032" s="52">
        <v>7954440074</v>
      </c>
      <c r="B1032" s="51" t="s">
        <v>1003</v>
      </c>
      <c r="C1032" s="51" t="s">
        <v>1010</v>
      </c>
      <c r="D1032" s="51" t="s">
        <v>1011</v>
      </c>
      <c r="E1032" s="51" t="s">
        <v>1005</v>
      </c>
      <c r="F1032" s="51" t="s">
        <v>1011</v>
      </c>
      <c r="G1032" s="51" t="s">
        <v>1005</v>
      </c>
      <c r="H1032" s="51" t="s">
        <v>1005</v>
      </c>
      <c r="I1032" s="51" t="s">
        <v>1011</v>
      </c>
      <c r="J1032" s="50" t="str">
        <f t="shared" si="32"/>
        <v>7954440074.pdf</v>
      </c>
      <c r="K1032" s="51" t="s">
        <v>1006</v>
      </c>
      <c r="L1032" s="51" t="s">
        <v>376</v>
      </c>
      <c r="M1032" s="50" t="str">
        <f t="shared" si="33"/>
        <v>34.500</v>
      </c>
      <c r="N1032" s="50" t="str">
        <f>IF(A1032&lt;&gt;"",VLOOKUP(RIGHT(A1032,3)*1,[4]Des_Loc!A:B,2,0),"")</f>
        <v>DIANOPOLIS</v>
      </c>
    </row>
    <row r="1033" spans="1:14" ht="16.5" customHeight="1" x14ac:dyDescent="0.25">
      <c r="A1033" s="52">
        <v>7954910004</v>
      </c>
      <c r="B1033" s="51" t="s">
        <v>1003</v>
      </c>
      <c r="C1033" s="51" t="s">
        <v>1025</v>
      </c>
      <c r="D1033" s="51" t="s">
        <v>1011</v>
      </c>
      <c r="E1033" s="51" t="s">
        <v>1005</v>
      </c>
      <c r="F1033" s="51" t="s">
        <v>1011</v>
      </c>
      <c r="G1033" s="51" t="s">
        <v>1005</v>
      </c>
      <c r="H1033" s="51" t="s">
        <v>1005</v>
      </c>
      <c r="I1033" s="51" t="s">
        <v>1011</v>
      </c>
      <c r="J1033" s="50" t="str">
        <f t="shared" si="32"/>
        <v>7954910004.pdf</v>
      </c>
      <c r="K1033" s="51" t="s">
        <v>1006</v>
      </c>
      <c r="L1033" s="51" t="s">
        <v>1007</v>
      </c>
      <c r="M1033" s="50" t="str">
        <f t="shared" si="33"/>
        <v>13.800</v>
      </c>
      <c r="N1033" s="50" t="str">
        <f>IF(A1033&lt;&gt;"",VLOOKUP(RIGHT(A1033,3)*1,[4]Des_Loc!A:B,2,0),"")</f>
        <v>ARAGUAINA</v>
      </c>
    </row>
    <row r="1034" spans="1:14" ht="16.5" customHeight="1" x14ac:dyDescent="0.25">
      <c r="A1034" s="52">
        <v>7958320136</v>
      </c>
      <c r="B1034" s="51" t="s">
        <v>1003</v>
      </c>
      <c r="C1034" s="51" t="s">
        <v>1010</v>
      </c>
      <c r="D1034" s="51" t="s">
        <v>1011</v>
      </c>
      <c r="E1034" s="51" t="s">
        <v>1005</v>
      </c>
      <c r="F1034" s="51" t="s">
        <v>1005</v>
      </c>
      <c r="G1034" s="51" t="s">
        <v>1005</v>
      </c>
      <c r="H1034" s="51" t="s">
        <v>1005</v>
      </c>
      <c r="I1034" s="51" t="s">
        <v>1005</v>
      </c>
      <c r="J1034" s="50" t="str">
        <f t="shared" si="32"/>
        <v>7958320136.pdf</v>
      </c>
      <c r="K1034" s="51" t="s">
        <v>1006</v>
      </c>
      <c r="L1034" s="51" t="s">
        <v>353</v>
      </c>
      <c r="M1034" s="50" t="str">
        <f t="shared" si="33"/>
        <v>34.500</v>
      </c>
      <c r="N1034" s="50" t="str">
        <f>IF(A1034&lt;&gt;"",VLOOKUP(RIGHT(A1034,3)*1,[4]Des_Loc!A:B,2,0),"")</f>
        <v>PAU D'ARCO</v>
      </c>
    </row>
    <row r="1035" spans="1:14" ht="16.5" customHeight="1" x14ac:dyDescent="0.25">
      <c r="A1035" s="52">
        <v>7958319136</v>
      </c>
      <c r="B1035" s="51" t="s">
        <v>1003</v>
      </c>
      <c r="C1035" s="51" t="s">
        <v>1025</v>
      </c>
      <c r="D1035" s="51" t="s">
        <v>1011</v>
      </c>
      <c r="E1035" s="51" t="s">
        <v>1005</v>
      </c>
      <c r="F1035" s="51" t="s">
        <v>1005</v>
      </c>
      <c r="G1035" s="51" t="s">
        <v>1005</v>
      </c>
      <c r="H1035" s="51" t="s">
        <v>1005</v>
      </c>
      <c r="I1035" s="51" t="s">
        <v>1005</v>
      </c>
      <c r="J1035" s="50" t="str">
        <f t="shared" si="32"/>
        <v>7958319136.pdf</v>
      </c>
      <c r="K1035" s="51" t="s">
        <v>1006</v>
      </c>
      <c r="L1035" s="51" t="s">
        <v>353</v>
      </c>
      <c r="M1035" s="50" t="str">
        <f t="shared" si="33"/>
        <v>34.500</v>
      </c>
      <c r="N1035" s="50" t="str">
        <f>IF(A1035&lt;&gt;"",VLOOKUP(RIGHT(A1035,3)*1,[4]Des_Loc!A:B,2,0),"")</f>
        <v>PAU D'ARCO</v>
      </c>
    </row>
    <row r="1036" spans="1:14" ht="16.5" customHeight="1" x14ac:dyDescent="0.25">
      <c r="A1036" s="52">
        <v>7955394085</v>
      </c>
      <c r="B1036" s="51" t="s">
        <v>1003</v>
      </c>
      <c r="C1036" s="51" t="s">
        <v>1010</v>
      </c>
      <c r="D1036" s="51" t="s">
        <v>1011</v>
      </c>
      <c r="E1036" s="51" t="s">
        <v>1005</v>
      </c>
      <c r="F1036" s="51" t="s">
        <v>1011</v>
      </c>
      <c r="G1036" s="51" t="s">
        <v>1005</v>
      </c>
      <c r="H1036" s="51" t="s">
        <v>1005</v>
      </c>
      <c r="I1036" s="51" t="s">
        <v>1011</v>
      </c>
      <c r="J1036" s="50" t="str">
        <f t="shared" si="32"/>
        <v>7955394085.pdf</v>
      </c>
      <c r="K1036" s="51" t="s">
        <v>1006</v>
      </c>
      <c r="L1036" s="51" t="s">
        <v>526</v>
      </c>
      <c r="M1036" s="50" t="str">
        <f t="shared" si="33"/>
        <v>34.500</v>
      </c>
      <c r="N1036" s="50" t="str">
        <f>IF(A1036&lt;&gt;"",VLOOKUP(RIGHT(A1036,3)*1,[4]Des_Loc!A:B,2,0),"")</f>
        <v>MONTE SANTO DO TOCANTINS</v>
      </c>
    </row>
    <row r="1037" spans="1:14" ht="16.5" customHeight="1" x14ac:dyDescent="0.25">
      <c r="A1037" s="52">
        <v>7955395085</v>
      </c>
      <c r="B1037" s="51" t="s">
        <v>1003</v>
      </c>
      <c r="C1037" s="51" t="s">
        <v>1008</v>
      </c>
      <c r="D1037" s="51" t="s">
        <v>1005</v>
      </c>
      <c r="E1037" s="51" t="s">
        <v>1005</v>
      </c>
      <c r="F1037" s="51" t="s">
        <v>1005</v>
      </c>
      <c r="G1037" s="51" t="s">
        <v>1005</v>
      </c>
      <c r="H1037" s="51" t="s">
        <v>1005</v>
      </c>
      <c r="I1037" s="51" t="s">
        <v>1005</v>
      </c>
      <c r="J1037" s="50" t="str">
        <f t="shared" si="32"/>
        <v>7955395085.pdf</v>
      </c>
      <c r="K1037" s="51" t="s">
        <v>1006</v>
      </c>
      <c r="L1037" s="51" t="s">
        <v>1023</v>
      </c>
      <c r="M1037" s="50" t="str">
        <f t="shared" si="33"/>
        <v>34.500</v>
      </c>
      <c r="N1037" s="50" t="str">
        <f>IF(A1037&lt;&gt;"",VLOOKUP(RIGHT(A1037,3)*1,[4]Des_Loc!A:B,2,0),"")</f>
        <v>MONTE SANTO DO TOCANTINS</v>
      </c>
    </row>
    <row r="1038" spans="1:14" ht="16.5" customHeight="1" x14ac:dyDescent="0.25">
      <c r="A1038" s="52">
        <v>7953269122</v>
      </c>
      <c r="B1038" s="51" t="s">
        <v>1003</v>
      </c>
      <c r="C1038" s="51" t="s">
        <v>1025</v>
      </c>
      <c r="D1038" s="51" t="s">
        <v>1011</v>
      </c>
      <c r="E1038" s="51" t="s">
        <v>1005</v>
      </c>
      <c r="F1038" s="51" t="s">
        <v>1011</v>
      </c>
      <c r="G1038" s="51" t="s">
        <v>1005</v>
      </c>
      <c r="H1038" s="51" t="s">
        <v>1005</v>
      </c>
      <c r="I1038" s="51" t="s">
        <v>1011</v>
      </c>
      <c r="J1038" s="50" t="str">
        <f t="shared" si="32"/>
        <v>7953269122.pdf</v>
      </c>
      <c r="K1038" s="51" t="s">
        <v>1006</v>
      </c>
      <c r="L1038" s="51" t="s">
        <v>1064</v>
      </c>
      <c r="M1038" s="50" t="str">
        <f t="shared" si="33"/>
        <v>13.800</v>
      </c>
      <c r="N1038" s="50" t="str">
        <f>IF(A1038&lt;&gt;"",VLOOKUP(RIGHT(A1038,3)*1,[4]Des_Loc!A:B,2,0),"")</f>
        <v>PALMAS</v>
      </c>
    </row>
    <row r="1039" spans="1:14" ht="16.5" customHeight="1" x14ac:dyDescent="0.25">
      <c r="A1039" s="52">
        <v>7955572081</v>
      </c>
      <c r="B1039" s="51" t="s">
        <v>1003</v>
      </c>
      <c r="C1039" s="51" t="s">
        <v>1025</v>
      </c>
      <c r="D1039" s="51" t="s">
        <v>1011</v>
      </c>
      <c r="E1039" s="51" t="s">
        <v>1005</v>
      </c>
      <c r="F1039" s="51" t="s">
        <v>1005</v>
      </c>
      <c r="G1039" s="51" t="s">
        <v>1005</v>
      </c>
      <c r="H1039" s="51" t="s">
        <v>1005</v>
      </c>
      <c r="I1039" s="51" t="s">
        <v>1011</v>
      </c>
      <c r="J1039" s="50" t="str">
        <f t="shared" si="32"/>
        <v>7955572081.pdf</v>
      </c>
      <c r="K1039" s="51" t="s">
        <v>1006</v>
      </c>
      <c r="L1039" s="51" t="s">
        <v>1218</v>
      </c>
      <c r="M1039" s="50" t="str">
        <f t="shared" si="33"/>
        <v>13.800</v>
      </c>
      <c r="N1039" s="50" t="str">
        <f>IF(A1039&lt;&gt;"",VLOOKUP(RIGHT(A1039,3)*1,[4]Des_Loc!A:B,2,0),"")</f>
        <v>ITAGUATINS</v>
      </c>
    </row>
    <row r="1040" spans="1:14" ht="16.5" customHeight="1" x14ac:dyDescent="0.25">
      <c r="A1040" s="52">
        <v>7940868065</v>
      </c>
      <c r="B1040" s="51" t="s">
        <v>1003</v>
      </c>
      <c r="C1040" s="51" t="s">
        <v>1021</v>
      </c>
      <c r="D1040" s="51" t="s">
        <v>1005</v>
      </c>
      <c r="E1040" s="51" t="s">
        <v>1005</v>
      </c>
      <c r="F1040" s="51" t="s">
        <v>1005</v>
      </c>
      <c r="G1040" s="51" t="s">
        <v>1005</v>
      </c>
      <c r="H1040" s="51" t="s">
        <v>1005</v>
      </c>
      <c r="I1040" s="51" t="s">
        <v>1005</v>
      </c>
      <c r="J1040" s="50" t="str">
        <f t="shared" si="32"/>
        <v>7940868065.pdf</v>
      </c>
      <c r="K1040" s="51" t="s">
        <v>1006</v>
      </c>
      <c r="L1040" s="51" t="s">
        <v>1061</v>
      </c>
      <c r="M1040" s="50" t="str">
        <f t="shared" si="33"/>
        <v>13.800</v>
      </c>
      <c r="N1040" s="50" t="str">
        <f>IF(A1040&lt;&gt;"",VLOOKUP(RIGHT(A1040,3)*1,[4]Des_Loc!A:B,2,0),"")</f>
        <v>AXIXA DO TOCANTINS</v>
      </c>
    </row>
    <row r="1041" spans="1:14" ht="16.5" customHeight="1" x14ac:dyDescent="0.25">
      <c r="A1041" s="52">
        <v>7958346065</v>
      </c>
      <c r="B1041" s="51" t="s">
        <v>1003</v>
      </c>
      <c r="C1041" s="51" t="s">
        <v>1004</v>
      </c>
      <c r="D1041" s="51" t="s">
        <v>1005</v>
      </c>
      <c r="E1041" s="51" t="s">
        <v>1005</v>
      </c>
      <c r="F1041" s="51" t="s">
        <v>1005</v>
      </c>
      <c r="G1041" s="51" t="s">
        <v>1005</v>
      </c>
      <c r="H1041" s="51" t="s">
        <v>1005</v>
      </c>
      <c r="I1041" s="51" t="s">
        <v>1005</v>
      </c>
      <c r="J1041" s="50" t="str">
        <f t="shared" si="32"/>
        <v>7958346065.pdf</v>
      </c>
      <c r="K1041" s="51" t="s">
        <v>1006</v>
      </c>
      <c r="L1041" s="51" t="s">
        <v>1138</v>
      </c>
      <c r="M1041" s="50" t="str">
        <f t="shared" si="33"/>
        <v>13.800</v>
      </c>
      <c r="N1041" s="50" t="str">
        <f>IF(A1041&lt;&gt;"",VLOOKUP(RIGHT(A1041,3)*1,[4]Des_Loc!A:B,2,0),"")</f>
        <v>AXIXA DO TOCANTINS</v>
      </c>
    </row>
    <row r="1042" spans="1:14" ht="16.5" customHeight="1" x14ac:dyDescent="0.25">
      <c r="A1042" s="52">
        <v>7954654073</v>
      </c>
      <c r="B1042" s="51" t="s">
        <v>1003</v>
      </c>
      <c r="C1042" s="51" t="s">
        <v>1025</v>
      </c>
      <c r="D1042" s="51" t="s">
        <v>1011</v>
      </c>
      <c r="E1042" s="51" t="s">
        <v>1005</v>
      </c>
      <c r="F1042" s="51" t="s">
        <v>1005</v>
      </c>
      <c r="G1042" s="51" t="s">
        <v>1005</v>
      </c>
      <c r="H1042" s="51" t="s">
        <v>1005</v>
      </c>
      <c r="I1042" s="51" t="s">
        <v>1011</v>
      </c>
      <c r="J1042" s="50" t="str">
        <f t="shared" si="32"/>
        <v>7954654073.pdf</v>
      </c>
      <c r="K1042" s="51" t="s">
        <v>1006</v>
      </c>
      <c r="L1042" s="51" t="s">
        <v>1219</v>
      </c>
      <c r="M1042" s="50" t="str">
        <f t="shared" si="33"/>
        <v>13.800</v>
      </c>
      <c r="N1042" s="50" t="str">
        <f>IF(A1042&lt;&gt;"",VLOOKUP(RIGHT(A1042,3)*1,[4]Des_Loc!A:B,2,0),"")</f>
        <v>LAGOA DA CONFUSAO</v>
      </c>
    </row>
    <row r="1043" spans="1:14" ht="16.5" customHeight="1" x14ac:dyDescent="0.25">
      <c r="A1043" s="52">
        <v>7954900073</v>
      </c>
      <c r="B1043" s="51" t="s">
        <v>1003</v>
      </c>
      <c r="C1043" s="51" t="s">
        <v>1004</v>
      </c>
      <c r="D1043" s="51" t="s">
        <v>1005</v>
      </c>
      <c r="E1043" s="51" t="s">
        <v>1005</v>
      </c>
      <c r="F1043" s="51" t="s">
        <v>1005</v>
      </c>
      <c r="G1043" s="51" t="s">
        <v>1005</v>
      </c>
      <c r="H1043" s="51" t="s">
        <v>1005</v>
      </c>
      <c r="I1043" s="51" t="s">
        <v>1005</v>
      </c>
      <c r="J1043" s="50" t="str">
        <f t="shared" si="32"/>
        <v>7954900073.pdf</v>
      </c>
      <c r="K1043" s="51" t="s">
        <v>1006</v>
      </c>
      <c r="L1043" s="51" t="s">
        <v>1220</v>
      </c>
      <c r="M1043" s="50" t="str">
        <f t="shared" si="33"/>
        <v>13.800</v>
      </c>
      <c r="N1043" s="50" t="str">
        <f>IF(A1043&lt;&gt;"",VLOOKUP(RIGHT(A1043,3)*1,[4]Des_Loc!A:B,2,0),"")</f>
        <v>LAGOA DA CONFUSAO</v>
      </c>
    </row>
    <row r="1044" spans="1:14" ht="16.5" customHeight="1" x14ac:dyDescent="0.25">
      <c r="A1044" s="52">
        <v>7957622153</v>
      </c>
      <c r="B1044" s="51" t="s">
        <v>1003</v>
      </c>
      <c r="C1044" s="51" t="s">
        <v>1010</v>
      </c>
      <c r="D1044" s="51" t="s">
        <v>1011</v>
      </c>
      <c r="E1044" s="51" t="s">
        <v>1005</v>
      </c>
      <c r="F1044" s="51" t="s">
        <v>1011</v>
      </c>
      <c r="G1044" s="51" t="s">
        <v>1005</v>
      </c>
      <c r="H1044" s="51" t="s">
        <v>1005</v>
      </c>
      <c r="I1044" s="51" t="s">
        <v>1011</v>
      </c>
      <c r="J1044" s="50" t="str">
        <f t="shared" si="32"/>
        <v>7957622153.pdf</v>
      </c>
      <c r="K1044" s="51" t="s">
        <v>1006</v>
      </c>
      <c r="L1044" s="51" t="s">
        <v>1029</v>
      </c>
      <c r="M1044" s="50" t="str">
        <f t="shared" si="33"/>
        <v>34.500</v>
      </c>
      <c r="N1044" s="50" t="str">
        <f>IF(A1044&lt;&gt;"",VLOOKUP(RIGHT(A1044,3)*1,[4]Des_Loc!A:B,2,0),"")</f>
        <v>BERNARDO SAYAO</v>
      </c>
    </row>
    <row r="1045" spans="1:14" ht="16.5" customHeight="1" x14ac:dyDescent="0.25">
      <c r="A1045" s="52">
        <v>7958324004</v>
      </c>
      <c r="B1045" s="51" t="s">
        <v>1003</v>
      </c>
      <c r="C1045" s="51" t="s">
        <v>1010</v>
      </c>
      <c r="D1045" s="51" t="s">
        <v>1011</v>
      </c>
      <c r="E1045" s="51" t="s">
        <v>1005</v>
      </c>
      <c r="F1045" s="51" t="s">
        <v>1011</v>
      </c>
      <c r="G1045" s="51" t="s">
        <v>1005</v>
      </c>
      <c r="H1045" s="51" t="s">
        <v>1005</v>
      </c>
      <c r="I1045" s="51" t="s">
        <v>1011</v>
      </c>
      <c r="J1045" s="50" t="str">
        <f t="shared" si="32"/>
        <v>7958324004.pdf</v>
      </c>
      <c r="K1045" s="51" t="s">
        <v>1006</v>
      </c>
      <c r="L1045" s="51" t="s">
        <v>1119</v>
      </c>
      <c r="M1045" s="50" t="str">
        <f t="shared" si="33"/>
        <v>34.500</v>
      </c>
      <c r="N1045" s="50" t="str">
        <f>IF(A1045&lt;&gt;"",VLOOKUP(RIGHT(A1045,3)*1,[4]Des_Loc!A:B,2,0),"")</f>
        <v>ARAGUAINA</v>
      </c>
    </row>
    <row r="1046" spans="1:14" ht="16.5" customHeight="1" x14ac:dyDescent="0.25">
      <c r="A1046" s="52">
        <v>7955223016</v>
      </c>
      <c r="B1046" s="51" t="s">
        <v>1003</v>
      </c>
      <c r="C1046" s="51" t="s">
        <v>1010</v>
      </c>
      <c r="D1046" s="51" t="s">
        <v>1011</v>
      </c>
      <c r="E1046" s="51" t="s">
        <v>1005</v>
      </c>
      <c r="F1046" s="51" t="s">
        <v>1005</v>
      </c>
      <c r="G1046" s="51" t="s">
        <v>1005</v>
      </c>
      <c r="H1046" s="51" t="s">
        <v>1005</v>
      </c>
      <c r="I1046" s="51" t="s">
        <v>1005</v>
      </c>
      <c r="J1046" s="50" t="str">
        <f t="shared" si="32"/>
        <v>7955223016.pdf</v>
      </c>
      <c r="K1046" s="51" t="s">
        <v>1006</v>
      </c>
      <c r="L1046" s="51" t="s">
        <v>1221</v>
      </c>
      <c r="M1046" s="50" t="str">
        <f t="shared" si="33"/>
        <v>13.800</v>
      </c>
      <c r="N1046" s="50" t="str">
        <f>IF(A1046&lt;&gt;"",VLOOKUP(RIGHT(A1046,3)*1,[4]Des_Loc!A:B,2,0),"")</f>
        <v>WANDERLANDIA</v>
      </c>
    </row>
    <row r="1047" spans="1:14" ht="16.5" customHeight="1" x14ac:dyDescent="0.25">
      <c r="A1047" s="52">
        <v>7956374073</v>
      </c>
      <c r="B1047" s="51" t="s">
        <v>1003</v>
      </c>
      <c r="C1047" s="51" t="s">
        <v>1010</v>
      </c>
      <c r="D1047" s="51" t="s">
        <v>1011</v>
      </c>
      <c r="E1047" s="51" t="s">
        <v>1005</v>
      </c>
      <c r="F1047" s="51" t="s">
        <v>1011</v>
      </c>
      <c r="G1047" s="51" t="s">
        <v>1005</v>
      </c>
      <c r="H1047" s="51" t="s">
        <v>1005</v>
      </c>
      <c r="I1047" s="51" t="s">
        <v>1011</v>
      </c>
      <c r="J1047" s="50" t="str">
        <f t="shared" si="32"/>
        <v>7956374073.pdf</v>
      </c>
      <c r="K1047" s="51" t="s">
        <v>1006</v>
      </c>
      <c r="L1047" s="51" t="s">
        <v>1137</v>
      </c>
      <c r="M1047" s="50" t="str">
        <f t="shared" si="33"/>
        <v>34.500</v>
      </c>
      <c r="N1047" s="50" t="str">
        <f>IF(A1047&lt;&gt;"",VLOOKUP(RIGHT(A1047,3)*1,[4]Des_Loc!A:B,2,0),"")</f>
        <v>LAGOA DA CONFUSAO</v>
      </c>
    </row>
    <row r="1048" spans="1:14" ht="16.5" customHeight="1" x14ac:dyDescent="0.25">
      <c r="A1048" s="52">
        <v>7957609153</v>
      </c>
      <c r="B1048" s="51" t="s">
        <v>1003</v>
      </c>
      <c r="C1048" s="51" t="s">
        <v>1010</v>
      </c>
      <c r="D1048" s="51" t="s">
        <v>1011</v>
      </c>
      <c r="E1048" s="51" t="s">
        <v>1005</v>
      </c>
      <c r="F1048" s="51" t="s">
        <v>1011</v>
      </c>
      <c r="G1048" s="51" t="s">
        <v>1005</v>
      </c>
      <c r="H1048" s="51" t="s">
        <v>1005</v>
      </c>
      <c r="I1048" s="51" t="s">
        <v>1011</v>
      </c>
      <c r="J1048" s="50" t="str">
        <f t="shared" si="32"/>
        <v>7957609153.pdf</v>
      </c>
      <c r="K1048" s="51" t="s">
        <v>1006</v>
      </c>
      <c r="L1048" s="51" t="s">
        <v>1034</v>
      </c>
      <c r="M1048" s="50" t="str">
        <f t="shared" si="33"/>
        <v>34.500</v>
      </c>
      <c r="N1048" s="50" t="str">
        <f>IF(A1048&lt;&gt;"",VLOOKUP(RIGHT(A1048,3)*1,[4]Des_Loc!A:B,2,0),"")</f>
        <v>BERNARDO SAYAO</v>
      </c>
    </row>
    <row r="1049" spans="1:14" ht="16.5" customHeight="1" x14ac:dyDescent="0.25">
      <c r="A1049" s="52">
        <v>7957921153</v>
      </c>
      <c r="B1049" s="51" t="s">
        <v>1003</v>
      </c>
      <c r="C1049" s="51" t="s">
        <v>1008</v>
      </c>
      <c r="D1049" s="51" t="s">
        <v>1005</v>
      </c>
      <c r="E1049" s="51" t="s">
        <v>1005</v>
      </c>
      <c r="F1049" s="51" t="s">
        <v>1005</v>
      </c>
      <c r="G1049" s="51" t="s">
        <v>1005</v>
      </c>
      <c r="H1049" s="51" t="s">
        <v>1005</v>
      </c>
      <c r="I1049" s="51" t="s">
        <v>1005</v>
      </c>
      <c r="J1049" s="50" t="str">
        <f t="shared" si="32"/>
        <v>7957921153.pdf</v>
      </c>
      <c r="K1049" s="51" t="s">
        <v>1006</v>
      </c>
      <c r="L1049" s="51" t="s">
        <v>1034</v>
      </c>
      <c r="M1049" s="50" t="str">
        <f t="shared" si="33"/>
        <v>34.500</v>
      </c>
      <c r="N1049" s="50" t="str">
        <f>IF(A1049&lt;&gt;"",VLOOKUP(RIGHT(A1049,3)*1,[4]Des_Loc!A:B,2,0),"")</f>
        <v>BERNARDO SAYAO</v>
      </c>
    </row>
    <row r="1050" spans="1:14" ht="16.5" customHeight="1" x14ac:dyDescent="0.25">
      <c r="A1050" s="52">
        <v>7956333111</v>
      </c>
      <c r="B1050" s="51" t="s">
        <v>1003</v>
      </c>
      <c r="C1050" s="51" t="s">
        <v>1008</v>
      </c>
      <c r="D1050" s="51" t="s">
        <v>1005</v>
      </c>
      <c r="E1050" s="51" t="s">
        <v>1005</v>
      </c>
      <c r="F1050" s="51" t="s">
        <v>1005</v>
      </c>
      <c r="G1050" s="51" t="s">
        <v>1005</v>
      </c>
      <c r="H1050" s="51" t="s">
        <v>1005</v>
      </c>
      <c r="I1050" s="51" t="s">
        <v>1005</v>
      </c>
      <c r="J1050" s="50" t="str">
        <f t="shared" si="32"/>
        <v>7956333111.pdf</v>
      </c>
      <c r="K1050" s="51" t="s">
        <v>1006</v>
      </c>
      <c r="L1050" s="51" t="s">
        <v>1034</v>
      </c>
      <c r="M1050" s="50" t="str">
        <f t="shared" si="33"/>
        <v>34.500</v>
      </c>
      <c r="N1050" s="50" t="str">
        <f>IF(A1050&lt;&gt;"",VLOOKUP(RIGHT(A1050,3)*1,[4]Des_Loc!A:B,2,0),"")</f>
        <v>PEQUIZEIRO</v>
      </c>
    </row>
    <row r="1051" spans="1:14" ht="16.5" customHeight="1" x14ac:dyDescent="0.25">
      <c r="A1051" s="52">
        <v>7955586111</v>
      </c>
      <c r="B1051" s="51" t="s">
        <v>1003</v>
      </c>
      <c r="C1051" s="51" t="s">
        <v>1010</v>
      </c>
      <c r="D1051" s="51" t="s">
        <v>1011</v>
      </c>
      <c r="E1051" s="51" t="s">
        <v>1011</v>
      </c>
      <c r="F1051" s="51" t="s">
        <v>1005</v>
      </c>
      <c r="G1051" s="51" t="s">
        <v>1005</v>
      </c>
      <c r="H1051" s="51" t="s">
        <v>1005</v>
      </c>
      <c r="I1051" s="51" t="s">
        <v>1005</v>
      </c>
      <c r="J1051" s="50" t="str">
        <f t="shared" si="32"/>
        <v>7955586111.pdf</v>
      </c>
      <c r="K1051" s="51" t="s">
        <v>1006</v>
      </c>
      <c r="L1051" s="51" t="s">
        <v>1034</v>
      </c>
      <c r="M1051" s="50" t="str">
        <f t="shared" si="33"/>
        <v>34.500</v>
      </c>
      <c r="N1051" s="50" t="str">
        <f>IF(A1051&lt;&gt;"",VLOOKUP(RIGHT(A1051,3)*1,[4]Des_Loc!A:B,2,0),"")</f>
        <v>PEQUIZEIRO</v>
      </c>
    </row>
    <row r="1052" spans="1:14" ht="16.5" customHeight="1" x14ac:dyDescent="0.25">
      <c r="A1052" s="52">
        <v>7951276103</v>
      </c>
      <c r="B1052" s="51" t="s">
        <v>1003</v>
      </c>
      <c r="C1052" s="51" t="s">
        <v>1010</v>
      </c>
      <c r="D1052" s="51" t="s">
        <v>1011</v>
      </c>
      <c r="E1052" s="51" t="s">
        <v>1011</v>
      </c>
      <c r="F1052" s="51" t="s">
        <v>1005</v>
      </c>
      <c r="G1052" s="51" t="s">
        <v>1005</v>
      </c>
      <c r="H1052" s="51" t="s">
        <v>1005</v>
      </c>
      <c r="I1052" s="51" t="s">
        <v>1005</v>
      </c>
      <c r="J1052" s="50" t="str">
        <f t="shared" si="32"/>
        <v>7951276103.pdf</v>
      </c>
      <c r="K1052" s="51" t="s">
        <v>1006</v>
      </c>
      <c r="L1052" s="51" t="s">
        <v>1111</v>
      </c>
      <c r="M1052" s="50" t="str">
        <f t="shared" si="33"/>
        <v>34.500</v>
      </c>
      <c r="N1052" s="50" t="str">
        <f>IF(A1052&lt;&gt;"",VLOOKUP(RIGHT(A1052,3)*1,[4]Des_Loc!A:B,2,0),"")</f>
        <v>SAO MIGUEL DO TOCANTINS</v>
      </c>
    </row>
    <row r="1053" spans="1:14" ht="16.5" customHeight="1" x14ac:dyDescent="0.25">
      <c r="A1053" s="52">
        <v>7954779001</v>
      </c>
      <c r="B1053" s="51" t="s">
        <v>1003</v>
      </c>
      <c r="C1053" s="51" t="s">
        <v>1025</v>
      </c>
      <c r="D1053" s="51" t="s">
        <v>1011</v>
      </c>
      <c r="E1053" s="51" t="s">
        <v>1011</v>
      </c>
      <c r="F1053" s="51" t="s">
        <v>1011</v>
      </c>
      <c r="G1053" s="51" t="s">
        <v>1005</v>
      </c>
      <c r="H1053" s="51" t="s">
        <v>1005</v>
      </c>
      <c r="I1053" s="51" t="s">
        <v>1011</v>
      </c>
      <c r="J1053" s="50" t="str">
        <f t="shared" si="32"/>
        <v>7954779001.pdf</v>
      </c>
      <c r="K1053" s="51" t="s">
        <v>1006</v>
      </c>
      <c r="L1053" s="51" t="s">
        <v>1222</v>
      </c>
      <c r="M1053" s="50" t="str">
        <f t="shared" si="33"/>
        <v>34.500</v>
      </c>
      <c r="N1053" s="50" t="str">
        <f>IF(A1053&lt;&gt;"",VLOOKUP(RIGHT(A1053,3)*1,[4]Des_Loc!A:B,2,0),"")</f>
        <v>PORTO NACIONAL</v>
      </c>
    </row>
    <row r="1054" spans="1:14" ht="16.5" customHeight="1" x14ac:dyDescent="0.25">
      <c r="A1054" s="52">
        <v>7956373149</v>
      </c>
      <c r="B1054" s="51" t="s">
        <v>1003</v>
      </c>
      <c r="C1054" s="51" t="s">
        <v>1010</v>
      </c>
      <c r="D1054" s="51" t="s">
        <v>1011</v>
      </c>
      <c r="E1054" s="51" t="s">
        <v>1005</v>
      </c>
      <c r="F1054" s="51" t="s">
        <v>1005</v>
      </c>
      <c r="G1054" s="51" t="s">
        <v>1005</v>
      </c>
      <c r="H1054" s="51" t="s">
        <v>1005</v>
      </c>
      <c r="I1054" s="51" t="s">
        <v>1005</v>
      </c>
      <c r="J1054" s="50" t="str">
        <f t="shared" si="32"/>
        <v>7956373149.pdf</v>
      </c>
      <c r="K1054" s="51" t="s">
        <v>1006</v>
      </c>
      <c r="L1054" s="51" t="s">
        <v>1042</v>
      </c>
      <c r="M1054" s="50" t="str">
        <f t="shared" si="33"/>
        <v>34.500</v>
      </c>
      <c r="N1054" s="50" t="str">
        <f>IF(A1054&lt;&gt;"",VLOOKUP(RIGHT(A1054,3)*1,[4]Des_Loc!A:B,2,0),"")</f>
        <v>CASEARA</v>
      </c>
    </row>
    <row r="1055" spans="1:14" ht="16.5" customHeight="1" x14ac:dyDescent="0.25">
      <c r="A1055" s="52">
        <v>7950184103</v>
      </c>
      <c r="B1055" s="51" t="s">
        <v>1003</v>
      </c>
      <c r="C1055" s="51" t="s">
        <v>1010</v>
      </c>
      <c r="D1055" s="51" t="s">
        <v>1011</v>
      </c>
      <c r="E1055" s="51" t="s">
        <v>1005</v>
      </c>
      <c r="F1055" s="51" t="s">
        <v>1005</v>
      </c>
      <c r="G1055" s="51" t="s">
        <v>1005</v>
      </c>
      <c r="H1055" s="51" t="s">
        <v>1005</v>
      </c>
      <c r="I1055" s="51" t="s">
        <v>1005</v>
      </c>
      <c r="J1055" s="50" t="str">
        <f t="shared" si="32"/>
        <v>7950184103.pdf</v>
      </c>
      <c r="K1055" s="51" t="s">
        <v>1006</v>
      </c>
      <c r="L1055" s="51" t="s">
        <v>1142</v>
      </c>
      <c r="M1055" s="50" t="str">
        <f t="shared" si="33"/>
        <v>34.500</v>
      </c>
      <c r="N1055" s="50" t="str">
        <f>IF(A1055&lt;&gt;"",VLOOKUP(RIGHT(A1055,3)*1,[4]Des_Loc!A:B,2,0),"")</f>
        <v>SAO MIGUEL DO TOCANTINS</v>
      </c>
    </row>
    <row r="1056" spans="1:14" ht="16.5" customHeight="1" x14ac:dyDescent="0.25">
      <c r="A1056" s="52">
        <v>7952401151</v>
      </c>
      <c r="B1056" s="51" t="s">
        <v>1003</v>
      </c>
      <c r="C1056" s="51" t="s">
        <v>1008</v>
      </c>
      <c r="D1056" s="51" t="s">
        <v>1005</v>
      </c>
      <c r="E1056" s="51" t="s">
        <v>1005</v>
      </c>
      <c r="F1056" s="51" t="s">
        <v>1005</v>
      </c>
      <c r="G1056" s="51" t="s">
        <v>1005</v>
      </c>
      <c r="H1056" s="51" t="s">
        <v>1005</v>
      </c>
      <c r="I1056" s="51" t="s">
        <v>1005</v>
      </c>
      <c r="J1056" s="50" t="str">
        <f t="shared" si="32"/>
        <v>7952401151.pdf</v>
      </c>
      <c r="K1056" s="51" t="s">
        <v>1006</v>
      </c>
      <c r="L1056" s="51" t="s">
        <v>571</v>
      </c>
      <c r="M1056" s="50" t="str">
        <f t="shared" si="33"/>
        <v>34.500</v>
      </c>
      <c r="N1056" s="50" t="str">
        <f>IF(A1056&lt;&gt;"",VLOOKUP(RIGHT(A1056,3)*1,[4]Des_Loc!A:B,2,0),"")</f>
        <v>SANTA TEREZA DO TOCANTINS</v>
      </c>
    </row>
    <row r="1057" spans="1:14" ht="16.5" customHeight="1" x14ac:dyDescent="0.25">
      <c r="A1057" s="52">
        <v>7949587113</v>
      </c>
      <c r="B1057" s="51" t="s">
        <v>1003</v>
      </c>
      <c r="C1057" s="51" t="s">
        <v>1010</v>
      </c>
      <c r="D1057" s="51" t="s">
        <v>1011</v>
      </c>
      <c r="E1057" s="51" t="s">
        <v>1005</v>
      </c>
      <c r="F1057" s="51" t="s">
        <v>1011</v>
      </c>
      <c r="G1057" s="51" t="s">
        <v>1005</v>
      </c>
      <c r="H1057" s="51" t="s">
        <v>1005</v>
      </c>
      <c r="I1057" s="51" t="s">
        <v>1011</v>
      </c>
      <c r="J1057" s="50" t="str">
        <f t="shared" si="32"/>
        <v>7949587113.pdf</v>
      </c>
      <c r="K1057" s="51" t="s">
        <v>1006</v>
      </c>
      <c r="L1057" s="51" t="s">
        <v>1047</v>
      </c>
      <c r="M1057" s="50" t="str">
        <f t="shared" si="33"/>
        <v>34.500</v>
      </c>
      <c r="N1057" s="50" t="str">
        <f>IF(A1057&lt;&gt;"",VLOOKUP(RIGHT(A1057,3)*1,[4]Des_Loc!A:B,2,0),"")</f>
        <v>COUTO MAGALHAES</v>
      </c>
    </row>
    <row r="1058" spans="1:14" ht="16.5" customHeight="1" x14ac:dyDescent="0.25">
      <c r="A1058" s="52">
        <v>7955414007</v>
      </c>
      <c r="B1058" s="51" t="s">
        <v>1003</v>
      </c>
      <c r="C1058" s="51" t="s">
        <v>1008</v>
      </c>
      <c r="D1058" s="51" t="s">
        <v>1005</v>
      </c>
      <c r="E1058" s="51" t="s">
        <v>1005</v>
      </c>
      <c r="F1058" s="51" t="s">
        <v>1005</v>
      </c>
      <c r="G1058" s="51" t="s">
        <v>1005</v>
      </c>
      <c r="H1058" s="51" t="s">
        <v>1005</v>
      </c>
      <c r="I1058" s="51" t="s">
        <v>1005</v>
      </c>
      <c r="J1058" s="50" t="str">
        <f t="shared" si="32"/>
        <v>7955414007.pdf</v>
      </c>
      <c r="K1058" s="51" t="s">
        <v>1006</v>
      </c>
      <c r="L1058" s="51" t="s">
        <v>425</v>
      </c>
      <c r="M1058" s="50" t="str">
        <f t="shared" si="33"/>
        <v>34.500</v>
      </c>
      <c r="N1058" s="50" t="str">
        <f>IF(A1058&lt;&gt;"",VLOOKUP(RIGHT(A1058,3)*1,[4]Des_Loc!A:B,2,0),"")</f>
        <v>MIRACEMA DO TOCANTINS</v>
      </c>
    </row>
    <row r="1059" spans="1:14" ht="16.5" customHeight="1" x14ac:dyDescent="0.25">
      <c r="A1059" s="52">
        <v>7955207004</v>
      </c>
      <c r="B1059" s="51" t="s">
        <v>1003</v>
      </c>
      <c r="C1059" s="51" t="s">
        <v>1025</v>
      </c>
      <c r="D1059" s="51" t="s">
        <v>1011</v>
      </c>
      <c r="E1059" s="51" t="s">
        <v>1005</v>
      </c>
      <c r="F1059" s="51" t="s">
        <v>1005</v>
      </c>
      <c r="G1059" s="51" t="s">
        <v>1005</v>
      </c>
      <c r="H1059" s="51" t="s">
        <v>1005</v>
      </c>
      <c r="I1059" s="51" t="s">
        <v>1005</v>
      </c>
      <c r="J1059" s="50" t="str">
        <f t="shared" si="32"/>
        <v>7955207004.pdf</v>
      </c>
      <c r="K1059" s="51" t="s">
        <v>1006</v>
      </c>
      <c r="L1059" s="51" t="s">
        <v>1123</v>
      </c>
      <c r="M1059" s="50" t="str">
        <f t="shared" si="33"/>
        <v>13.800</v>
      </c>
      <c r="N1059" s="50" t="str">
        <f>IF(A1059&lt;&gt;"",VLOOKUP(RIGHT(A1059,3)*1,[4]Des_Loc!A:B,2,0),"")</f>
        <v>ARAGUAINA</v>
      </c>
    </row>
    <row r="1060" spans="1:14" ht="16.5" customHeight="1" x14ac:dyDescent="0.25">
      <c r="A1060" s="52">
        <v>7958332098</v>
      </c>
      <c r="B1060" s="51" t="s">
        <v>1003</v>
      </c>
      <c r="C1060" s="51" t="s">
        <v>1004</v>
      </c>
      <c r="D1060" s="51" t="s">
        <v>1005</v>
      </c>
      <c r="E1060" s="51" t="s">
        <v>1005</v>
      </c>
      <c r="F1060" s="51" t="s">
        <v>1005</v>
      </c>
      <c r="G1060" s="51" t="s">
        <v>1005</v>
      </c>
      <c r="H1060" s="51" t="s">
        <v>1005</v>
      </c>
      <c r="I1060" s="51" t="s">
        <v>1005</v>
      </c>
      <c r="J1060" s="50" t="str">
        <f t="shared" si="32"/>
        <v>7958332098.pdf</v>
      </c>
      <c r="K1060" s="51" t="s">
        <v>1006</v>
      </c>
      <c r="L1060" s="51" t="s">
        <v>1223</v>
      </c>
      <c r="M1060" s="50" t="str">
        <f t="shared" si="33"/>
        <v>13.800</v>
      </c>
      <c r="N1060" s="50" t="str">
        <f>IF(A1060&lt;&gt;"",VLOOKUP(RIGHT(A1060,3)*1,[4]Des_Loc!A:B,2,0),"")</f>
        <v>ANANAS</v>
      </c>
    </row>
    <row r="1061" spans="1:14" ht="16.5" customHeight="1" x14ac:dyDescent="0.25">
      <c r="A1061" s="52">
        <v>7955539039</v>
      </c>
      <c r="B1061" s="51" t="s">
        <v>1003</v>
      </c>
      <c r="C1061" s="51" t="s">
        <v>1025</v>
      </c>
      <c r="D1061" s="51" t="s">
        <v>1011</v>
      </c>
      <c r="E1061" s="51" t="s">
        <v>1005</v>
      </c>
      <c r="F1061" s="51" t="s">
        <v>1005</v>
      </c>
      <c r="G1061" s="51" t="s">
        <v>1005</v>
      </c>
      <c r="H1061" s="51" t="s">
        <v>1005</v>
      </c>
      <c r="I1061" s="51" t="s">
        <v>1005</v>
      </c>
      <c r="J1061" s="50" t="str">
        <f t="shared" si="32"/>
        <v>7955539039.pdf</v>
      </c>
      <c r="K1061" s="51" t="s">
        <v>1006</v>
      </c>
      <c r="L1061" s="51" t="s">
        <v>1157</v>
      </c>
      <c r="M1061" s="50" t="str">
        <f t="shared" si="33"/>
        <v>13.800</v>
      </c>
      <c r="N1061" s="50" t="str">
        <f>IF(A1061&lt;&gt;"",VLOOKUP(RIGHT(A1061,3)*1,[4]Des_Loc!A:B,2,0),"")</f>
        <v>ARAGUATINS</v>
      </c>
    </row>
    <row r="1062" spans="1:14" ht="16.5" customHeight="1" x14ac:dyDescent="0.25">
      <c r="A1062" s="52">
        <v>7954778001</v>
      </c>
      <c r="B1062" s="51" t="s">
        <v>1003</v>
      </c>
      <c r="C1062" s="51" t="s">
        <v>1010</v>
      </c>
      <c r="D1062" s="51" t="s">
        <v>1011</v>
      </c>
      <c r="E1062" s="51" t="s">
        <v>1005</v>
      </c>
      <c r="F1062" s="51" t="s">
        <v>1005</v>
      </c>
      <c r="G1062" s="51" t="s">
        <v>1005</v>
      </c>
      <c r="H1062" s="51" t="s">
        <v>1005</v>
      </c>
      <c r="I1062" s="51" t="s">
        <v>1005</v>
      </c>
      <c r="J1062" s="50" t="str">
        <f t="shared" si="32"/>
        <v>7954778001.pdf</v>
      </c>
      <c r="K1062" s="51" t="s">
        <v>1006</v>
      </c>
      <c r="L1062" s="51" t="s">
        <v>1043</v>
      </c>
      <c r="M1062" s="50" t="str">
        <f t="shared" si="33"/>
        <v>34.500</v>
      </c>
      <c r="N1062" s="50" t="str">
        <f>IF(A1062&lt;&gt;"",VLOOKUP(RIGHT(A1062,3)*1,[4]Des_Loc!A:B,2,0),"")</f>
        <v>PORTO NACIONAL</v>
      </c>
    </row>
    <row r="1063" spans="1:14" ht="16.5" customHeight="1" x14ac:dyDescent="0.25">
      <c r="A1063" s="52">
        <v>7954762001</v>
      </c>
      <c r="B1063" s="51" t="s">
        <v>1003</v>
      </c>
      <c r="C1063" s="51" t="s">
        <v>1010</v>
      </c>
      <c r="D1063" s="51" t="s">
        <v>1011</v>
      </c>
      <c r="E1063" s="51" t="s">
        <v>1005</v>
      </c>
      <c r="F1063" s="51" t="s">
        <v>1011</v>
      </c>
      <c r="G1063" s="51" t="s">
        <v>1005</v>
      </c>
      <c r="H1063" s="51" t="s">
        <v>1005</v>
      </c>
      <c r="I1063" s="51" t="s">
        <v>1011</v>
      </c>
      <c r="J1063" s="50" t="str">
        <f t="shared" si="32"/>
        <v>7954762001.pdf</v>
      </c>
      <c r="K1063" s="51" t="s">
        <v>1006</v>
      </c>
      <c r="L1063" s="51" t="s">
        <v>659</v>
      </c>
      <c r="M1063" s="50" t="str">
        <f t="shared" si="33"/>
        <v>34.500</v>
      </c>
      <c r="N1063" s="50" t="str">
        <f>IF(A1063&lt;&gt;"",VLOOKUP(RIGHT(A1063,3)*1,[4]Des_Loc!A:B,2,0),"")</f>
        <v>PORTO NACIONAL</v>
      </c>
    </row>
    <row r="1064" spans="1:14" ht="16.5" customHeight="1" x14ac:dyDescent="0.25">
      <c r="A1064" s="52">
        <v>7955856193</v>
      </c>
      <c r="B1064" s="51" t="s">
        <v>1003</v>
      </c>
      <c r="C1064" s="51" t="s">
        <v>1010</v>
      </c>
      <c r="D1064" s="51" t="s">
        <v>1011</v>
      </c>
      <c r="E1064" s="51" t="s">
        <v>1011</v>
      </c>
      <c r="F1064" s="51" t="s">
        <v>1005</v>
      </c>
      <c r="G1064" s="51" t="s">
        <v>1005</v>
      </c>
      <c r="H1064" s="51" t="s">
        <v>1005</v>
      </c>
      <c r="I1064" s="51" t="s">
        <v>1005</v>
      </c>
      <c r="J1064" s="50" t="str">
        <f t="shared" si="32"/>
        <v>7955856193.pdf</v>
      </c>
      <c r="K1064" s="51" t="s">
        <v>1006</v>
      </c>
      <c r="L1064" s="51" t="s">
        <v>1036</v>
      </c>
      <c r="M1064" s="50" t="str">
        <f t="shared" si="33"/>
        <v>34.500</v>
      </c>
      <c r="N1064" s="50" t="str">
        <f>IF(A1064&lt;&gt;"",VLOOKUP(RIGHT(A1064,3)*1,[4]Des_Loc!A:B,2,0),"")</f>
        <v>CAMPOS LINDOS</v>
      </c>
    </row>
    <row r="1065" spans="1:14" ht="16.5" customHeight="1" x14ac:dyDescent="0.25">
      <c r="A1065" s="52">
        <v>7955886193</v>
      </c>
      <c r="B1065" s="51" t="s">
        <v>1003</v>
      </c>
      <c r="C1065" s="51" t="s">
        <v>1025</v>
      </c>
      <c r="D1065" s="51" t="s">
        <v>1011</v>
      </c>
      <c r="E1065" s="51" t="s">
        <v>1005</v>
      </c>
      <c r="F1065" s="51" t="s">
        <v>1005</v>
      </c>
      <c r="G1065" s="51" t="s">
        <v>1005</v>
      </c>
      <c r="H1065" s="51" t="s">
        <v>1005</v>
      </c>
      <c r="I1065" s="51" t="s">
        <v>1005</v>
      </c>
      <c r="J1065" s="50" t="str">
        <f t="shared" si="32"/>
        <v>7955886193.pdf</v>
      </c>
      <c r="K1065" s="51" t="s">
        <v>1006</v>
      </c>
      <c r="L1065" s="51" t="s">
        <v>1036</v>
      </c>
      <c r="M1065" s="50" t="str">
        <f t="shared" si="33"/>
        <v>34.500</v>
      </c>
      <c r="N1065" s="50" t="str">
        <f>IF(A1065&lt;&gt;"",VLOOKUP(RIGHT(A1065,3)*1,[4]Des_Loc!A:B,2,0),"")</f>
        <v>CAMPOS LINDOS</v>
      </c>
    </row>
    <row r="1066" spans="1:14" ht="16.5" customHeight="1" x14ac:dyDescent="0.25">
      <c r="A1066" s="52">
        <v>7954516026</v>
      </c>
      <c r="B1066" s="51" t="s">
        <v>1003</v>
      </c>
      <c r="C1066" s="51" t="s">
        <v>1021</v>
      </c>
      <c r="D1066" s="51" t="s">
        <v>1005</v>
      </c>
      <c r="E1066" s="51" t="s">
        <v>1005</v>
      </c>
      <c r="F1066" s="51" t="s">
        <v>1005</v>
      </c>
      <c r="G1066" s="51" t="s">
        <v>1005</v>
      </c>
      <c r="H1066" s="51" t="s">
        <v>1005</v>
      </c>
      <c r="I1066" s="51" t="s">
        <v>1005</v>
      </c>
      <c r="J1066" s="50" t="str">
        <f t="shared" si="32"/>
        <v>7954516026.pdf</v>
      </c>
      <c r="K1066" s="51" t="s">
        <v>1006</v>
      </c>
      <c r="L1066" s="51" t="s">
        <v>518</v>
      </c>
      <c r="M1066" s="50" t="str">
        <f t="shared" si="33"/>
        <v>34.500</v>
      </c>
      <c r="N1066" s="50" t="str">
        <f>IF(A1066&lt;&gt;"",VLOOKUP(RIGHT(A1066,3)*1,[4]Des_Loc!A:B,2,0),"")</f>
        <v>PONTE ALTA TOCANTINS</v>
      </c>
    </row>
    <row r="1067" spans="1:14" ht="16.5" customHeight="1" x14ac:dyDescent="0.25">
      <c r="A1067" s="52">
        <v>7955946007</v>
      </c>
      <c r="B1067" s="51" t="s">
        <v>1003</v>
      </c>
      <c r="C1067" s="51" t="s">
        <v>1010</v>
      </c>
      <c r="D1067" s="51" t="s">
        <v>1011</v>
      </c>
      <c r="E1067" s="51" t="s">
        <v>1005</v>
      </c>
      <c r="F1067" s="51" t="s">
        <v>1011</v>
      </c>
      <c r="G1067" s="51" t="s">
        <v>1005</v>
      </c>
      <c r="H1067" s="51" t="s">
        <v>1005</v>
      </c>
      <c r="I1067" s="51" t="s">
        <v>1011</v>
      </c>
      <c r="J1067" s="50" t="str">
        <f t="shared" si="32"/>
        <v>7955946007.pdf</v>
      </c>
      <c r="K1067" s="51" t="s">
        <v>1006</v>
      </c>
      <c r="L1067" s="51" t="s">
        <v>425</v>
      </c>
      <c r="M1067" s="50" t="str">
        <f t="shared" si="33"/>
        <v>34.500</v>
      </c>
      <c r="N1067" s="50" t="str">
        <f>IF(A1067&lt;&gt;"",VLOOKUP(RIGHT(A1067,3)*1,[4]Des_Loc!A:B,2,0),"")</f>
        <v>MIRACEMA DO TOCANTINS</v>
      </c>
    </row>
    <row r="1068" spans="1:14" ht="16.5" customHeight="1" x14ac:dyDescent="0.25">
      <c r="A1068" s="52">
        <v>7955357022</v>
      </c>
      <c r="B1068" s="51" t="s">
        <v>1003</v>
      </c>
      <c r="C1068" s="51" t="s">
        <v>1025</v>
      </c>
      <c r="D1068" s="51" t="s">
        <v>1011</v>
      </c>
      <c r="E1068" s="51" t="s">
        <v>1005</v>
      </c>
      <c r="F1068" s="51" t="s">
        <v>1005</v>
      </c>
      <c r="G1068" s="51" t="s">
        <v>1005</v>
      </c>
      <c r="H1068" s="51" t="s">
        <v>1005</v>
      </c>
      <c r="I1068" s="51" t="s">
        <v>1005</v>
      </c>
      <c r="J1068" s="50" t="str">
        <f t="shared" si="32"/>
        <v>7955357022.pdf</v>
      </c>
      <c r="K1068" s="51" t="s">
        <v>1006</v>
      </c>
      <c r="L1068" s="51" t="s">
        <v>533</v>
      </c>
      <c r="M1068" s="50" t="str">
        <f t="shared" si="33"/>
        <v>34.500</v>
      </c>
      <c r="N1068" s="50" t="str">
        <f>IF(A1068&lt;&gt;"",VLOOKUP(RIGHT(A1068,3)*1,[4]Des_Loc!A:B,2,0),"")</f>
        <v>BABACULANDIA</v>
      </c>
    </row>
    <row r="1069" spans="1:14" ht="16.5" customHeight="1" x14ac:dyDescent="0.25">
      <c r="A1069" s="52">
        <v>7955559103</v>
      </c>
      <c r="B1069" s="51" t="s">
        <v>1003</v>
      </c>
      <c r="C1069" s="51" t="s">
        <v>1025</v>
      </c>
      <c r="D1069" s="51" t="s">
        <v>1011</v>
      </c>
      <c r="E1069" s="51" t="s">
        <v>1005</v>
      </c>
      <c r="F1069" s="51" t="s">
        <v>1011</v>
      </c>
      <c r="G1069" s="51" t="s">
        <v>1005</v>
      </c>
      <c r="H1069" s="51" t="s">
        <v>1005</v>
      </c>
      <c r="I1069" s="51" t="s">
        <v>1011</v>
      </c>
      <c r="J1069" s="50" t="str">
        <f t="shared" si="32"/>
        <v>7955559103.pdf</v>
      </c>
      <c r="K1069" s="51" t="s">
        <v>1006</v>
      </c>
      <c r="L1069" s="51" t="s">
        <v>1141</v>
      </c>
      <c r="M1069" s="50" t="str">
        <f t="shared" si="33"/>
        <v>34.500</v>
      </c>
      <c r="N1069" s="50" t="str">
        <f>IF(A1069&lt;&gt;"",VLOOKUP(RIGHT(A1069,3)*1,[4]Des_Loc!A:B,2,0),"")</f>
        <v>SAO MIGUEL DO TOCANTINS</v>
      </c>
    </row>
    <row r="1070" spans="1:14" ht="16.5" customHeight="1" x14ac:dyDescent="0.25">
      <c r="A1070" s="52">
        <v>7955862004</v>
      </c>
      <c r="B1070" s="51" t="s">
        <v>1003</v>
      </c>
      <c r="C1070" s="51" t="s">
        <v>1004</v>
      </c>
      <c r="D1070" s="51" t="s">
        <v>1005</v>
      </c>
      <c r="E1070" s="51" t="s">
        <v>1005</v>
      </c>
      <c r="F1070" s="51" t="s">
        <v>1005</v>
      </c>
      <c r="G1070" s="51" t="s">
        <v>1005</v>
      </c>
      <c r="H1070" s="51" t="s">
        <v>1005</v>
      </c>
      <c r="I1070" s="51" t="s">
        <v>1005</v>
      </c>
      <c r="J1070" s="50" t="str">
        <f t="shared" si="32"/>
        <v>7955862004.pdf</v>
      </c>
      <c r="K1070" s="51" t="s">
        <v>1006</v>
      </c>
      <c r="L1070" s="51" t="s">
        <v>1007</v>
      </c>
      <c r="M1070" s="50" t="str">
        <f t="shared" si="33"/>
        <v>13.800</v>
      </c>
      <c r="N1070" s="50" t="str">
        <f>IF(A1070&lt;&gt;"",VLOOKUP(RIGHT(A1070,3)*1,[4]Des_Loc!A:B,2,0),"")</f>
        <v>ARAGUAINA</v>
      </c>
    </row>
    <row r="1071" spans="1:14" ht="16.5" customHeight="1" x14ac:dyDescent="0.25">
      <c r="A1071" s="52">
        <v>7957608034</v>
      </c>
      <c r="B1071" s="51" t="s">
        <v>1003</v>
      </c>
      <c r="C1071" s="51" t="s">
        <v>1010</v>
      </c>
      <c r="D1071" s="51" t="s">
        <v>1011</v>
      </c>
      <c r="E1071" s="51" t="s">
        <v>1011</v>
      </c>
      <c r="F1071" s="51" t="s">
        <v>1011</v>
      </c>
      <c r="G1071" s="51" t="s">
        <v>1005</v>
      </c>
      <c r="H1071" s="51" t="s">
        <v>1005</v>
      </c>
      <c r="I1071" s="51" t="s">
        <v>1011</v>
      </c>
      <c r="J1071" s="50" t="str">
        <f t="shared" si="32"/>
        <v>7957608034.pdf</v>
      </c>
      <c r="K1071" s="51" t="s">
        <v>1006</v>
      </c>
      <c r="L1071" s="51" t="s">
        <v>1047</v>
      </c>
      <c r="M1071" s="50" t="str">
        <f t="shared" si="33"/>
        <v>34.500</v>
      </c>
      <c r="N1071" s="50" t="str">
        <f>IF(A1071&lt;&gt;"",VLOOKUP(RIGHT(A1071,3)*1,[4]Des_Loc!A:B,2,0),"")</f>
        <v>PRESIDENTE KENNEDY</v>
      </c>
    </row>
    <row r="1072" spans="1:14" ht="16.5" customHeight="1" x14ac:dyDescent="0.25">
      <c r="A1072" s="52">
        <v>7954703256</v>
      </c>
      <c r="B1072" s="51" t="s">
        <v>1003</v>
      </c>
      <c r="C1072" s="51" t="s">
        <v>1021</v>
      </c>
      <c r="D1072" s="51" t="s">
        <v>1005</v>
      </c>
      <c r="E1072" s="51" t="s">
        <v>1005</v>
      </c>
      <c r="F1072" s="51" t="s">
        <v>1005</v>
      </c>
      <c r="G1072" s="51" t="s">
        <v>1005</v>
      </c>
      <c r="H1072" s="51" t="s">
        <v>1005</v>
      </c>
      <c r="I1072" s="51" t="s">
        <v>1005</v>
      </c>
      <c r="J1072" s="50" t="str">
        <f t="shared" si="32"/>
        <v>7954703256.pdf</v>
      </c>
      <c r="K1072" s="51" t="s">
        <v>1006</v>
      </c>
      <c r="L1072" s="51" t="s">
        <v>518</v>
      </c>
      <c r="M1072" s="50" t="str">
        <f t="shared" si="33"/>
        <v>34.500</v>
      </c>
      <c r="N1072" s="50" t="str">
        <f>IF(A1072&lt;&gt;"",VLOOKUP(RIGHT(A1072,3)*1,[4]Des_Loc!A:B,2,0),"")</f>
        <v>MATEIROS</v>
      </c>
    </row>
    <row r="1073" spans="1:14" ht="16.5" customHeight="1" x14ac:dyDescent="0.25">
      <c r="A1073" s="52">
        <v>7957874223</v>
      </c>
      <c r="B1073" s="51" t="s">
        <v>1003</v>
      </c>
      <c r="C1073" s="51" t="s">
        <v>1008</v>
      </c>
      <c r="D1073" s="51" t="s">
        <v>1005</v>
      </c>
      <c r="E1073" s="51" t="s">
        <v>1005</v>
      </c>
      <c r="F1073" s="51" t="s">
        <v>1005</v>
      </c>
      <c r="G1073" s="51" t="s">
        <v>1005</v>
      </c>
      <c r="H1073" s="51" t="s">
        <v>1005</v>
      </c>
      <c r="I1073" s="51" t="s">
        <v>1005</v>
      </c>
      <c r="J1073" s="50" t="str">
        <f t="shared" si="32"/>
        <v>7957874223.pdf</v>
      </c>
      <c r="K1073" s="51" t="s">
        <v>1006</v>
      </c>
      <c r="L1073" s="51" t="s">
        <v>1045</v>
      </c>
      <c r="M1073" s="50" t="str">
        <f t="shared" si="33"/>
        <v>34.500</v>
      </c>
      <c r="N1073" s="50" t="str">
        <f>IF(A1073&lt;&gt;"",VLOOKUP(RIGHT(A1073,3)*1,[4]Des_Loc!A:B,2,0),"")</f>
        <v>POVOADO MATINHA</v>
      </c>
    </row>
    <row r="1074" spans="1:14" ht="16.5" customHeight="1" x14ac:dyDescent="0.25">
      <c r="A1074" s="52">
        <v>7955429075</v>
      </c>
      <c r="B1074" s="51" t="s">
        <v>1003</v>
      </c>
      <c r="C1074" s="51" t="s">
        <v>1010</v>
      </c>
      <c r="D1074" s="51" t="s">
        <v>1011</v>
      </c>
      <c r="E1074" s="51" t="s">
        <v>1005</v>
      </c>
      <c r="F1074" s="51" t="s">
        <v>1011</v>
      </c>
      <c r="G1074" s="51" t="s">
        <v>1005</v>
      </c>
      <c r="H1074" s="51" t="s">
        <v>1005</v>
      </c>
      <c r="I1074" s="51" t="s">
        <v>1011</v>
      </c>
      <c r="J1074" s="50" t="str">
        <f t="shared" si="32"/>
        <v>7955429075.pdf</v>
      </c>
      <c r="K1074" s="51" t="s">
        <v>1006</v>
      </c>
      <c r="L1074" s="51" t="s">
        <v>1040</v>
      </c>
      <c r="M1074" s="50" t="str">
        <f t="shared" si="33"/>
        <v>34.500</v>
      </c>
      <c r="N1074" s="50" t="str">
        <f>IF(A1074&lt;&gt;"",VLOOKUP(RIGHT(A1074,3)*1,[4]Des_Loc!A:B,2,0),"")</f>
        <v>DOIS IRMAOS DO TOCANTINS</v>
      </c>
    </row>
    <row r="1075" spans="1:14" ht="16.5" customHeight="1" x14ac:dyDescent="0.25">
      <c r="A1075" s="52">
        <v>7957878033</v>
      </c>
      <c r="B1075" s="51" t="s">
        <v>1003</v>
      </c>
      <c r="C1075" s="51" t="s">
        <v>1010</v>
      </c>
      <c r="D1075" s="51" t="s">
        <v>1011</v>
      </c>
      <c r="E1075" s="51" t="s">
        <v>1005</v>
      </c>
      <c r="F1075" s="51" t="s">
        <v>1011</v>
      </c>
      <c r="G1075" s="51" t="s">
        <v>1005</v>
      </c>
      <c r="H1075" s="51" t="s">
        <v>1005</v>
      </c>
      <c r="I1075" s="51" t="s">
        <v>1011</v>
      </c>
      <c r="J1075" s="50" t="str">
        <f t="shared" si="32"/>
        <v>7957878033.pdf</v>
      </c>
      <c r="K1075" s="51" t="s">
        <v>1006</v>
      </c>
      <c r="L1075" s="51" t="s">
        <v>627</v>
      </c>
      <c r="M1075" s="50" t="str">
        <f t="shared" si="33"/>
        <v>34.500</v>
      </c>
      <c r="N1075" s="50" t="str">
        <f>IF(A1075&lt;&gt;"",VLOOKUP(RIGHT(A1075,3)*1,[4]Des_Loc!A:B,2,0),"")</f>
        <v>COLMEIA</v>
      </c>
    </row>
    <row r="1076" spans="1:14" ht="16.5" customHeight="1" x14ac:dyDescent="0.25">
      <c r="A1076" s="52">
        <v>7955956073</v>
      </c>
      <c r="B1076" s="51" t="s">
        <v>1003</v>
      </c>
      <c r="C1076" s="51" t="s">
        <v>1010</v>
      </c>
      <c r="D1076" s="51" t="s">
        <v>1011</v>
      </c>
      <c r="E1076" s="51" t="s">
        <v>1005</v>
      </c>
      <c r="F1076" s="51" t="s">
        <v>1005</v>
      </c>
      <c r="G1076" s="51" t="s">
        <v>1005</v>
      </c>
      <c r="H1076" s="51" t="s">
        <v>1005</v>
      </c>
      <c r="I1076" s="51" t="s">
        <v>1005</v>
      </c>
      <c r="J1076" s="50" t="str">
        <f t="shared" si="32"/>
        <v>7955956073.pdf</v>
      </c>
      <c r="K1076" s="51" t="s">
        <v>1006</v>
      </c>
      <c r="L1076" s="51" t="s">
        <v>1030</v>
      </c>
      <c r="M1076" s="50" t="str">
        <f t="shared" si="33"/>
        <v>34.500</v>
      </c>
      <c r="N1076" s="50" t="str">
        <f>IF(A1076&lt;&gt;"",VLOOKUP(RIGHT(A1076,3)*1,[4]Des_Loc!A:B,2,0),"")</f>
        <v>LAGOA DA CONFUSAO</v>
      </c>
    </row>
    <row r="1077" spans="1:14" ht="16.5" customHeight="1" x14ac:dyDescent="0.25">
      <c r="A1077" s="52">
        <v>7955942014</v>
      </c>
      <c r="B1077" s="51" t="s">
        <v>1003</v>
      </c>
      <c r="C1077" s="51" t="s">
        <v>1010</v>
      </c>
      <c r="D1077" s="51" t="s">
        <v>1011</v>
      </c>
      <c r="E1077" s="51" t="s">
        <v>1005</v>
      </c>
      <c r="F1077" s="51" t="s">
        <v>1005</v>
      </c>
      <c r="G1077" s="51" t="s">
        <v>1005</v>
      </c>
      <c r="H1077" s="51" t="s">
        <v>1005</v>
      </c>
      <c r="I1077" s="51" t="s">
        <v>1005</v>
      </c>
      <c r="J1077" s="50" t="str">
        <f t="shared" si="32"/>
        <v>7955942014.pdf</v>
      </c>
      <c r="K1077" s="51" t="s">
        <v>1006</v>
      </c>
      <c r="L1077" s="51" t="s">
        <v>1030</v>
      </c>
      <c r="M1077" s="50" t="str">
        <f t="shared" si="33"/>
        <v>34.500</v>
      </c>
      <c r="N1077" s="50" t="str">
        <f>IF(A1077&lt;&gt;"",VLOOKUP(RIGHT(A1077,3)*1,[4]Des_Loc!A:B,2,0),"")</f>
        <v>PIUM</v>
      </c>
    </row>
    <row r="1078" spans="1:14" ht="16.5" customHeight="1" x14ac:dyDescent="0.25">
      <c r="A1078" s="52">
        <v>7954632001</v>
      </c>
      <c r="B1078" s="51" t="s">
        <v>1003</v>
      </c>
      <c r="C1078" s="51" t="s">
        <v>1004</v>
      </c>
      <c r="D1078" s="51" t="s">
        <v>1005</v>
      </c>
      <c r="E1078" s="51" t="s">
        <v>1005</v>
      </c>
      <c r="F1078" s="51" t="s">
        <v>1005</v>
      </c>
      <c r="G1078" s="51" t="s">
        <v>1005</v>
      </c>
      <c r="H1078" s="51" t="s">
        <v>1005</v>
      </c>
      <c r="I1078" s="51" t="s">
        <v>1005</v>
      </c>
      <c r="J1078" s="50" t="str">
        <f t="shared" si="32"/>
        <v>7954632001.pdf</v>
      </c>
      <c r="K1078" s="51" t="s">
        <v>1006</v>
      </c>
      <c r="L1078" s="51" t="s">
        <v>384</v>
      </c>
      <c r="M1078" s="50" t="str">
        <f t="shared" si="33"/>
        <v>13.800</v>
      </c>
      <c r="N1078" s="50" t="str">
        <f>IF(A1078&lt;&gt;"",VLOOKUP(RIGHT(A1078,3)*1,[4]Des_Loc!A:B,2,0),"")</f>
        <v>PORTO NACIONAL</v>
      </c>
    </row>
    <row r="1079" spans="1:14" ht="16.5" customHeight="1" x14ac:dyDescent="0.25">
      <c r="A1079" s="52">
        <v>7957557094</v>
      </c>
      <c r="B1079" s="51" t="s">
        <v>1003</v>
      </c>
      <c r="C1079" s="51" t="s">
        <v>1025</v>
      </c>
      <c r="D1079" s="51" t="s">
        <v>1011</v>
      </c>
      <c r="E1079" s="51" t="s">
        <v>1005</v>
      </c>
      <c r="F1079" s="51" t="s">
        <v>1005</v>
      </c>
      <c r="G1079" s="51" t="s">
        <v>1005</v>
      </c>
      <c r="H1079" s="51" t="s">
        <v>1005</v>
      </c>
      <c r="I1079" s="51" t="s">
        <v>1005</v>
      </c>
      <c r="J1079" s="50" t="str">
        <f t="shared" si="32"/>
        <v>7957557094.pdf</v>
      </c>
      <c r="K1079" s="51" t="s">
        <v>1006</v>
      </c>
      <c r="L1079" s="51" t="s">
        <v>406</v>
      </c>
      <c r="M1079" s="50" t="str">
        <f t="shared" si="33"/>
        <v>34.500</v>
      </c>
      <c r="N1079" s="50" t="str">
        <f>IF(A1079&lt;&gt;"",VLOOKUP(RIGHT(A1079,3)*1,[4]Des_Loc!A:B,2,0),"")</f>
        <v>PEIXE</v>
      </c>
    </row>
    <row r="1080" spans="1:14" ht="16.5" customHeight="1" x14ac:dyDescent="0.25">
      <c r="A1080" s="52">
        <v>7954284003</v>
      </c>
      <c r="B1080" s="51" t="s">
        <v>1003</v>
      </c>
      <c r="C1080" s="51" t="s">
        <v>1021</v>
      </c>
      <c r="D1080" s="51" t="s">
        <v>1005</v>
      </c>
      <c r="E1080" s="51" t="s">
        <v>1005</v>
      </c>
      <c r="F1080" s="51" t="s">
        <v>1005</v>
      </c>
      <c r="G1080" s="51" t="s">
        <v>1005</v>
      </c>
      <c r="H1080" s="51" t="s">
        <v>1005</v>
      </c>
      <c r="I1080" s="51" t="s">
        <v>1005</v>
      </c>
      <c r="J1080" s="50" t="str">
        <f t="shared" si="32"/>
        <v>7954284003.pdf</v>
      </c>
      <c r="K1080" s="51" t="s">
        <v>1006</v>
      </c>
      <c r="L1080" s="51" t="s">
        <v>1096</v>
      </c>
      <c r="M1080" s="50" t="str">
        <f t="shared" si="33"/>
        <v>13.800</v>
      </c>
      <c r="N1080" s="50" t="str">
        <f>IF(A1080&lt;&gt;"",VLOOKUP(RIGHT(A1080,3)*1,[4]Des_Loc!A:B,2,0),"")</f>
        <v>GURUPI</v>
      </c>
    </row>
    <row r="1081" spans="1:14" ht="16.5" customHeight="1" x14ac:dyDescent="0.25">
      <c r="A1081" s="52">
        <v>7955360183</v>
      </c>
      <c r="B1081" s="51" t="s">
        <v>1003</v>
      </c>
      <c r="C1081" s="51" t="s">
        <v>1010</v>
      </c>
      <c r="D1081" s="51" t="s">
        <v>1011</v>
      </c>
      <c r="E1081" s="51" t="s">
        <v>1011</v>
      </c>
      <c r="F1081" s="51" t="s">
        <v>1005</v>
      </c>
      <c r="G1081" s="51" t="s">
        <v>1005</v>
      </c>
      <c r="H1081" s="51" t="s">
        <v>1005</v>
      </c>
      <c r="I1081" s="51" t="s">
        <v>1005</v>
      </c>
      <c r="J1081" s="50" t="str">
        <f t="shared" si="32"/>
        <v>7955360183.pdf</v>
      </c>
      <c r="K1081" s="51" t="s">
        <v>1006</v>
      </c>
      <c r="L1081" s="51" t="s">
        <v>497</v>
      </c>
      <c r="M1081" s="50" t="str">
        <f t="shared" si="33"/>
        <v>34.500</v>
      </c>
      <c r="N1081" s="50" t="str">
        <f>IF(A1081&lt;&gt;"",VLOOKUP(RIGHT(A1081,3)*1,[4]Des_Loc!A:B,2,0),"")</f>
        <v>PONTA DO ASFALTO</v>
      </c>
    </row>
    <row r="1082" spans="1:14" ht="16.5" customHeight="1" x14ac:dyDescent="0.25">
      <c r="A1082" s="52">
        <v>7947531073</v>
      </c>
      <c r="B1082" s="51" t="s">
        <v>1003</v>
      </c>
      <c r="C1082" s="51" t="s">
        <v>1010</v>
      </c>
      <c r="D1082" s="51" t="s">
        <v>1011</v>
      </c>
      <c r="E1082" s="51" t="s">
        <v>1011</v>
      </c>
      <c r="F1082" s="51" t="s">
        <v>1011</v>
      </c>
      <c r="G1082" s="51" t="s">
        <v>1005</v>
      </c>
      <c r="H1082" s="51" t="s">
        <v>1005</v>
      </c>
      <c r="I1082" s="51" t="s">
        <v>1011</v>
      </c>
      <c r="J1082" s="50" t="str">
        <f t="shared" si="32"/>
        <v>7947531073.pdf</v>
      </c>
      <c r="K1082" s="51" t="s">
        <v>1006</v>
      </c>
      <c r="L1082" s="51" t="s">
        <v>1215</v>
      </c>
      <c r="M1082" s="50" t="str">
        <f t="shared" si="33"/>
        <v>34.500</v>
      </c>
      <c r="N1082" s="50" t="str">
        <f>IF(A1082&lt;&gt;"",VLOOKUP(RIGHT(A1082,3)*1,[4]Des_Loc!A:B,2,0),"")</f>
        <v>LAGOA DA CONFUSAO</v>
      </c>
    </row>
    <row r="1083" spans="1:14" ht="16.5" customHeight="1" x14ac:dyDescent="0.25">
      <c r="A1083" s="52">
        <v>7955839063</v>
      </c>
      <c r="B1083" s="51" t="s">
        <v>1003</v>
      </c>
      <c r="C1083" s="51" t="s">
        <v>1010</v>
      </c>
      <c r="D1083" s="51" t="s">
        <v>1011</v>
      </c>
      <c r="E1083" s="51" t="s">
        <v>1005</v>
      </c>
      <c r="F1083" s="51" t="s">
        <v>1005</v>
      </c>
      <c r="G1083" s="51" t="s">
        <v>1005</v>
      </c>
      <c r="H1083" s="51" t="s">
        <v>1005</v>
      </c>
      <c r="I1083" s="51" t="s">
        <v>1005</v>
      </c>
      <c r="J1083" s="50" t="str">
        <f t="shared" si="32"/>
        <v>7955839063.pdf</v>
      </c>
      <c r="K1083" s="51" t="s">
        <v>1006</v>
      </c>
      <c r="L1083" s="51" t="s">
        <v>1034</v>
      </c>
      <c r="M1083" s="50" t="str">
        <f t="shared" si="33"/>
        <v>34.500</v>
      </c>
      <c r="N1083" s="50" t="str">
        <f>IF(A1083&lt;&gt;"",VLOOKUP(RIGHT(A1083,3)*1,[4]Des_Loc!A:B,2,0),"")</f>
        <v>BANDEIRANTES DO TOCANTINS</v>
      </c>
    </row>
    <row r="1084" spans="1:14" ht="16.5" customHeight="1" x14ac:dyDescent="0.25">
      <c r="A1084" s="52">
        <v>7954481004</v>
      </c>
      <c r="B1084" s="51" t="s">
        <v>1003</v>
      </c>
      <c r="C1084" s="51" t="s">
        <v>1010</v>
      </c>
      <c r="D1084" s="51" t="s">
        <v>1011</v>
      </c>
      <c r="E1084" s="51" t="s">
        <v>1005</v>
      </c>
      <c r="F1084" s="51" t="s">
        <v>1011</v>
      </c>
      <c r="G1084" s="51" t="s">
        <v>1005</v>
      </c>
      <c r="H1084" s="51" t="s">
        <v>1005</v>
      </c>
      <c r="I1084" s="51" t="s">
        <v>1011</v>
      </c>
      <c r="J1084" s="50" t="str">
        <f t="shared" si="32"/>
        <v>7954481004.pdf</v>
      </c>
      <c r="K1084" s="51" t="s">
        <v>1006</v>
      </c>
      <c r="L1084" s="51" t="s">
        <v>533</v>
      </c>
      <c r="M1084" s="50" t="str">
        <f t="shared" si="33"/>
        <v>34.500</v>
      </c>
      <c r="N1084" s="50" t="str">
        <f>IF(A1084&lt;&gt;"",VLOOKUP(RIGHT(A1084,3)*1,[4]Des_Loc!A:B,2,0),"")</f>
        <v>ARAGUAINA</v>
      </c>
    </row>
    <row r="1085" spans="1:14" ht="16.5" customHeight="1" x14ac:dyDescent="0.25">
      <c r="A1085" s="52">
        <v>7955859022</v>
      </c>
      <c r="B1085" s="51" t="s">
        <v>1003</v>
      </c>
      <c r="C1085" s="51" t="s">
        <v>1010</v>
      </c>
      <c r="D1085" s="51" t="s">
        <v>1005</v>
      </c>
      <c r="E1085" s="51" t="s">
        <v>1005</v>
      </c>
      <c r="F1085" s="51" t="s">
        <v>1005</v>
      </c>
      <c r="G1085" s="51" t="s">
        <v>1005</v>
      </c>
      <c r="H1085" s="51" t="s">
        <v>1005</v>
      </c>
      <c r="I1085" s="51" t="s">
        <v>1005</v>
      </c>
      <c r="J1085" s="50" t="str">
        <f t="shared" si="32"/>
        <v>7955859022.pdf</v>
      </c>
      <c r="K1085" s="51" t="s">
        <v>1006</v>
      </c>
      <c r="L1085" s="51" t="s">
        <v>533</v>
      </c>
      <c r="M1085" s="50" t="str">
        <f t="shared" si="33"/>
        <v>34.500</v>
      </c>
      <c r="N1085" s="50" t="str">
        <f>IF(A1085&lt;&gt;"",VLOOKUP(RIGHT(A1085,3)*1,[4]Des_Loc!A:B,2,0),"")</f>
        <v>BABACULANDIA</v>
      </c>
    </row>
    <row r="1086" spans="1:14" ht="16.5" customHeight="1" x14ac:dyDescent="0.25">
      <c r="A1086" s="52">
        <v>7955858004</v>
      </c>
      <c r="B1086" s="51" t="s">
        <v>1003</v>
      </c>
      <c r="C1086" s="51" t="s">
        <v>1004</v>
      </c>
      <c r="D1086" s="51" t="s">
        <v>1005</v>
      </c>
      <c r="E1086" s="51" t="s">
        <v>1005</v>
      </c>
      <c r="F1086" s="51" t="s">
        <v>1005</v>
      </c>
      <c r="G1086" s="51" t="s">
        <v>1005</v>
      </c>
      <c r="H1086" s="51" t="s">
        <v>1005</v>
      </c>
      <c r="I1086" s="51" t="s">
        <v>1005</v>
      </c>
      <c r="J1086" s="50" t="str">
        <f t="shared" si="32"/>
        <v>7955858004.pdf</v>
      </c>
      <c r="K1086" s="51" t="s">
        <v>1006</v>
      </c>
      <c r="L1086" s="51" t="s">
        <v>1121</v>
      </c>
      <c r="M1086" s="50" t="str">
        <f t="shared" si="33"/>
        <v>13.800</v>
      </c>
      <c r="N1086" s="50" t="str">
        <f>IF(A1086&lt;&gt;"",VLOOKUP(RIGHT(A1086,3)*1,[4]Des_Loc!A:B,2,0),"")</f>
        <v>ARAGUAINA</v>
      </c>
    </row>
    <row r="1087" spans="1:14" ht="16.5" customHeight="1" x14ac:dyDescent="0.25">
      <c r="A1087" s="52">
        <v>7955175004</v>
      </c>
      <c r="B1087" s="51" t="s">
        <v>1003</v>
      </c>
      <c r="C1087" s="51" t="s">
        <v>1025</v>
      </c>
      <c r="D1087" s="51" t="s">
        <v>1011</v>
      </c>
      <c r="E1087" s="51" t="s">
        <v>1005</v>
      </c>
      <c r="F1087" s="51" t="s">
        <v>1011</v>
      </c>
      <c r="G1087" s="51" t="s">
        <v>1005</v>
      </c>
      <c r="H1087" s="51" t="s">
        <v>1005</v>
      </c>
      <c r="I1087" s="51" t="s">
        <v>1011</v>
      </c>
      <c r="J1087" s="50" t="str">
        <f t="shared" si="32"/>
        <v>7955175004.pdf</v>
      </c>
      <c r="K1087" s="51" t="s">
        <v>1006</v>
      </c>
      <c r="L1087" s="51" t="s">
        <v>1007</v>
      </c>
      <c r="M1087" s="50" t="str">
        <f t="shared" si="33"/>
        <v>13.800</v>
      </c>
      <c r="N1087" s="50" t="str">
        <f>IF(A1087&lt;&gt;"",VLOOKUP(RIGHT(A1087,3)*1,[4]Des_Loc!A:B,2,0),"")</f>
        <v>ARAGUAINA</v>
      </c>
    </row>
    <row r="1088" spans="1:14" ht="16.5" customHeight="1" x14ac:dyDescent="0.25">
      <c r="A1088" s="52">
        <v>7955372016</v>
      </c>
      <c r="B1088" s="51" t="s">
        <v>1003</v>
      </c>
      <c r="C1088" s="51" t="s">
        <v>1010</v>
      </c>
      <c r="D1088" s="51" t="s">
        <v>1011</v>
      </c>
      <c r="E1088" s="51" t="s">
        <v>1011</v>
      </c>
      <c r="F1088" s="51" t="s">
        <v>1011</v>
      </c>
      <c r="G1088" s="51" t="s">
        <v>1005</v>
      </c>
      <c r="H1088" s="51" t="s">
        <v>1005</v>
      </c>
      <c r="I1088" s="51" t="s">
        <v>1011</v>
      </c>
      <c r="J1088" s="50" t="str">
        <f t="shared" si="32"/>
        <v>7955372016.pdf</v>
      </c>
      <c r="K1088" s="51" t="s">
        <v>1006</v>
      </c>
      <c r="L1088" s="51" t="s">
        <v>1114</v>
      </c>
      <c r="M1088" s="50" t="str">
        <f t="shared" si="33"/>
        <v>34.500</v>
      </c>
      <c r="N1088" s="50" t="str">
        <f>IF(A1088&lt;&gt;"",VLOOKUP(RIGHT(A1088,3)*1,[4]Des_Loc!A:B,2,0),"")</f>
        <v>WANDERLANDIA</v>
      </c>
    </row>
    <row r="1089" spans="1:14" ht="16.5" customHeight="1" x14ac:dyDescent="0.25">
      <c r="A1089" s="52">
        <v>7956068152</v>
      </c>
      <c r="B1089" s="51" t="s">
        <v>1003</v>
      </c>
      <c r="C1089" s="51" t="s">
        <v>1010</v>
      </c>
      <c r="D1089" s="51" t="s">
        <v>1011</v>
      </c>
      <c r="E1089" s="51" t="s">
        <v>1005</v>
      </c>
      <c r="F1089" s="51" t="s">
        <v>1011</v>
      </c>
      <c r="G1089" s="51" t="s">
        <v>1005</v>
      </c>
      <c r="H1089" s="51" t="s">
        <v>1005</v>
      </c>
      <c r="I1089" s="51" t="s">
        <v>1011</v>
      </c>
      <c r="J1089" s="50" t="str">
        <f t="shared" si="32"/>
        <v>7956068152.pdf</v>
      </c>
      <c r="K1089" s="51" t="s">
        <v>1006</v>
      </c>
      <c r="L1089" s="51" t="s">
        <v>430</v>
      </c>
      <c r="M1089" s="50" t="str">
        <f t="shared" si="33"/>
        <v>34.500</v>
      </c>
      <c r="N1089" s="50" t="str">
        <f>IF(A1089&lt;&gt;"",VLOOKUP(RIGHT(A1089,3)*1,[4]Des_Loc!A:B,2,0),"")</f>
        <v>SANTA ROSA DO TOCANTINS</v>
      </c>
    </row>
    <row r="1090" spans="1:14" ht="16.5" customHeight="1" x14ac:dyDescent="0.25">
      <c r="A1090" s="52">
        <v>7955949013</v>
      </c>
      <c r="B1090" s="51" t="s">
        <v>1003</v>
      </c>
      <c r="C1090" s="51" t="s">
        <v>1021</v>
      </c>
      <c r="D1090" s="51" t="s">
        <v>1005</v>
      </c>
      <c r="E1090" s="51" t="s">
        <v>1005</v>
      </c>
      <c r="F1090" s="51" t="s">
        <v>1005</v>
      </c>
      <c r="G1090" s="51" t="s">
        <v>1005</v>
      </c>
      <c r="H1090" s="51" t="s">
        <v>1005</v>
      </c>
      <c r="I1090" s="51" t="s">
        <v>1005</v>
      </c>
      <c r="J1090" s="50" t="str">
        <f t="shared" ref="J1090:J1153" si="34">CONCATENATE(A1090,".pdf")</f>
        <v>7955949013.pdf</v>
      </c>
      <c r="K1090" s="51" t="s">
        <v>1006</v>
      </c>
      <c r="L1090" s="51" t="s">
        <v>1205</v>
      </c>
      <c r="M1090" s="50" t="str">
        <f t="shared" ref="M1090:M1153" si="35">IF(L1090&lt;&gt;"",IF(LEFT(L1090,2)="AL","13.800","34.500"),"")</f>
        <v>13.800</v>
      </c>
      <c r="N1090" s="50" t="str">
        <f>IF(A1090&lt;&gt;"",VLOOKUP(RIGHT(A1090,3)*1,[4]Des_Loc!A:B,2,0),"")</f>
        <v>PARAISO DO TOCANTINS</v>
      </c>
    </row>
    <row r="1091" spans="1:14" ht="16.5" customHeight="1" x14ac:dyDescent="0.25">
      <c r="A1091" s="52">
        <v>7955948013</v>
      </c>
      <c r="B1091" s="51" t="s">
        <v>1003</v>
      </c>
      <c r="C1091" s="51" t="s">
        <v>1021</v>
      </c>
      <c r="D1091" s="51" t="s">
        <v>1005</v>
      </c>
      <c r="E1091" s="51" t="s">
        <v>1005</v>
      </c>
      <c r="F1091" s="51" t="s">
        <v>1005</v>
      </c>
      <c r="G1091" s="51" t="s">
        <v>1005</v>
      </c>
      <c r="H1091" s="51" t="s">
        <v>1005</v>
      </c>
      <c r="I1091" s="51" t="s">
        <v>1005</v>
      </c>
      <c r="J1091" s="50" t="str">
        <f t="shared" si="34"/>
        <v>7955948013.pdf</v>
      </c>
      <c r="K1091" s="51" t="s">
        <v>1006</v>
      </c>
      <c r="L1091" s="51" t="s">
        <v>1205</v>
      </c>
      <c r="M1091" s="50" t="str">
        <f t="shared" si="35"/>
        <v>13.800</v>
      </c>
      <c r="N1091" s="50" t="str">
        <f>IF(A1091&lt;&gt;"",VLOOKUP(RIGHT(A1091,3)*1,[4]Des_Loc!A:B,2,0),"")</f>
        <v>PARAISO DO TOCANTINS</v>
      </c>
    </row>
    <row r="1092" spans="1:14" ht="16.5" customHeight="1" x14ac:dyDescent="0.25">
      <c r="A1092" s="52">
        <v>7956063152</v>
      </c>
      <c r="B1092" s="51" t="s">
        <v>1003</v>
      </c>
      <c r="C1092" s="51" t="s">
        <v>1010</v>
      </c>
      <c r="D1092" s="51" t="s">
        <v>1011</v>
      </c>
      <c r="E1092" s="51" t="s">
        <v>1005</v>
      </c>
      <c r="F1092" s="51" t="s">
        <v>1005</v>
      </c>
      <c r="G1092" s="51" t="s">
        <v>1005</v>
      </c>
      <c r="H1092" s="51" t="s">
        <v>1005</v>
      </c>
      <c r="I1092" s="51" t="s">
        <v>1005</v>
      </c>
      <c r="J1092" s="50" t="str">
        <f t="shared" si="34"/>
        <v>7956063152.pdf</v>
      </c>
      <c r="K1092" s="51" t="s">
        <v>1006</v>
      </c>
      <c r="L1092" s="51" t="s">
        <v>430</v>
      </c>
      <c r="M1092" s="50" t="str">
        <f t="shared" si="35"/>
        <v>34.500</v>
      </c>
      <c r="N1092" s="50" t="str">
        <f>IF(A1092&lt;&gt;"",VLOOKUP(RIGHT(A1092,3)*1,[4]Des_Loc!A:B,2,0),"")</f>
        <v>SANTA ROSA DO TOCANTINS</v>
      </c>
    </row>
    <row r="1093" spans="1:14" ht="16.5" customHeight="1" x14ac:dyDescent="0.25">
      <c r="A1093" s="52">
        <v>7954704001</v>
      </c>
      <c r="B1093" s="51" t="s">
        <v>1003</v>
      </c>
      <c r="C1093" s="51" t="s">
        <v>1008</v>
      </c>
      <c r="D1093" s="51" t="s">
        <v>1005</v>
      </c>
      <c r="E1093" s="51" t="s">
        <v>1005</v>
      </c>
      <c r="F1093" s="51" t="s">
        <v>1005</v>
      </c>
      <c r="G1093" s="51" t="s">
        <v>1005</v>
      </c>
      <c r="H1093" s="51" t="s">
        <v>1005</v>
      </c>
      <c r="I1093" s="51" t="s">
        <v>1005</v>
      </c>
      <c r="J1093" s="50" t="str">
        <f t="shared" si="34"/>
        <v>7954704001.pdf</v>
      </c>
      <c r="K1093" s="51" t="s">
        <v>1006</v>
      </c>
      <c r="L1093" s="51" t="s">
        <v>392</v>
      </c>
      <c r="M1093" s="50" t="str">
        <f t="shared" si="35"/>
        <v>13.800</v>
      </c>
      <c r="N1093" s="50" t="str">
        <f>IF(A1093&lt;&gt;"",VLOOKUP(RIGHT(A1093,3)*1,[4]Des_Loc!A:B,2,0),"")</f>
        <v>PORTO NACIONAL</v>
      </c>
    </row>
    <row r="1094" spans="1:14" ht="16.5" customHeight="1" x14ac:dyDescent="0.25">
      <c r="A1094" s="52">
        <v>7955713003</v>
      </c>
      <c r="B1094" s="51" t="s">
        <v>1003</v>
      </c>
      <c r="C1094" s="51" t="s">
        <v>1021</v>
      </c>
      <c r="D1094" s="51" t="s">
        <v>1005</v>
      </c>
      <c r="E1094" s="51" t="s">
        <v>1005</v>
      </c>
      <c r="F1094" s="51" t="s">
        <v>1005</v>
      </c>
      <c r="G1094" s="51" t="s">
        <v>1005</v>
      </c>
      <c r="H1094" s="51" t="s">
        <v>1005</v>
      </c>
      <c r="I1094" s="51" t="s">
        <v>1005</v>
      </c>
      <c r="J1094" s="50" t="str">
        <f t="shared" si="34"/>
        <v>7955713003.pdf</v>
      </c>
      <c r="K1094" s="51" t="s">
        <v>1006</v>
      </c>
      <c r="L1094" s="51" t="s">
        <v>1196</v>
      </c>
      <c r="M1094" s="50" t="str">
        <f t="shared" si="35"/>
        <v>13.800</v>
      </c>
      <c r="N1094" s="50" t="str">
        <f>IF(A1094&lt;&gt;"",VLOOKUP(RIGHT(A1094,3)*1,[4]Des_Loc!A:B,2,0),"")</f>
        <v>GURUPI</v>
      </c>
    </row>
    <row r="1095" spans="1:14" ht="16.5" customHeight="1" x14ac:dyDescent="0.25">
      <c r="A1095" s="52">
        <v>7955731003</v>
      </c>
      <c r="B1095" s="51" t="s">
        <v>1003</v>
      </c>
      <c r="C1095" s="51" t="s">
        <v>1021</v>
      </c>
      <c r="D1095" s="51" t="s">
        <v>1005</v>
      </c>
      <c r="E1095" s="51" t="s">
        <v>1005</v>
      </c>
      <c r="F1095" s="51" t="s">
        <v>1005</v>
      </c>
      <c r="G1095" s="51" t="s">
        <v>1005</v>
      </c>
      <c r="H1095" s="51" t="s">
        <v>1005</v>
      </c>
      <c r="I1095" s="51" t="s">
        <v>1005</v>
      </c>
      <c r="J1095" s="50" t="str">
        <f t="shared" si="34"/>
        <v>7955731003.pdf</v>
      </c>
      <c r="K1095" s="51" t="s">
        <v>1006</v>
      </c>
      <c r="L1095" s="51" t="s">
        <v>1168</v>
      </c>
      <c r="M1095" s="50" t="str">
        <f t="shared" si="35"/>
        <v>13.800</v>
      </c>
      <c r="N1095" s="50" t="str">
        <f>IF(A1095&lt;&gt;"",VLOOKUP(RIGHT(A1095,3)*1,[4]Des_Loc!A:B,2,0),"")</f>
        <v>GURUPI</v>
      </c>
    </row>
    <row r="1096" spans="1:14" ht="16.5" customHeight="1" x14ac:dyDescent="0.25">
      <c r="A1096" s="52">
        <v>7955711003</v>
      </c>
      <c r="B1096" s="51" t="s">
        <v>1003</v>
      </c>
      <c r="C1096" s="51" t="s">
        <v>1021</v>
      </c>
      <c r="D1096" s="51" t="s">
        <v>1005</v>
      </c>
      <c r="E1096" s="51" t="s">
        <v>1005</v>
      </c>
      <c r="F1096" s="51" t="s">
        <v>1005</v>
      </c>
      <c r="G1096" s="51" t="s">
        <v>1005</v>
      </c>
      <c r="H1096" s="51" t="s">
        <v>1005</v>
      </c>
      <c r="I1096" s="51" t="s">
        <v>1005</v>
      </c>
      <c r="J1096" s="50" t="str">
        <f t="shared" si="34"/>
        <v>7955711003.pdf</v>
      </c>
      <c r="K1096" s="51" t="s">
        <v>1006</v>
      </c>
      <c r="L1096" s="51" t="s">
        <v>1058</v>
      </c>
      <c r="M1096" s="50" t="str">
        <f t="shared" si="35"/>
        <v>13.800</v>
      </c>
      <c r="N1096" s="50" t="str">
        <f>IF(A1096&lt;&gt;"",VLOOKUP(RIGHT(A1096,3)*1,[4]Des_Loc!A:B,2,0),"")</f>
        <v>GURUPI</v>
      </c>
    </row>
    <row r="1097" spans="1:14" ht="16.5" customHeight="1" x14ac:dyDescent="0.25">
      <c r="A1097" s="52">
        <v>7954283003</v>
      </c>
      <c r="B1097" s="51" t="s">
        <v>1003</v>
      </c>
      <c r="C1097" s="51" t="s">
        <v>1021</v>
      </c>
      <c r="D1097" s="51" t="s">
        <v>1005</v>
      </c>
      <c r="E1097" s="51" t="s">
        <v>1005</v>
      </c>
      <c r="F1097" s="51" t="s">
        <v>1005</v>
      </c>
      <c r="G1097" s="51" t="s">
        <v>1005</v>
      </c>
      <c r="H1097" s="51" t="s">
        <v>1005</v>
      </c>
      <c r="I1097" s="51" t="s">
        <v>1005</v>
      </c>
      <c r="J1097" s="50" t="str">
        <f t="shared" si="34"/>
        <v>7954283003.pdf</v>
      </c>
      <c r="K1097" s="51" t="s">
        <v>1006</v>
      </c>
      <c r="L1097" s="51" t="s">
        <v>1058</v>
      </c>
      <c r="M1097" s="50" t="str">
        <f t="shared" si="35"/>
        <v>13.800</v>
      </c>
      <c r="N1097" s="50" t="str">
        <f>IF(A1097&lt;&gt;"",VLOOKUP(RIGHT(A1097,3)*1,[4]Des_Loc!A:B,2,0),"")</f>
        <v>GURUPI</v>
      </c>
    </row>
    <row r="1098" spans="1:14" ht="16.5" customHeight="1" x14ac:dyDescent="0.25">
      <c r="A1098" s="52">
        <v>7957558003</v>
      </c>
      <c r="B1098" s="51" t="s">
        <v>1003</v>
      </c>
      <c r="C1098" s="51" t="s">
        <v>1010</v>
      </c>
      <c r="D1098" s="51" t="s">
        <v>1011</v>
      </c>
      <c r="E1098" s="51" t="s">
        <v>1011</v>
      </c>
      <c r="F1098" s="51" t="s">
        <v>1011</v>
      </c>
      <c r="G1098" s="51" t="s">
        <v>1005</v>
      </c>
      <c r="H1098" s="51" t="s">
        <v>1005</v>
      </c>
      <c r="I1098" s="51" t="s">
        <v>1011</v>
      </c>
      <c r="J1098" s="50" t="str">
        <f t="shared" si="34"/>
        <v>7957558003.pdf</v>
      </c>
      <c r="K1098" s="51" t="s">
        <v>1006</v>
      </c>
      <c r="L1098" s="51" t="s">
        <v>483</v>
      </c>
      <c r="M1098" s="50" t="str">
        <f t="shared" si="35"/>
        <v>34.500</v>
      </c>
      <c r="N1098" s="50" t="str">
        <f>IF(A1098&lt;&gt;"",VLOOKUP(RIGHT(A1098,3)*1,[4]Des_Loc!A:B,2,0),"")</f>
        <v>GURUPI</v>
      </c>
    </row>
    <row r="1099" spans="1:14" ht="16.5" customHeight="1" x14ac:dyDescent="0.25">
      <c r="A1099" s="52">
        <v>7955702037</v>
      </c>
      <c r="B1099" s="51" t="s">
        <v>1003</v>
      </c>
      <c r="C1099" s="51" t="s">
        <v>1010</v>
      </c>
      <c r="D1099" s="51" t="s">
        <v>1011</v>
      </c>
      <c r="E1099" s="51" t="s">
        <v>1005</v>
      </c>
      <c r="F1099" s="51" t="s">
        <v>1011</v>
      </c>
      <c r="G1099" s="51" t="s">
        <v>1005</v>
      </c>
      <c r="H1099" s="51" t="s">
        <v>1005</v>
      </c>
      <c r="I1099" s="51" t="s">
        <v>1011</v>
      </c>
      <c r="J1099" s="50" t="str">
        <f t="shared" si="34"/>
        <v>7955702037.pdf</v>
      </c>
      <c r="K1099" s="51" t="s">
        <v>1006</v>
      </c>
      <c r="L1099" s="51" t="s">
        <v>483</v>
      </c>
      <c r="M1099" s="50" t="str">
        <f t="shared" si="35"/>
        <v>34.500</v>
      </c>
      <c r="N1099" s="50" t="str">
        <f>IF(A1099&lt;&gt;"",VLOOKUP(RIGHT(A1099,3)*1,[4]Des_Loc!A:B,2,0),"")</f>
        <v>ALIANCA DO TOCANTINS</v>
      </c>
    </row>
    <row r="1100" spans="1:14" ht="16.5" customHeight="1" x14ac:dyDescent="0.25">
      <c r="A1100" s="52">
        <v>7955986084</v>
      </c>
      <c r="B1100" s="51" t="s">
        <v>1003</v>
      </c>
      <c r="C1100" s="51" t="s">
        <v>1010</v>
      </c>
      <c r="D1100" s="51" t="s">
        <v>1011</v>
      </c>
      <c r="E1100" s="51" t="s">
        <v>1005</v>
      </c>
      <c r="F1100" s="51" t="s">
        <v>1005</v>
      </c>
      <c r="G1100" s="51" t="s">
        <v>1005</v>
      </c>
      <c r="H1100" s="51" t="s">
        <v>1011</v>
      </c>
      <c r="I1100" s="51" t="s">
        <v>1005</v>
      </c>
      <c r="J1100" s="50" t="str">
        <f t="shared" si="34"/>
        <v>7955986084.pdf</v>
      </c>
      <c r="K1100" s="51" t="s">
        <v>1006</v>
      </c>
      <c r="L1100" s="51" t="s">
        <v>526</v>
      </c>
      <c r="M1100" s="50" t="str">
        <f t="shared" si="35"/>
        <v>34.500</v>
      </c>
      <c r="N1100" s="50" t="str">
        <f>IF(A1100&lt;&gt;"",VLOOKUP(RIGHT(A1100,3)*1,[4]Des_Loc!A:B,2,0),"")</f>
        <v>DIVINOPOLIS</v>
      </c>
    </row>
    <row r="1101" spans="1:14" ht="16.5" customHeight="1" x14ac:dyDescent="0.25">
      <c r="A1101" s="52">
        <v>7957719009</v>
      </c>
      <c r="B1101" s="51" t="s">
        <v>1003</v>
      </c>
      <c r="C1101" s="51" t="s">
        <v>1025</v>
      </c>
      <c r="D1101" s="51" t="s">
        <v>1011</v>
      </c>
      <c r="E1101" s="51" t="s">
        <v>1005</v>
      </c>
      <c r="F1101" s="51" t="s">
        <v>1011</v>
      </c>
      <c r="G1101" s="51" t="s">
        <v>1005</v>
      </c>
      <c r="H1101" s="51" t="s">
        <v>1005</v>
      </c>
      <c r="I1101" s="51" t="s">
        <v>1011</v>
      </c>
      <c r="J1101" s="50" t="str">
        <f t="shared" si="34"/>
        <v>7957719009.pdf</v>
      </c>
      <c r="K1101" s="51" t="s">
        <v>1006</v>
      </c>
      <c r="L1101" s="51" t="s">
        <v>419</v>
      </c>
      <c r="M1101" s="50" t="str">
        <f t="shared" si="35"/>
        <v>13.800</v>
      </c>
      <c r="N1101" s="50" t="str">
        <f>IF(A1101&lt;&gt;"",VLOOKUP(RIGHT(A1101,3)*1,[4]Des_Loc!A:B,2,0),"")</f>
        <v>GUARAI</v>
      </c>
    </row>
    <row r="1102" spans="1:14" ht="16.5" customHeight="1" x14ac:dyDescent="0.25">
      <c r="A1102" s="52">
        <v>7954971011</v>
      </c>
      <c r="B1102" s="51" t="s">
        <v>1003</v>
      </c>
      <c r="C1102" s="51" t="s">
        <v>1004</v>
      </c>
      <c r="D1102" s="51" t="s">
        <v>1005</v>
      </c>
      <c r="E1102" s="51" t="s">
        <v>1005</v>
      </c>
      <c r="F1102" s="51" t="s">
        <v>1005</v>
      </c>
      <c r="G1102" s="51" t="s">
        <v>1005</v>
      </c>
      <c r="H1102" s="51" t="s">
        <v>1005</v>
      </c>
      <c r="I1102" s="51" t="s">
        <v>1005</v>
      </c>
      <c r="J1102" s="50" t="str">
        <f t="shared" si="34"/>
        <v>7954971011.pdf</v>
      </c>
      <c r="K1102" s="51" t="s">
        <v>1006</v>
      </c>
      <c r="L1102" s="51" t="s">
        <v>368</v>
      </c>
      <c r="M1102" s="50" t="str">
        <f t="shared" si="35"/>
        <v>13.800</v>
      </c>
      <c r="N1102" s="50" t="str">
        <f>IF(A1102&lt;&gt;"",VLOOKUP(RIGHT(A1102,3)*1,[4]Des_Loc!A:B,2,0),"")</f>
        <v>TUPIRAMA</v>
      </c>
    </row>
    <row r="1103" spans="1:14" ht="16.5" customHeight="1" x14ac:dyDescent="0.25">
      <c r="A1103" s="52">
        <v>7955882060</v>
      </c>
      <c r="B1103" s="51" t="s">
        <v>1003</v>
      </c>
      <c r="C1103" s="51" t="s">
        <v>1025</v>
      </c>
      <c r="D1103" s="51" t="s">
        <v>1011</v>
      </c>
      <c r="E1103" s="51" t="s">
        <v>1005</v>
      </c>
      <c r="F1103" s="51" t="s">
        <v>1005</v>
      </c>
      <c r="G1103" s="51" t="s">
        <v>1005</v>
      </c>
      <c r="H1103" s="51" t="s">
        <v>1005</v>
      </c>
      <c r="I1103" s="51" t="s">
        <v>1005</v>
      </c>
      <c r="J1103" s="50" t="str">
        <f t="shared" si="34"/>
        <v>7955882060.pdf</v>
      </c>
      <c r="K1103" s="51" t="s">
        <v>1006</v>
      </c>
      <c r="L1103" s="51" t="s">
        <v>412</v>
      </c>
      <c r="M1103" s="50" t="str">
        <f t="shared" si="35"/>
        <v>13.800</v>
      </c>
      <c r="N1103" s="50" t="str">
        <f>IF(A1103&lt;&gt;"",VLOOKUP(RIGHT(A1103,3)*1,[4]Des_Loc!A:B,2,0),"")</f>
        <v>NOVA OLINDA</v>
      </c>
    </row>
    <row r="1104" spans="1:14" ht="16.5" customHeight="1" x14ac:dyDescent="0.25">
      <c r="A1104" s="52">
        <v>7957920111</v>
      </c>
      <c r="B1104" s="51" t="s">
        <v>1003</v>
      </c>
      <c r="C1104" s="51" t="s">
        <v>1010</v>
      </c>
      <c r="D1104" s="51" t="s">
        <v>1011</v>
      </c>
      <c r="E1104" s="51" t="s">
        <v>1005</v>
      </c>
      <c r="F1104" s="51" t="s">
        <v>1005</v>
      </c>
      <c r="G1104" s="51" t="s">
        <v>1005</v>
      </c>
      <c r="H1104" s="51" t="s">
        <v>1005</v>
      </c>
      <c r="I1104" s="51" t="s">
        <v>1005</v>
      </c>
      <c r="J1104" s="50" t="str">
        <f t="shared" si="34"/>
        <v>7957920111.pdf</v>
      </c>
      <c r="K1104" s="51" t="s">
        <v>1006</v>
      </c>
      <c r="L1104" s="51" t="s">
        <v>1034</v>
      </c>
      <c r="M1104" s="50" t="str">
        <f t="shared" si="35"/>
        <v>34.500</v>
      </c>
      <c r="N1104" s="50" t="str">
        <f>IF(A1104&lt;&gt;"",VLOOKUP(RIGHT(A1104,3)*1,[4]Des_Loc!A:B,2,0),"")</f>
        <v>PEQUIZEIRO</v>
      </c>
    </row>
    <row r="1105" spans="1:14" ht="16.5" customHeight="1" x14ac:dyDescent="0.25">
      <c r="A1105" s="52">
        <v>7957882153</v>
      </c>
      <c r="B1105" s="51" t="s">
        <v>1003</v>
      </c>
      <c r="C1105" s="51" t="s">
        <v>1025</v>
      </c>
      <c r="D1105" s="51" t="s">
        <v>1011</v>
      </c>
      <c r="E1105" s="51" t="s">
        <v>1005</v>
      </c>
      <c r="F1105" s="51" t="s">
        <v>1011</v>
      </c>
      <c r="G1105" s="51" t="s">
        <v>1005</v>
      </c>
      <c r="H1105" s="51" t="s">
        <v>1005</v>
      </c>
      <c r="I1105" s="51" t="s">
        <v>1011</v>
      </c>
      <c r="J1105" s="50" t="str">
        <f t="shared" si="34"/>
        <v>7957882153.pdf</v>
      </c>
      <c r="K1105" s="51" t="s">
        <v>1006</v>
      </c>
      <c r="L1105" s="51" t="s">
        <v>1034</v>
      </c>
      <c r="M1105" s="50" t="str">
        <f t="shared" si="35"/>
        <v>34.500</v>
      </c>
      <c r="N1105" s="50" t="str">
        <f>IF(A1105&lt;&gt;"",VLOOKUP(RIGHT(A1105,3)*1,[4]Des_Loc!A:B,2,0),"")</f>
        <v>BERNARDO SAYAO</v>
      </c>
    </row>
    <row r="1106" spans="1:14" ht="16.5" customHeight="1" x14ac:dyDescent="0.25">
      <c r="A1106" s="52">
        <v>7957658155</v>
      </c>
      <c r="B1106" s="51" t="s">
        <v>1003</v>
      </c>
      <c r="C1106" s="51" t="s">
        <v>1010</v>
      </c>
      <c r="D1106" s="51" t="s">
        <v>1011</v>
      </c>
      <c r="E1106" s="51" t="s">
        <v>1005</v>
      </c>
      <c r="F1106" s="51" t="s">
        <v>1005</v>
      </c>
      <c r="G1106" s="51" t="s">
        <v>1005</v>
      </c>
      <c r="H1106" s="51" t="s">
        <v>1005</v>
      </c>
      <c r="I1106" s="51" t="s">
        <v>1005</v>
      </c>
      <c r="J1106" s="50" t="str">
        <f t="shared" si="34"/>
        <v>7957658155.pdf</v>
      </c>
      <c r="K1106" s="51" t="s">
        <v>1006</v>
      </c>
      <c r="L1106" s="51" t="s">
        <v>1150</v>
      </c>
      <c r="M1106" s="50" t="str">
        <f t="shared" si="35"/>
        <v>34.500</v>
      </c>
      <c r="N1106" s="50" t="str">
        <f>IF(A1106&lt;&gt;"",VLOOKUP(RIGHT(A1106,3)*1,[4]Des_Loc!A:B,2,0),"")</f>
        <v>PALMEIRANTE</v>
      </c>
    </row>
    <row r="1107" spans="1:14" ht="16.5" customHeight="1" x14ac:dyDescent="0.25">
      <c r="A1107" s="52">
        <v>7955430075</v>
      </c>
      <c r="B1107" s="51" t="s">
        <v>1003</v>
      </c>
      <c r="C1107" s="51" t="s">
        <v>1010</v>
      </c>
      <c r="D1107" s="51" t="s">
        <v>1005</v>
      </c>
      <c r="E1107" s="51" t="s">
        <v>1005</v>
      </c>
      <c r="F1107" s="51" t="s">
        <v>1005</v>
      </c>
      <c r="G1107" s="51" t="s">
        <v>1005</v>
      </c>
      <c r="H1107" s="51" t="s">
        <v>1005</v>
      </c>
      <c r="I1107" s="51" t="s">
        <v>1005</v>
      </c>
      <c r="J1107" s="50" t="str">
        <f t="shared" si="34"/>
        <v>7955430075.pdf</v>
      </c>
      <c r="K1107" s="51" t="s">
        <v>1006</v>
      </c>
      <c r="L1107" s="51" t="s">
        <v>1040</v>
      </c>
      <c r="M1107" s="50" t="str">
        <f t="shared" si="35"/>
        <v>34.500</v>
      </c>
      <c r="N1107" s="50" t="str">
        <f>IF(A1107&lt;&gt;"",VLOOKUP(RIGHT(A1107,3)*1,[4]Des_Loc!A:B,2,0),"")</f>
        <v>DOIS IRMAOS DO TOCANTINS</v>
      </c>
    </row>
    <row r="1108" spans="1:14" ht="16.5" customHeight="1" x14ac:dyDescent="0.25">
      <c r="A1108" s="52">
        <v>7959990070</v>
      </c>
      <c r="B1108" s="51" t="s">
        <v>1003</v>
      </c>
      <c r="C1108" s="51" t="s">
        <v>1010</v>
      </c>
      <c r="D1108" s="51" t="s">
        <v>1011</v>
      </c>
      <c r="E1108" s="51" t="s">
        <v>1005</v>
      </c>
      <c r="F1108" s="51" t="s">
        <v>1011</v>
      </c>
      <c r="G1108" s="51" t="s">
        <v>1005</v>
      </c>
      <c r="H1108" s="51" t="s">
        <v>1005</v>
      </c>
      <c r="I1108" s="51" t="s">
        <v>1011</v>
      </c>
      <c r="J1108" s="50" t="str">
        <f t="shared" si="34"/>
        <v>7959990070.pdf</v>
      </c>
      <c r="K1108" s="51" t="s">
        <v>1006</v>
      </c>
      <c r="L1108" s="51" t="s">
        <v>754</v>
      </c>
      <c r="M1108" s="50" t="str">
        <f t="shared" si="35"/>
        <v>34.500</v>
      </c>
      <c r="N1108" s="50" t="str">
        <f>IF(A1108&lt;&gt;"",VLOOKUP(RIGHT(A1108,3)*1,[4]Des_Loc!A:B,2,0),"")</f>
        <v>RIO SONO</v>
      </c>
    </row>
    <row r="1109" spans="1:14" ht="16.5" customHeight="1" x14ac:dyDescent="0.25">
      <c r="A1109" s="52">
        <v>7956939122</v>
      </c>
      <c r="B1109" s="51" t="s">
        <v>1003</v>
      </c>
      <c r="C1109" s="51" t="s">
        <v>1021</v>
      </c>
      <c r="D1109" s="51" t="s">
        <v>1005</v>
      </c>
      <c r="E1109" s="51" t="s">
        <v>1005</v>
      </c>
      <c r="F1109" s="51" t="s">
        <v>1005</v>
      </c>
      <c r="G1109" s="51" t="s">
        <v>1005</v>
      </c>
      <c r="H1109" s="51" t="s">
        <v>1005</v>
      </c>
      <c r="I1109" s="51" t="s">
        <v>1005</v>
      </c>
      <c r="J1109" s="50" t="str">
        <f t="shared" si="34"/>
        <v>7956939122.pdf</v>
      </c>
      <c r="K1109" s="51" t="s">
        <v>1006</v>
      </c>
      <c r="L1109" s="51" t="s">
        <v>1162</v>
      </c>
      <c r="M1109" s="50" t="str">
        <f t="shared" si="35"/>
        <v>13.800</v>
      </c>
      <c r="N1109" s="50" t="str">
        <f>IF(A1109&lt;&gt;"",VLOOKUP(RIGHT(A1109,3)*1,[4]Des_Loc!A:B,2,0),"")</f>
        <v>PALMAS</v>
      </c>
    </row>
    <row r="1110" spans="1:14" ht="16.5" customHeight="1" x14ac:dyDescent="0.25">
      <c r="A1110" s="52">
        <v>7954748001</v>
      </c>
      <c r="B1110" s="51" t="s">
        <v>1003</v>
      </c>
      <c r="C1110" s="51" t="s">
        <v>1010</v>
      </c>
      <c r="D1110" s="51" t="s">
        <v>1011</v>
      </c>
      <c r="E1110" s="51" t="s">
        <v>1005</v>
      </c>
      <c r="F1110" s="51" t="s">
        <v>1011</v>
      </c>
      <c r="G1110" s="51" t="s">
        <v>1005</v>
      </c>
      <c r="H1110" s="51" t="s">
        <v>1005</v>
      </c>
      <c r="I1110" s="51" t="s">
        <v>1011</v>
      </c>
      <c r="J1110" s="50" t="str">
        <f t="shared" si="34"/>
        <v>7954748001.pdf</v>
      </c>
      <c r="K1110" s="51" t="s">
        <v>1006</v>
      </c>
      <c r="L1110" s="51" t="s">
        <v>1014</v>
      </c>
      <c r="M1110" s="50" t="str">
        <f t="shared" si="35"/>
        <v>13.800</v>
      </c>
      <c r="N1110" s="50" t="str">
        <f>IF(A1110&lt;&gt;"",VLOOKUP(RIGHT(A1110,3)*1,[4]Des_Loc!A:B,2,0),"")</f>
        <v>PORTO NACIONAL</v>
      </c>
    </row>
    <row r="1111" spans="1:14" ht="16.5" customHeight="1" x14ac:dyDescent="0.25">
      <c r="A1111" s="52">
        <v>7956903122</v>
      </c>
      <c r="B1111" s="51" t="s">
        <v>1003</v>
      </c>
      <c r="C1111" s="51" t="s">
        <v>1025</v>
      </c>
      <c r="D1111" s="51" t="s">
        <v>1011</v>
      </c>
      <c r="E1111" s="51" t="s">
        <v>1005</v>
      </c>
      <c r="F1111" s="51" t="s">
        <v>1011</v>
      </c>
      <c r="G1111" s="51" t="s">
        <v>1005</v>
      </c>
      <c r="H1111" s="51" t="s">
        <v>1005</v>
      </c>
      <c r="I1111" s="51" t="s">
        <v>1011</v>
      </c>
      <c r="J1111" s="50" t="str">
        <f t="shared" si="34"/>
        <v>7956903122.pdf</v>
      </c>
      <c r="K1111" s="51" t="s">
        <v>1006</v>
      </c>
      <c r="L1111" s="51" t="s">
        <v>1162</v>
      </c>
      <c r="M1111" s="50" t="str">
        <f t="shared" si="35"/>
        <v>13.800</v>
      </c>
      <c r="N1111" s="50" t="str">
        <f>IF(A1111&lt;&gt;"",VLOOKUP(RIGHT(A1111,3)*1,[4]Des_Loc!A:B,2,0),"")</f>
        <v>PALMAS</v>
      </c>
    </row>
    <row r="1112" spans="1:14" ht="16.5" customHeight="1" x14ac:dyDescent="0.25">
      <c r="A1112" s="52">
        <v>7954721001</v>
      </c>
      <c r="B1112" s="51" t="s">
        <v>1003</v>
      </c>
      <c r="C1112" s="51" t="s">
        <v>1010</v>
      </c>
      <c r="D1112" s="51" t="s">
        <v>1011</v>
      </c>
      <c r="E1112" s="51" t="s">
        <v>1005</v>
      </c>
      <c r="F1112" s="51" t="s">
        <v>1005</v>
      </c>
      <c r="G1112" s="51" t="s">
        <v>1005</v>
      </c>
      <c r="H1112" s="51" t="s">
        <v>1005</v>
      </c>
      <c r="I1112" s="51" t="s">
        <v>1005</v>
      </c>
      <c r="J1112" s="50" t="str">
        <f t="shared" si="34"/>
        <v>7954721001.pdf</v>
      </c>
      <c r="K1112" s="51" t="s">
        <v>1006</v>
      </c>
      <c r="L1112" s="51" t="s">
        <v>1014</v>
      </c>
      <c r="M1112" s="50" t="str">
        <f t="shared" si="35"/>
        <v>13.800</v>
      </c>
      <c r="N1112" s="50" t="str">
        <f>IF(A1112&lt;&gt;"",VLOOKUP(RIGHT(A1112,3)*1,[4]Des_Loc!A:B,2,0),"")</f>
        <v>PORTO NACIONAL</v>
      </c>
    </row>
    <row r="1113" spans="1:14" ht="16.5" customHeight="1" x14ac:dyDescent="0.25">
      <c r="A1113" s="52">
        <v>7956927122</v>
      </c>
      <c r="B1113" s="51" t="s">
        <v>1003</v>
      </c>
      <c r="C1113" s="51" t="s">
        <v>1021</v>
      </c>
      <c r="D1113" s="51" t="s">
        <v>1005</v>
      </c>
      <c r="E1113" s="51" t="s">
        <v>1005</v>
      </c>
      <c r="F1113" s="51" t="s">
        <v>1005</v>
      </c>
      <c r="G1113" s="51" t="s">
        <v>1005</v>
      </c>
      <c r="H1113" s="51" t="s">
        <v>1005</v>
      </c>
      <c r="I1113" s="51" t="s">
        <v>1005</v>
      </c>
      <c r="J1113" s="50" t="str">
        <f t="shared" si="34"/>
        <v>7956927122.pdf</v>
      </c>
      <c r="K1113" s="51" t="s">
        <v>1006</v>
      </c>
      <c r="L1113" s="51" t="s">
        <v>1176</v>
      </c>
      <c r="M1113" s="50" t="str">
        <f t="shared" si="35"/>
        <v>13.800</v>
      </c>
      <c r="N1113" s="50" t="str">
        <f>IF(A1113&lt;&gt;"",VLOOKUP(RIGHT(A1113,3)*1,[4]Des_Loc!A:B,2,0),"")</f>
        <v>PALMAS</v>
      </c>
    </row>
    <row r="1114" spans="1:14" ht="16.5" customHeight="1" x14ac:dyDescent="0.25">
      <c r="A1114" s="52">
        <v>7955582039</v>
      </c>
      <c r="B1114" s="51" t="s">
        <v>1003</v>
      </c>
      <c r="C1114" s="51" t="s">
        <v>1025</v>
      </c>
      <c r="D1114" s="51" t="s">
        <v>1011</v>
      </c>
      <c r="E1114" s="51" t="s">
        <v>1005</v>
      </c>
      <c r="F1114" s="51" t="s">
        <v>1011</v>
      </c>
      <c r="G1114" s="51" t="s">
        <v>1005</v>
      </c>
      <c r="H1114" s="51" t="s">
        <v>1005</v>
      </c>
      <c r="I1114" s="51" t="s">
        <v>1011</v>
      </c>
      <c r="J1114" s="50" t="str">
        <f t="shared" si="34"/>
        <v>7955582039.pdf</v>
      </c>
      <c r="K1114" s="51" t="s">
        <v>1006</v>
      </c>
      <c r="L1114" s="51" t="s">
        <v>1158</v>
      </c>
      <c r="M1114" s="50" t="str">
        <f t="shared" si="35"/>
        <v>13.800</v>
      </c>
      <c r="N1114" s="50" t="str">
        <f>IF(A1114&lt;&gt;"",VLOOKUP(RIGHT(A1114,3)*1,[4]Des_Loc!A:B,2,0),"")</f>
        <v>ARAGUATINS</v>
      </c>
    </row>
    <row r="1115" spans="1:14" ht="16.5" customHeight="1" x14ac:dyDescent="0.25">
      <c r="A1115" s="52">
        <v>7955999039</v>
      </c>
      <c r="B1115" s="51" t="s">
        <v>1003</v>
      </c>
      <c r="C1115" s="51" t="s">
        <v>1025</v>
      </c>
      <c r="D1115" s="51" t="s">
        <v>1011</v>
      </c>
      <c r="E1115" s="51" t="s">
        <v>1005</v>
      </c>
      <c r="F1115" s="51" t="s">
        <v>1011</v>
      </c>
      <c r="G1115" s="51" t="s">
        <v>1005</v>
      </c>
      <c r="H1115" s="51" t="s">
        <v>1005</v>
      </c>
      <c r="I1115" s="51" t="s">
        <v>1011</v>
      </c>
      <c r="J1115" s="50" t="str">
        <f t="shared" si="34"/>
        <v>7955999039.pdf</v>
      </c>
      <c r="K1115" s="51" t="s">
        <v>1006</v>
      </c>
      <c r="L1115" s="51" t="s">
        <v>1158</v>
      </c>
      <c r="M1115" s="50" t="str">
        <f t="shared" si="35"/>
        <v>13.800</v>
      </c>
      <c r="N1115" s="50" t="str">
        <f>IF(A1115&lt;&gt;"",VLOOKUP(RIGHT(A1115,3)*1,[4]Des_Loc!A:B,2,0),"")</f>
        <v>ARAGUATINS</v>
      </c>
    </row>
    <row r="1116" spans="1:14" ht="16.5" customHeight="1" x14ac:dyDescent="0.25">
      <c r="A1116" s="52">
        <v>7955211004</v>
      </c>
      <c r="B1116" s="51" t="s">
        <v>1003</v>
      </c>
      <c r="C1116" s="51" t="s">
        <v>1010</v>
      </c>
      <c r="D1116" s="51" t="s">
        <v>1011</v>
      </c>
      <c r="E1116" s="51" t="s">
        <v>1005</v>
      </c>
      <c r="F1116" s="51" t="s">
        <v>1011</v>
      </c>
      <c r="G1116" s="51" t="s">
        <v>1005</v>
      </c>
      <c r="H1116" s="51" t="s">
        <v>1005</v>
      </c>
      <c r="I1116" s="51" t="s">
        <v>1011</v>
      </c>
      <c r="J1116" s="50" t="str">
        <f t="shared" si="34"/>
        <v>7955211004.pdf</v>
      </c>
      <c r="K1116" s="51" t="s">
        <v>1006</v>
      </c>
      <c r="L1116" s="51" t="s">
        <v>412</v>
      </c>
      <c r="M1116" s="50" t="str">
        <f t="shared" si="35"/>
        <v>13.800</v>
      </c>
      <c r="N1116" s="50" t="str">
        <f>IF(A1116&lt;&gt;"",VLOOKUP(RIGHT(A1116,3)*1,[4]Des_Loc!A:B,2,0),"")</f>
        <v>ARAGUAINA</v>
      </c>
    </row>
    <row r="1117" spans="1:14" ht="16.5" customHeight="1" x14ac:dyDescent="0.25">
      <c r="A1117" s="52">
        <v>7954717001</v>
      </c>
      <c r="B1117" s="51" t="s">
        <v>1003</v>
      </c>
      <c r="C1117" s="51" t="s">
        <v>1010</v>
      </c>
      <c r="D1117" s="51" t="s">
        <v>1011</v>
      </c>
      <c r="E1117" s="51" t="s">
        <v>1005</v>
      </c>
      <c r="F1117" s="51" t="s">
        <v>1011</v>
      </c>
      <c r="G1117" s="51" t="s">
        <v>1005</v>
      </c>
      <c r="H1117" s="51" t="s">
        <v>1005</v>
      </c>
      <c r="I1117" s="51" t="s">
        <v>1011</v>
      </c>
      <c r="J1117" s="50" t="str">
        <f t="shared" si="34"/>
        <v>7954717001.pdf</v>
      </c>
      <c r="K1117" s="51" t="s">
        <v>1006</v>
      </c>
      <c r="L1117" s="51" t="s">
        <v>1014</v>
      </c>
      <c r="M1117" s="50" t="str">
        <f t="shared" si="35"/>
        <v>13.800</v>
      </c>
      <c r="N1117" s="50" t="str">
        <f>IF(A1117&lt;&gt;"",VLOOKUP(RIGHT(A1117,3)*1,[4]Des_Loc!A:B,2,0),"")</f>
        <v>PORTO NACIONAL</v>
      </c>
    </row>
    <row r="1118" spans="1:14" ht="16.5" customHeight="1" x14ac:dyDescent="0.25">
      <c r="A1118" s="52">
        <v>7955576039</v>
      </c>
      <c r="B1118" s="51" t="s">
        <v>1003</v>
      </c>
      <c r="C1118" s="51" t="s">
        <v>1010</v>
      </c>
      <c r="D1118" s="51" t="s">
        <v>1011</v>
      </c>
      <c r="E1118" s="51" t="s">
        <v>1011</v>
      </c>
      <c r="F1118" s="51" t="s">
        <v>1011</v>
      </c>
      <c r="G1118" s="51" t="s">
        <v>1005</v>
      </c>
      <c r="H1118" s="51" t="s">
        <v>1005</v>
      </c>
      <c r="I1118" s="51" t="s">
        <v>1011</v>
      </c>
      <c r="J1118" s="50" t="str">
        <f t="shared" si="34"/>
        <v>7955576039.pdf</v>
      </c>
      <c r="K1118" s="51" t="s">
        <v>1006</v>
      </c>
      <c r="L1118" s="51" t="s">
        <v>1145</v>
      </c>
      <c r="M1118" s="50" t="str">
        <f t="shared" si="35"/>
        <v>13.800</v>
      </c>
      <c r="N1118" s="50" t="str">
        <f>IF(A1118&lt;&gt;"",VLOOKUP(RIGHT(A1118,3)*1,[4]Des_Loc!A:B,2,0),"")</f>
        <v>ARAGUATINS</v>
      </c>
    </row>
    <row r="1119" spans="1:14" ht="16.5" customHeight="1" x14ac:dyDescent="0.25">
      <c r="A1119" s="52">
        <v>7957834045</v>
      </c>
      <c r="B1119" s="51" t="s">
        <v>1003</v>
      </c>
      <c r="C1119" s="51" t="s">
        <v>1010</v>
      </c>
      <c r="D1119" s="51" t="s">
        <v>1011</v>
      </c>
      <c r="E1119" s="51" t="s">
        <v>1005</v>
      </c>
      <c r="F1119" s="51" t="s">
        <v>1005</v>
      </c>
      <c r="G1119" s="51" t="s">
        <v>1005</v>
      </c>
      <c r="H1119" s="51" t="s">
        <v>1005</v>
      </c>
      <c r="I1119" s="51" t="s">
        <v>1005</v>
      </c>
      <c r="J1119" s="50" t="str">
        <f t="shared" si="34"/>
        <v>7957834045.pdf</v>
      </c>
      <c r="K1119" s="51" t="s">
        <v>1006</v>
      </c>
      <c r="L1119" s="51" t="s">
        <v>1012</v>
      </c>
      <c r="M1119" s="50" t="str">
        <f t="shared" si="35"/>
        <v>34.500</v>
      </c>
      <c r="N1119" s="50" t="str">
        <f>IF(A1119&lt;&gt;"",VLOOKUP(RIGHT(A1119,3)*1,[4]Des_Loc!A:B,2,0),"")</f>
        <v>AUGUSTINOPOLIS</v>
      </c>
    </row>
    <row r="1120" spans="1:14" ht="16.5" customHeight="1" x14ac:dyDescent="0.25">
      <c r="A1120" s="52">
        <v>7957822039</v>
      </c>
      <c r="B1120" s="51" t="s">
        <v>1003</v>
      </c>
      <c r="C1120" s="51" t="s">
        <v>1010</v>
      </c>
      <c r="D1120" s="51" t="s">
        <v>1011</v>
      </c>
      <c r="E1120" s="51" t="s">
        <v>1005</v>
      </c>
      <c r="F1120" s="51" t="s">
        <v>1005</v>
      </c>
      <c r="G1120" s="51" t="s">
        <v>1005</v>
      </c>
      <c r="H1120" s="51" t="s">
        <v>1005</v>
      </c>
      <c r="I1120" s="51" t="s">
        <v>1005</v>
      </c>
      <c r="J1120" s="50" t="str">
        <f t="shared" si="34"/>
        <v>7957822039.pdf</v>
      </c>
      <c r="K1120" s="51" t="s">
        <v>1006</v>
      </c>
      <c r="L1120" s="51" t="s">
        <v>1151</v>
      </c>
      <c r="M1120" s="50" t="str">
        <f t="shared" si="35"/>
        <v>34.500</v>
      </c>
      <c r="N1120" s="50" t="str">
        <f>IF(A1120&lt;&gt;"",VLOOKUP(RIGHT(A1120,3)*1,[4]Des_Loc!A:B,2,0),"")</f>
        <v>ARAGUATINS</v>
      </c>
    </row>
    <row r="1121" spans="1:14" ht="16.5" customHeight="1" x14ac:dyDescent="0.25">
      <c r="A1121" s="52">
        <v>7955546065</v>
      </c>
      <c r="B1121" s="51" t="s">
        <v>1003</v>
      </c>
      <c r="C1121" s="51" t="s">
        <v>1021</v>
      </c>
      <c r="D1121" s="51" t="s">
        <v>1005</v>
      </c>
      <c r="E1121" s="51" t="s">
        <v>1005</v>
      </c>
      <c r="F1121" s="51" t="s">
        <v>1005</v>
      </c>
      <c r="G1121" s="51" t="s">
        <v>1005</v>
      </c>
      <c r="H1121" s="51" t="s">
        <v>1005</v>
      </c>
      <c r="I1121" s="51" t="s">
        <v>1005</v>
      </c>
      <c r="J1121" s="50" t="str">
        <f t="shared" si="34"/>
        <v>7955546065.pdf</v>
      </c>
      <c r="K1121" s="51" t="s">
        <v>1006</v>
      </c>
      <c r="L1121" s="51" t="s">
        <v>1151</v>
      </c>
      <c r="M1121" s="50" t="str">
        <f t="shared" si="35"/>
        <v>34.500</v>
      </c>
      <c r="N1121" s="50" t="str">
        <f>IF(A1121&lt;&gt;"",VLOOKUP(RIGHT(A1121,3)*1,[4]Des_Loc!A:B,2,0),"")</f>
        <v>AXIXA DO TOCANTINS</v>
      </c>
    </row>
    <row r="1122" spans="1:14" ht="16.5" customHeight="1" x14ac:dyDescent="0.25">
      <c r="A1122" s="52">
        <v>7957817039</v>
      </c>
      <c r="B1122" s="51" t="s">
        <v>1003</v>
      </c>
      <c r="C1122" s="51" t="s">
        <v>1010</v>
      </c>
      <c r="D1122" s="51" t="s">
        <v>1011</v>
      </c>
      <c r="E1122" s="51" t="s">
        <v>1005</v>
      </c>
      <c r="F1122" s="51" t="s">
        <v>1011</v>
      </c>
      <c r="G1122" s="51" t="s">
        <v>1005</v>
      </c>
      <c r="H1122" s="51" t="s">
        <v>1005</v>
      </c>
      <c r="I1122" s="51" t="s">
        <v>1011</v>
      </c>
      <c r="J1122" s="50" t="str">
        <f t="shared" si="34"/>
        <v>7957817039.pdf</v>
      </c>
      <c r="K1122" s="51" t="s">
        <v>1006</v>
      </c>
      <c r="L1122" s="51" t="s">
        <v>677</v>
      </c>
      <c r="M1122" s="50" t="str">
        <f t="shared" si="35"/>
        <v>34.500</v>
      </c>
      <c r="N1122" s="50" t="str">
        <f>IF(A1122&lt;&gt;"",VLOOKUP(RIGHT(A1122,3)*1,[4]Des_Loc!A:B,2,0),"")</f>
        <v>ARAGUATINS</v>
      </c>
    </row>
    <row r="1123" spans="1:14" ht="16.5" customHeight="1" x14ac:dyDescent="0.25">
      <c r="A1123" s="52">
        <v>7957715064</v>
      </c>
      <c r="B1123" s="51" t="s">
        <v>1003</v>
      </c>
      <c r="C1123" s="51" t="s">
        <v>1010</v>
      </c>
      <c r="D1123" s="51" t="s">
        <v>1011</v>
      </c>
      <c r="E1123" s="51" t="s">
        <v>1005</v>
      </c>
      <c r="F1123" s="51" t="s">
        <v>1011</v>
      </c>
      <c r="G1123" s="51" t="s">
        <v>1005</v>
      </c>
      <c r="H1123" s="51" t="s">
        <v>1005</v>
      </c>
      <c r="I1123" s="51" t="s">
        <v>1011</v>
      </c>
      <c r="J1123" s="50" t="str">
        <f t="shared" si="34"/>
        <v>7957715064.pdf</v>
      </c>
      <c r="K1123" s="51" t="s">
        <v>1006</v>
      </c>
      <c r="L1123" s="51" t="s">
        <v>1083</v>
      </c>
      <c r="M1123" s="50" t="str">
        <f t="shared" si="35"/>
        <v>34.500</v>
      </c>
      <c r="N1123" s="50" t="str">
        <f>IF(A1123&lt;&gt;"",VLOOKUP(RIGHT(A1123,3)*1,[4]Des_Loc!A:B,2,0),"")</f>
        <v>BRASILANDIA DO TOCANTINS</v>
      </c>
    </row>
    <row r="1124" spans="1:14" ht="16.5" customHeight="1" x14ac:dyDescent="0.25">
      <c r="A1124" s="52">
        <v>7957126085</v>
      </c>
      <c r="B1124" s="51" t="s">
        <v>1003</v>
      </c>
      <c r="C1124" s="51" t="s">
        <v>1010</v>
      </c>
      <c r="D1124" s="51" t="s">
        <v>1011</v>
      </c>
      <c r="E1124" s="51" t="s">
        <v>1005</v>
      </c>
      <c r="F1124" s="51" t="s">
        <v>1005</v>
      </c>
      <c r="G1124" s="51" t="s">
        <v>1005</v>
      </c>
      <c r="H1124" s="51" t="s">
        <v>1011</v>
      </c>
      <c r="I1124" s="51" t="s">
        <v>1005</v>
      </c>
      <c r="J1124" s="50" t="str">
        <f t="shared" si="34"/>
        <v>7957126085.pdf</v>
      </c>
      <c r="K1124" s="51" t="s">
        <v>1006</v>
      </c>
      <c r="L1124" s="51" t="s">
        <v>526</v>
      </c>
      <c r="M1124" s="50" t="str">
        <f t="shared" si="35"/>
        <v>34.500</v>
      </c>
      <c r="N1124" s="50" t="str">
        <f>IF(A1124&lt;&gt;"",VLOOKUP(RIGHT(A1124,3)*1,[4]Des_Loc!A:B,2,0),"")</f>
        <v>MONTE SANTO DO TOCANTINS</v>
      </c>
    </row>
    <row r="1125" spans="1:14" ht="16.5" customHeight="1" x14ac:dyDescent="0.25">
      <c r="A1125" s="52">
        <v>7957607113</v>
      </c>
      <c r="B1125" s="51" t="s">
        <v>1003</v>
      </c>
      <c r="C1125" s="51" t="s">
        <v>1025</v>
      </c>
      <c r="D1125" s="51" t="s">
        <v>1011</v>
      </c>
      <c r="E1125" s="51" t="s">
        <v>1005</v>
      </c>
      <c r="F1125" s="51" t="s">
        <v>1005</v>
      </c>
      <c r="G1125" s="51" t="s">
        <v>1005</v>
      </c>
      <c r="H1125" s="51" t="s">
        <v>1005</v>
      </c>
      <c r="I1125" s="51" t="s">
        <v>1005</v>
      </c>
      <c r="J1125" s="50" t="str">
        <f t="shared" si="34"/>
        <v>7957607113.pdf</v>
      </c>
      <c r="K1125" s="51" t="s">
        <v>1006</v>
      </c>
      <c r="L1125" s="51" t="s">
        <v>1102</v>
      </c>
      <c r="M1125" s="50" t="str">
        <f t="shared" si="35"/>
        <v>13.800</v>
      </c>
      <c r="N1125" s="50" t="str">
        <f>IF(A1125&lt;&gt;"",VLOOKUP(RIGHT(A1125,3)*1,[4]Des_Loc!A:B,2,0),"")</f>
        <v>COUTO MAGALHAES</v>
      </c>
    </row>
    <row r="1126" spans="1:14" ht="16.5" customHeight="1" x14ac:dyDescent="0.25">
      <c r="A1126" s="52">
        <v>7957620015</v>
      </c>
      <c r="B1126" s="51" t="s">
        <v>1003</v>
      </c>
      <c r="C1126" s="51" t="s">
        <v>1025</v>
      </c>
      <c r="D1126" s="51" t="s">
        <v>1011</v>
      </c>
      <c r="E1126" s="51" t="s">
        <v>1005</v>
      </c>
      <c r="F1126" s="51" t="s">
        <v>1005</v>
      </c>
      <c r="G1126" s="51" t="s">
        <v>1005</v>
      </c>
      <c r="H1126" s="51" t="s">
        <v>1005</v>
      </c>
      <c r="I1126" s="51" t="s">
        <v>1005</v>
      </c>
      <c r="J1126" s="50" t="str">
        <f t="shared" si="34"/>
        <v>7957620015.pdf</v>
      </c>
      <c r="K1126" s="51" t="s">
        <v>1006</v>
      </c>
      <c r="L1126" s="51" t="s">
        <v>1175</v>
      </c>
      <c r="M1126" s="50" t="str">
        <f t="shared" si="35"/>
        <v>13.800</v>
      </c>
      <c r="N1126" s="50" t="str">
        <f>IF(A1126&lt;&gt;"",VLOOKUP(RIGHT(A1126,3)*1,[4]Des_Loc!A:B,2,0),"")</f>
        <v>PEDRO AFONSO</v>
      </c>
    </row>
    <row r="1127" spans="1:14" ht="16.5" customHeight="1" x14ac:dyDescent="0.25">
      <c r="A1127" s="52">
        <v>7956003081</v>
      </c>
      <c r="B1127" s="51" t="s">
        <v>1003</v>
      </c>
      <c r="C1127" s="51" t="s">
        <v>1021</v>
      </c>
      <c r="D1127" s="51" t="s">
        <v>1005</v>
      </c>
      <c r="E1127" s="51" t="s">
        <v>1005</v>
      </c>
      <c r="F1127" s="51" t="s">
        <v>1005</v>
      </c>
      <c r="G1127" s="51" t="s">
        <v>1005</v>
      </c>
      <c r="H1127" s="51" t="s">
        <v>1005</v>
      </c>
      <c r="I1127" s="51" t="s">
        <v>1005</v>
      </c>
      <c r="J1127" s="50" t="str">
        <f t="shared" si="34"/>
        <v>7956003081.pdf</v>
      </c>
      <c r="K1127" s="51" t="s">
        <v>1006</v>
      </c>
      <c r="L1127" s="51" t="s">
        <v>1061</v>
      </c>
      <c r="M1127" s="50" t="str">
        <f t="shared" si="35"/>
        <v>13.800</v>
      </c>
      <c r="N1127" s="50" t="str">
        <f>IF(A1127&lt;&gt;"",VLOOKUP(RIGHT(A1127,3)*1,[4]Des_Loc!A:B,2,0),"")</f>
        <v>ITAGUATINS</v>
      </c>
    </row>
    <row r="1128" spans="1:14" ht="16.5" customHeight="1" x14ac:dyDescent="0.25">
      <c r="A1128" s="52">
        <v>7955347193</v>
      </c>
      <c r="B1128" s="51" t="s">
        <v>1003</v>
      </c>
      <c r="C1128" s="51" t="s">
        <v>1010</v>
      </c>
      <c r="D1128" s="51" t="s">
        <v>1011</v>
      </c>
      <c r="E1128" s="51" t="s">
        <v>1005</v>
      </c>
      <c r="F1128" s="51" t="s">
        <v>1005</v>
      </c>
      <c r="G1128" s="51" t="s">
        <v>1005</v>
      </c>
      <c r="H1128" s="51" t="s">
        <v>1005</v>
      </c>
      <c r="I1128" s="51" t="s">
        <v>1005</v>
      </c>
      <c r="J1128" s="50" t="str">
        <f t="shared" si="34"/>
        <v>7955347193.pdf</v>
      </c>
      <c r="K1128" s="51" t="s">
        <v>1006</v>
      </c>
      <c r="L1128" s="51" t="s">
        <v>1036</v>
      </c>
      <c r="M1128" s="50" t="str">
        <f t="shared" si="35"/>
        <v>34.500</v>
      </c>
      <c r="N1128" s="50" t="str">
        <f>IF(A1128&lt;&gt;"",VLOOKUP(RIGHT(A1128,3)*1,[4]Des_Loc!A:B,2,0),"")</f>
        <v>CAMPOS LINDOS</v>
      </c>
    </row>
    <row r="1129" spans="1:14" ht="16.5" customHeight="1" x14ac:dyDescent="0.25">
      <c r="A1129" s="52">
        <v>7957838081</v>
      </c>
      <c r="B1129" s="51" t="s">
        <v>1003</v>
      </c>
      <c r="C1129" s="51" t="s">
        <v>1021</v>
      </c>
      <c r="D1129" s="51" t="s">
        <v>1005</v>
      </c>
      <c r="E1129" s="51" t="s">
        <v>1005</v>
      </c>
      <c r="F1129" s="51" t="s">
        <v>1005</v>
      </c>
      <c r="G1129" s="51" t="s">
        <v>1005</v>
      </c>
      <c r="H1129" s="51" t="s">
        <v>1005</v>
      </c>
      <c r="I1129" s="51" t="s">
        <v>1005</v>
      </c>
      <c r="J1129" s="50" t="str">
        <f t="shared" si="34"/>
        <v>7957838081.pdf</v>
      </c>
      <c r="K1129" s="51" t="s">
        <v>1006</v>
      </c>
      <c r="L1129" s="51" t="s">
        <v>1218</v>
      </c>
      <c r="M1129" s="50" t="str">
        <f t="shared" si="35"/>
        <v>13.800</v>
      </c>
      <c r="N1129" s="50" t="str">
        <f>IF(A1129&lt;&gt;"",VLOOKUP(RIGHT(A1129,3)*1,[4]Des_Loc!A:B,2,0),"")</f>
        <v>ITAGUATINS</v>
      </c>
    </row>
    <row r="1130" spans="1:14" ht="16.5" customHeight="1" x14ac:dyDescent="0.25">
      <c r="A1130" s="52">
        <v>7956039101</v>
      </c>
      <c r="B1130" s="51" t="s">
        <v>1003</v>
      </c>
      <c r="C1130" s="51" t="s">
        <v>1010</v>
      </c>
      <c r="D1130" s="51" t="s">
        <v>1011</v>
      </c>
      <c r="E1130" s="51" t="s">
        <v>1011</v>
      </c>
      <c r="F1130" s="51" t="s">
        <v>1011</v>
      </c>
      <c r="G1130" s="51" t="s">
        <v>1005</v>
      </c>
      <c r="H1130" s="51" t="s">
        <v>1005</v>
      </c>
      <c r="I1130" s="51" t="s">
        <v>1011</v>
      </c>
      <c r="J1130" s="50" t="str">
        <f t="shared" si="34"/>
        <v>7956039101.pdf</v>
      </c>
      <c r="K1130" s="51" t="s">
        <v>1006</v>
      </c>
      <c r="L1130" s="51" t="s">
        <v>1097</v>
      </c>
      <c r="M1130" s="50" t="str">
        <f t="shared" si="35"/>
        <v>34.500</v>
      </c>
      <c r="N1130" s="50" t="str">
        <f>IF(A1130&lt;&gt;"",VLOOKUP(RIGHT(A1130,3)*1,[4]Des_Loc!A:B,2,0),"")</f>
        <v>PORTO ALEGRE DO TOCANTINS</v>
      </c>
    </row>
    <row r="1131" spans="1:14" ht="16.5" customHeight="1" x14ac:dyDescent="0.25">
      <c r="A1131" s="52">
        <v>7957553097</v>
      </c>
      <c r="B1131" s="51" t="s">
        <v>1003</v>
      </c>
      <c r="C1131" s="51" t="s">
        <v>1010</v>
      </c>
      <c r="D1131" s="51" t="s">
        <v>1011</v>
      </c>
      <c r="E1131" s="51" t="s">
        <v>1005</v>
      </c>
      <c r="F1131" s="51" t="s">
        <v>1011</v>
      </c>
      <c r="G1131" s="51" t="s">
        <v>1005</v>
      </c>
      <c r="H1131" s="51" t="s">
        <v>1005</v>
      </c>
      <c r="I1131" s="51" t="s">
        <v>1011</v>
      </c>
      <c r="J1131" s="50" t="str">
        <f t="shared" si="34"/>
        <v>7957553097.pdf</v>
      </c>
      <c r="K1131" s="51" t="s">
        <v>1006</v>
      </c>
      <c r="L1131" s="51" t="s">
        <v>1026</v>
      </c>
      <c r="M1131" s="50" t="str">
        <f t="shared" si="35"/>
        <v>13.800</v>
      </c>
      <c r="N1131" s="50" t="str">
        <f>IF(A1131&lt;&gt;"",VLOOKUP(RIGHT(A1131,3)*1,[4]Des_Loc!A:B,2,0),"")</f>
        <v>TALISMA</v>
      </c>
    </row>
    <row r="1132" spans="1:14" ht="16.5" customHeight="1" x14ac:dyDescent="0.25">
      <c r="A1132" s="52">
        <v>7957571200</v>
      </c>
      <c r="B1132" s="51" t="s">
        <v>1003</v>
      </c>
      <c r="C1132" s="51" t="s">
        <v>1010</v>
      </c>
      <c r="D1132" s="51" t="s">
        <v>1011</v>
      </c>
      <c r="E1132" s="51" t="s">
        <v>1011</v>
      </c>
      <c r="F1132" s="51" t="s">
        <v>1011</v>
      </c>
      <c r="G1132" s="51" t="s">
        <v>1005</v>
      </c>
      <c r="H1132" s="51" t="s">
        <v>1005</v>
      </c>
      <c r="I1132" s="51" t="s">
        <v>1011</v>
      </c>
      <c r="J1132" s="50" t="str">
        <f t="shared" si="34"/>
        <v>7957571200.pdf</v>
      </c>
      <c r="K1132" s="51" t="s">
        <v>1006</v>
      </c>
      <c r="L1132" s="51" t="s">
        <v>1032</v>
      </c>
      <c r="M1132" s="50" t="str">
        <f t="shared" si="35"/>
        <v>34.500</v>
      </c>
      <c r="N1132" s="50" t="str">
        <f>IF(A1132&lt;&gt;"",VLOOKUP(RIGHT(A1132,3)*1,[4]Des_Loc!A:B,2,0),"")</f>
        <v>SAO SALVADOR DO TOCANTINS</v>
      </c>
    </row>
    <row r="1133" spans="1:14" ht="16.5" customHeight="1" x14ac:dyDescent="0.25">
      <c r="A1133" s="52">
        <v>7956993021</v>
      </c>
      <c r="B1133" s="51" t="s">
        <v>1003</v>
      </c>
      <c r="C1133" s="51" t="s">
        <v>1010</v>
      </c>
      <c r="D1133" s="51" t="s">
        <v>1011</v>
      </c>
      <c r="E1133" s="51" t="s">
        <v>1005</v>
      </c>
      <c r="F1133" s="51" t="s">
        <v>1011</v>
      </c>
      <c r="G1133" s="51" t="s">
        <v>1005</v>
      </c>
      <c r="H1133" s="51" t="s">
        <v>1005</v>
      </c>
      <c r="I1133" s="51" t="s">
        <v>1011</v>
      </c>
      <c r="J1133" s="50" t="str">
        <f t="shared" si="34"/>
        <v>7956993021.pdf</v>
      </c>
      <c r="K1133" s="51" t="s">
        <v>1006</v>
      </c>
      <c r="L1133" s="51" t="s">
        <v>1077</v>
      </c>
      <c r="M1133" s="50" t="str">
        <f t="shared" si="35"/>
        <v>34.500</v>
      </c>
      <c r="N1133" s="50" t="str">
        <f>IF(A1133&lt;&gt;"",VLOOKUP(RIGHT(A1133,3)*1,[4]Des_Loc!A:B,2,0),"")</f>
        <v>PARANA</v>
      </c>
    </row>
    <row r="1134" spans="1:14" ht="16.5" customHeight="1" x14ac:dyDescent="0.25">
      <c r="A1134" s="52">
        <v>7957564052</v>
      </c>
      <c r="B1134" s="51" t="s">
        <v>1003</v>
      </c>
      <c r="C1134" s="51" t="s">
        <v>1010</v>
      </c>
      <c r="D1134" s="51" t="s">
        <v>1011</v>
      </c>
      <c r="E1134" s="51" t="s">
        <v>1005</v>
      </c>
      <c r="F1134" s="51" t="s">
        <v>1011</v>
      </c>
      <c r="G1134" s="51" t="s">
        <v>1005</v>
      </c>
      <c r="H1134" s="51" t="s">
        <v>1005</v>
      </c>
      <c r="I1134" s="51" t="s">
        <v>1011</v>
      </c>
      <c r="J1134" s="50" t="str">
        <f t="shared" si="34"/>
        <v>7957564052.pdf</v>
      </c>
      <c r="K1134" s="51" t="s">
        <v>1006</v>
      </c>
      <c r="L1134" s="51" t="s">
        <v>1076</v>
      </c>
      <c r="M1134" s="50" t="str">
        <f t="shared" si="35"/>
        <v>34.500</v>
      </c>
      <c r="N1134" s="50" t="str">
        <f>IF(A1134&lt;&gt;"",VLOOKUP(RIGHT(A1134,3)*1,[4]Des_Loc!A:B,2,0),"")</f>
        <v>FORMOSO DO ARAGUAIA</v>
      </c>
    </row>
    <row r="1135" spans="1:14" ht="16.5" customHeight="1" x14ac:dyDescent="0.25">
      <c r="A1135" s="52">
        <v>7955658107</v>
      </c>
      <c r="B1135" s="51" t="s">
        <v>1003</v>
      </c>
      <c r="C1135" s="51" t="s">
        <v>1008</v>
      </c>
      <c r="D1135" s="51" t="s">
        <v>1005</v>
      </c>
      <c r="E1135" s="51" t="s">
        <v>1005</v>
      </c>
      <c r="F1135" s="51" t="s">
        <v>1005</v>
      </c>
      <c r="G1135" s="51" t="s">
        <v>1005</v>
      </c>
      <c r="H1135" s="51" t="s">
        <v>1005</v>
      </c>
      <c r="I1135" s="51" t="s">
        <v>1005</v>
      </c>
      <c r="J1135" s="50" t="str">
        <f t="shared" si="34"/>
        <v>7955658107.pdf</v>
      </c>
      <c r="K1135" s="51" t="s">
        <v>1006</v>
      </c>
      <c r="L1135" s="51" t="s">
        <v>1076</v>
      </c>
      <c r="M1135" s="50" t="str">
        <f t="shared" si="35"/>
        <v>34.500</v>
      </c>
      <c r="N1135" s="50" t="str">
        <f>IF(A1135&lt;&gt;"",VLOOKUP(RIGHT(A1135,3)*1,[4]Des_Loc!A:B,2,0),"")</f>
        <v>SANDOLANDIA</v>
      </c>
    </row>
    <row r="1136" spans="1:14" ht="16.5" customHeight="1" x14ac:dyDescent="0.25">
      <c r="A1136" s="52">
        <v>7956041038</v>
      </c>
      <c r="B1136" s="51" t="s">
        <v>1003</v>
      </c>
      <c r="C1136" s="51" t="s">
        <v>1010</v>
      </c>
      <c r="D1136" s="51" t="s">
        <v>1011</v>
      </c>
      <c r="E1136" s="51" t="s">
        <v>1005</v>
      </c>
      <c r="F1136" s="51" t="s">
        <v>1005</v>
      </c>
      <c r="G1136" s="51" t="s">
        <v>1005</v>
      </c>
      <c r="H1136" s="51" t="s">
        <v>1005</v>
      </c>
      <c r="I1136" s="51" t="s">
        <v>1005</v>
      </c>
      <c r="J1136" s="50" t="str">
        <f t="shared" si="34"/>
        <v>7956041038.pdf</v>
      </c>
      <c r="K1136" s="51" t="s">
        <v>1006</v>
      </c>
      <c r="L1136" s="51" t="s">
        <v>1094</v>
      </c>
      <c r="M1136" s="50" t="str">
        <f t="shared" si="35"/>
        <v>34.500</v>
      </c>
      <c r="N1136" s="50" t="str">
        <f>IF(A1136&lt;&gt;"",VLOOKUP(RIGHT(A1136,3)*1,[4]Des_Loc!A:B,2,0),"")</f>
        <v>TAGUATINGA</v>
      </c>
    </row>
    <row r="1137" spans="1:14" ht="16.5" customHeight="1" x14ac:dyDescent="0.25">
      <c r="A1137" s="52">
        <v>7957023094</v>
      </c>
      <c r="B1137" s="51" t="s">
        <v>1003</v>
      </c>
      <c r="C1137" s="51" t="s">
        <v>1004</v>
      </c>
      <c r="D1137" s="51" t="s">
        <v>1011</v>
      </c>
      <c r="E1137" s="51" t="s">
        <v>1005</v>
      </c>
      <c r="F1137" s="51" t="s">
        <v>1005</v>
      </c>
      <c r="G1137" s="51" t="s">
        <v>1005</v>
      </c>
      <c r="H1137" s="51" t="s">
        <v>1005</v>
      </c>
      <c r="I1137" s="51" t="s">
        <v>1005</v>
      </c>
      <c r="J1137" s="50" t="str">
        <f t="shared" si="34"/>
        <v>7957023094.pdf</v>
      </c>
      <c r="K1137" s="51" t="s">
        <v>1006</v>
      </c>
      <c r="L1137" s="51" t="s">
        <v>406</v>
      </c>
      <c r="M1137" s="50" t="str">
        <f t="shared" si="35"/>
        <v>34.500</v>
      </c>
      <c r="N1137" s="50" t="str">
        <f>IF(A1137&lt;&gt;"",VLOOKUP(RIGHT(A1137,3)*1,[4]Des_Loc!A:B,2,0),"")</f>
        <v>PEIXE</v>
      </c>
    </row>
    <row r="1138" spans="1:14" ht="16.5" customHeight="1" x14ac:dyDescent="0.25">
      <c r="A1138" s="52">
        <v>7956998021</v>
      </c>
      <c r="B1138" s="51" t="s">
        <v>1003</v>
      </c>
      <c r="C1138" s="51" t="s">
        <v>1010</v>
      </c>
      <c r="D1138" s="51" t="s">
        <v>1011</v>
      </c>
      <c r="E1138" s="51" t="s">
        <v>1005</v>
      </c>
      <c r="F1138" s="51" t="s">
        <v>1011</v>
      </c>
      <c r="G1138" s="51" t="s">
        <v>1005</v>
      </c>
      <c r="H1138" s="51" t="s">
        <v>1005</v>
      </c>
      <c r="I1138" s="51" t="s">
        <v>1011</v>
      </c>
      <c r="J1138" s="50" t="str">
        <f t="shared" si="34"/>
        <v>7956998021.pdf</v>
      </c>
      <c r="K1138" s="51" t="s">
        <v>1006</v>
      </c>
      <c r="L1138" s="51" t="s">
        <v>1077</v>
      </c>
      <c r="M1138" s="50" t="str">
        <f t="shared" si="35"/>
        <v>34.500</v>
      </c>
      <c r="N1138" s="50" t="str">
        <f>IF(A1138&lt;&gt;"",VLOOKUP(RIGHT(A1138,3)*1,[4]Des_Loc!A:B,2,0),"")</f>
        <v>PARANA</v>
      </c>
    </row>
    <row r="1139" spans="1:14" ht="16.5" customHeight="1" x14ac:dyDescent="0.25">
      <c r="A1139" s="52">
        <v>7956992021</v>
      </c>
      <c r="B1139" s="51" t="s">
        <v>1003</v>
      </c>
      <c r="C1139" s="51" t="s">
        <v>1010</v>
      </c>
      <c r="D1139" s="51" t="s">
        <v>1011</v>
      </c>
      <c r="E1139" s="51" t="s">
        <v>1005</v>
      </c>
      <c r="F1139" s="51" t="s">
        <v>1011</v>
      </c>
      <c r="G1139" s="51" t="s">
        <v>1005</v>
      </c>
      <c r="H1139" s="51" t="s">
        <v>1005</v>
      </c>
      <c r="I1139" s="51" t="s">
        <v>1011</v>
      </c>
      <c r="J1139" s="50" t="str">
        <f t="shared" si="34"/>
        <v>7956992021.pdf</v>
      </c>
      <c r="K1139" s="51" t="s">
        <v>1006</v>
      </c>
      <c r="L1139" s="51" t="s">
        <v>1077</v>
      </c>
      <c r="M1139" s="50" t="str">
        <f t="shared" si="35"/>
        <v>34.500</v>
      </c>
      <c r="N1139" s="50" t="str">
        <f>IF(A1139&lt;&gt;"",VLOOKUP(RIGHT(A1139,3)*1,[4]Des_Loc!A:B,2,0),"")</f>
        <v>PARANA</v>
      </c>
    </row>
    <row r="1140" spans="1:14" ht="16.5" customHeight="1" x14ac:dyDescent="0.25">
      <c r="A1140" s="52">
        <v>7957008037</v>
      </c>
      <c r="B1140" s="51" t="s">
        <v>1003</v>
      </c>
      <c r="C1140" s="51" t="s">
        <v>1010</v>
      </c>
      <c r="D1140" s="51" t="s">
        <v>1011</v>
      </c>
      <c r="E1140" s="51" t="s">
        <v>1005</v>
      </c>
      <c r="F1140" s="51" t="s">
        <v>1011</v>
      </c>
      <c r="G1140" s="51" t="s">
        <v>1005</v>
      </c>
      <c r="H1140" s="51" t="s">
        <v>1005</v>
      </c>
      <c r="I1140" s="51" t="s">
        <v>1011</v>
      </c>
      <c r="J1140" s="50" t="str">
        <f t="shared" si="34"/>
        <v>7957008037.pdf</v>
      </c>
      <c r="K1140" s="51" t="s">
        <v>1006</v>
      </c>
      <c r="L1140" s="51" t="s">
        <v>483</v>
      </c>
      <c r="M1140" s="50" t="str">
        <f t="shared" si="35"/>
        <v>34.500</v>
      </c>
      <c r="N1140" s="50" t="str">
        <f>IF(A1140&lt;&gt;"",VLOOKUP(RIGHT(A1140,3)*1,[4]Des_Loc!A:B,2,0),"")</f>
        <v>ALIANCA DO TOCANTINS</v>
      </c>
    </row>
    <row r="1141" spans="1:14" ht="16.5" customHeight="1" x14ac:dyDescent="0.25">
      <c r="A1141" s="52">
        <v>7957004076</v>
      </c>
      <c r="B1141" s="51" t="s">
        <v>1003</v>
      </c>
      <c r="C1141" s="51" t="s">
        <v>1010</v>
      </c>
      <c r="D1141" s="51" t="s">
        <v>1011</v>
      </c>
      <c r="E1141" s="51" t="s">
        <v>1005</v>
      </c>
      <c r="F1141" s="51" t="s">
        <v>1005</v>
      </c>
      <c r="G1141" s="51" t="s">
        <v>1005</v>
      </c>
      <c r="H1141" s="51" t="s">
        <v>1005</v>
      </c>
      <c r="I1141" s="51" t="s">
        <v>1005</v>
      </c>
      <c r="J1141" s="50" t="str">
        <f t="shared" si="34"/>
        <v>7957004076.pdf</v>
      </c>
      <c r="K1141" s="51" t="s">
        <v>1006</v>
      </c>
      <c r="L1141" s="51" t="s">
        <v>1075</v>
      </c>
      <c r="M1141" s="50" t="str">
        <f t="shared" si="35"/>
        <v>34.500</v>
      </c>
      <c r="N1141" s="50" t="str">
        <f>IF(A1141&lt;&gt;"",VLOOKUP(RIGHT(A1141,3)*1,[4]Des_Loc!A:B,2,0),"")</f>
        <v>DUERE</v>
      </c>
    </row>
    <row r="1142" spans="1:14" ht="16.5" customHeight="1" x14ac:dyDescent="0.25">
      <c r="A1142" s="52">
        <v>7957018094</v>
      </c>
      <c r="B1142" s="51" t="s">
        <v>1003</v>
      </c>
      <c r="C1142" s="51" t="s">
        <v>1010</v>
      </c>
      <c r="D1142" s="51" t="s">
        <v>1011</v>
      </c>
      <c r="E1142" s="51" t="s">
        <v>1011</v>
      </c>
      <c r="F1142" s="51" t="s">
        <v>1011</v>
      </c>
      <c r="G1142" s="51" t="s">
        <v>1005</v>
      </c>
      <c r="H1142" s="51" t="s">
        <v>1005</v>
      </c>
      <c r="I1142" s="51" t="s">
        <v>1011</v>
      </c>
      <c r="J1142" s="50" t="str">
        <f t="shared" si="34"/>
        <v>7957018094.pdf</v>
      </c>
      <c r="K1142" s="51" t="s">
        <v>1006</v>
      </c>
      <c r="L1142" s="51" t="s">
        <v>672</v>
      </c>
      <c r="M1142" s="50" t="str">
        <f t="shared" si="35"/>
        <v>34.500</v>
      </c>
      <c r="N1142" s="50" t="str">
        <f>IF(A1142&lt;&gt;"",VLOOKUP(RIGHT(A1142,3)*1,[4]Des_Loc!A:B,2,0),"")</f>
        <v>PEIXE</v>
      </c>
    </row>
    <row r="1143" spans="1:14" ht="16.5" customHeight="1" x14ac:dyDescent="0.25">
      <c r="A1143" s="52">
        <v>7957021094</v>
      </c>
      <c r="B1143" s="51" t="s">
        <v>1003</v>
      </c>
      <c r="C1143" s="51" t="s">
        <v>1010</v>
      </c>
      <c r="D1143" s="51" t="s">
        <v>1011</v>
      </c>
      <c r="E1143" s="51" t="s">
        <v>1005</v>
      </c>
      <c r="F1143" s="51" t="s">
        <v>1011</v>
      </c>
      <c r="G1143" s="51" t="s">
        <v>1005</v>
      </c>
      <c r="H1143" s="51" t="s">
        <v>1005</v>
      </c>
      <c r="I1143" s="51" t="s">
        <v>1011</v>
      </c>
      <c r="J1143" s="50" t="str">
        <f t="shared" si="34"/>
        <v>7957021094.pdf</v>
      </c>
      <c r="K1143" s="51" t="s">
        <v>1006</v>
      </c>
      <c r="L1143" s="51" t="s">
        <v>406</v>
      </c>
      <c r="M1143" s="50" t="str">
        <f t="shared" si="35"/>
        <v>34.500</v>
      </c>
      <c r="N1143" s="50" t="str">
        <f>IF(A1143&lt;&gt;"",VLOOKUP(RIGHT(A1143,3)*1,[4]Des_Loc!A:B,2,0),"")</f>
        <v>PEIXE</v>
      </c>
    </row>
    <row r="1144" spans="1:14" ht="16.5" customHeight="1" x14ac:dyDescent="0.25">
      <c r="A1144" s="52">
        <v>7955715032</v>
      </c>
      <c r="B1144" s="51" t="s">
        <v>1003</v>
      </c>
      <c r="C1144" s="51" t="s">
        <v>1010</v>
      </c>
      <c r="D1144" s="51" t="s">
        <v>1011</v>
      </c>
      <c r="E1144" s="51" t="s">
        <v>1005</v>
      </c>
      <c r="F1144" s="51" t="s">
        <v>1005</v>
      </c>
      <c r="G1144" s="51" t="s">
        <v>1005</v>
      </c>
      <c r="H1144" s="51" t="s">
        <v>1005</v>
      </c>
      <c r="I1144" s="51" t="s">
        <v>1005</v>
      </c>
      <c r="J1144" s="50" t="str">
        <f t="shared" si="34"/>
        <v>7955715032.pdf</v>
      </c>
      <c r="K1144" s="51" t="s">
        <v>1006</v>
      </c>
      <c r="L1144" s="51" t="s">
        <v>1037</v>
      </c>
      <c r="M1144" s="50" t="str">
        <f t="shared" si="35"/>
        <v>34.500</v>
      </c>
      <c r="N1144" s="50" t="str">
        <f>IF(A1144&lt;&gt;"",VLOOKUP(RIGHT(A1144,3)*1,[4]Des_Loc!A:B,2,0),"")</f>
        <v>ARAGUACU</v>
      </c>
    </row>
    <row r="1145" spans="1:14" ht="16.5" customHeight="1" x14ac:dyDescent="0.25">
      <c r="A1145" s="52">
        <v>7955644076</v>
      </c>
      <c r="B1145" s="51" t="s">
        <v>1003</v>
      </c>
      <c r="C1145" s="51" t="s">
        <v>1004</v>
      </c>
      <c r="D1145" s="51" t="s">
        <v>1005</v>
      </c>
      <c r="E1145" s="51" t="s">
        <v>1005</v>
      </c>
      <c r="F1145" s="51" t="s">
        <v>1005</v>
      </c>
      <c r="G1145" s="51" t="s">
        <v>1005</v>
      </c>
      <c r="H1145" s="51" t="s">
        <v>1005</v>
      </c>
      <c r="I1145" s="51" t="s">
        <v>1005</v>
      </c>
      <c r="J1145" s="50" t="str">
        <f t="shared" si="34"/>
        <v>7955644076.pdf</v>
      </c>
      <c r="K1145" s="51" t="s">
        <v>1006</v>
      </c>
      <c r="L1145" s="51" t="s">
        <v>1111</v>
      </c>
      <c r="M1145" s="50" t="str">
        <f t="shared" si="35"/>
        <v>34.500</v>
      </c>
      <c r="N1145" s="50" t="str">
        <f>IF(A1145&lt;&gt;"",VLOOKUP(RIGHT(A1145,3)*1,[4]Des_Loc!A:B,2,0),"")</f>
        <v>DUERE</v>
      </c>
    </row>
    <row r="1146" spans="1:14" ht="16.5" customHeight="1" x14ac:dyDescent="0.25">
      <c r="A1146" s="52">
        <v>7955452007</v>
      </c>
      <c r="B1146" s="51" t="s">
        <v>1003</v>
      </c>
      <c r="C1146" s="51" t="s">
        <v>1025</v>
      </c>
      <c r="D1146" s="51" t="s">
        <v>1011</v>
      </c>
      <c r="E1146" s="51" t="s">
        <v>1005</v>
      </c>
      <c r="F1146" s="51" t="s">
        <v>1011</v>
      </c>
      <c r="G1146" s="51" t="s">
        <v>1005</v>
      </c>
      <c r="H1146" s="51" t="s">
        <v>1005</v>
      </c>
      <c r="I1146" s="51" t="s">
        <v>1011</v>
      </c>
      <c r="J1146" s="50" t="str">
        <f t="shared" si="34"/>
        <v>7955452007.pdf</v>
      </c>
      <c r="K1146" s="51" t="s">
        <v>1006</v>
      </c>
      <c r="L1146" s="51" t="s">
        <v>1129</v>
      </c>
      <c r="M1146" s="50" t="str">
        <f t="shared" si="35"/>
        <v>13.800</v>
      </c>
      <c r="N1146" s="50" t="str">
        <f>IF(A1146&lt;&gt;"",VLOOKUP(RIGHT(A1146,3)*1,[4]Des_Loc!A:B,2,0),"")</f>
        <v>MIRACEMA DO TOCANTINS</v>
      </c>
    </row>
    <row r="1147" spans="1:14" ht="16.5" customHeight="1" x14ac:dyDescent="0.25">
      <c r="A1147" s="52">
        <v>7955789032</v>
      </c>
      <c r="B1147" s="51" t="s">
        <v>1003</v>
      </c>
      <c r="C1147" s="51" t="s">
        <v>1021</v>
      </c>
      <c r="D1147" s="51" t="s">
        <v>1005</v>
      </c>
      <c r="E1147" s="51" t="s">
        <v>1005</v>
      </c>
      <c r="F1147" s="51" t="s">
        <v>1005</v>
      </c>
      <c r="G1147" s="51" t="s">
        <v>1005</v>
      </c>
      <c r="H1147" s="51" t="s">
        <v>1005</v>
      </c>
      <c r="I1147" s="51" t="s">
        <v>1005</v>
      </c>
      <c r="J1147" s="50" t="str">
        <f t="shared" si="34"/>
        <v>7955789032.pdf</v>
      </c>
      <c r="K1147" s="51" t="s">
        <v>1006</v>
      </c>
      <c r="L1147" s="51" t="s">
        <v>1037</v>
      </c>
      <c r="M1147" s="50" t="str">
        <f t="shared" si="35"/>
        <v>34.500</v>
      </c>
      <c r="N1147" s="50" t="str">
        <f>IF(A1147&lt;&gt;"",VLOOKUP(RIGHT(A1147,3)*1,[4]Des_Loc!A:B,2,0),"")</f>
        <v>ARAGUACU</v>
      </c>
    </row>
    <row r="1148" spans="1:14" ht="16.5" customHeight="1" x14ac:dyDescent="0.25">
      <c r="A1148" s="52">
        <v>7955792076</v>
      </c>
      <c r="B1148" s="51" t="s">
        <v>1003</v>
      </c>
      <c r="C1148" s="51" t="s">
        <v>1010</v>
      </c>
      <c r="D1148" s="51" t="s">
        <v>1011</v>
      </c>
      <c r="E1148" s="51" t="s">
        <v>1005</v>
      </c>
      <c r="F1148" s="51" t="s">
        <v>1011</v>
      </c>
      <c r="G1148" s="51" t="s">
        <v>1005</v>
      </c>
      <c r="H1148" s="51" t="s">
        <v>1005</v>
      </c>
      <c r="I1148" s="51" t="s">
        <v>1011</v>
      </c>
      <c r="J1148" s="50" t="str">
        <f t="shared" si="34"/>
        <v>7955792076.pdf</v>
      </c>
      <c r="K1148" s="51" t="s">
        <v>1006</v>
      </c>
      <c r="L1148" s="51" t="s">
        <v>1075</v>
      </c>
      <c r="M1148" s="50" t="str">
        <f t="shared" si="35"/>
        <v>34.500</v>
      </c>
      <c r="N1148" s="50" t="str">
        <f>IF(A1148&lt;&gt;"",VLOOKUP(RIGHT(A1148,3)*1,[4]Des_Loc!A:B,2,0),"")</f>
        <v>DUERE</v>
      </c>
    </row>
    <row r="1149" spans="1:14" ht="16.5" customHeight="1" x14ac:dyDescent="0.25">
      <c r="A1149" s="52">
        <v>7955700073</v>
      </c>
      <c r="B1149" s="51" t="s">
        <v>1003</v>
      </c>
      <c r="C1149" s="51" t="s">
        <v>1010</v>
      </c>
      <c r="D1149" s="51" t="s">
        <v>1011</v>
      </c>
      <c r="E1149" s="51" t="s">
        <v>1005</v>
      </c>
      <c r="F1149" s="51" t="s">
        <v>1011</v>
      </c>
      <c r="G1149" s="51" t="s">
        <v>1005</v>
      </c>
      <c r="H1149" s="51" t="s">
        <v>1005</v>
      </c>
      <c r="I1149" s="51" t="s">
        <v>1011</v>
      </c>
      <c r="J1149" s="50" t="str">
        <f t="shared" si="34"/>
        <v>7955700073.pdf</v>
      </c>
      <c r="K1149" s="51" t="s">
        <v>1006</v>
      </c>
      <c r="L1149" s="51" t="s">
        <v>1137</v>
      </c>
      <c r="M1149" s="50" t="str">
        <f t="shared" si="35"/>
        <v>34.500</v>
      </c>
      <c r="N1149" s="50" t="str">
        <f>IF(A1149&lt;&gt;"",VLOOKUP(RIGHT(A1149,3)*1,[4]Des_Loc!A:B,2,0),"")</f>
        <v>LAGOA DA CONFUSAO</v>
      </c>
    </row>
    <row r="1150" spans="1:14" ht="16.5" customHeight="1" x14ac:dyDescent="0.25">
      <c r="A1150" s="52">
        <v>7955832052</v>
      </c>
      <c r="B1150" s="51" t="s">
        <v>1003</v>
      </c>
      <c r="C1150" s="51" t="s">
        <v>1010</v>
      </c>
      <c r="D1150" s="51" t="s">
        <v>1011</v>
      </c>
      <c r="E1150" s="51" t="s">
        <v>1005</v>
      </c>
      <c r="F1150" s="51" t="s">
        <v>1005</v>
      </c>
      <c r="G1150" s="51" t="s">
        <v>1005</v>
      </c>
      <c r="H1150" s="51" t="s">
        <v>1005</v>
      </c>
      <c r="I1150" s="51" t="s">
        <v>1005</v>
      </c>
      <c r="J1150" s="50" t="str">
        <f t="shared" si="34"/>
        <v>7955832052.pdf</v>
      </c>
      <c r="K1150" s="51" t="s">
        <v>1006</v>
      </c>
      <c r="L1150" s="51" t="s">
        <v>1153</v>
      </c>
      <c r="M1150" s="50" t="str">
        <f t="shared" si="35"/>
        <v>34.500</v>
      </c>
      <c r="N1150" s="50" t="str">
        <f>IF(A1150&lt;&gt;"",VLOOKUP(RIGHT(A1150,3)*1,[4]Des_Loc!A:B,2,0),"")</f>
        <v>FORMOSO DO ARAGUAIA</v>
      </c>
    </row>
    <row r="1151" spans="1:14" ht="16.5" customHeight="1" x14ac:dyDescent="0.25">
      <c r="A1151" s="52">
        <v>7955521116</v>
      </c>
      <c r="B1151" s="51" t="s">
        <v>1003</v>
      </c>
      <c r="C1151" s="51" t="s">
        <v>1010</v>
      </c>
      <c r="D1151" s="51" t="s">
        <v>1011</v>
      </c>
      <c r="E1151" s="51" t="s">
        <v>1011</v>
      </c>
      <c r="F1151" s="51" t="s">
        <v>1011</v>
      </c>
      <c r="G1151" s="51" t="s">
        <v>1005</v>
      </c>
      <c r="H1151" s="51" t="s">
        <v>1005</v>
      </c>
      <c r="I1151" s="51" t="s">
        <v>1011</v>
      </c>
      <c r="J1151" s="50" t="str">
        <f t="shared" si="34"/>
        <v>7955521116.pdf</v>
      </c>
      <c r="K1151" s="51" t="s">
        <v>1006</v>
      </c>
      <c r="L1151" s="51" t="s">
        <v>361</v>
      </c>
      <c r="M1151" s="50" t="str">
        <f t="shared" si="35"/>
        <v>34.500</v>
      </c>
      <c r="N1151" s="50" t="str">
        <f>IF(A1151&lt;&gt;"",VLOOKUP(RIGHT(A1151,3)*1,[4]Des_Loc!A:B,2,0),"")</f>
        <v>CHAPADA DA NATIVIDADE</v>
      </c>
    </row>
    <row r="1152" spans="1:14" ht="16.5" customHeight="1" x14ac:dyDescent="0.25">
      <c r="A1152" s="52">
        <v>7955523028</v>
      </c>
      <c r="B1152" s="51" t="s">
        <v>1003</v>
      </c>
      <c r="C1152" s="51" t="s">
        <v>1010</v>
      </c>
      <c r="D1152" s="51" t="s">
        <v>1011</v>
      </c>
      <c r="E1152" s="51" t="s">
        <v>1005</v>
      </c>
      <c r="F1152" s="51" t="s">
        <v>1005</v>
      </c>
      <c r="G1152" s="51" t="s">
        <v>1005</v>
      </c>
      <c r="H1152" s="51" t="s">
        <v>1005</v>
      </c>
      <c r="I1152" s="51" t="s">
        <v>1005</v>
      </c>
      <c r="J1152" s="50" t="str">
        <f t="shared" si="34"/>
        <v>7955523028.pdf</v>
      </c>
      <c r="K1152" s="51" t="s">
        <v>1006</v>
      </c>
      <c r="L1152" s="51" t="s">
        <v>361</v>
      </c>
      <c r="M1152" s="50" t="str">
        <f t="shared" si="35"/>
        <v>34.500</v>
      </c>
      <c r="N1152" s="50" t="str">
        <f>IF(A1152&lt;&gt;"",VLOOKUP(RIGHT(A1152,3)*1,[4]Des_Loc!A:B,2,0),"")</f>
        <v>NATIVIDADE</v>
      </c>
    </row>
    <row r="1153" spans="1:14" ht="16.5" customHeight="1" x14ac:dyDescent="0.25">
      <c r="A1153" s="52">
        <v>7955825037</v>
      </c>
      <c r="B1153" s="51" t="s">
        <v>1003</v>
      </c>
      <c r="C1153" s="51" t="s">
        <v>1010</v>
      </c>
      <c r="D1153" s="51" t="s">
        <v>1011</v>
      </c>
      <c r="E1153" s="51" t="s">
        <v>1005</v>
      </c>
      <c r="F1153" s="51" t="s">
        <v>1011</v>
      </c>
      <c r="G1153" s="51" t="s">
        <v>1005</v>
      </c>
      <c r="H1153" s="51" t="s">
        <v>1005</v>
      </c>
      <c r="I1153" s="51" t="s">
        <v>1011</v>
      </c>
      <c r="J1153" s="50" t="str">
        <f t="shared" si="34"/>
        <v>7955825037.pdf</v>
      </c>
      <c r="K1153" s="51" t="s">
        <v>1006</v>
      </c>
      <c r="L1153" s="51" t="s">
        <v>483</v>
      </c>
      <c r="M1153" s="50" t="str">
        <f t="shared" si="35"/>
        <v>34.500</v>
      </c>
      <c r="N1153" s="50" t="str">
        <f>IF(A1153&lt;&gt;"",VLOOKUP(RIGHT(A1153,3)*1,[4]Des_Loc!A:B,2,0),"")</f>
        <v>ALIANCA DO TOCANTINS</v>
      </c>
    </row>
    <row r="1154" spans="1:14" ht="16.5" customHeight="1" x14ac:dyDescent="0.25">
      <c r="A1154" s="52">
        <v>7957020076</v>
      </c>
      <c r="B1154" s="51" t="s">
        <v>1003</v>
      </c>
      <c r="C1154" s="51" t="s">
        <v>1010</v>
      </c>
      <c r="D1154" s="51" t="s">
        <v>1011</v>
      </c>
      <c r="E1154" s="51" t="s">
        <v>1005</v>
      </c>
      <c r="F1154" s="51" t="s">
        <v>1011</v>
      </c>
      <c r="G1154" s="51" t="s">
        <v>1005</v>
      </c>
      <c r="H1154" s="51" t="s">
        <v>1005</v>
      </c>
      <c r="I1154" s="51" t="s">
        <v>1011</v>
      </c>
      <c r="J1154" s="50" t="str">
        <f t="shared" ref="J1154:J1217" si="36">CONCATENATE(A1154,".pdf")</f>
        <v>7957020076.pdf</v>
      </c>
      <c r="K1154" s="51" t="s">
        <v>1006</v>
      </c>
      <c r="L1154" s="51" t="s">
        <v>1137</v>
      </c>
      <c r="M1154" s="50" t="str">
        <f t="shared" ref="M1154:M1217" si="37">IF(L1154&lt;&gt;"",IF(LEFT(L1154,2)="AL","13.800","34.500"),"")</f>
        <v>34.500</v>
      </c>
      <c r="N1154" s="50" t="str">
        <f>IF(A1154&lt;&gt;"",VLOOKUP(RIGHT(A1154,3)*1,[4]Des_Loc!A:B,2,0),"")</f>
        <v>DUERE</v>
      </c>
    </row>
    <row r="1155" spans="1:14" ht="16.5" customHeight="1" x14ac:dyDescent="0.25">
      <c r="A1155" s="52">
        <v>7956130072</v>
      </c>
      <c r="B1155" s="51" t="s">
        <v>1003</v>
      </c>
      <c r="C1155" s="51" t="s">
        <v>1010</v>
      </c>
      <c r="D1155" s="51" t="s">
        <v>1011</v>
      </c>
      <c r="E1155" s="51" t="s">
        <v>1005</v>
      </c>
      <c r="F1155" s="51" t="s">
        <v>1011</v>
      </c>
      <c r="G1155" s="51" t="s">
        <v>1005</v>
      </c>
      <c r="H1155" s="51" t="s">
        <v>1005</v>
      </c>
      <c r="I1155" s="51" t="s">
        <v>1011</v>
      </c>
      <c r="J1155" s="50" t="str">
        <f t="shared" si="36"/>
        <v>7956130072.pdf</v>
      </c>
      <c r="K1155" s="51" t="s">
        <v>1006</v>
      </c>
      <c r="L1155" s="51" t="s">
        <v>616</v>
      </c>
      <c r="M1155" s="50" t="str">
        <f t="shared" si="37"/>
        <v>34.500</v>
      </c>
      <c r="N1155" s="50" t="str">
        <f>IF(A1155&lt;&gt;"",VLOOKUP(RIGHT(A1155,3)*1,[4]Des_Loc!A:B,2,0),"")</f>
        <v>CONCEICAO DO TOCANTINS</v>
      </c>
    </row>
    <row r="1156" spans="1:14" ht="16.5" customHeight="1" x14ac:dyDescent="0.25">
      <c r="A1156" s="52">
        <v>7957025089</v>
      </c>
      <c r="B1156" s="51" t="s">
        <v>1003</v>
      </c>
      <c r="C1156" s="51" t="s">
        <v>1025</v>
      </c>
      <c r="D1156" s="51" t="s">
        <v>1011</v>
      </c>
      <c r="E1156" s="51" t="s">
        <v>1005</v>
      </c>
      <c r="F1156" s="51" t="s">
        <v>1011</v>
      </c>
      <c r="G1156" s="51" t="s">
        <v>1005</v>
      </c>
      <c r="H1156" s="51" t="s">
        <v>1005</v>
      </c>
      <c r="I1156" s="51" t="s">
        <v>1011</v>
      </c>
      <c r="J1156" s="50" t="str">
        <f t="shared" si="36"/>
        <v>7957025089.pdf</v>
      </c>
      <c r="K1156" s="51" t="s">
        <v>1006</v>
      </c>
      <c r="L1156" s="51" t="s">
        <v>1080</v>
      </c>
      <c r="M1156" s="50" t="str">
        <f t="shared" si="37"/>
        <v>34.500</v>
      </c>
      <c r="N1156" s="50" t="str">
        <f>IF(A1156&lt;&gt;"",VLOOKUP(RIGHT(A1156,3)*1,[4]Des_Loc!A:B,2,0),"")</f>
        <v>SUCUPIRA</v>
      </c>
    </row>
    <row r="1157" spans="1:14" ht="16.5" customHeight="1" x14ac:dyDescent="0.25">
      <c r="A1157" s="52">
        <v>7957017089</v>
      </c>
      <c r="B1157" s="51" t="s">
        <v>1003</v>
      </c>
      <c r="C1157" s="51" t="s">
        <v>1025</v>
      </c>
      <c r="D1157" s="51" t="s">
        <v>1011</v>
      </c>
      <c r="E1157" s="51" t="s">
        <v>1011</v>
      </c>
      <c r="F1157" s="51" t="s">
        <v>1011</v>
      </c>
      <c r="G1157" s="51" t="s">
        <v>1005</v>
      </c>
      <c r="H1157" s="51" t="s">
        <v>1005</v>
      </c>
      <c r="I1157" s="51" t="s">
        <v>1011</v>
      </c>
      <c r="J1157" s="50" t="str">
        <f t="shared" si="36"/>
        <v>7957017089.pdf</v>
      </c>
      <c r="K1157" s="51" t="s">
        <v>1006</v>
      </c>
      <c r="L1157" s="51" t="s">
        <v>1080</v>
      </c>
      <c r="M1157" s="50" t="str">
        <f t="shared" si="37"/>
        <v>34.500</v>
      </c>
      <c r="N1157" s="50" t="str">
        <f>IF(A1157&lt;&gt;"",VLOOKUP(RIGHT(A1157,3)*1,[4]Des_Loc!A:B,2,0),"")</f>
        <v>SUCUPIRA</v>
      </c>
    </row>
    <row r="1158" spans="1:14" ht="16.5" customHeight="1" x14ac:dyDescent="0.25">
      <c r="A1158" s="52">
        <v>7955922122</v>
      </c>
      <c r="B1158" s="51" t="s">
        <v>1003</v>
      </c>
      <c r="C1158" s="51" t="s">
        <v>1025</v>
      </c>
      <c r="D1158" s="51" t="s">
        <v>1011</v>
      </c>
      <c r="E1158" s="51" t="s">
        <v>1005</v>
      </c>
      <c r="F1158" s="51" t="s">
        <v>1011</v>
      </c>
      <c r="G1158" s="51" t="s">
        <v>1005</v>
      </c>
      <c r="H1158" s="51" t="s">
        <v>1005</v>
      </c>
      <c r="I1158" s="51" t="s">
        <v>1011</v>
      </c>
      <c r="J1158" s="50" t="str">
        <f t="shared" si="36"/>
        <v>7955922122.pdf</v>
      </c>
      <c r="K1158" s="51" t="s">
        <v>1006</v>
      </c>
      <c r="L1158" s="51" t="s">
        <v>1088</v>
      </c>
      <c r="M1158" s="50" t="str">
        <f t="shared" si="37"/>
        <v>13.800</v>
      </c>
      <c r="N1158" s="50" t="str">
        <f>IF(A1158&lt;&gt;"",VLOOKUP(RIGHT(A1158,3)*1,[4]Des_Loc!A:B,2,0),"")</f>
        <v>PALMAS</v>
      </c>
    </row>
    <row r="1159" spans="1:14" ht="16.5" customHeight="1" x14ac:dyDescent="0.25">
      <c r="A1159" s="52">
        <v>7955936122</v>
      </c>
      <c r="B1159" s="51" t="s">
        <v>1003</v>
      </c>
      <c r="C1159" s="51" t="s">
        <v>1021</v>
      </c>
      <c r="D1159" s="51" t="s">
        <v>1005</v>
      </c>
      <c r="E1159" s="51" t="s">
        <v>1005</v>
      </c>
      <c r="F1159" s="51" t="s">
        <v>1005</v>
      </c>
      <c r="G1159" s="51" t="s">
        <v>1005</v>
      </c>
      <c r="H1159" s="51" t="s">
        <v>1005</v>
      </c>
      <c r="I1159" s="51" t="s">
        <v>1005</v>
      </c>
      <c r="J1159" s="50" t="str">
        <f t="shared" si="36"/>
        <v>7955936122.pdf</v>
      </c>
      <c r="K1159" s="51" t="s">
        <v>1006</v>
      </c>
      <c r="L1159" s="51" t="s">
        <v>1088</v>
      </c>
      <c r="M1159" s="50" t="str">
        <f t="shared" si="37"/>
        <v>13.800</v>
      </c>
      <c r="N1159" s="50" t="str">
        <f>IF(A1159&lt;&gt;"",VLOOKUP(RIGHT(A1159,3)*1,[4]Des_Loc!A:B,2,0),"")</f>
        <v>PALMAS</v>
      </c>
    </row>
    <row r="1160" spans="1:14" ht="16.5" customHeight="1" x14ac:dyDescent="0.25">
      <c r="A1160" s="52">
        <v>7957659223</v>
      </c>
      <c r="B1160" s="51" t="s">
        <v>1003</v>
      </c>
      <c r="C1160" s="51" t="s">
        <v>1010</v>
      </c>
      <c r="D1160" s="51" t="s">
        <v>1011</v>
      </c>
      <c r="E1160" s="51" t="s">
        <v>1011</v>
      </c>
      <c r="F1160" s="51" t="s">
        <v>1011</v>
      </c>
      <c r="G1160" s="51" t="s">
        <v>1005</v>
      </c>
      <c r="H1160" s="51" t="s">
        <v>1005</v>
      </c>
      <c r="I1160" s="51" t="s">
        <v>1011</v>
      </c>
      <c r="J1160" s="50" t="str">
        <f t="shared" si="36"/>
        <v>7957659223.pdf</v>
      </c>
      <c r="K1160" s="51" t="s">
        <v>1006</v>
      </c>
      <c r="L1160" s="51" t="s">
        <v>1045</v>
      </c>
      <c r="M1160" s="50" t="str">
        <f t="shared" si="37"/>
        <v>34.500</v>
      </c>
      <c r="N1160" s="50" t="str">
        <f>IF(A1160&lt;&gt;"",VLOOKUP(RIGHT(A1160,3)*1,[4]Des_Loc!A:B,2,0),"")</f>
        <v>POVOADO MATINHA</v>
      </c>
    </row>
    <row r="1161" spans="1:14" ht="16.5" customHeight="1" x14ac:dyDescent="0.25">
      <c r="A1161" s="52">
        <v>7957022094</v>
      </c>
      <c r="B1161" s="51" t="s">
        <v>1003</v>
      </c>
      <c r="C1161" s="51" t="s">
        <v>1010</v>
      </c>
      <c r="D1161" s="51" t="s">
        <v>1011</v>
      </c>
      <c r="E1161" s="51" t="s">
        <v>1005</v>
      </c>
      <c r="F1161" s="51" t="s">
        <v>1011</v>
      </c>
      <c r="G1161" s="51" t="s">
        <v>1005</v>
      </c>
      <c r="H1161" s="51" t="s">
        <v>1005</v>
      </c>
      <c r="I1161" s="51" t="s">
        <v>1011</v>
      </c>
      <c r="J1161" s="50" t="str">
        <f t="shared" si="36"/>
        <v>7957022094.pdf</v>
      </c>
      <c r="K1161" s="51" t="s">
        <v>1006</v>
      </c>
      <c r="L1161" s="51" t="s">
        <v>1080</v>
      </c>
      <c r="M1161" s="50" t="str">
        <f t="shared" si="37"/>
        <v>34.500</v>
      </c>
      <c r="N1161" s="50" t="str">
        <f>IF(A1161&lt;&gt;"",VLOOKUP(RIGHT(A1161,3)*1,[4]Des_Loc!A:B,2,0),"")</f>
        <v>PEIXE</v>
      </c>
    </row>
    <row r="1162" spans="1:14" ht="16.5" customHeight="1" x14ac:dyDescent="0.25">
      <c r="A1162" s="52">
        <v>7957019003</v>
      </c>
      <c r="B1162" s="51" t="s">
        <v>1003</v>
      </c>
      <c r="C1162" s="51" t="s">
        <v>1010</v>
      </c>
      <c r="D1162" s="51" t="s">
        <v>1011</v>
      </c>
      <c r="E1162" s="51" t="s">
        <v>1011</v>
      </c>
      <c r="F1162" s="51" t="s">
        <v>1011</v>
      </c>
      <c r="G1162" s="51" t="s">
        <v>1005</v>
      </c>
      <c r="H1162" s="51" t="s">
        <v>1005</v>
      </c>
      <c r="I1162" s="51" t="s">
        <v>1011</v>
      </c>
      <c r="J1162" s="50" t="str">
        <f t="shared" si="36"/>
        <v>7957019003.pdf</v>
      </c>
      <c r="K1162" s="51" t="s">
        <v>1006</v>
      </c>
      <c r="L1162" s="51" t="s">
        <v>1080</v>
      </c>
      <c r="M1162" s="50" t="str">
        <f t="shared" si="37"/>
        <v>34.500</v>
      </c>
      <c r="N1162" s="50" t="str">
        <f>IF(A1162&lt;&gt;"",VLOOKUP(RIGHT(A1162,3)*1,[4]Des_Loc!A:B,2,0),"")</f>
        <v>GURUPI</v>
      </c>
    </row>
    <row r="1163" spans="1:14" ht="16.5" customHeight="1" x14ac:dyDescent="0.25">
      <c r="A1163" s="52">
        <v>7958237186</v>
      </c>
      <c r="B1163" s="51" t="s">
        <v>1003</v>
      </c>
      <c r="C1163" s="51" t="s">
        <v>1010</v>
      </c>
      <c r="D1163" s="51" t="s">
        <v>1011</v>
      </c>
      <c r="E1163" s="51" t="s">
        <v>1011</v>
      </c>
      <c r="F1163" s="51" t="s">
        <v>1011</v>
      </c>
      <c r="G1163" s="51" t="s">
        <v>1005</v>
      </c>
      <c r="H1163" s="51" t="s">
        <v>1005</v>
      </c>
      <c r="I1163" s="51" t="s">
        <v>1011</v>
      </c>
      <c r="J1163" s="50" t="str">
        <f t="shared" si="36"/>
        <v>7958237186.pdf</v>
      </c>
      <c r="K1163" s="51" t="s">
        <v>1006</v>
      </c>
      <c r="L1163" s="51" t="s">
        <v>1103</v>
      </c>
      <c r="M1163" s="50" t="str">
        <f t="shared" si="37"/>
        <v>34.500</v>
      </c>
      <c r="N1163" s="50" t="str">
        <f>IF(A1163&lt;&gt;"",VLOOKUP(RIGHT(A1163,3)*1,[4]Des_Loc!A:B,2,0),"")</f>
        <v>JAU DO TOCANTINS</v>
      </c>
    </row>
    <row r="1164" spans="1:14" ht="16.5" customHeight="1" x14ac:dyDescent="0.25">
      <c r="A1164" s="52">
        <v>7957853064</v>
      </c>
      <c r="B1164" s="51" t="s">
        <v>1003</v>
      </c>
      <c r="C1164" s="51" t="s">
        <v>1008</v>
      </c>
      <c r="D1164" s="51" t="s">
        <v>1005</v>
      </c>
      <c r="E1164" s="51" t="s">
        <v>1005</v>
      </c>
      <c r="F1164" s="51" t="s">
        <v>1005</v>
      </c>
      <c r="G1164" s="51" t="s">
        <v>1005</v>
      </c>
      <c r="H1164" s="51" t="s">
        <v>1005</v>
      </c>
      <c r="I1164" s="51" t="s">
        <v>1005</v>
      </c>
      <c r="J1164" s="50" t="str">
        <f t="shared" si="36"/>
        <v>7957853064.pdf</v>
      </c>
      <c r="K1164" s="51" t="s">
        <v>1006</v>
      </c>
      <c r="L1164" s="51" t="s">
        <v>1083</v>
      </c>
      <c r="M1164" s="50" t="str">
        <f t="shared" si="37"/>
        <v>34.500</v>
      </c>
      <c r="N1164" s="50" t="str">
        <f>IF(A1164&lt;&gt;"",VLOOKUP(RIGHT(A1164,3)*1,[4]Des_Loc!A:B,2,0),"")</f>
        <v>BRASILANDIA DO TOCANTINS</v>
      </c>
    </row>
    <row r="1165" spans="1:14" ht="16.5" customHeight="1" x14ac:dyDescent="0.25">
      <c r="A1165" s="52">
        <v>7957024200</v>
      </c>
      <c r="B1165" s="51" t="s">
        <v>1003</v>
      </c>
      <c r="C1165" s="51" t="s">
        <v>1008</v>
      </c>
      <c r="D1165" s="51" t="s">
        <v>1005</v>
      </c>
      <c r="E1165" s="51" t="s">
        <v>1005</v>
      </c>
      <c r="F1165" s="51" t="s">
        <v>1005</v>
      </c>
      <c r="G1165" s="51" t="s">
        <v>1005</v>
      </c>
      <c r="H1165" s="51" t="s">
        <v>1005</v>
      </c>
      <c r="I1165" s="51" t="s">
        <v>1005</v>
      </c>
      <c r="J1165" s="50" t="str">
        <f t="shared" si="36"/>
        <v>7957024200.pdf</v>
      </c>
      <c r="K1165" s="51" t="s">
        <v>1006</v>
      </c>
      <c r="L1165" s="51" t="s">
        <v>672</v>
      </c>
      <c r="M1165" s="50" t="str">
        <f t="shared" si="37"/>
        <v>34.500</v>
      </c>
      <c r="N1165" s="50" t="str">
        <f>IF(A1165&lt;&gt;"",VLOOKUP(RIGHT(A1165,3)*1,[4]Des_Loc!A:B,2,0),"")</f>
        <v>SAO SALVADOR DO TOCANTINS</v>
      </c>
    </row>
    <row r="1166" spans="1:14" ht="16.5" customHeight="1" x14ac:dyDescent="0.25">
      <c r="A1166" s="52">
        <v>7955804021</v>
      </c>
      <c r="B1166" s="51" t="s">
        <v>1003</v>
      </c>
      <c r="C1166" s="51" t="s">
        <v>1008</v>
      </c>
      <c r="D1166" s="51" t="s">
        <v>1005</v>
      </c>
      <c r="E1166" s="51" t="s">
        <v>1005</v>
      </c>
      <c r="F1166" s="51" t="s">
        <v>1005</v>
      </c>
      <c r="G1166" s="51" t="s">
        <v>1005</v>
      </c>
      <c r="H1166" s="51" t="s">
        <v>1005</v>
      </c>
      <c r="I1166" s="51" t="s">
        <v>1005</v>
      </c>
      <c r="J1166" s="50" t="str">
        <f t="shared" si="36"/>
        <v>7955804021.pdf</v>
      </c>
      <c r="K1166" s="51" t="s">
        <v>1006</v>
      </c>
      <c r="L1166" s="51" t="s">
        <v>616</v>
      </c>
      <c r="M1166" s="50" t="str">
        <f t="shared" si="37"/>
        <v>34.500</v>
      </c>
      <c r="N1166" s="50" t="str">
        <f>IF(A1166&lt;&gt;"",VLOOKUP(RIGHT(A1166,3)*1,[4]Des_Loc!A:B,2,0),"")</f>
        <v>PARANA</v>
      </c>
    </row>
    <row r="1167" spans="1:14" ht="16.5" customHeight="1" x14ac:dyDescent="0.25">
      <c r="A1167" s="52">
        <v>7957655033</v>
      </c>
      <c r="B1167" s="51" t="s">
        <v>1003</v>
      </c>
      <c r="C1167" s="51" t="s">
        <v>1010</v>
      </c>
      <c r="D1167" s="51" t="s">
        <v>1011</v>
      </c>
      <c r="E1167" s="51" t="s">
        <v>1005</v>
      </c>
      <c r="F1167" s="51" t="s">
        <v>1011</v>
      </c>
      <c r="G1167" s="51" t="s">
        <v>1005</v>
      </c>
      <c r="H1167" s="51" t="s">
        <v>1005</v>
      </c>
      <c r="I1167" s="51" t="s">
        <v>1011</v>
      </c>
      <c r="J1167" s="50" t="str">
        <f t="shared" si="36"/>
        <v>7957655033.pdf</v>
      </c>
      <c r="K1167" s="51" t="s">
        <v>1006</v>
      </c>
      <c r="L1167" s="51" t="s">
        <v>627</v>
      </c>
      <c r="M1167" s="50" t="str">
        <f t="shared" si="37"/>
        <v>34.500</v>
      </c>
      <c r="N1167" s="50" t="str">
        <f>IF(A1167&lt;&gt;"",VLOOKUP(RIGHT(A1167,3)*1,[4]Des_Loc!A:B,2,0),"")</f>
        <v>COLMEIA</v>
      </c>
    </row>
    <row r="1168" spans="1:14" ht="16.5" customHeight="1" x14ac:dyDescent="0.25">
      <c r="A1168" s="52">
        <v>7956924006</v>
      </c>
      <c r="B1168" s="51" t="s">
        <v>1003</v>
      </c>
      <c r="C1168" s="51" t="s">
        <v>1004</v>
      </c>
      <c r="D1168" s="51" t="s">
        <v>1005</v>
      </c>
      <c r="E1168" s="51" t="s">
        <v>1005</v>
      </c>
      <c r="F1168" s="51" t="s">
        <v>1005</v>
      </c>
      <c r="G1168" s="51" t="s">
        <v>1005</v>
      </c>
      <c r="H1168" s="51" t="s">
        <v>1005</v>
      </c>
      <c r="I1168" s="51" t="s">
        <v>1005</v>
      </c>
      <c r="J1168" s="50" t="str">
        <f t="shared" si="36"/>
        <v>7956924006.pdf</v>
      </c>
      <c r="K1168" s="51" t="s">
        <v>1006</v>
      </c>
      <c r="L1168" s="51" t="s">
        <v>1068</v>
      </c>
      <c r="M1168" s="50" t="str">
        <f t="shared" si="37"/>
        <v>34.500</v>
      </c>
      <c r="N1168" s="50" t="str">
        <f>IF(A1168&lt;&gt;"",VLOOKUP(RIGHT(A1168,3)*1,[4]Des_Loc!A:B,2,0),"")</f>
        <v>TOCANTINIA</v>
      </c>
    </row>
    <row r="1169" spans="1:14" ht="16.5" customHeight="1" x14ac:dyDescent="0.25">
      <c r="A1169" s="52">
        <v>7954561110</v>
      </c>
      <c r="B1169" s="51" t="s">
        <v>1003</v>
      </c>
      <c r="C1169" s="51" t="s">
        <v>1010</v>
      </c>
      <c r="D1169" s="51" t="s">
        <v>1011</v>
      </c>
      <c r="E1169" s="51" t="s">
        <v>1005</v>
      </c>
      <c r="F1169" s="51" t="s">
        <v>1011</v>
      </c>
      <c r="G1169" s="51" t="s">
        <v>1005</v>
      </c>
      <c r="H1169" s="51" t="s">
        <v>1005</v>
      </c>
      <c r="I1169" s="51" t="s">
        <v>1011</v>
      </c>
      <c r="J1169" s="50" t="str">
        <f t="shared" si="36"/>
        <v>7954561110.pdf</v>
      </c>
      <c r="K1169" s="51" t="s">
        <v>1006</v>
      </c>
      <c r="L1169" s="51" t="s">
        <v>1030</v>
      </c>
      <c r="M1169" s="50" t="str">
        <f t="shared" si="37"/>
        <v>34.500</v>
      </c>
      <c r="N1169" s="50" t="str">
        <f>IF(A1169&lt;&gt;"",VLOOKUP(RIGHT(A1169,3)*1,[4]Des_Loc!A:B,2,0),"")</f>
        <v>SANTA RITA DO TOCANTINS</v>
      </c>
    </row>
    <row r="1170" spans="1:14" ht="16.5" customHeight="1" x14ac:dyDescent="0.25">
      <c r="A1170" s="52">
        <v>7955810021</v>
      </c>
      <c r="B1170" s="51" t="s">
        <v>1003</v>
      </c>
      <c r="C1170" s="51" t="s">
        <v>1010</v>
      </c>
      <c r="D1170" s="51" t="s">
        <v>1011</v>
      </c>
      <c r="E1170" s="51" t="s">
        <v>1011</v>
      </c>
      <c r="F1170" s="51" t="s">
        <v>1011</v>
      </c>
      <c r="G1170" s="51" t="s">
        <v>1005</v>
      </c>
      <c r="H1170" s="51" t="s">
        <v>1005</v>
      </c>
      <c r="I1170" s="51" t="s">
        <v>1011</v>
      </c>
      <c r="J1170" s="50" t="str">
        <f t="shared" si="36"/>
        <v>7955810021.pdf</v>
      </c>
      <c r="K1170" s="51" t="s">
        <v>1006</v>
      </c>
      <c r="L1170" s="51" t="s">
        <v>1032</v>
      </c>
      <c r="M1170" s="50" t="str">
        <f t="shared" si="37"/>
        <v>34.500</v>
      </c>
      <c r="N1170" s="50" t="str">
        <f>IF(A1170&lt;&gt;"",VLOOKUP(RIGHT(A1170,3)*1,[4]Des_Loc!A:B,2,0),"")</f>
        <v>PARANA</v>
      </c>
    </row>
    <row r="1171" spans="1:14" ht="16.5" customHeight="1" x14ac:dyDescent="0.25">
      <c r="A1171" s="52">
        <v>7956117005</v>
      </c>
      <c r="B1171" s="51" t="s">
        <v>1003</v>
      </c>
      <c r="C1171" s="51" t="s">
        <v>1025</v>
      </c>
      <c r="D1171" s="51" t="s">
        <v>1011</v>
      </c>
      <c r="E1171" s="51" t="s">
        <v>1005</v>
      </c>
      <c r="F1171" s="51" t="s">
        <v>1011</v>
      </c>
      <c r="G1171" s="51" t="s">
        <v>1005</v>
      </c>
      <c r="H1171" s="51" t="s">
        <v>1005</v>
      </c>
      <c r="I1171" s="51" t="s">
        <v>1011</v>
      </c>
      <c r="J1171" s="50" t="str">
        <f t="shared" si="36"/>
        <v>7956117005.pdf</v>
      </c>
      <c r="K1171" s="51" t="s">
        <v>1006</v>
      </c>
      <c r="L1171" s="51" t="s">
        <v>1224</v>
      </c>
      <c r="M1171" s="50" t="str">
        <f t="shared" si="37"/>
        <v>13.800</v>
      </c>
      <c r="N1171" s="50" t="str">
        <f>IF(A1171&lt;&gt;"",VLOOKUP(RIGHT(A1171,3)*1,[4]Des_Loc!A:B,2,0),"")</f>
        <v>ARRAIAS</v>
      </c>
    </row>
    <row r="1172" spans="1:14" ht="16.5" customHeight="1" x14ac:dyDescent="0.25">
      <c r="A1172" s="52">
        <v>7956129005</v>
      </c>
      <c r="B1172" s="51" t="s">
        <v>1003</v>
      </c>
      <c r="C1172" s="51" t="s">
        <v>1004</v>
      </c>
      <c r="D1172" s="51" t="s">
        <v>1005</v>
      </c>
      <c r="E1172" s="51" t="s">
        <v>1005</v>
      </c>
      <c r="F1172" s="51" t="s">
        <v>1005</v>
      </c>
      <c r="G1172" s="51" t="s">
        <v>1005</v>
      </c>
      <c r="H1172" s="51" t="s">
        <v>1005</v>
      </c>
      <c r="I1172" s="51" t="s">
        <v>1005</v>
      </c>
      <c r="J1172" s="50" t="str">
        <f t="shared" si="36"/>
        <v>7956129005.pdf</v>
      </c>
      <c r="K1172" s="51" t="s">
        <v>1006</v>
      </c>
      <c r="L1172" s="51" t="s">
        <v>1224</v>
      </c>
      <c r="M1172" s="50" t="str">
        <f t="shared" si="37"/>
        <v>13.800</v>
      </c>
      <c r="N1172" s="50" t="str">
        <f>IF(A1172&lt;&gt;"",VLOOKUP(RIGHT(A1172,3)*1,[4]Des_Loc!A:B,2,0),"")</f>
        <v>ARRAIAS</v>
      </c>
    </row>
    <row r="1173" spans="1:14" ht="16.5" customHeight="1" x14ac:dyDescent="0.25">
      <c r="A1173" s="52">
        <v>7955790094</v>
      </c>
      <c r="B1173" s="51" t="s">
        <v>1003</v>
      </c>
      <c r="C1173" s="51" t="s">
        <v>1004</v>
      </c>
      <c r="D1173" s="51" t="s">
        <v>1005</v>
      </c>
      <c r="E1173" s="51" t="s">
        <v>1005</v>
      </c>
      <c r="F1173" s="51" t="s">
        <v>1005</v>
      </c>
      <c r="G1173" s="51" t="s">
        <v>1005</v>
      </c>
      <c r="H1173" s="51" t="s">
        <v>1005</v>
      </c>
      <c r="I1173" s="51" t="s">
        <v>1005</v>
      </c>
      <c r="J1173" s="50" t="str">
        <f t="shared" si="36"/>
        <v>7955790094.pdf</v>
      </c>
      <c r="K1173" s="51" t="s">
        <v>1006</v>
      </c>
      <c r="L1173" s="51" t="s">
        <v>1199</v>
      </c>
      <c r="M1173" s="50" t="str">
        <f t="shared" si="37"/>
        <v>13.800</v>
      </c>
      <c r="N1173" s="50" t="str">
        <f>IF(A1173&lt;&gt;"",VLOOKUP(RIGHT(A1173,3)*1,[4]Des_Loc!A:B,2,0),"")</f>
        <v>PEIXE</v>
      </c>
    </row>
    <row r="1174" spans="1:14" ht="16.5" customHeight="1" x14ac:dyDescent="0.25">
      <c r="A1174" s="52">
        <v>7955666036</v>
      </c>
      <c r="B1174" s="51" t="s">
        <v>1003</v>
      </c>
      <c r="C1174" s="51" t="s">
        <v>1025</v>
      </c>
      <c r="D1174" s="51" t="s">
        <v>1011</v>
      </c>
      <c r="E1174" s="51" t="s">
        <v>1005</v>
      </c>
      <c r="F1174" s="51" t="s">
        <v>1011</v>
      </c>
      <c r="G1174" s="51" t="s">
        <v>1005</v>
      </c>
      <c r="H1174" s="51" t="s">
        <v>1005</v>
      </c>
      <c r="I1174" s="51" t="s">
        <v>1011</v>
      </c>
      <c r="J1174" s="50" t="str">
        <f t="shared" si="36"/>
        <v>7955666036.pdf</v>
      </c>
      <c r="K1174" s="51" t="s">
        <v>1006</v>
      </c>
      <c r="L1174" s="51" t="s">
        <v>1026</v>
      </c>
      <c r="M1174" s="50" t="str">
        <f t="shared" si="37"/>
        <v>13.800</v>
      </c>
      <c r="N1174" s="50" t="str">
        <f>IF(A1174&lt;&gt;"",VLOOKUP(RIGHT(A1174,3)*1,[4]Des_Loc!A:B,2,0),"")</f>
        <v>ALVORADA</v>
      </c>
    </row>
    <row r="1175" spans="1:14" ht="16.5" customHeight="1" x14ac:dyDescent="0.25">
      <c r="A1175" s="52">
        <v>7953298122</v>
      </c>
      <c r="B1175" s="51" t="s">
        <v>1003</v>
      </c>
      <c r="C1175" s="51" t="s">
        <v>1021</v>
      </c>
      <c r="D1175" s="51" t="s">
        <v>1005</v>
      </c>
      <c r="E1175" s="51" t="s">
        <v>1005</v>
      </c>
      <c r="F1175" s="51" t="s">
        <v>1005</v>
      </c>
      <c r="G1175" s="51" t="s">
        <v>1005</v>
      </c>
      <c r="H1175" s="51" t="s">
        <v>1005</v>
      </c>
      <c r="I1175" s="51" t="s">
        <v>1005</v>
      </c>
      <c r="J1175" s="50" t="str">
        <f t="shared" si="36"/>
        <v>7953298122.pdf</v>
      </c>
      <c r="K1175" s="51" t="s">
        <v>1006</v>
      </c>
      <c r="L1175" s="51" t="s">
        <v>1073</v>
      </c>
      <c r="M1175" s="50" t="str">
        <f t="shared" si="37"/>
        <v>13.800</v>
      </c>
      <c r="N1175" s="50" t="str">
        <f>IF(A1175&lt;&gt;"",VLOOKUP(RIGHT(A1175,3)*1,[4]Des_Loc!A:B,2,0),"")</f>
        <v>PALMAS</v>
      </c>
    </row>
    <row r="1176" spans="1:14" ht="16.5" customHeight="1" x14ac:dyDescent="0.25">
      <c r="A1176" s="52">
        <v>7956399193</v>
      </c>
      <c r="B1176" s="51" t="s">
        <v>1003</v>
      </c>
      <c r="C1176" s="51" t="s">
        <v>1025</v>
      </c>
      <c r="D1176" s="51" t="s">
        <v>1011</v>
      </c>
      <c r="E1176" s="51" t="s">
        <v>1005</v>
      </c>
      <c r="F1176" s="51" t="s">
        <v>1005</v>
      </c>
      <c r="G1176" s="51" t="s">
        <v>1005</v>
      </c>
      <c r="H1176" s="51" t="s">
        <v>1005</v>
      </c>
      <c r="I1176" s="51" t="s">
        <v>1005</v>
      </c>
      <c r="J1176" s="50" t="str">
        <f t="shared" si="36"/>
        <v>7956399193.pdf</v>
      </c>
      <c r="K1176" s="51" t="s">
        <v>1006</v>
      </c>
      <c r="L1176" s="51" t="s">
        <v>1036</v>
      </c>
      <c r="M1176" s="50" t="str">
        <f t="shared" si="37"/>
        <v>34.500</v>
      </c>
      <c r="N1176" s="50" t="str">
        <f>IF(A1176&lt;&gt;"",VLOOKUP(RIGHT(A1176,3)*1,[4]Des_Loc!A:B,2,0),"")</f>
        <v>CAMPOS LINDOS</v>
      </c>
    </row>
    <row r="1177" spans="1:14" ht="16.5" customHeight="1" x14ac:dyDescent="0.25">
      <c r="A1177" s="52">
        <v>7954583110</v>
      </c>
      <c r="B1177" s="51" t="s">
        <v>1003</v>
      </c>
      <c r="C1177" s="51" t="s">
        <v>1004</v>
      </c>
      <c r="D1177" s="51" t="s">
        <v>1005</v>
      </c>
      <c r="E1177" s="51" t="s">
        <v>1005</v>
      </c>
      <c r="F1177" s="51" t="s">
        <v>1005</v>
      </c>
      <c r="G1177" s="51" t="s">
        <v>1005</v>
      </c>
      <c r="H1177" s="51" t="s">
        <v>1005</v>
      </c>
      <c r="I1177" s="51" t="s">
        <v>1005</v>
      </c>
      <c r="J1177" s="50" t="str">
        <f t="shared" si="36"/>
        <v>7954583110.pdf</v>
      </c>
      <c r="K1177" s="51" t="s">
        <v>1006</v>
      </c>
      <c r="L1177" s="51" t="s">
        <v>1030</v>
      </c>
      <c r="M1177" s="50" t="str">
        <f t="shared" si="37"/>
        <v>34.500</v>
      </c>
      <c r="N1177" s="50" t="str">
        <f>IF(A1177&lt;&gt;"",VLOOKUP(RIGHT(A1177,3)*1,[4]Des_Loc!A:B,2,0),"")</f>
        <v>SANTA RITA DO TOCANTINS</v>
      </c>
    </row>
    <row r="1178" spans="1:14" ht="16.5" customHeight="1" x14ac:dyDescent="0.25">
      <c r="A1178" s="52">
        <v>7957089155</v>
      </c>
      <c r="B1178" s="51" t="s">
        <v>1003</v>
      </c>
      <c r="C1178" s="51" t="s">
        <v>1010</v>
      </c>
      <c r="D1178" s="51" t="s">
        <v>1011</v>
      </c>
      <c r="E1178" s="51" t="s">
        <v>1005</v>
      </c>
      <c r="F1178" s="51" t="s">
        <v>1005</v>
      </c>
      <c r="G1178" s="51" t="s">
        <v>1005</v>
      </c>
      <c r="H1178" s="51" t="s">
        <v>1005</v>
      </c>
      <c r="I1178" s="51" t="s">
        <v>1005</v>
      </c>
      <c r="J1178" s="50" t="str">
        <f t="shared" si="36"/>
        <v>7957089155.pdf</v>
      </c>
      <c r="K1178" s="51" t="s">
        <v>1006</v>
      </c>
      <c r="L1178" s="51" t="s">
        <v>1150</v>
      </c>
      <c r="M1178" s="50" t="str">
        <f t="shared" si="37"/>
        <v>34.500</v>
      </c>
      <c r="N1178" s="50" t="str">
        <f>IF(A1178&lt;&gt;"",VLOOKUP(RIGHT(A1178,3)*1,[4]Des_Loc!A:B,2,0),"")</f>
        <v>PALMEIRANTE</v>
      </c>
    </row>
    <row r="1179" spans="1:14" ht="16.5" customHeight="1" x14ac:dyDescent="0.25">
      <c r="A1179" s="52">
        <v>7955889122</v>
      </c>
      <c r="B1179" s="51" t="s">
        <v>1003</v>
      </c>
      <c r="C1179" s="51" t="s">
        <v>1010</v>
      </c>
      <c r="D1179" s="51" t="s">
        <v>1011</v>
      </c>
      <c r="E1179" s="51" t="s">
        <v>1005</v>
      </c>
      <c r="F1179" s="51" t="s">
        <v>1011</v>
      </c>
      <c r="G1179" s="51" t="s">
        <v>1005</v>
      </c>
      <c r="H1179" s="51" t="s">
        <v>1005</v>
      </c>
      <c r="I1179" s="51" t="s">
        <v>1011</v>
      </c>
      <c r="J1179" s="50" t="str">
        <f t="shared" si="36"/>
        <v>7955889122.pdf</v>
      </c>
      <c r="K1179" s="51" t="s">
        <v>1006</v>
      </c>
      <c r="L1179" s="51" t="s">
        <v>1068</v>
      </c>
      <c r="M1179" s="50" t="str">
        <f t="shared" si="37"/>
        <v>34.500</v>
      </c>
      <c r="N1179" s="50" t="str">
        <f>IF(A1179&lt;&gt;"",VLOOKUP(RIGHT(A1179,3)*1,[4]Des_Loc!A:B,2,0),"")</f>
        <v>PALMAS</v>
      </c>
    </row>
    <row r="1180" spans="1:14" ht="16.5" customHeight="1" x14ac:dyDescent="0.25">
      <c r="A1180" s="52">
        <v>7954564001</v>
      </c>
      <c r="B1180" s="51" t="s">
        <v>1003</v>
      </c>
      <c r="C1180" s="51" t="s">
        <v>1010</v>
      </c>
      <c r="D1180" s="51" t="s">
        <v>1011</v>
      </c>
      <c r="E1180" s="51" t="s">
        <v>1005</v>
      </c>
      <c r="F1180" s="51" t="s">
        <v>1011</v>
      </c>
      <c r="G1180" s="51" t="s">
        <v>1005</v>
      </c>
      <c r="H1180" s="51" t="s">
        <v>1005</v>
      </c>
      <c r="I1180" s="51" t="s">
        <v>1011</v>
      </c>
      <c r="J1180" s="50" t="str">
        <f t="shared" si="36"/>
        <v>7954564001.pdf</v>
      </c>
      <c r="K1180" s="51" t="s">
        <v>1006</v>
      </c>
      <c r="L1180" s="51" t="s">
        <v>1169</v>
      </c>
      <c r="M1180" s="50" t="str">
        <f t="shared" si="37"/>
        <v>13.800</v>
      </c>
      <c r="N1180" s="50" t="str">
        <f>IF(A1180&lt;&gt;"",VLOOKUP(RIGHT(A1180,3)*1,[4]Des_Loc!A:B,2,0),"")</f>
        <v>PORTO NACIONAL</v>
      </c>
    </row>
    <row r="1181" spans="1:14" ht="16.5" customHeight="1" x14ac:dyDescent="0.25">
      <c r="A1181" s="52">
        <v>7955914059</v>
      </c>
      <c r="B1181" s="51" t="s">
        <v>1003</v>
      </c>
      <c r="C1181" s="51" t="s">
        <v>1021</v>
      </c>
      <c r="D1181" s="51" t="s">
        <v>1005</v>
      </c>
      <c r="E1181" s="51" t="s">
        <v>1005</v>
      </c>
      <c r="F1181" s="51" t="s">
        <v>1005</v>
      </c>
      <c r="G1181" s="51" t="s">
        <v>1005</v>
      </c>
      <c r="H1181" s="51" t="s">
        <v>1005</v>
      </c>
      <c r="I1181" s="51" t="s">
        <v>1005</v>
      </c>
      <c r="J1181" s="50" t="str">
        <f t="shared" si="36"/>
        <v>7955914059.pdf</v>
      </c>
      <c r="K1181" s="51" t="s">
        <v>1006</v>
      </c>
      <c r="L1181" s="51" t="s">
        <v>571</v>
      </c>
      <c r="M1181" s="50" t="str">
        <f t="shared" si="37"/>
        <v>34.500</v>
      </c>
      <c r="N1181" s="50" t="str">
        <f>IF(A1181&lt;&gt;"",VLOOKUP(RIGHT(A1181,3)*1,[4]Des_Loc!A:B,2,0),"")</f>
        <v>TAQUARALTO</v>
      </c>
    </row>
    <row r="1182" spans="1:14" ht="16.5" customHeight="1" x14ac:dyDescent="0.25">
      <c r="A1182" s="52">
        <v>7957466015</v>
      </c>
      <c r="B1182" s="51" t="s">
        <v>1003</v>
      </c>
      <c r="C1182" s="51" t="s">
        <v>1010</v>
      </c>
      <c r="D1182" s="51" t="s">
        <v>1011</v>
      </c>
      <c r="E1182" s="51" t="s">
        <v>1005</v>
      </c>
      <c r="F1182" s="51" t="s">
        <v>1011</v>
      </c>
      <c r="G1182" s="51" t="s">
        <v>1005</v>
      </c>
      <c r="H1182" s="51" t="s">
        <v>1005</v>
      </c>
      <c r="I1182" s="51" t="s">
        <v>1011</v>
      </c>
      <c r="J1182" s="50" t="str">
        <f t="shared" si="36"/>
        <v>7957466015.pdf</v>
      </c>
      <c r="K1182" s="51" t="s">
        <v>1006</v>
      </c>
      <c r="L1182" s="51" t="s">
        <v>754</v>
      </c>
      <c r="M1182" s="50" t="str">
        <f t="shared" si="37"/>
        <v>34.500</v>
      </c>
      <c r="N1182" s="50" t="str">
        <f>IF(A1182&lt;&gt;"",VLOOKUP(RIGHT(A1182,3)*1,[4]Des_Loc!A:B,2,0),"")</f>
        <v>PEDRO AFONSO</v>
      </c>
    </row>
    <row r="1183" spans="1:14" ht="16.5" customHeight="1" x14ac:dyDescent="0.25">
      <c r="A1183" s="52">
        <v>7957163122</v>
      </c>
      <c r="B1183" s="51" t="s">
        <v>1003</v>
      </c>
      <c r="C1183" s="51" t="s">
        <v>1004</v>
      </c>
      <c r="D1183" s="51" t="s">
        <v>1005</v>
      </c>
      <c r="E1183" s="51" t="s">
        <v>1005</v>
      </c>
      <c r="F1183" s="51" t="s">
        <v>1005</v>
      </c>
      <c r="G1183" s="51" t="s">
        <v>1005</v>
      </c>
      <c r="H1183" s="51" t="s">
        <v>1005</v>
      </c>
      <c r="I1183" s="51" t="s">
        <v>1005</v>
      </c>
      <c r="J1183" s="50" t="str">
        <f t="shared" si="36"/>
        <v>7957163122.pdf</v>
      </c>
      <c r="K1183" s="51" t="s">
        <v>1006</v>
      </c>
      <c r="L1183" s="51" t="s">
        <v>1053</v>
      </c>
      <c r="M1183" s="50" t="str">
        <f t="shared" si="37"/>
        <v>13.800</v>
      </c>
      <c r="N1183" s="50" t="str">
        <f>IF(A1183&lt;&gt;"",VLOOKUP(RIGHT(A1183,3)*1,[4]Des_Loc!A:B,2,0),"")</f>
        <v>PALMAS</v>
      </c>
    </row>
    <row r="1184" spans="1:14" ht="16.5" customHeight="1" x14ac:dyDescent="0.25">
      <c r="A1184" s="52">
        <v>7955635116</v>
      </c>
      <c r="B1184" s="51" t="s">
        <v>1003</v>
      </c>
      <c r="C1184" s="51" t="s">
        <v>1010</v>
      </c>
      <c r="D1184" s="51" t="s">
        <v>1011</v>
      </c>
      <c r="E1184" s="51" t="s">
        <v>1005</v>
      </c>
      <c r="F1184" s="51" t="s">
        <v>1011</v>
      </c>
      <c r="G1184" s="51" t="s">
        <v>1005</v>
      </c>
      <c r="H1184" s="51" t="s">
        <v>1005</v>
      </c>
      <c r="I1184" s="51" t="s">
        <v>1011</v>
      </c>
      <c r="J1184" s="50" t="str">
        <f t="shared" si="36"/>
        <v>7955635116.pdf</v>
      </c>
      <c r="K1184" s="51" t="s">
        <v>1006</v>
      </c>
      <c r="L1184" s="51" t="s">
        <v>361</v>
      </c>
      <c r="M1184" s="50" t="str">
        <f t="shared" si="37"/>
        <v>34.500</v>
      </c>
      <c r="N1184" s="50" t="str">
        <f>IF(A1184&lt;&gt;"",VLOOKUP(RIGHT(A1184,3)*1,[4]Des_Loc!A:B,2,0),"")</f>
        <v>CHAPADA DA NATIVIDADE</v>
      </c>
    </row>
    <row r="1185" spans="1:14" ht="16.5" customHeight="1" x14ac:dyDescent="0.25">
      <c r="A1185" s="52">
        <v>7957858079</v>
      </c>
      <c r="B1185" s="51" t="s">
        <v>1003</v>
      </c>
      <c r="C1185" s="51" t="s">
        <v>1025</v>
      </c>
      <c r="D1185" s="51" t="s">
        <v>1011</v>
      </c>
      <c r="E1185" s="51" t="s">
        <v>1005</v>
      </c>
      <c r="F1185" s="51" t="s">
        <v>1011</v>
      </c>
      <c r="G1185" s="51" t="s">
        <v>1005</v>
      </c>
      <c r="H1185" s="51" t="s">
        <v>1005</v>
      </c>
      <c r="I1185" s="51" t="s">
        <v>1011</v>
      </c>
      <c r="J1185" s="50" t="str">
        <f t="shared" si="36"/>
        <v>7957858079.pdf</v>
      </c>
      <c r="K1185" s="51" t="s">
        <v>1006</v>
      </c>
      <c r="L1185" s="51" t="s">
        <v>1047</v>
      </c>
      <c r="M1185" s="50" t="str">
        <f t="shared" si="37"/>
        <v>34.500</v>
      </c>
      <c r="N1185" s="50" t="str">
        <f>IF(A1185&lt;&gt;"",VLOOKUP(RIGHT(A1185,3)*1,[4]Des_Loc!A:B,2,0),"")</f>
        <v>ITAPIRATINS</v>
      </c>
    </row>
    <row r="1186" spans="1:14" ht="16.5" customHeight="1" x14ac:dyDescent="0.25">
      <c r="A1186" s="52">
        <v>7957441077</v>
      </c>
      <c r="B1186" s="51" t="s">
        <v>1003</v>
      </c>
      <c r="C1186" s="51" t="s">
        <v>1025</v>
      </c>
      <c r="D1186" s="51" t="s">
        <v>1011</v>
      </c>
      <c r="E1186" s="51" t="s">
        <v>1005</v>
      </c>
      <c r="F1186" s="51" t="s">
        <v>1011</v>
      </c>
      <c r="G1186" s="51" t="s">
        <v>1005</v>
      </c>
      <c r="H1186" s="51" t="s">
        <v>1005</v>
      </c>
      <c r="I1186" s="51" t="s">
        <v>1011</v>
      </c>
      <c r="J1186" s="50" t="str">
        <f t="shared" si="36"/>
        <v>7957441077.pdf</v>
      </c>
      <c r="K1186" s="51" t="s">
        <v>1006</v>
      </c>
      <c r="L1186" s="51" t="s">
        <v>1085</v>
      </c>
      <c r="M1186" s="50" t="str">
        <f t="shared" si="37"/>
        <v>13.800</v>
      </c>
      <c r="N1186" s="50" t="str">
        <f>IF(A1186&lt;&gt;"",VLOOKUP(RIGHT(A1186,3)*1,[4]Des_Loc!A:B,2,0),"")</f>
        <v>GOIATINS</v>
      </c>
    </row>
    <row r="1187" spans="1:14" ht="16.5" customHeight="1" x14ac:dyDescent="0.25">
      <c r="A1187" s="52">
        <v>7957460018</v>
      </c>
      <c r="B1187" s="51" t="s">
        <v>1003</v>
      </c>
      <c r="C1187" s="51" t="s">
        <v>1025</v>
      </c>
      <c r="D1187" s="51" t="s">
        <v>1011</v>
      </c>
      <c r="E1187" s="51" t="s">
        <v>1005</v>
      </c>
      <c r="F1187" s="51" t="s">
        <v>1011</v>
      </c>
      <c r="G1187" s="51" t="s">
        <v>1005</v>
      </c>
      <c r="H1187" s="51" t="s">
        <v>1005</v>
      </c>
      <c r="I1187" s="51" t="s">
        <v>1011</v>
      </c>
      <c r="J1187" s="50" t="str">
        <f t="shared" si="36"/>
        <v>7957460018.pdf</v>
      </c>
      <c r="K1187" s="51" t="s">
        <v>1006</v>
      </c>
      <c r="L1187" s="51" t="s">
        <v>754</v>
      </c>
      <c r="M1187" s="50" t="str">
        <f t="shared" si="37"/>
        <v>34.500</v>
      </c>
      <c r="N1187" s="50" t="str">
        <f>IF(A1187&lt;&gt;"",VLOOKUP(RIGHT(A1187,3)*1,[4]Des_Loc!A:B,2,0),"")</f>
        <v>BOM JESUS DO TOCANTINS</v>
      </c>
    </row>
    <row r="1188" spans="1:14" ht="16.5" customHeight="1" x14ac:dyDescent="0.25">
      <c r="A1188" s="52">
        <v>7957721078</v>
      </c>
      <c r="B1188" s="51" t="s">
        <v>1003</v>
      </c>
      <c r="C1188" s="51" t="s">
        <v>1010</v>
      </c>
      <c r="D1188" s="51" t="s">
        <v>1011</v>
      </c>
      <c r="E1188" s="51" t="s">
        <v>1011</v>
      </c>
      <c r="F1188" s="51" t="s">
        <v>1005</v>
      </c>
      <c r="G1188" s="51" t="s">
        <v>1005</v>
      </c>
      <c r="H1188" s="51" t="s">
        <v>1005</v>
      </c>
      <c r="I1188" s="51" t="s">
        <v>1005</v>
      </c>
      <c r="J1188" s="50" t="str">
        <f t="shared" si="36"/>
        <v>7957721078.pdf</v>
      </c>
      <c r="K1188" s="51" t="s">
        <v>1006</v>
      </c>
      <c r="L1188" s="51" t="s">
        <v>1047</v>
      </c>
      <c r="M1188" s="50" t="str">
        <f t="shared" si="37"/>
        <v>34.500</v>
      </c>
      <c r="N1188" s="50" t="str">
        <f>IF(A1188&lt;&gt;"",VLOOKUP(RIGHT(A1188,3)*1,[4]Des_Loc!A:B,2,0),"")</f>
        <v>ITACAJA</v>
      </c>
    </row>
    <row r="1189" spans="1:14" ht="16.5" customHeight="1" x14ac:dyDescent="0.25">
      <c r="A1189" s="52">
        <v>7957042154</v>
      </c>
      <c r="B1189" s="51" t="s">
        <v>1003</v>
      </c>
      <c r="C1189" s="51" t="s">
        <v>1010</v>
      </c>
      <c r="D1189" s="51" t="s">
        <v>1011</v>
      </c>
      <c r="E1189" s="51" t="s">
        <v>1005</v>
      </c>
      <c r="F1189" s="51" t="s">
        <v>1005</v>
      </c>
      <c r="G1189" s="51" t="s">
        <v>1005</v>
      </c>
      <c r="H1189" s="51" t="s">
        <v>1005</v>
      </c>
      <c r="I1189" s="51" t="s">
        <v>1005</v>
      </c>
      <c r="J1189" s="50" t="str">
        <f t="shared" si="36"/>
        <v>7957042154.pdf</v>
      </c>
      <c r="K1189" s="51" t="s">
        <v>1006</v>
      </c>
      <c r="L1189" s="51" t="s">
        <v>1029</v>
      </c>
      <c r="M1189" s="50" t="str">
        <f t="shared" si="37"/>
        <v>34.500</v>
      </c>
      <c r="N1189" s="50" t="str">
        <f>IF(A1189&lt;&gt;"",VLOOKUP(RIGHT(A1189,3)*1,[4]Des_Loc!A:B,2,0),"")</f>
        <v>JUARINA</v>
      </c>
    </row>
    <row r="1190" spans="1:14" ht="16.5" customHeight="1" x14ac:dyDescent="0.25">
      <c r="A1190" s="52">
        <v>7957616048</v>
      </c>
      <c r="B1190" s="51" t="s">
        <v>1003</v>
      </c>
      <c r="C1190" s="51" t="s">
        <v>1010</v>
      </c>
      <c r="D1190" s="51" t="s">
        <v>1011</v>
      </c>
      <c r="E1190" s="51" t="s">
        <v>1005</v>
      </c>
      <c r="F1190" s="51" t="s">
        <v>1011</v>
      </c>
      <c r="G1190" s="51" t="s">
        <v>1005</v>
      </c>
      <c r="H1190" s="51" t="s">
        <v>1005</v>
      </c>
      <c r="I1190" s="51" t="s">
        <v>1011</v>
      </c>
      <c r="J1190" s="50" t="str">
        <f t="shared" si="36"/>
        <v>7957616048.pdf</v>
      </c>
      <c r="K1190" s="51" t="s">
        <v>1006</v>
      </c>
      <c r="L1190" s="51" t="s">
        <v>1126</v>
      </c>
      <c r="M1190" s="50" t="str">
        <f t="shared" si="37"/>
        <v>34.500</v>
      </c>
      <c r="N1190" s="50" t="str">
        <f>IF(A1190&lt;&gt;"",VLOOKUP(RIGHT(A1190,3)*1,[4]Des_Loc!A:B,2,0),"")</f>
        <v>FORTALEZA DO TABOCAO</v>
      </c>
    </row>
    <row r="1191" spans="1:14" ht="16.5" customHeight="1" x14ac:dyDescent="0.25">
      <c r="A1191" s="52">
        <v>7956220007</v>
      </c>
      <c r="B1191" s="51" t="s">
        <v>1003</v>
      </c>
      <c r="C1191" s="51" t="s">
        <v>1025</v>
      </c>
      <c r="D1191" s="51" t="s">
        <v>1011</v>
      </c>
      <c r="E1191" s="51" t="s">
        <v>1005</v>
      </c>
      <c r="F1191" s="51" t="s">
        <v>1005</v>
      </c>
      <c r="G1191" s="51" t="s">
        <v>1005</v>
      </c>
      <c r="H1191" s="51" t="s">
        <v>1005</v>
      </c>
      <c r="I1191" s="51" t="s">
        <v>1005</v>
      </c>
      <c r="J1191" s="50" t="str">
        <f t="shared" si="36"/>
        <v>7956220007.pdf</v>
      </c>
      <c r="K1191" s="51" t="s">
        <v>1006</v>
      </c>
      <c r="L1191" s="51" t="s">
        <v>436</v>
      </c>
      <c r="M1191" s="50" t="str">
        <f t="shared" si="37"/>
        <v>13.800</v>
      </c>
      <c r="N1191" s="50" t="str">
        <f>IF(A1191&lt;&gt;"",VLOOKUP(RIGHT(A1191,3)*1,[4]Des_Loc!A:B,2,0),"")</f>
        <v>MIRACEMA DO TOCANTINS</v>
      </c>
    </row>
    <row r="1192" spans="1:14" ht="16.5" customHeight="1" x14ac:dyDescent="0.25">
      <c r="A1192" s="52">
        <v>7957465048</v>
      </c>
      <c r="B1192" s="51" t="s">
        <v>1003</v>
      </c>
      <c r="C1192" s="51" t="s">
        <v>1025</v>
      </c>
      <c r="D1192" s="51" t="s">
        <v>1011</v>
      </c>
      <c r="E1192" s="51" t="s">
        <v>1005</v>
      </c>
      <c r="F1192" s="51" t="s">
        <v>1011</v>
      </c>
      <c r="G1192" s="51" t="s">
        <v>1005</v>
      </c>
      <c r="H1192" s="51" t="s">
        <v>1005</v>
      </c>
      <c r="I1192" s="51" t="s">
        <v>1011</v>
      </c>
      <c r="J1192" s="50" t="str">
        <f t="shared" si="36"/>
        <v>7957465048.pdf</v>
      </c>
      <c r="K1192" s="51" t="s">
        <v>1006</v>
      </c>
      <c r="L1192" s="51" t="s">
        <v>1126</v>
      </c>
      <c r="M1192" s="50" t="str">
        <f t="shared" si="37"/>
        <v>34.500</v>
      </c>
      <c r="N1192" s="50" t="str">
        <f>IF(A1192&lt;&gt;"",VLOOKUP(RIGHT(A1192,3)*1,[4]Des_Loc!A:B,2,0),"")</f>
        <v>FORTALEZA DO TABOCAO</v>
      </c>
    </row>
    <row r="1193" spans="1:14" ht="16.5" customHeight="1" x14ac:dyDescent="0.25">
      <c r="A1193" s="52">
        <v>7955910059</v>
      </c>
      <c r="B1193" s="51" t="s">
        <v>1003</v>
      </c>
      <c r="C1193" s="51" t="s">
        <v>1010</v>
      </c>
      <c r="D1193" s="51" t="s">
        <v>1011</v>
      </c>
      <c r="E1193" s="51" t="s">
        <v>1005</v>
      </c>
      <c r="F1193" s="51" t="s">
        <v>1011</v>
      </c>
      <c r="G1193" s="51" t="s">
        <v>1005</v>
      </c>
      <c r="H1193" s="51" t="s">
        <v>1005</v>
      </c>
      <c r="I1193" s="51" t="s">
        <v>1011</v>
      </c>
      <c r="J1193" s="50" t="str">
        <f t="shared" si="36"/>
        <v>7955910059.pdf</v>
      </c>
      <c r="K1193" s="51" t="s">
        <v>1006</v>
      </c>
      <c r="L1193" s="51" t="s">
        <v>571</v>
      </c>
      <c r="M1193" s="50" t="str">
        <f t="shared" si="37"/>
        <v>34.500</v>
      </c>
      <c r="N1193" s="50" t="str">
        <f>IF(A1193&lt;&gt;"",VLOOKUP(RIGHT(A1193,3)*1,[4]Des_Loc!A:B,2,0),"")</f>
        <v>TAQUARALTO</v>
      </c>
    </row>
    <row r="1194" spans="1:14" ht="16.5" customHeight="1" x14ac:dyDescent="0.25">
      <c r="A1194" s="52">
        <v>7957897064</v>
      </c>
      <c r="B1194" s="51" t="s">
        <v>1003</v>
      </c>
      <c r="C1194" s="51" t="s">
        <v>1025</v>
      </c>
      <c r="D1194" s="51" t="s">
        <v>1011</v>
      </c>
      <c r="E1194" s="51" t="s">
        <v>1005</v>
      </c>
      <c r="F1194" s="51" t="s">
        <v>1011</v>
      </c>
      <c r="G1194" s="51" t="s">
        <v>1005</v>
      </c>
      <c r="H1194" s="51" t="s">
        <v>1005</v>
      </c>
      <c r="I1194" s="51" t="s">
        <v>1011</v>
      </c>
      <c r="J1194" s="50" t="str">
        <f t="shared" si="36"/>
        <v>7957897064.pdf</v>
      </c>
      <c r="K1194" s="51" t="s">
        <v>1006</v>
      </c>
      <c r="L1194" s="51" t="s">
        <v>1083</v>
      </c>
      <c r="M1194" s="50" t="str">
        <f t="shared" si="37"/>
        <v>34.500</v>
      </c>
      <c r="N1194" s="50" t="str">
        <f>IF(A1194&lt;&gt;"",VLOOKUP(RIGHT(A1194,3)*1,[4]Des_Loc!A:B,2,0),"")</f>
        <v>BRASILANDIA DO TOCANTINS</v>
      </c>
    </row>
    <row r="1195" spans="1:14" ht="16.5" customHeight="1" x14ac:dyDescent="0.25">
      <c r="A1195" s="52">
        <v>7955520116</v>
      </c>
      <c r="B1195" s="51" t="s">
        <v>1003</v>
      </c>
      <c r="C1195" s="51" t="s">
        <v>1010</v>
      </c>
      <c r="D1195" s="51" t="s">
        <v>1011</v>
      </c>
      <c r="E1195" s="51" t="s">
        <v>1011</v>
      </c>
      <c r="F1195" s="51" t="s">
        <v>1011</v>
      </c>
      <c r="G1195" s="51" t="s">
        <v>1005</v>
      </c>
      <c r="H1195" s="51" t="s">
        <v>1005</v>
      </c>
      <c r="I1195" s="51" t="s">
        <v>1011</v>
      </c>
      <c r="J1195" s="50" t="str">
        <f t="shared" si="36"/>
        <v>7955520116.pdf</v>
      </c>
      <c r="K1195" s="51" t="s">
        <v>1006</v>
      </c>
      <c r="L1195" s="51" t="s">
        <v>361</v>
      </c>
      <c r="M1195" s="50" t="str">
        <f t="shared" si="37"/>
        <v>34.500</v>
      </c>
      <c r="N1195" s="50" t="str">
        <f>IF(A1195&lt;&gt;"",VLOOKUP(RIGHT(A1195,3)*1,[4]Des_Loc!A:B,2,0),"")</f>
        <v>CHAPADA DA NATIVIDADE</v>
      </c>
    </row>
    <row r="1196" spans="1:14" ht="16.5" customHeight="1" x14ac:dyDescent="0.25">
      <c r="A1196" s="52">
        <v>7956040101</v>
      </c>
      <c r="B1196" s="51" t="s">
        <v>1003</v>
      </c>
      <c r="C1196" s="51" t="s">
        <v>1010</v>
      </c>
      <c r="D1196" s="51" t="s">
        <v>1011</v>
      </c>
      <c r="E1196" s="51" t="s">
        <v>1011</v>
      </c>
      <c r="F1196" s="51" t="s">
        <v>1011</v>
      </c>
      <c r="G1196" s="51" t="s">
        <v>1005</v>
      </c>
      <c r="H1196" s="51" t="s">
        <v>1005</v>
      </c>
      <c r="I1196" s="51" t="s">
        <v>1011</v>
      </c>
      <c r="J1196" s="50" t="str">
        <f t="shared" si="36"/>
        <v>7956040101.pdf</v>
      </c>
      <c r="K1196" s="51" t="s">
        <v>1006</v>
      </c>
      <c r="L1196" s="51" t="s">
        <v>1097</v>
      </c>
      <c r="M1196" s="50" t="str">
        <f t="shared" si="37"/>
        <v>34.500</v>
      </c>
      <c r="N1196" s="50" t="str">
        <f>IF(A1196&lt;&gt;"",VLOOKUP(RIGHT(A1196,3)*1,[4]Des_Loc!A:B,2,0),"")</f>
        <v>PORTO ALEGRE DO TOCANTINS</v>
      </c>
    </row>
    <row r="1197" spans="1:14" ht="16.5" customHeight="1" x14ac:dyDescent="0.25">
      <c r="A1197" s="52">
        <v>7930419122</v>
      </c>
      <c r="B1197" s="51" t="s">
        <v>1003</v>
      </c>
      <c r="C1197" s="51" t="s">
        <v>1021</v>
      </c>
      <c r="D1197" s="51" t="s">
        <v>1005</v>
      </c>
      <c r="E1197" s="51" t="s">
        <v>1005</v>
      </c>
      <c r="F1197" s="51" t="s">
        <v>1143</v>
      </c>
      <c r="G1197" s="51" t="s">
        <v>1005</v>
      </c>
      <c r="H1197" s="51" t="s">
        <v>1005</v>
      </c>
      <c r="I1197" s="51" t="s">
        <v>1005</v>
      </c>
      <c r="J1197" s="50" t="str">
        <f t="shared" si="36"/>
        <v>7930419122.pdf</v>
      </c>
      <c r="K1197" s="51" t="s">
        <v>1006</v>
      </c>
      <c r="L1197" s="51" t="s">
        <v>1131</v>
      </c>
      <c r="M1197" s="50" t="str">
        <f t="shared" si="37"/>
        <v>13.800</v>
      </c>
      <c r="N1197" s="50" t="str">
        <f>IF(A1197&lt;&gt;"",VLOOKUP(RIGHT(A1197,3)*1,[4]Des_Loc!A:B,2,0),"")</f>
        <v>PALMAS</v>
      </c>
    </row>
    <row r="1198" spans="1:14" ht="16.5" customHeight="1" x14ac:dyDescent="0.25">
      <c r="A1198" s="52">
        <v>7957762039</v>
      </c>
      <c r="B1198" s="51" t="s">
        <v>1003</v>
      </c>
      <c r="C1198" s="51" t="s">
        <v>1010</v>
      </c>
      <c r="D1198" s="51" t="s">
        <v>1011</v>
      </c>
      <c r="E1198" s="51" t="s">
        <v>1005</v>
      </c>
      <c r="F1198" s="51" t="s">
        <v>1011</v>
      </c>
      <c r="G1198" s="51" t="s">
        <v>1005</v>
      </c>
      <c r="H1198" s="51" t="s">
        <v>1005</v>
      </c>
      <c r="I1198" s="51" t="s">
        <v>1011</v>
      </c>
      <c r="J1198" s="50" t="str">
        <f t="shared" si="36"/>
        <v>7957762039.pdf</v>
      </c>
      <c r="K1198" s="51" t="s">
        <v>1006</v>
      </c>
      <c r="L1198" s="51" t="s">
        <v>1145</v>
      </c>
      <c r="M1198" s="50" t="str">
        <f t="shared" si="37"/>
        <v>13.800</v>
      </c>
      <c r="N1198" s="50" t="str">
        <f>IF(A1198&lt;&gt;"",VLOOKUP(RIGHT(A1198,3)*1,[4]Des_Loc!A:B,2,0),"")</f>
        <v>ARAGUATINS</v>
      </c>
    </row>
    <row r="1199" spans="1:14" ht="16.5" customHeight="1" x14ac:dyDescent="0.25">
      <c r="A1199" s="52">
        <v>7957640009</v>
      </c>
      <c r="B1199" s="51" t="s">
        <v>1003</v>
      </c>
      <c r="C1199" s="51" t="s">
        <v>1025</v>
      </c>
      <c r="D1199" s="51" t="s">
        <v>1011</v>
      </c>
      <c r="E1199" s="51" t="s">
        <v>1005</v>
      </c>
      <c r="F1199" s="51" t="s">
        <v>1011</v>
      </c>
      <c r="G1199" s="51" t="s">
        <v>1005</v>
      </c>
      <c r="H1199" s="51" t="s">
        <v>1005</v>
      </c>
      <c r="I1199" s="51" t="s">
        <v>1011</v>
      </c>
      <c r="J1199" s="50" t="str">
        <f t="shared" si="36"/>
        <v>7957640009.pdf</v>
      </c>
      <c r="K1199" s="51" t="s">
        <v>1006</v>
      </c>
      <c r="L1199" s="51" t="s">
        <v>419</v>
      </c>
      <c r="M1199" s="50" t="str">
        <f t="shared" si="37"/>
        <v>13.800</v>
      </c>
      <c r="N1199" s="50" t="str">
        <f>IF(A1199&lt;&gt;"",VLOOKUP(RIGHT(A1199,3)*1,[4]Des_Loc!A:B,2,0),"")</f>
        <v>GUARAI</v>
      </c>
    </row>
    <row r="1200" spans="1:14" ht="16.5" customHeight="1" x14ac:dyDescent="0.25">
      <c r="A1200" s="52">
        <v>7955932122</v>
      </c>
      <c r="B1200" s="51" t="s">
        <v>1003</v>
      </c>
      <c r="C1200" s="51" t="s">
        <v>1021</v>
      </c>
      <c r="D1200" s="51" t="s">
        <v>1005</v>
      </c>
      <c r="E1200" s="51" t="s">
        <v>1005</v>
      </c>
      <c r="F1200" s="51" t="s">
        <v>1005</v>
      </c>
      <c r="G1200" s="51" t="s">
        <v>1005</v>
      </c>
      <c r="H1200" s="51" t="s">
        <v>1005</v>
      </c>
      <c r="I1200" s="51" t="s">
        <v>1005</v>
      </c>
      <c r="J1200" s="50" t="str">
        <f t="shared" si="36"/>
        <v>7955932122.pdf</v>
      </c>
      <c r="K1200" s="51" t="s">
        <v>1006</v>
      </c>
      <c r="L1200" s="51" t="s">
        <v>1053</v>
      </c>
      <c r="M1200" s="50" t="str">
        <f t="shared" si="37"/>
        <v>13.800</v>
      </c>
      <c r="N1200" s="50" t="str">
        <f>IF(A1200&lt;&gt;"",VLOOKUP(RIGHT(A1200,3)*1,[4]Des_Loc!A:B,2,0),"")</f>
        <v>PALMAS</v>
      </c>
    </row>
    <row r="1201" spans="1:14" ht="16.5" customHeight="1" x14ac:dyDescent="0.25">
      <c r="A1201" s="52">
        <v>7955908083</v>
      </c>
      <c r="B1201" s="51" t="s">
        <v>1003</v>
      </c>
      <c r="C1201" s="51" t="s">
        <v>1010</v>
      </c>
      <c r="D1201" s="51" t="s">
        <v>1011</v>
      </c>
      <c r="E1201" s="51" t="s">
        <v>1005</v>
      </c>
      <c r="F1201" s="51" t="s">
        <v>1011</v>
      </c>
      <c r="G1201" s="51" t="s">
        <v>1005</v>
      </c>
      <c r="H1201" s="51" t="s">
        <v>1005</v>
      </c>
      <c r="I1201" s="51" t="s">
        <v>1011</v>
      </c>
      <c r="J1201" s="50" t="str">
        <f t="shared" si="36"/>
        <v>7955908083.pdf</v>
      </c>
      <c r="K1201" s="51" t="s">
        <v>1006</v>
      </c>
      <c r="L1201" s="51" t="s">
        <v>1068</v>
      </c>
      <c r="M1201" s="50" t="str">
        <f t="shared" si="37"/>
        <v>34.500</v>
      </c>
      <c r="N1201" s="50" t="str">
        <f>IF(A1201&lt;&gt;"",VLOOKUP(RIGHT(A1201,3)*1,[4]Des_Loc!A:B,2,0),"")</f>
        <v>APARECIDA DO RIO NEGRO</v>
      </c>
    </row>
    <row r="1202" spans="1:14" ht="16.5" customHeight="1" x14ac:dyDescent="0.25">
      <c r="A1202" s="52">
        <v>7956131005</v>
      </c>
      <c r="B1202" s="51" t="s">
        <v>1003</v>
      </c>
      <c r="C1202" s="51" t="s">
        <v>1010</v>
      </c>
      <c r="D1202" s="51" t="s">
        <v>1011</v>
      </c>
      <c r="E1202" s="51" t="s">
        <v>1005</v>
      </c>
      <c r="F1202" s="51" t="s">
        <v>1011</v>
      </c>
      <c r="G1202" s="51" t="s">
        <v>1005</v>
      </c>
      <c r="H1202" s="51" t="s">
        <v>1005</v>
      </c>
      <c r="I1202" s="51" t="s">
        <v>1011</v>
      </c>
      <c r="J1202" s="50" t="str">
        <f t="shared" si="36"/>
        <v>7956131005.pdf</v>
      </c>
      <c r="K1202" s="51" t="s">
        <v>1006</v>
      </c>
      <c r="L1202" s="51" t="s">
        <v>1224</v>
      </c>
      <c r="M1202" s="50" t="str">
        <f t="shared" si="37"/>
        <v>13.800</v>
      </c>
      <c r="N1202" s="50" t="str">
        <f>IF(A1202&lt;&gt;"",VLOOKUP(RIGHT(A1202,3)*1,[4]Des_Loc!A:B,2,0),"")</f>
        <v>ARRAIAS</v>
      </c>
    </row>
    <row r="1203" spans="1:14" ht="16.5" customHeight="1" x14ac:dyDescent="0.25">
      <c r="A1203" s="52">
        <v>7955913122</v>
      </c>
      <c r="B1203" s="51" t="s">
        <v>1003</v>
      </c>
      <c r="C1203" s="51" t="s">
        <v>1021</v>
      </c>
      <c r="D1203" s="51" t="s">
        <v>1005</v>
      </c>
      <c r="E1203" s="51" t="s">
        <v>1005</v>
      </c>
      <c r="F1203" s="51" t="s">
        <v>1005</v>
      </c>
      <c r="G1203" s="51" t="s">
        <v>1005</v>
      </c>
      <c r="H1203" s="51" t="s">
        <v>1005</v>
      </c>
      <c r="I1203" s="51" t="s">
        <v>1005</v>
      </c>
      <c r="J1203" s="50" t="str">
        <f t="shared" si="36"/>
        <v>7955913122.pdf</v>
      </c>
      <c r="K1203" s="51" t="s">
        <v>1006</v>
      </c>
      <c r="L1203" s="51" t="s">
        <v>1131</v>
      </c>
      <c r="M1203" s="50" t="str">
        <f t="shared" si="37"/>
        <v>13.800</v>
      </c>
      <c r="N1203" s="50" t="str">
        <f>IF(A1203&lt;&gt;"",VLOOKUP(RIGHT(A1203,3)*1,[4]Des_Loc!A:B,2,0),"")</f>
        <v>PALMAS</v>
      </c>
    </row>
    <row r="1204" spans="1:14" ht="16.5" customHeight="1" x14ac:dyDescent="0.25">
      <c r="A1204" s="52">
        <v>7956932122</v>
      </c>
      <c r="B1204" s="51" t="s">
        <v>1003</v>
      </c>
      <c r="C1204" s="51" t="s">
        <v>1021</v>
      </c>
      <c r="D1204" s="51" t="s">
        <v>1005</v>
      </c>
      <c r="E1204" s="51" t="s">
        <v>1005</v>
      </c>
      <c r="F1204" s="51" t="s">
        <v>1005</v>
      </c>
      <c r="G1204" s="51" t="s">
        <v>1005</v>
      </c>
      <c r="H1204" s="51" t="s">
        <v>1005</v>
      </c>
      <c r="I1204" s="51" t="s">
        <v>1005</v>
      </c>
      <c r="J1204" s="50" t="str">
        <f t="shared" si="36"/>
        <v>7956932122.pdf</v>
      </c>
      <c r="K1204" s="51" t="s">
        <v>1006</v>
      </c>
      <c r="L1204" s="51" t="s">
        <v>1212</v>
      </c>
      <c r="M1204" s="50" t="str">
        <f t="shared" si="37"/>
        <v>13.800</v>
      </c>
      <c r="N1204" s="50" t="str">
        <f>IF(A1204&lt;&gt;"",VLOOKUP(RIGHT(A1204,3)*1,[4]Des_Loc!A:B,2,0),"")</f>
        <v>PALMAS</v>
      </c>
    </row>
    <row r="1205" spans="1:14" ht="16.5" customHeight="1" x14ac:dyDescent="0.25">
      <c r="A1205" s="52">
        <v>7957425066</v>
      </c>
      <c r="B1205" s="51" t="s">
        <v>1003</v>
      </c>
      <c r="C1205" s="51" t="s">
        <v>1010</v>
      </c>
      <c r="D1205" s="51" t="s">
        <v>1011</v>
      </c>
      <c r="E1205" s="51" t="s">
        <v>1011</v>
      </c>
      <c r="F1205" s="51" t="s">
        <v>1005</v>
      </c>
      <c r="G1205" s="51" t="s">
        <v>1005</v>
      </c>
      <c r="H1205" s="51" t="s">
        <v>1005</v>
      </c>
      <c r="I1205" s="51" t="s">
        <v>1005</v>
      </c>
      <c r="J1205" s="50" t="str">
        <f t="shared" si="36"/>
        <v>7957425066.pdf</v>
      </c>
      <c r="K1205" s="51" t="s">
        <v>1006</v>
      </c>
      <c r="L1205" s="51" t="s">
        <v>1047</v>
      </c>
      <c r="M1205" s="50" t="str">
        <f t="shared" si="37"/>
        <v>34.500</v>
      </c>
      <c r="N1205" s="50" t="str">
        <f>IF(A1205&lt;&gt;"",VLOOKUP(RIGHT(A1205,3)*1,[4]Des_Loc!A:B,2,0),"")</f>
        <v>TUPIRATINS</v>
      </c>
    </row>
    <row r="1206" spans="1:14" ht="16.5" customHeight="1" x14ac:dyDescent="0.25">
      <c r="A1206" s="52">
        <v>7955686076</v>
      </c>
      <c r="B1206" s="51" t="s">
        <v>1003</v>
      </c>
      <c r="C1206" s="51" t="s">
        <v>1010</v>
      </c>
      <c r="D1206" s="51" t="s">
        <v>1011</v>
      </c>
      <c r="E1206" s="51" t="s">
        <v>1005</v>
      </c>
      <c r="F1206" s="51" t="s">
        <v>1011</v>
      </c>
      <c r="G1206" s="51" t="s">
        <v>1005</v>
      </c>
      <c r="H1206" s="51" t="s">
        <v>1005</v>
      </c>
      <c r="I1206" s="51" t="s">
        <v>1011</v>
      </c>
      <c r="J1206" s="50" t="str">
        <f t="shared" si="36"/>
        <v>7955686076.pdf</v>
      </c>
      <c r="K1206" s="51" t="s">
        <v>1006</v>
      </c>
      <c r="L1206" s="51" t="s">
        <v>583</v>
      </c>
      <c r="M1206" s="50" t="str">
        <f t="shared" si="37"/>
        <v>13.800</v>
      </c>
      <c r="N1206" s="50" t="str">
        <f>IF(A1206&lt;&gt;"",VLOOKUP(RIGHT(A1206,3)*1,[4]Des_Loc!A:B,2,0),"")</f>
        <v>DUERE</v>
      </c>
    </row>
    <row r="1207" spans="1:14" ht="16.5" customHeight="1" x14ac:dyDescent="0.25">
      <c r="A1207" s="52">
        <v>7953570026</v>
      </c>
      <c r="B1207" s="51" t="s">
        <v>1003</v>
      </c>
      <c r="C1207" s="51" t="s">
        <v>1213</v>
      </c>
      <c r="D1207" s="51" t="s">
        <v>1011</v>
      </c>
      <c r="E1207" s="51" t="s">
        <v>1005</v>
      </c>
      <c r="F1207" s="51" t="s">
        <v>1005</v>
      </c>
      <c r="G1207" s="51" t="s">
        <v>1005</v>
      </c>
      <c r="H1207" s="51" t="s">
        <v>1005</v>
      </c>
      <c r="I1207" s="51" t="s">
        <v>1005</v>
      </c>
      <c r="J1207" s="50" t="str">
        <f t="shared" si="36"/>
        <v>7953570026.pdf</v>
      </c>
      <c r="K1207" s="51" t="s">
        <v>1006</v>
      </c>
      <c r="L1207" s="51" t="s">
        <v>518</v>
      </c>
      <c r="M1207" s="50" t="str">
        <f t="shared" si="37"/>
        <v>34.500</v>
      </c>
      <c r="N1207" s="50" t="str">
        <f>IF(A1207&lt;&gt;"",VLOOKUP(RIGHT(A1207,3)*1,[4]Des_Loc!A:B,2,0),"")</f>
        <v>PONTE ALTA TOCANTINS</v>
      </c>
    </row>
    <row r="1208" spans="1:14" ht="16.5" customHeight="1" x14ac:dyDescent="0.25">
      <c r="A1208" s="52">
        <v>7955987088</v>
      </c>
      <c r="B1208" s="51" t="s">
        <v>1003</v>
      </c>
      <c r="C1208" s="51" t="s">
        <v>1010</v>
      </c>
      <c r="D1208" s="51" t="s">
        <v>1011</v>
      </c>
      <c r="E1208" s="51" t="s">
        <v>1005</v>
      </c>
      <c r="F1208" s="51" t="s">
        <v>1005</v>
      </c>
      <c r="G1208" s="51" t="s">
        <v>1005</v>
      </c>
      <c r="H1208" s="51" t="s">
        <v>1005</v>
      </c>
      <c r="I1208" s="51" t="s">
        <v>1005</v>
      </c>
      <c r="J1208" s="50" t="str">
        <f t="shared" si="36"/>
        <v>7955987088.pdf</v>
      </c>
      <c r="K1208" s="51" t="s">
        <v>1006</v>
      </c>
      <c r="L1208" s="51" t="s">
        <v>1142</v>
      </c>
      <c r="M1208" s="50" t="str">
        <f t="shared" si="37"/>
        <v>34.500</v>
      </c>
      <c r="N1208" s="50" t="str">
        <f>IF(A1208&lt;&gt;"",VLOOKUP(RIGHT(A1208,3)*1,[4]Des_Loc!A:B,2,0),"")</f>
        <v>SITIO NOVO DO TOCANTINS</v>
      </c>
    </row>
    <row r="1209" spans="1:14" ht="16.5" customHeight="1" x14ac:dyDescent="0.25">
      <c r="A1209" s="52">
        <v>7954560043</v>
      </c>
      <c r="B1209" s="51" t="s">
        <v>1003</v>
      </c>
      <c r="C1209" s="51" t="s">
        <v>1025</v>
      </c>
      <c r="D1209" s="51" t="s">
        <v>1011</v>
      </c>
      <c r="E1209" s="51" t="s">
        <v>1005</v>
      </c>
      <c r="F1209" s="51" t="s">
        <v>1011</v>
      </c>
      <c r="G1209" s="51" t="s">
        <v>1005</v>
      </c>
      <c r="H1209" s="51" t="s">
        <v>1005</v>
      </c>
      <c r="I1209" s="51" t="s">
        <v>1011</v>
      </c>
      <c r="J1209" s="50" t="str">
        <f t="shared" si="36"/>
        <v>7954560043.pdf</v>
      </c>
      <c r="K1209" s="51" t="s">
        <v>1006</v>
      </c>
      <c r="L1209" s="51" t="s">
        <v>1225</v>
      </c>
      <c r="M1209" s="50" t="str">
        <f t="shared" si="37"/>
        <v>13.800</v>
      </c>
      <c r="N1209" s="50" t="str">
        <f>IF(A1209&lt;&gt;"",VLOOKUP(RIGHT(A1209,3)*1,[4]Des_Loc!A:B,2,0),"")</f>
        <v>SILVANOPOLIS</v>
      </c>
    </row>
    <row r="1210" spans="1:14" ht="16.5" customHeight="1" x14ac:dyDescent="0.25">
      <c r="A1210" s="52">
        <v>7954490001</v>
      </c>
      <c r="B1210" s="51" t="s">
        <v>1003</v>
      </c>
      <c r="C1210" s="51" t="s">
        <v>1021</v>
      </c>
      <c r="D1210" s="51" t="s">
        <v>1005</v>
      </c>
      <c r="E1210" s="51" t="s">
        <v>1005</v>
      </c>
      <c r="F1210" s="51" t="s">
        <v>1005</v>
      </c>
      <c r="G1210" s="51" t="s">
        <v>1005</v>
      </c>
      <c r="H1210" s="51" t="s">
        <v>1005</v>
      </c>
      <c r="I1210" s="51" t="s">
        <v>1005</v>
      </c>
      <c r="J1210" s="50" t="str">
        <f t="shared" si="36"/>
        <v>7954490001.pdf</v>
      </c>
      <c r="K1210" s="51" t="s">
        <v>1006</v>
      </c>
      <c r="L1210" s="51" t="s">
        <v>1066</v>
      </c>
      <c r="M1210" s="50" t="str">
        <f t="shared" si="37"/>
        <v>13.800</v>
      </c>
      <c r="N1210" s="50" t="str">
        <f>IF(A1210&lt;&gt;"",VLOOKUP(RIGHT(A1210,3)*1,[4]Des_Loc!A:B,2,0),"")</f>
        <v>PORTO NACIONAL</v>
      </c>
    </row>
    <row r="1211" spans="1:14" ht="16.5" customHeight="1" x14ac:dyDescent="0.25">
      <c r="A1211" s="52">
        <v>7956127190</v>
      </c>
      <c r="B1211" s="51" t="s">
        <v>1003</v>
      </c>
      <c r="C1211" s="51" t="s">
        <v>1025</v>
      </c>
      <c r="D1211" s="51" t="s">
        <v>1011</v>
      </c>
      <c r="E1211" s="51" t="s">
        <v>1005</v>
      </c>
      <c r="F1211" s="51" t="s">
        <v>1011</v>
      </c>
      <c r="G1211" s="51" t="s">
        <v>1005</v>
      </c>
      <c r="H1211" s="51" t="s">
        <v>1005</v>
      </c>
      <c r="I1211" s="51" t="s">
        <v>1011</v>
      </c>
      <c r="J1211" s="50" t="str">
        <f t="shared" si="36"/>
        <v>7956127190.pdf</v>
      </c>
      <c r="K1211" s="51" t="s">
        <v>1006</v>
      </c>
      <c r="L1211" s="51" t="s">
        <v>1136</v>
      </c>
      <c r="M1211" s="50" t="str">
        <f t="shared" si="37"/>
        <v>34.500</v>
      </c>
      <c r="N1211" s="50" t="str">
        <f>IF(A1211&lt;&gt;"",VLOOKUP(RIGHT(A1211,3)*1,[4]Des_Loc!A:B,2,0),"")</f>
        <v>NOVO JARDIM</v>
      </c>
    </row>
    <row r="1212" spans="1:14" ht="16.5" customHeight="1" x14ac:dyDescent="0.25">
      <c r="A1212" s="52">
        <v>7954559001</v>
      </c>
      <c r="B1212" s="51" t="s">
        <v>1003</v>
      </c>
      <c r="C1212" s="51" t="s">
        <v>1025</v>
      </c>
      <c r="D1212" s="51" t="s">
        <v>1011</v>
      </c>
      <c r="E1212" s="51" t="s">
        <v>1005</v>
      </c>
      <c r="F1212" s="51" t="s">
        <v>1005</v>
      </c>
      <c r="G1212" s="51" t="s">
        <v>1005</v>
      </c>
      <c r="H1212" s="51" t="s">
        <v>1005</v>
      </c>
      <c r="I1212" s="51" t="s">
        <v>1005</v>
      </c>
      <c r="J1212" s="50" t="str">
        <f t="shared" si="36"/>
        <v>7954559001.pdf</v>
      </c>
      <c r="K1212" s="51" t="s">
        <v>1006</v>
      </c>
      <c r="L1212" s="51" t="s">
        <v>1190</v>
      </c>
      <c r="M1212" s="50" t="str">
        <f t="shared" si="37"/>
        <v>13.800</v>
      </c>
      <c r="N1212" s="50" t="str">
        <f>IF(A1212&lt;&gt;"",VLOOKUP(RIGHT(A1212,3)*1,[4]Des_Loc!A:B,2,0),"")</f>
        <v>PORTO NACIONAL</v>
      </c>
    </row>
    <row r="1213" spans="1:14" ht="16.5" customHeight="1" x14ac:dyDescent="0.25">
      <c r="A1213" s="52">
        <v>7934079003</v>
      </c>
      <c r="B1213" s="51" t="s">
        <v>1003</v>
      </c>
      <c r="C1213" s="51" t="s">
        <v>1021</v>
      </c>
      <c r="D1213" s="51" t="s">
        <v>1005</v>
      </c>
      <c r="E1213" s="51" t="s">
        <v>1005</v>
      </c>
      <c r="F1213" s="51" t="s">
        <v>1005</v>
      </c>
      <c r="G1213" s="51" t="s">
        <v>1005</v>
      </c>
      <c r="H1213" s="51" t="s">
        <v>1005</v>
      </c>
      <c r="I1213" s="51" t="s">
        <v>1005</v>
      </c>
      <c r="J1213" s="50" t="str">
        <f t="shared" si="36"/>
        <v>7934079003.pdf</v>
      </c>
      <c r="K1213" s="51" t="s">
        <v>1022</v>
      </c>
      <c r="L1213" s="51" t="s">
        <v>1226</v>
      </c>
      <c r="M1213" s="50" t="str">
        <f t="shared" si="37"/>
        <v>13.800</v>
      </c>
      <c r="N1213" s="50" t="str">
        <f>IF(A1213&lt;&gt;"",VLOOKUP(RIGHT(A1213,3)*1,[4]Des_Loc!A:B,2,0),"")</f>
        <v>GURUPI</v>
      </c>
    </row>
    <row r="1214" spans="1:14" ht="16.5" customHeight="1" x14ac:dyDescent="0.25">
      <c r="A1214" s="52">
        <v>7955761003</v>
      </c>
      <c r="B1214" s="51" t="s">
        <v>1003</v>
      </c>
      <c r="C1214" s="51" t="s">
        <v>1021</v>
      </c>
      <c r="D1214" s="51" t="s">
        <v>1005</v>
      </c>
      <c r="E1214" s="51" t="s">
        <v>1005</v>
      </c>
      <c r="F1214" s="51" t="s">
        <v>1005</v>
      </c>
      <c r="G1214" s="51" t="s">
        <v>1005</v>
      </c>
      <c r="H1214" s="51" t="s">
        <v>1005</v>
      </c>
      <c r="I1214" s="51" t="s">
        <v>1005</v>
      </c>
      <c r="J1214" s="50" t="str">
        <f t="shared" si="36"/>
        <v>7955761003.pdf</v>
      </c>
      <c r="K1214" s="51" t="s">
        <v>1006</v>
      </c>
      <c r="L1214" s="51" t="s">
        <v>1197</v>
      </c>
      <c r="M1214" s="50" t="str">
        <f t="shared" si="37"/>
        <v>13.800</v>
      </c>
      <c r="N1214" s="50" t="str">
        <f>IF(A1214&lt;&gt;"",VLOOKUP(RIGHT(A1214,3)*1,[4]Des_Loc!A:B,2,0),"")</f>
        <v>GURUPI</v>
      </c>
    </row>
    <row r="1215" spans="1:14" ht="16.5" customHeight="1" x14ac:dyDescent="0.25">
      <c r="A1215" s="52">
        <v>7956784003</v>
      </c>
      <c r="B1215" s="51" t="s">
        <v>1003</v>
      </c>
      <c r="C1215" s="51" t="s">
        <v>1021</v>
      </c>
      <c r="D1215" s="51" t="s">
        <v>1005</v>
      </c>
      <c r="E1215" s="51" t="s">
        <v>1005</v>
      </c>
      <c r="F1215" s="51" t="s">
        <v>1005</v>
      </c>
      <c r="G1215" s="51" t="s">
        <v>1005</v>
      </c>
      <c r="H1215" s="51" t="s">
        <v>1005</v>
      </c>
      <c r="I1215" s="51" t="s">
        <v>1005</v>
      </c>
      <c r="J1215" s="50" t="str">
        <f t="shared" si="36"/>
        <v>7956784003.pdf</v>
      </c>
      <c r="K1215" s="51" t="s">
        <v>1006</v>
      </c>
      <c r="L1215" s="51" t="s">
        <v>1096</v>
      </c>
      <c r="M1215" s="50" t="str">
        <f t="shared" si="37"/>
        <v>13.800</v>
      </c>
      <c r="N1215" s="50" t="str">
        <f>IF(A1215&lt;&gt;"",VLOOKUP(RIGHT(A1215,3)*1,[4]Des_Loc!A:B,2,0),"")</f>
        <v>GURUPI</v>
      </c>
    </row>
    <row r="1216" spans="1:14" ht="16.5" customHeight="1" x14ac:dyDescent="0.25">
      <c r="A1216" s="52">
        <v>7956777003</v>
      </c>
      <c r="B1216" s="51" t="s">
        <v>1003</v>
      </c>
      <c r="C1216" s="51" t="s">
        <v>1021</v>
      </c>
      <c r="D1216" s="51" t="s">
        <v>1005</v>
      </c>
      <c r="E1216" s="51" t="s">
        <v>1005</v>
      </c>
      <c r="F1216" s="51" t="s">
        <v>1005</v>
      </c>
      <c r="G1216" s="51" t="s">
        <v>1005</v>
      </c>
      <c r="H1216" s="51" t="s">
        <v>1005</v>
      </c>
      <c r="I1216" s="51" t="s">
        <v>1005</v>
      </c>
      <c r="J1216" s="50" t="str">
        <f t="shared" si="36"/>
        <v>7956777003.pdf</v>
      </c>
      <c r="K1216" s="51" t="s">
        <v>1022</v>
      </c>
      <c r="L1216" s="51" t="s">
        <v>1187</v>
      </c>
      <c r="M1216" s="50" t="str">
        <f t="shared" si="37"/>
        <v>13.800</v>
      </c>
      <c r="N1216" s="50" t="str">
        <f>IF(A1216&lt;&gt;"",VLOOKUP(RIGHT(A1216,3)*1,[4]Des_Loc!A:B,2,0),"")</f>
        <v>GURUPI</v>
      </c>
    </row>
    <row r="1217" spans="1:14" ht="16.5" customHeight="1" x14ac:dyDescent="0.25">
      <c r="A1217" s="52">
        <v>7958217097</v>
      </c>
      <c r="B1217" s="51" t="s">
        <v>1003</v>
      </c>
      <c r="C1217" s="51" t="s">
        <v>1025</v>
      </c>
      <c r="D1217" s="51" t="s">
        <v>1011</v>
      </c>
      <c r="E1217" s="51" t="s">
        <v>1005</v>
      </c>
      <c r="F1217" s="51" t="s">
        <v>1005</v>
      </c>
      <c r="G1217" s="51" t="s">
        <v>1005</v>
      </c>
      <c r="H1217" s="51" t="s">
        <v>1005</v>
      </c>
      <c r="I1217" s="51" t="s">
        <v>1005</v>
      </c>
      <c r="J1217" s="50" t="str">
        <f t="shared" si="36"/>
        <v>7958217097.pdf</v>
      </c>
      <c r="K1217" s="51" t="s">
        <v>1006</v>
      </c>
      <c r="L1217" s="51" t="s">
        <v>1026</v>
      </c>
      <c r="M1217" s="50" t="str">
        <f t="shared" si="37"/>
        <v>13.800</v>
      </c>
      <c r="N1217" s="50" t="str">
        <f>IF(A1217&lt;&gt;"",VLOOKUP(RIGHT(A1217,3)*1,[4]Des_Loc!A:B,2,0),"")</f>
        <v>TALISMA</v>
      </c>
    </row>
    <row r="1218" spans="1:14" ht="16.5" customHeight="1" x14ac:dyDescent="0.25">
      <c r="A1218" s="52">
        <v>7958244094</v>
      </c>
      <c r="B1218" s="51" t="s">
        <v>1003</v>
      </c>
      <c r="C1218" s="51" t="s">
        <v>1010</v>
      </c>
      <c r="D1218" s="51" t="s">
        <v>1011</v>
      </c>
      <c r="E1218" s="51" t="s">
        <v>1005</v>
      </c>
      <c r="F1218" s="51" t="s">
        <v>1011</v>
      </c>
      <c r="G1218" s="51" t="s">
        <v>1005</v>
      </c>
      <c r="H1218" s="51" t="s">
        <v>1005</v>
      </c>
      <c r="I1218" s="51" t="s">
        <v>1011</v>
      </c>
      <c r="J1218" s="50" t="str">
        <f t="shared" ref="J1218:J1281" si="38">CONCATENATE(A1218,".pdf")</f>
        <v>7958244094.pdf</v>
      </c>
      <c r="K1218" s="51" t="s">
        <v>1006</v>
      </c>
      <c r="L1218" s="51" t="s">
        <v>406</v>
      </c>
      <c r="M1218" s="50" t="str">
        <f t="shared" ref="M1218:M1281" si="39">IF(L1218&lt;&gt;"",IF(LEFT(L1218,2)="AL","13.800","34.500"),"")</f>
        <v>34.500</v>
      </c>
      <c r="N1218" s="50" t="str">
        <f>IF(A1218&lt;&gt;"",VLOOKUP(RIGHT(A1218,3)*1,[4]Des_Loc!A:B,2,0),"")</f>
        <v>PEIXE</v>
      </c>
    </row>
    <row r="1219" spans="1:14" ht="16.5" customHeight="1" x14ac:dyDescent="0.25">
      <c r="A1219" s="52">
        <v>7962016046</v>
      </c>
      <c r="B1219" s="51" t="s">
        <v>1003</v>
      </c>
      <c r="C1219" s="51" t="s">
        <v>1025</v>
      </c>
      <c r="D1219" s="51" t="s">
        <v>1011</v>
      </c>
      <c r="E1219" s="51" t="s">
        <v>1005</v>
      </c>
      <c r="F1219" s="51" t="s">
        <v>1011</v>
      </c>
      <c r="G1219" s="51" t="s">
        <v>1005</v>
      </c>
      <c r="H1219" s="51" t="s">
        <v>1005</v>
      </c>
      <c r="I1219" s="51" t="s">
        <v>1011</v>
      </c>
      <c r="J1219" s="50" t="str">
        <f t="shared" si="38"/>
        <v>7962016046.pdf</v>
      </c>
      <c r="K1219" s="51" t="s">
        <v>1006</v>
      </c>
      <c r="L1219" s="51" t="s">
        <v>1227</v>
      </c>
      <c r="M1219" s="50" t="str">
        <f t="shared" si="39"/>
        <v>13.800</v>
      </c>
      <c r="N1219" s="50" t="str">
        <f>IF(A1219&lt;&gt;"",VLOOKUP(RIGHT(A1219,3)*1,[4]Des_Loc!A:B,2,0),"")</f>
        <v>NOVA ROSALANDIA</v>
      </c>
    </row>
    <row r="1220" spans="1:14" ht="16.5" customHeight="1" x14ac:dyDescent="0.25">
      <c r="A1220" s="52">
        <v>7902314013</v>
      </c>
      <c r="B1220" s="51" t="s">
        <v>1003</v>
      </c>
      <c r="C1220" s="51" t="s">
        <v>1025</v>
      </c>
      <c r="D1220" s="51" t="s">
        <v>1011</v>
      </c>
      <c r="E1220" s="51" t="s">
        <v>1005</v>
      </c>
      <c r="F1220" s="51" t="s">
        <v>1011</v>
      </c>
      <c r="G1220" s="51" t="s">
        <v>1005</v>
      </c>
      <c r="H1220" s="51" t="s">
        <v>1005</v>
      </c>
      <c r="I1220" s="51" t="s">
        <v>1011</v>
      </c>
      <c r="J1220" s="50" t="str">
        <f t="shared" si="38"/>
        <v>7902314013.pdf</v>
      </c>
      <c r="K1220" s="51" t="s">
        <v>1006</v>
      </c>
      <c r="L1220" s="51" t="s">
        <v>1205</v>
      </c>
      <c r="M1220" s="50" t="str">
        <f t="shared" si="39"/>
        <v>13.800</v>
      </c>
      <c r="N1220" s="50" t="str">
        <f>IF(A1220&lt;&gt;"",VLOOKUP(RIGHT(A1220,3)*1,[4]Des_Loc!A:B,2,0),"")</f>
        <v>PARAISO DO TOCANTINS</v>
      </c>
    </row>
    <row r="1221" spans="1:14" ht="16.5" customHeight="1" x14ac:dyDescent="0.25">
      <c r="A1221" s="52">
        <v>7959800122</v>
      </c>
      <c r="B1221" s="51" t="s">
        <v>1003</v>
      </c>
      <c r="C1221" s="51" t="s">
        <v>1025</v>
      </c>
      <c r="D1221" s="51" t="s">
        <v>1011</v>
      </c>
      <c r="E1221" s="51" t="s">
        <v>1005</v>
      </c>
      <c r="F1221" s="51" t="s">
        <v>1011</v>
      </c>
      <c r="G1221" s="51" t="s">
        <v>1005</v>
      </c>
      <c r="H1221" s="51" t="s">
        <v>1005</v>
      </c>
      <c r="I1221" s="51" t="s">
        <v>1011</v>
      </c>
      <c r="J1221" s="50" t="str">
        <f t="shared" si="38"/>
        <v>7959800122.pdf</v>
      </c>
      <c r="K1221" s="51" t="s">
        <v>1006</v>
      </c>
      <c r="L1221" s="51" t="s">
        <v>1228</v>
      </c>
      <c r="M1221" s="50" t="str">
        <f t="shared" si="39"/>
        <v>34.500</v>
      </c>
      <c r="N1221" s="50" t="str">
        <f>IF(A1221&lt;&gt;"",VLOOKUP(RIGHT(A1221,3)*1,[4]Des_Loc!A:B,2,0),"")</f>
        <v>PALMAS</v>
      </c>
    </row>
    <row r="1222" spans="1:14" ht="16.5" customHeight="1" x14ac:dyDescent="0.25">
      <c r="A1222" s="52">
        <v>7958549025</v>
      </c>
      <c r="B1222" s="51" t="s">
        <v>1003</v>
      </c>
      <c r="C1222" s="51" t="s">
        <v>1021</v>
      </c>
      <c r="D1222" s="51" t="s">
        <v>1005</v>
      </c>
      <c r="E1222" s="51" t="s">
        <v>1005</v>
      </c>
      <c r="F1222" s="51" t="s">
        <v>1005</v>
      </c>
      <c r="G1222" s="51" t="s">
        <v>1005</v>
      </c>
      <c r="H1222" s="51" t="s">
        <v>1005</v>
      </c>
      <c r="I1222" s="51" t="s">
        <v>1005</v>
      </c>
      <c r="J1222" s="50" t="str">
        <f t="shared" si="38"/>
        <v>7958549025.pdf</v>
      </c>
      <c r="K1222" s="51" t="s">
        <v>1006</v>
      </c>
      <c r="L1222" s="51" t="s">
        <v>1101</v>
      </c>
      <c r="M1222" s="50" t="str">
        <f t="shared" si="39"/>
        <v>34.500</v>
      </c>
      <c r="N1222" s="50" t="str">
        <f>IF(A1222&lt;&gt;"",VLOOKUP(RIGHT(A1222,3)*1,[4]Des_Loc!A:B,2,0),"")</f>
        <v>ARAPOEMA</v>
      </c>
    </row>
    <row r="1223" spans="1:14" ht="16.5" customHeight="1" x14ac:dyDescent="0.25">
      <c r="A1223" s="52">
        <v>7961329003</v>
      </c>
      <c r="B1223" s="51" t="s">
        <v>1003</v>
      </c>
      <c r="C1223" s="51" t="s">
        <v>1025</v>
      </c>
      <c r="D1223" s="51" t="s">
        <v>1011</v>
      </c>
      <c r="E1223" s="51" t="s">
        <v>1005</v>
      </c>
      <c r="F1223" s="51" t="s">
        <v>1005</v>
      </c>
      <c r="G1223" s="51" t="s">
        <v>1005</v>
      </c>
      <c r="H1223" s="51" t="s">
        <v>1005</v>
      </c>
      <c r="I1223" s="51" t="s">
        <v>1005</v>
      </c>
      <c r="J1223" s="50" t="str">
        <f t="shared" si="38"/>
        <v>7961329003.pdf</v>
      </c>
      <c r="K1223" s="51" t="s">
        <v>1022</v>
      </c>
      <c r="L1223" s="51" t="s">
        <v>1059</v>
      </c>
      <c r="M1223" s="50" t="str">
        <f t="shared" si="39"/>
        <v>13.800</v>
      </c>
      <c r="N1223" s="50" t="str">
        <f>IF(A1223&lt;&gt;"",VLOOKUP(RIGHT(A1223,3)*1,[4]Des_Loc!A:B,2,0),"")</f>
        <v>GURUPI</v>
      </c>
    </row>
    <row r="1224" spans="1:14" ht="16.5" customHeight="1" x14ac:dyDescent="0.25">
      <c r="A1224" s="52">
        <v>7955730003</v>
      </c>
      <c r="B1224" s="51" t="s">
        <v>1003</v>
      </c>
      <c r="C1224" s="51" t="s">
        <v>1021</v>
      </c>
      <c r="D1224" s="51" t="s">
        <v>1005</v>
      </c>
      <c r="E1224" s="51" t="s">
        <v>1005</v>
      </c>
      <c r="F1224" s="51" t="s">
        <v>1005</v>
      </c>
      <c r="G1224" s="51" t="s">
        <v>1005</v>
      </c>
      <c r="H1224" s="51" t="s">
        <v>1005</v>
      </c>
      <c r="I1224" s="51" t="s">
        <v>1005</v>
      </c>
      <c r="J1224" s="50" t="str">
        <f t="shared" si="38"/>
        <v>7955730003.pdf</v>
      </c>
      <c r="K1224" s="51" t="s">
        <v>1006</v>
      </c>
      <c r="L1224" s="51" t="s">
        <v>1198</v>
      </c>
      <c r="M1224" s="50" t="str">
        <f t="shared" si="39"/>
        <v>13.800</v>
      </c>
      <c r="N1224" s="50" t="str">
        <f>IF(A1224&lt;&gt;"",VLOOKUP(RIGHT(A1224,3)*1,[4]Des_Loc!A:B,2,0),"")</f>
        <v>GURUPI</v>
      </c>
    </row>
    <row r="1225" spans="1:14" ht="16.5" customHeight="1" x14ac:dyDescent="0.25">
      <c r="A1225" s="52">
        <v>7962052017</v>
      </c>
      <c r="B1225" s="51" t="s">
        <v>1003</v>
      </c>
      <c r="C1225" s="51" t="s">
        <v>1025</v>
      </c>
      <c r="D1225" s="51" t="s">
        <v>1011</v>
      </c>
      <c r="E1225" s="51" t="s">
        <v>1005</v>
      </c>
      <c r="F1225" s="51" t="s">
        <v>1005</v>
      </c>
      <c r="G1225" s="51" t="s">
        <v>1005</v>
      </c>
      <c r="H1225" s="51" t="s">
        <v>1005</v>
      </c>
      <c r="I1225" s="51" t="s">
        <v>1005</v>
      </c>
      <c r="J1225" s="50" t="str">
        <f t="shared" si="38"/>
        <v>7962052017.pdf</v>
      </c>
      <c r="K1225" s="51" t="s">
        <v>1006</v>
      </c>
      <c r="L1225" s="51" t="s">
        <v>436</v>
      </c>
      <c r="M1225" s="50" t="str">
        <f t="shared" si="39"/>
        <v>13.800</v>
      </c>
      <c r="N1225" s="50" t="str">
        <f>IF(A1225&lt;&gt;"",VLOOKUP(RIGHT(A1225,3)*1,[4]Des_Loc!A:B,2,0),"")</f>
        <v>BARROLANDIA</v>
      </c>
    </row>
    <row r="1226" spans="1:14" ht="16.5" customHeight="1" x14ac:dyDescent="0.25">
      <c r="A1226" s="52">
        <v>7960870193</v>
      </c>
      <c r="B1226" s="51" t="s">
        <v>1003</v>
      </c>
      <c r="C1226" s="51" t="s">
        <v>1025</v>
      </c>
      <c r="D1226" s="51" t="s">
        <v>1011</v>
      </c>
      <c r="E1226" s="51" t="s">
        <v>1005</v>
      </c>
      <c r="F1226" s="51" t="s">
        <v>1011</v>
      </c>
      <c r="G1226" s="51" t="s">
        <v>1005</v>
      </c>
      <c r="H1226" s="51" t="s">
        <v>1005</v>
      </c>
      <c r="I1226" s="51" t="s">
        <v>1011</v>
      </c>
      <c r="J1226" s="50" t="str">
        <f t="shared" si="38"/>
        <v>7960870193.pdf</v>
      </c>
      <c r="K1226" s="51" t="s">
        <v>1006</v>
      </c>
      <c r="L1226" s="51" t="s">
        <v>1036</v>
      </c>
      <c r="M1226" s="50" t="str">
        <f t="shared" si="39"/>
        <v>34.500</v>
      </c>
      <c r="N1226" s="50" t="str">
        <f>IF(A1226&lt;&gt;"",VLOOKUP(RIGHT(A1226,3)*1,[4]Des_Loc!A:B,2,0),"")</f>
        <v>CAMPOS LINDOS</v>
      </c>
    </row>
    <row r="1227" spans="1:14" ht="16.5" customHeight="1" x14ac:dyDescent="0.25">
      <c r="A1227" s="52">
        <v>7960498009</v>
      </c>
      <c r="B1227" s="51" t="s">
        <v>1003</v>
      </c>
      <c r="C1227" s="51" t="s">
        <v>1010</v>
      </c>
      <c r="D1227" s="51" t="s">
        <v>1011</v>
      </c>
      <c r="E1227" s="51" t="s">
        <v>1005</v>
      </c>
      <c r="F1227" s="51" t="s">
        <v>1011</v>
      </c>
      <c r="G1227" s="51" t="s">
        <v>1005</v>
      </c>
      <c r="H1227" s="51" t="s">
        <v>1005</v>
      </c>
      <c r="I1227" s="51" t="s">
        <v>1011</v>
      </c>
      <c r="J1227" s="50" t="str">
        <f t="shared" si="38"/>
        <v>7960498009.pdf</v>
      </c>
      <c r="K1227" s="51" t="s">
        <v>1006</v>
      </c>
      <c r="L1227" s="51" t="s">
        <v>1126</v>
      </c>
      <c r="M1227" s="50" t="str">
        <f t="shared" si="39"/>
        <v>34.500</v>
      </c>
      <c r="N1227" s="50" t="str">
        <f>IF(A1227&lt;&gt;"",VLOOKUP(RIGHT(A1227,3)*1,[4]Des_Loc!A:B,2,0),"")</f>
        <v>GUARAI</v>
      </c>
    </row>
    <row r="1228" spans="1:14" ht="16.5" customHeight="1" x14ac:dyDescent="0.25">
      <c r="A1228" s="52">
        <v>7960538048</v>
      </c>
      <c r="B1228" s="51" t="s">
        <v>1003</v>
      </c>
      <c r="C1228" s="51" t="s">
        <v>1010</v>
      </c>
      <c r="D1228" s="51" t="s">
        <v>1011</v>
      </c>
      <c r="E1228" s="51" t="s">
        <v>1005</v>
      </c>
      <c r="F1228" s="51" t="s">
        <v>1011</v>
      </c>
      <c r="G1228" s="51" t="s">
        <v>1005</v>
      </c>
      <c r="H1228" s="51" t="s">
        <v>1005</v>
      </c>
      <c r="I1228" s="51" t="s">
        <v>1011</v>
      </c>
      <c r="J1228" s="50" t="str">
        <f t="shared" si="38"/>
        <v>7960538048.pdf</v>
      </c>
      <c r="K1228" s="51" t="s">
        <v>1006</v>
      </c>
      <c r="L1228" s="51" t="s">
        <v>1126</v>
      </c>
      <c r="M1228" s="50" t="str">
        <f t="shared" si="39"/>
        <v>34.500</v>
      </c>
      <c r="N1228" s="50" t="str">
        <f>IF(A1228&lt;&gt;"",VLOOKUP(RIGHT(A1228,3)*1,[4]Des_Loc!A:B,2,0),"")</f>
        <v>FORTALEZA DO TABOCAO</v>
      </c>
    </row>
    <row r="1229" spans="1:14" ht="16.5" customHeight="1" x14ac:dyDescent="0.25">
      <c r="A1229" s="52">
        <v>7929777147</v>
      </c>
      <c r="B1229" s="51" t="s">
        <v>1003</v>
      </c>
      <c r="C1229" s="51" t="s">
        <v>1025</v>
      </c>
      <c r="D1229" s="51" t="s">
        <v>1011</v>
      </c>
      <c r="E1229" s="51" t="s">
        <v>1005</v>
      </c>
      <c r="F1229" s="51" t="s">
        <v>1011</v>
      </c>
      <c r="G1229" s="51" t="s">
        <v>1005</v>
      </c>
      <c r="H1229" s="51" t="s">
        <v>1005</v>
      </c>
      <c r="I1229" s="51" t="s">
        <v>1011</v>
      </c>
      <c r="J1229" s="50" t="str">
        <f t="shared" si="38"/>
        <v>7929777147.pdf</v>
      </c>
      <c r="K1229" s="51" t="s">
        <v>1006</v>
      </c>
      <c r="L1229" s="51" t="s">
        <v>331</v>
      </c>
      <c r="M1229" s="50" t="str">
        <f t="shared" si="39"/>
        <v>34.500</v>
      </c>
      <c r="N1229" s="50" t="str">
        <f>IF(A1229&lt;&gt;"",VLOOKUP(RIGHT(A1229,3)*1,[4]Des_Loc!A:B,2,0),"")</f>
        <v>TAIPAS DO TOCANTINS</v>
      </c>
    </row>
    <row r="1230" spans="1:14" ht="16.5" customHeight="1" x14ac:dyDescent="0.25">
      <c r="A1230" s="52">
        <v>7961515047</v>
      </c>
      <c r="B1230" s="51" t="s">
        <v>1003</v>
      </c>
      <c r="C1230" s="51" t="s">
        <v>1025</v>
      </c>
      <c r="D1230" s="51" t="s">
        <v>1011</v>
      </c>
      <c r="E1230" s="51" t="s">
        <v>1005</v>
      </c>
      <c r="F1230" s="51" t="s">
        <v>1011</v>
      </c>
      <c r="G1230" s="51" t="s">
        <v>1005</v>
      </c>
      <c r="H1230" s="51" t="s">
        <v>1005</v>
      </c>
      <c r="I1230" s="51" t="s">
        <v>1011</v>
      </c>
      <c r="J1230" s="50" t="str">
        <f t="shared" si="38"/>
        <v>7961515047.pdf</v>
      </c>
      <c r="K1230" s="51" t="s">
        <v>1006</v>
      </c>
      <c r="L1230" s="51" t="s">
        <v>1130</v>
      </c>
      <c r="M1230" s="50" t="str">
        <f t="shared" si="39"/>
        <v>13.800</v>
      </c>
      <c r="N1230" s="50" t="str">
        <f>IF(A1230&lt;&gt;"",VLOOKUP(RIGHT(A1230,3)*1,[4]Des_Loc!A:B,2,0),"")</f>
        <v>FIGUEIROPOLIS</v>
      </c>
    </row>
    <row r="1231" spans="1:14" ht="16.5" customHeight="1" x14ac:dyDescent="0.25">
      <c r="A1231" s="52">
        <v>7961301052</v>
      </c>
      <c r="B1231" s="51" t="s">
        <v>1003</v>
      </c>
      <c r="C1231" s="51" t="s">
        <v>1010</v>
      </c>
      <c r="D1231" s="51" t="s">
        <v>1011</v>
      </c>
      <c r="E1231" s="51" t="s">
        <v>1005</v>
      </c>
      <c r="F1231" s="51" t="s">
        <v>1005</v>
      </c>
      <c r="G1231" s="51" t="s">
        <v>1005</v>
      </c>
      <c r="H1231" s="51" t="s">
        <v>1005</v>
      </c>
      <c r="I1231" s="51" t="s">
        <v>1005</v>
      </c>
      <c r="J1231" s="50" t="str">
        <f t="shared" si="38"/>
        <v>7961301052.pdf</v>
      </c>
      <c r="K1231" s="51" t="s">
        <v>1006</v>
      </c>
      <c r="L1231" s="51" t="s">
        <v>1024</v>
      </c>
      <c r="M1231" s="50" t="str">
        <f t="shared" si="39"/>
        <v>13.800</v>
      </c>
      <c r="N1231" s="50" t="str">
        <f>IF(A1231&lt;&gt;"",VLOOKUP(RIGHT(A1231,3)*1,[4]Des_Loc!A:B,2,0),"")</f>
        <v>FORMOSO DO ARAGUAIA</v>
      </c>
    </row>
    <row r="1232" spans="1:14" ht="16.5" customHeight="1" x14ac:dyDescent="0.25">
      <c r="A1232" s="52">
        <v>7961368005</v>
      </c>
      <c r="B1232" s="51" t="s">
        <v>1003</v>
      </c>
      <c r="C1232" s="51" t="s">
        <v>1010</v>
      </c>
      <c r="D1232" s="51" t="s">
        <v>1011</v>
      </c>
      <c r="E1232" s="51" t="s">
        <v>1005</v>
      </c>
      <c r="F1232" s="51" t="s">
        <v>1005</v>
      </c>
      <c r="G1232" s="51" t="s">
        <v>1005</v>
      </c>
      <c r="H1232" s="51" t="s">
        <v>1005</v>
      </c>
      <c r="I1232" s="51" t="s">
        <v>1005</v>
      </c>
      <c r="J1232" s="50" t="str">
        <f t="shared" si="38"/>
        <v>7961368005.pdf</v>
      </c>
      <c r="K1232" s="51" t="s">
        <v>1006</v>
      </c>
      <c r="L1232" s="51" t="s">
        <v>1078</v>
      </c>
      <c r="M1232" s="50" t="str">
        <f t="shared" si="39"/>
        <v>34.500</v>
      </c>
      <c r="N1232" s="50" t="str">
        <f>IF(A1232&lt;&gt;"",VLOOKUP(RIGHT(A1232,3)*1,[4]Des_Loc!A:B,2,0),"")</f>
        <v>ARRAIAS</v>
      </c>
    </row>
    <row r="1233" spans="1:14" ht="16.5" customHeight="1" x14ac:dyDescent="0.25">
      <c r="A1233" s="52">
        <v>7961377005</v>
      </c>
      <c r="B1233" s="51" t="s">
        <v>1003</v>
      </c>
      <c r="C1233" s="51" t="s">
        <v>1010</v>
      </c>
      <c r="D1233" s="51" t="s">
        <v>1011</v>
      </c>
      <c r="E1233" s="51" t="s">
        <v>1005</v>
      </c>
      <c r="F1233" s="51" t="s">
        <v>1005</v>
      </c>
      <c r="G1233" s="51" t="s">
        <v>1005</v>
      </c>
      <c r="H1233" s="51" t="s">
        <v>1005</v>
      </c>
      <c r="I1233" s="51" t="s">
        <v>1005</v>
      </c>
      <c r="J1233" s="50" t="str">
        <f t="shared" si="38"/>
        <v>7961377005.pdf</v>
      </c>
      <c r="K1233" s="51" t="s">
        <v>1006</v>
      </c>
      <c r="L1233" s="51" t="s">
        <v>1078</v>
      </c>
      <c r="M1233" s="50" t="str">
        <f t="shared" si="39"/>
        <v>34.500</v>
      </c>
      <c r="N1233" s="50" t="str">
        <f>IF(A1233&lt;&gt;"",VLOOKUP(RIGHT(A1233,3)*1,[4]Des_Loc!A:B,2,0),"")</f>
        <v>ARRAIAS</v>
      </c>
    </row>
    <row r="1234" spans="1:14" ht="16.5" customHeight="1" x14ac:dyDescent="0.25">
      <c r="A1234" s="52">
        <v>7950078122</v>
      </c>
      <c r="B1234" s="51" t="s">
        <v>1003</v>
      </c>
      <c r="C1234" s="51" t="s">
        <v>1025</v>
      </c>
      <c r="D1234" s="51" t="s">
        <v>1011</v>
      </c>
      <c r="E1234" s="51" t="s">
        <v>1005</v>
      </c>
      <c r="F1234" s="51" t="s">
        <v>1005</v>
      </c>
      <c r="G1234" s="51" t="s">
        <v>1005</v>
      </c>
      <c r="H1234" s="51" t="s">
        <v>1005</v>
      </c>
      <c r="I1234" s="51" t="s">
        <v>1005</v>
      </c>
      <c r="J1234" s="50" t="str">
        <f t="shared" si="38"/>
        <v>7950078122.pdf</v>
      </c>
      <c r="K1234" s="51" t="s">
        <v>1006</v>
      </c>
      <c r="L1234" s="51" t="s">
        <v>1111</v>
      </c>
      <c r="M1234" s="50" t="str">
        <f t="shared" si="39"/>
        <v>34.500</v>
      </c>
      <c r="N1234" s="50" t="str">
        <f>IF(A1234&lt;&gt;"",VLOOKUP(RIGHT(A1234,3)*1,[4]Des_Loc!A:B,2,0),"")</f>
        <v>PALMAS</v>
      </c>
    </row>
    <row r="1235" spans="1:14" ht="16.5" customHeight="1" x14ac:dyDescent="0.25">
      <c r="A1235" s="52">
        <v>7963713004</v>
      </c>
      <c r="B1235" s="51" t="s">
        <v>1003</v>
      </c>
      <c r="C1235" s="51" t="s">
        <v>1025</v>
      </c>
      <c r="D1235" s="51" t="s">
        <v>1011</v>
      </c>
      <c r="E1235" s="51" t="s">
        <v>1005</v>
      </c>
      <c r="F1235" s="51" t="s">
        <v>1011</v>
      </c>
      <c r="G1235" s="51" t="s">
        <v>1011</v>
      </c>
      <c r="H1235" s="51" t="s">
        <v>1005</v>
      </c>
      <c r="I1235" s="51" t="s">
        <v>1011</v>
      </c>
      <c r="J1235" s="50" t="str">
        <f t="shared" si="38"/>
        <v>7963713004.pdf</v>
      </c>
      <c r="K1235" s="51" t="s">
        <v>1006</v>
      </c>
      <c r="L1235" s="51" t="s">
        <v>1229</v>
      </c>
      <c r="M1235" s="50" t="str">
        <f t="shared" si="39"/>
        <v>13.800</v>
      </c>
      <c r="N1235" s="50" t="str">
        <f>IF(A1235&lt;&gt;"",VLOOKUP(RIGHT(A1235,3)*1,[4]Des_Loc!A:B,2,0),"")</f>
        <v>ARAGUAINA</v>
      </c>
    </row>
    <row r="1236" spans="1:14" ht="16.5" customHeight="1" x14ac:dyDescent="0.25">
      <c r="A1236" s="52">
        <v>7959680004</v>
      </c>
      <c r="B1236" s="51" t="s">
        <v>1003</v>
      </c>
      <c r="C1236" s="51" t="s">
        <v>1025</v>
      </c>
      <c r="D1236" s="51" t="s">
        <v>1011</v>
      </c>
      <c r="E1236" s="51" t="s">
        <v>1005</v>
      </c>
      <c r="F1236" s="51" t="s">
        <v>1011</v>
      </c>
      <c r="G1236" s="51" t="s">
        <v>1011</v>
      </c>
      <c r="H1236" s="51" t="s">
        <v>1005</v>
      </c>
      <c r="I1236" s="51" t="s">
        <v>1011</v>
      </c>
      <c r="J1236" s="50" t="str">
        <f t="shared" si="38"/>
        <v>7959680004.pdf</v>
      </c>
      <c r="K1236" s="51" t="s">
        <v>1006</v>
      </c>
      <c r="L1236" s="51" t="s">
        <v>1229</v>
      </c>
      <c r="M1236" s="50" t="str">
        <f t="shared" si="39"/>
        <v>13.800</v>
      </c>
      <c r="N1236" s="50" t="str">
        <f>IF(A1236&lt;&gt;"",VLOOKUP(RIGHT(A1236,3)*1,[4]Des_Loc!A:B,2,0),"")</f>
        <v>ARAGUAINA</v>
      </c>
    </row>
    <row r="1237" spans="1:14" ht="16.5" customHeight="1" x14ac:dyDescent="0.25">
      <c r="A1237" s="52">
        <v>7959698004</v>
      </c>
      <c r="B1237" s="51" t="s">
        <v>1003</v>
      </c>
      <c r="C1237" s="51" t="s">
        <v>1021</v>
      </c>
      <c r="D1237" s="51" t="s">
        <v>1005</v>
      </c>
      <c r="E1237" s="51" t="s">
        <v>1005</v>
      </c>
      <c r="F1237" s="51" t="s">
        <v>1005</v>
      </c>
      <c r="G1237" s="51" t="s">
        <v>1005</v>
      </c>
      <c r="H1237" s="51" t="s">
        <v>1005</v>
      </c>
      <c r="I1237" s="51" t="s">
        <v>1005</v>
      </c>
      <c r="J1237" s="50" t="str">
        <f t="shared" si="38"/>
        <v>7959698004.pdf</v>
      </c>
      <c r="K1237" s="51" t="s">
        <v>1006</v>
      </c>
      <c r="L1237" s="51" t="s">
        <v>1229</v>
      </c>
      <c r="M1237" s="50" t="str">
        <f t="shared" si="39"/>
        <v>13.800</v>
      </c>
      <c r="N1237" s="50" t="str">
        <f>IF(A1237&lt;&gt;"",VLOOKUP(RIGHT(A1237,3)*1,[4]Des_Loc!A:B,2,0),"")</f>
        <v>ARAGUAINA</v>
      </c>
    </row>
    <row r="1238" spans="1:14" ht="16.5" customHeight="1" x14ac:dyDescent="0.25">
      <c r="A1238" s="52">
        <v>7960973004</v>
      </c>
      <c r="B1238" s="51" t="s">
        <v>1003</v>
      </c>
      <c r="C1238" s="51" t="s">
        <v>1004</v>
      </c>
      <c r="D1238" s="51" t="s">
        <v>1011</v>
      </c>
      <c r="E1238" s="51" t="s">
        <v>1005</v>
      </c>
      <c r="F1238" s="51" t="s">
        <v>1005</v>
      </c>
      <c r="G1238" s="51" t="s">
        <v>1005</v>
      </c>
      <c r="H1238" s="51" t="s">
        <v>1005</v>
      </c>
      <c r="I1238" s="51" t="s">
        <v>1005</v>
      </c>
      <c r="J1238" s="50" t="str">
        <f t="shared" si="38"/>
        <v>7960973004.pdf</v>
      </c>
      <c r="K1238" s="51" t="s">
        <v>1006</v>
      </c>
      <c r="L1238" s="51" t="s">
        <v>1229</v>
      </c>
      <c r="M1238" s="50" t="str">
        <f t="shared" si="39"/>
        <v>13.800</v>
      </c>
      <c r="N1238" s="50" t="str">
        <f>IF(A1238&lt;&gt;"",VLOOKUP(RIGHT(A1238,3)*1,[4]Des_Loc!A:B,2,0),"")</f>
        <v>ARAGUAINA</v>
      </c>
    </row>
    <row r="1239" spans="1:14" ht="16.5" customHeight="1" x14ac:dyDescent="0.25">
      <c r="A1239" s="52">
        <v>7963715004</v>
      </c>
      <c r="B1239" s="51" t="s">
        <v>1003</v>
      </c>
      <c r="C1239" s="51" t="s">
        <v>1025</v>
      </c>
      <c r="D1239" s="51" t="s">
        <v>1011</v>
      </c>
      <c r="E1239" s="51" t="s">
        <v>1005</v>
      </c>
      <c r="F1239" s="51" t="s">
        <v>1011</v>
      </c>
      <c r="G1239" s="51" t="s">
        <v>1011</v>
      </c>
      <c r="H1239" s="51" t="s">
        <v>1005</v>
      </c>
      <c r="I1239" s="51" t="s">
        <v>1011</v>
      </c>
      <c r="J1239" s="50" t="str">
        <f t="shared" si="38"/>
        <v>7963715004.pdf</v>
      </c>
      <c r="K1239" s="51" t="s">
        <v>1006</v>
      </c>
      <c r="L1239" s="51" t="s">
        <v>1230</v>
      </c>
      <c r="M1239" s="50" t="str">
        <f t="shared" si="39"/>
        <v>13.800</v>
      </c>
      <c r="N1239" s="50" t="str">
        <f>IF(A1239&lt;&gt;"",VLOOKUP(RIGHT(A1239,3)*1,[4]Des_Loc!A:B,2,0),"")</f>
        <v>ARAGUAINA</v>
      </c>
    </row>
    <row r="1240" spans="1:14" ht="16.5" customHeight="1" x14ac:dyDescent="0.25">
      <c r="A1240" s="52">
        <v>7956772003</v>
      </c>
      <c r="B1240" s="51" t="s">
        <v>1003</v>
      </c>
      <c r="C1240" s="51" t="s">
        <v>1025</v>
      </c>
      <c r="D1240" s="51" t="s">
        <v>1011</v>
      </c>
      <c r="E1240" s="51" t="s">
        <v>1005</v>
      </c>
      <c r="F1240" s="51" t="s">
        <v>1005</v>
      </c>
      <c r="G1240" s="51" t="s">
        <v>1005</v>
      </c>
      <c r="H1240" s="51" t="s">
        <v>1005</v>
      </c>
      <c r="I1240" s="51" t="s">
        <v>1005</v>
      </c>
      <c r="J1240" s="50" t="str">
        <f t="shared" si="38"/>
        <v>7956772003.pdf</v>
      </c>
      <c r="K1240" s="51" t="s">
        <v>1006</v>
      </c>
      <c r="L1240" s="51" t="s">
        <v>1075</v>
      </c>
      <c r="M1240" s="50" t="str">
        <f t="shared" si="39"/>
        <v>34.500</v>
      </c>
      <c r="N1240" s="50" t="str">
        <f>IF(A1240&lt;&gt;"",VLOOKUP(RIGHT(A1240,3)*1,[4]Des_Loc!A:B,2,0),"")</f>
        <v>GURUPI</v>
      </c>
    </row>
    <row r="1241" spans="1:14" ht="16.5" customHeight="1" x14ac:dyDescent="0.25">
      <c r="A1241" s="52">
        <v>7963704004</v>
      </c>
      <c r="B1241" s="51" t="s">
        <v>1003</v>
      </c>
      <c r="C1241" s="51" t="s">
        <v>1025</v>
      </c>
      <c r="D1241" s="51" t="s">
        <v>1011</v>
      </c>
      <c r="E1241" s="51" t="s">
        <v>1005</v>
      </c>
      <c r="F1241" s="51" t="s">
        <v>1011</v>
      </c>
      <c r="G1241" s="51" t="s">
        <v>1011</v>
      </c>
      <c r="H1241" s="51" t="s">
        <v>1005</v>
      </c>
      <c r="I1241" s="51" t="s">
        <v>1011</v>
      </c>
      <c r="J1241" s="50" t="str">
        <f t="shared" si="38"/>
        <v>7963704004.pdf</v>
      </c>
      <c r="K1241" s="51" t="s">
        <v>1006</v>
      </c>
      <c r="L1241" s="51" t="s">
        <v>1165</v>
      </c>
      <c r="M1241" s="50" t="str">
        <f t="shared" si="39"/>
        <v>13.800</v>
      </c>
      <c r="N1241" s="50" t="str">
        <f>IF(A1241&lt;&gt;"",VLOOKUP(RIGHT(A1241,3)*1,[4]Des_Loc!A:B,2,0),"")</f>
        <v>ARAGUAINA</v>
      </c>
    </row>
    <row r="1242" spans="1:14" ht="16.5" customHeight="1" x14ac:dyDescent="0.25">
      <c r="A1242" s="52">
        <v>7962864003</v>
      </c>
      <c r="B1242" s="51" t="s">
        <v>1003</v>
      </c>
      <c r="C1242" s="51" t="s">
        <v>1025</v>
      </c>
      <c r="D1242" s="51" t="s">
        <v>1011</v>
      </c>
      <c r="E1242" s="51" t="s">
        <v>1005</v>
      </c>
      <c r="F1242" s="51" t="s">
        <v>1011</v>
      </c>
      <c r="G1242" s="51" t="s">
        <v>1005</v>
      </c>
      <c r="H1242" s="51" t="s">
        <v>1005</v>
      </c>
      <c r="I1242" s="51" t="s">
        <v>1011</v>
      </c>
      <c r="J1242" s="50" t="str">
        <f t="shared" si="38"/>
        <v>7962864003.pdf</v>
      </c>
      <c r="K1242" s="51" t="s">
        <v>1006</v>
      </c>
      <c r="L1242" s="51" t="s">
        <v>1207</v>
      </c>
      <c r="M1242" s="50" t="str">
        <f t="shared" si="39"/>
        <v>34.500</v>
      </c>
      <c r="N1242" s="50" t="str">
        <f>IF(A1242&lt;&gt;"",VLOOKUP(RIGHT(A1242,3)*1,[4]Des_Loc!A:B,2,0),"")</f>
        <v>GURUPI</v>
      </c>
    </row>
    <row r="1243" spans="1:14" ht="16.5" customHeight="1" x14ac:dyDescent="0.25">
      <c r="A1243" s="52">
        <v>7962886003</v>
      </c>
      <c r="B1243" s="51" t="s">
        <v>1003</v>
      </c>
      <c r="C1243" s="51" t="s">
        <v>1213</v>
      </c>
      <c r="D1243" s="51" t="s">
        <v>1011</v>
      </c>
      <c r="E1243" s="51" t="s">
        <v>1005</v>
      </c>
      <c r="F1243" s="51" t="s">
        <v>1011</v>
      </c>
      <c r="G1243" s="51" t="s">
        <v>1005</v>
      </c>
      <c r="H1243" s="51" t="s">
        <v>1005</v>
      </c>
      <c r="I1243" s="51" t="s">
        <v>1011</v>
      </c>
      <c r="J1243" s="50" t="str">
        <f t="shared" si="38"/>
        <v>7962886003.pdf</v>
      </c>
      <c r="K1243" s="51" t="s">
        <v>1006</v>
      </c>
      <c r="L1243" s="51" t="s">
        <v>1207</v>
      </c>
      <c r="M1243" s="50" t="str">
        <f t="shared" si="39"/>
        <v>34.500</v>
      </c>
      <c r="N1243" s="50" t="str">
        <f>IF(A1243&lt;&gt;"",VLOOKUP(RIGHT(A1243,3)*1,[4]Des_Loc!A:B,2,0),"")</f>
        <v>GURUPI</v>
      </c>
    </row>
    <row r="1244" spans="1:14" ht="16.5" customHeight="1" x14ac:dyDescent="0.25">
      <c r="A1244" s="52">
        <v>7960790036</v>
      </c>
      <c r="B1244" s="51" t="s">
        <v>1003</v>
      </c>
      <c r="C1244" s="51" t="s">
        <v>1213</v>
      </c>
      <c r="D1244" s="51" t="s">
        <v>1011</v>
      </c>
      <c r="E1244" s="51" t="s">
        <v>1011</v>
      </c>
      <c r="F1244" s="51" t="s">
        <v>1011</v>
      </c>
      <c r="G1244" s="51" t="s">
        <v>1005</v>
      </c>
      <c r="H1244" s="51" t="s">
        <v>1005</v>
      </c>
      <c r="I1244" s="51" t="s">
        <v>1011</v>
      </c>
      <c r="J1244" s="50" t="str">
        <f t="shared" si="38"/>
        <v>7960790036.pdf</v>
      </c>
      <c r="K1244" s="51" t="s">
        <v>1006</v>
      </c>
      <c r="L1244" s="51" t="s">
        <v>1039</v>
      </c>
      <c r="M1244" s="50" t="str">
        <f t="shared" si="39"/>
        <v>13.800</v>
      </c>
      <c r="N1244" s="50" t="str">
        <f>IF(A1244&lt;&gt;"",VLOOKUP(RIGHT(A1244,3)*1,[4]Des_Loc!A:B,2,0),"")</f>
        <v>ALVORADA</v>
      </c>
    </row>
    <row r="1245" spans="1:14" ht="16.5" customHeight="1" x14ac:dyDescent="0.25">
      <c r="A1245" s="52">
        <v>7961993059</v>
      </c>
      <c r="B1245" s="51" t="s">
        <v>1003</v>
      </c>
      <c r="C1245" s="51" t="s">
        <v>1025</v>
      </c>
      <c r="D1245" s="51" t="s">
        <v>1011</v>
      </c>
      <c r="E1245" s="51" t="s">
        <v>1005</v>
      </c>
      <c r="F1245" s="51" t="s">
        <v>1011</v>
      </c>
      <c r="G1245" s="51" t="s">
        <v>1005</v>
      </c>
      <c r="H1245" s="51" t="s">
        <v>1005</v>
      </c>
      <c r="I1245" s="51" t="s">
        <v>1011</v>
      </c>
      <c r="J1245" s="50" t="str">
        <f t="shared" si="38"/>
        <v>7961993059.pdf</v>
      </c>
      <c r="K1245" s="51" t="s">
        <v>1006</v>
      </c>
      <c r="L1245" s="51" t="s">
        <v>696</v>
      </c>
      <c r="M1245" s="50" t="str">
        <f t="shared" si="39"/>
        <v>13.800</v>
      </c>
      <c r="N1245" s="50" t="str">
        <f>IF(A1245&lt;&gt;"",VLOOKUP(RIGHT(A1245,3)*1,[4]Des_Loc!A:B,2,0),"")</f>
        <v>TAQUARALTO</v>
      </c>
    </row>
    <row r="1246" spans="1:14" ht="16.5" customHeight="1" x14ac:dyDescent="0.25">
      <c r="A1246" s="52">
        <v>7960788036</v>
      </c>
      <c r="B1246" s="51" t="s">
        <v>1003</v>
      </c>
      <c r="C1246" s="51" t="s">
        <v>1004</v>
      </c>
      <c r="D1246" s="51" t="s">
        <v>1011</v>
      </c>
      <c r="E1246" s="51" t="s">
        <v>1005</v>
      </c>
      <c r="F1246" s="51" t="s">
        <v>1005</v>
      </c>
      <c r="G1246" s="51" t="s">
        <v>1005</v>
      </c>
      <c r="H1246" s="51" t="s">
        <v>1005</v>
      </c>
      <c r="I1246" s="51" t="s">
        <v>1005</v>
      </c>
      <c r="J1246" s="50" t="str">
        <f t="shared" si="38"/>
        <v>7960788036.pdf</v>
      </c>
      <c r="K1246" s="51" t="s">
        <v>1006</v>
      </c>
      <c r="L1246" s="51" t="s">
        <v>1039</v>
      </c>
      <c r="M1246" s="50" t="str">
        <f t="shared" si="39"/>
        <v>13.800</v>
      </c>
      <c r="N1246" s="50" t="str">
        <f>IF(A1246&lt;&gt;"",VLOOKUP(RIGHT(A1246,3)*1,[4]Des_Loc!A:B,2,0),"")</f>
        <v>ALVORADA</v>
      </c>
    </row>
    <row r="1247" spans="1:14" ht="16.5" customHeight="1" x14ac:dyDescent="0.25">
      <c r="A1247" s="52">
        <v>7962861003</v>
      </c>
      <c r="B1247" s="51" t="s">
        <v>1003</v>
      </c>
      <c r="C1247" s="51" t="s">
        <v>1213</v>
      </c>
      <c r="D1247" s="51" t="s">
        <v>1011</v>
      </c>
      <c r="E1247" s="51" t="s">
        <v>1005</v>
      </c>
      <c r="F1247" s="51" t="s">
        <v>1011</v>
      </c>
      <c r="G1247" s="51" t="s">
        <v>1005</v>
      </c>
      <c r="H1247" s="51" t="s">
        <v>1005</v>
      </c>
      <c r="I1247" s="51" t="s">
        <v>1011</v>
      </c>
      <c r="J1247" s="50" t="str">
        <f t="shared" si="38"/>
        <v>7962861003.pdf</v>
      </c>
      <c r="K1247" s="51" t="s">
        <v>1006</v>
      </c>
      <c r="L1247" s="51" t="s">
        <v>1195</v>
      </c>
      <c r="M1247" s="50" t="str">
        <f t="shared" si="39"/>
        <v>13.800</v>
      </c>
      <c r="N1247" s="50" t="str">
        <f>IF(A1247&lt;&gt;"",VLOOKUP(RIGHT(A1247,3)*1,[4]Des_Loc!A:B,2,0),"")</f>
        <v>GURUPI</v>
      </c>
    </row>
    <row r="1248" spans="1:14" ht="16.5" customHeight="1" x14ac:dyDescent="0.25">
      <c r="A1248" s="52">
        <v>7929763027</v>
      </c>
      <c r="B1248" s="51" t="s">
        <v>1003</v>
      </c>
      <c r="C1248" s="51" t="s">
        <v>1025</v>
      </c>
      <c r="D1248" s="51" t="s">
        <v>1011</v>
      </c>
      <c r="E1248" s="51" t="s">
        <v>1005</v>
      </c>
      <c r="F1248" s="51" t="s">
        <v>1005</v>
      </c>
      <c r="G1248" s="51" t="s">
        <v>1005</v>
      </c>
      <c r="H1248" s="51" t="s">
        <v>1005</v>
      </c>
      <c r="I1248" s="51" t="s">
        <v>1011</v>
      </c>
      <c r="J1248" s="50" t="str">
        <f t="shared" si="38"/>
        <v>7929763027.pdf</v>
      </c>
      <c r="K1248" s="51" t="s">
        <v>1006</v>
      </c>
      <c r="L1248" s="51" t="s">
        <v>1231</v>
      </c>
      <c r="M1248" s="50" t="str">
        <f t="shared" si="39"/>
        <v>13.800</v>
      </c>
      <c r="N1248" s="50" t="str">
        <f>IF(A1248&lt;&gt;"",VLOOKUP(RIGHT(A1248,3)*1,[4]Des_Loc!A:B,2,0),"")</f>
        <v>PONTE ALTA BOM JESUS</v>
      </c>
    </row>
    <row r="1249" spans="1:14" ht="16.5" customHeight="1" x14ac:dyDescent="0.25">
      <c r="A1249" s="52">
        <v>7963618032</v>
      </c>
      <c r="B1249" s="51" t="s">
        <v>1003</v>
      </c>
      <c r="C1249" s="51" t="s">
        <v>1025</v>
      </c>
      <c r="D1249" s="51" t="s">
        <v>1011</v>
      </c>
      <c r="E1249" s="51" t="s">
        <v>1005</v>
      </c>
      <c r="F1249" s="51" t="s">
        <v>1011</v>
      </c>
      <c r="G1249" s="51" t="s">
        <v>1005</v>
      </c>
      <c r="H1249" s="51" t="s">
        <v>1005</v>
      </c>
      <c r="I1249" s="51" t="s">
        <v>1011</v>
      </c>
      <c r="J1249" s="50" t="str">
        <f t="shared" si="38"/>
        <v>7963618032.pdf</v>
      </c>
      <c r="K1249" s="51" t="s">
        <v>1006</v>
      </c>
      <c r="L1249" s="51" t="s">
        <v>1018</v>
      </c>
      <c r="M1249" s="50" t="str">
        <f t="shared" si="39"/>
        <v>13.800</v>
      </c>
      <c r="N1249" s="50" t="str">
        <f>IF(A1249&lt;&gt;"",VLOOKUP(RIGHT(A1249,3)*1,[4]Des_Loc!A:B,2,0),"")</f>
        <v>ARAGUACU</v>
      </c>
    </row>
    <row r="1250" spans="1:14" ht="16.5" customHeight="1" x14ac:dyDescent="0.25">
      <c r="A1250" s="52">
        <v>7960701094</v>
      </c>
      <c r="B1250" s="51" t="s">
        <v>1003</v>
      </c>
      <c r="C1250" s="51" t="s">
        <v>1004</v>
      </c>
      <c r="D1250" s="51" t="s">
        <v>1011</v>
      </c>
      <c r="E1250" s="51" t="s">
        <v>1005</v>
      </c>
      <c r="F1250" s="51" t="s">
        <v>1005</v>
      </c>
      <c r="G1250" s="51" t="s">
        <v>1005</v>
      </c>
      <c r="H1250" s="51" t="s">
        <v>1005</v>
      </c>
      <c r="I1250" s="51" t="s">
        <v>1005</v>
      </c>
      <c r="J1250" s="50" t="str">
        <f t="shared" si="38"/>
        <v>7960701094.pdf</v>
      </c>
      <c r="K1250" s="51" t="s">
        <v>1006</v>
      </c>
      <c r="L1250" s="51" t="s">
        <v>1080</v>
      </c>
      <c r="M1250" s="50" t="str">
        <f t="shared" si="39"/>
        <v>34.500</v>
      </c>
      <c r="N1250" s="50" t="str">
        <f>IF(A1250&lt;&gt;"",VLOOKUP(RIGHT(A1250,3)*1,[4]Des_Loc!A:B,2,0),"")</f>
        <v>PEIXE</v>
      </c>
    </row>
    <row r="1251" spans="1:14" ht="16.5" customHeight="1" x14ac:dyDescent="0.25">
      <c r="A1251" s="52">
        <v>7965194065</v>
      </c>
      <c r="B1251" s="51" t="s">
        <v>1003</v>
      </c>
      <c r="C1251" s="51" t="s">
        <v>1010</v>
      </c>
      <c r="D1251" s="51" t="s">
        <v>1011</v>
      </c>
      <c r="E1251" s="51" t="s">
        <v>1005</v>
      </c>
      <c r="F1251" s="51" t="s">
        <v>1011</v>
      </c>
      <c r="G1251" s="51" t="s">
        <v>1005</v>
      </c>
      <c r="H1251" s="51" t="s">
        <v>1005</v>
      </c>
      <c r="I1251" s="51" t="s">
        <v>1011</v>
      </c>
      <c r="J1251" s="50" t="str">
        <f t="shared" si="38"/>
        <v>7965194065.pdf</v>
      </c>
      <c r="K1251" s="51" t="s">
        <v>1006</v>
      </c>
      <c r="L1251" s="51" t="s">
        <v>1138</v>
      </c>
      <c r="M1251" s="50" t="str">
        <f t="shared" si="39"/>
        <v>13.800</v>
      </c>
      <c r="N1251" s="50" t="str">
        <f>IF(A1251&lt;&gt;"",VLOOKUP(RIGHT(A1251,3)*1,[4]Des_Loc!A:B,2,0),"")</f>
        <v>AXIXA DO TOCANTINS</v>
      </c>
    </row>
    <row r="1252" spans="1:14" ht="16.5" customHeight="1" x14ac:dyDescent="0.25">
      <c r="A1252" s="52">
        <v>7956702007</v>
      </c>
      <c r="B1252" s="51" t="s">
        <v>1003</v>
      </c>
      <c r="C1252" s="51" t="s">
        <v>1010</v>
      </c>
      <c r="D1252" s="51" t="s">
        <v>1011</v>
      </c>
      <c r="E1252" s="51" t="s">
        <v>1005</v>
      </c>
      <c r="F1252" s="51" t="s">
        <v>1011</v>
      </c>
      <c r="G1252" s="51" t="s">
        <v>1005</v>
      </c>
      <c r="H1252" s="51" t="s">
        <v>1005</v>
      </c>
      <c r="I1252" s="51" t="s">
        <v>1011</v>
      </c>
      <c r="J1252" s="50" t="str">
        <f t="shared" si="38"/>
        <v>7956702007.pdf</v>
      </c>
      <c r="K1252" s="51" t="s">
        <v>1006</v>
      </c>
      <c r="L1252" s="51" t="s">
        <v>1063</v>
      </c>
      <c r="M1252" s="50" t="str">
        <f t="shared" si="39"/>
        <v>34.500</v>
      </c>
      <c r="N1252" s="50" t="str">
        <f>IF(A1252&lt;&gt;"",VLOOKUP(RIGHT(A1252,3)*1,[4]Des_Loc!A:B,2,0),"")</f>
        <v>MIRACEMA DO TOCANTINS</v>
      </c>
    </row>
    <row r="1253" spans="1:14" ht="16.5" customHeight="1" x14ac:dyDescent="0.25">
      <c r="A1253" s="52">
        <v>7962837017</v>
      </c>
      <c r="B1253" s="51" t="s">
        <v>1003</v>
      </c>
      <c r="C1253" s="51" t="s">
        <v>1213</v>
      </c>
      <c r="D1253" s="51" t="s">
        <v>1011</v>
      </c>
      <c r="E1253" s="51" t="s">
        <v>1005</v>
      </c>
      <c r="F1253" s="51" t="s">
        <v>1011</v>
      </c>
      <c r="G1253" s="51" t="s">
        <v>1005</v>
      </c>
      <c r="H1253" s="51" t="s">
        <v>1005</v>
      </c>
      <c r="I1253" s="51" t="s">
        <v>1011</v>
      </c>
      <c r="J1253" s="50" t="str">
        <f t="shared" si="38"/>
        <v>7962837017.pdf</v>
      </c>
      <c r="K1253" s="51" t="s">
        <v>1006</v>
      </c>
      <c r="L1253" s="51" t="s">
        <v>1063</v>
      </c>
      <c r="M1253" s="50" t="str">
        <f t="shared" si="39"/>
        <v>34.500</v>
      </c>
      <c r="N1253" s="50" t="str">
        <f>IF(A1253&lt;&gt;"",VLOOKUP(RIGHT(A1253,3)*1,[4]Des_Loc!A:B,2,0),"")</f>
        <v>BARROLANDIA</v>
      </c>
    </row>
    <row r="1254" spans="1:14" ht="16.5" customHeight="1" x14ac:dyDescent="0.25">
      <c r="A1254" s="52">
        <v>7961041073</v>
      </c>
      <c r="B1254" s="51" t="s">
        <v>1003</v>
      </c>
      <c r="C1254" s="51" t="s">
        <v>1213</v>
      </c>
      <c r="D1254" s="51" t="s">
        <v>1011</v>
      </c>
      <c r="E1254" s="51" t="s">
        <v>1005</v>
      </c>
      <c r="F1254" s="51" t="s">
        <v>1011</v>
      </c>
      <c r="G1254" s="51" t="s">
        <v>1005</v>
      </c>
      <c r="H1254" s="51" t="s">
        <v>1005</v>
      </c>
      <c r="I1254" s="51" t="s">
        <v>1011</v>
      </c>
      <c r="J1254" s="50" t="str">
        <f t="shared" si="38"/>
        <v>7961041073.pdf</v>
      </c>
      <c r="K1254" s="51" t="s">
        <v>1006</v>
      </c>
      <c r="L1254" s="51" t="s">
        <v>1220</v>
      </c>
      <c r="M1254" s="50" t="str">
        <f t="shared" si="39"/>
        <v>13.800</v>
      </c>
      <c r="N1254" s="50" t="str">
        <f>IF(A1254&lt;&gt;"",VLOOKUP(RIGHT(A1254,3)*1,[4]Des_Loc!A:B,2,0),"")</f>
        <v>LAGOA DA CONFUSAO</v>
      </c>
    </row>
    <row r="1255" spans="1:14" ht="16.5" customHeight="1" x14ac:dyDescent="0.25">
      <c r="A1255" s="52">
        <v>7964644046</v>
      </c>
      <c r="B1255" s="51" t="s">
        <v>1003</v>
      </c>
      <c r="C1255" s="51" t="s">
        <v>1025</v>
      </c>
      <c r="D1255" s="51" t="s">
        <v>1011</v>
      </c>
      <c r="E1255" s="51" t="s">
        <v>1005</v>
      </c>
      <c r="F1255" s="51" t="s">
        <v>1011</v>
      </c>
      <c r="G1255" s="51" t="s">
        <v>1005</v>
      </c>
      <c r="H1255" s="51" t="s">
        <v>1005</v>
      </c>
      <c r="I1255" s="51" t="s">
        <v>1011</v>
      </c>
      <c r="J1255" s="50" t="str">
        <f t="shared" si="38"/>
        <v>7964644046.pdf</v>
      </c>
      <c r="K1255" s="51" t="s">
        <v>1006</v>
      </c>
      <c r="L1255" s="51" t="s">
        <v>1019</v>
      </c>
      <c r="M1255" s="50" t="str">
        <f t="shared" si="39"/>
        <v>34.500</v>
      </c>
      <c r="N1255" s="50" t="str">
        <f>IF(A1255&lt;&gt;"",VLOOKUP(RIGHT(A1255,3)*1,[4]Des_Loc!A:B,2,0),"")</f>
        <v>NOVA ROSALANDIA</v>
      </c>
    </row>
    <row r="1256" spans="1:14" ht="16.5" customHeight="1" x14ac:dyDescent="0.25">
      <c r="A1256" s="52">
        <v>7962638060</v>
      </c>
      <c r="B1256" s="51" t="s">
        <v>1003</v>
      </c>
      <c r="C1256" s="51" t="s">
        <v>1010</v>
      </c>
      <c r="D1256" s="51" t="s">
        <v>1011</v>
      </c>
      <c r="E1256" s="51" t="s">
        <v>1005</v>
      </c>
      <c r="F1256" s="51" t="s">
        <v>1011</v>
      </c>
      <c r="G1256" s="51" t="s">
        <v>1005</v>
      </c>
      <c r="H1256" s="51" t="s">
        <v>1005</v>
      </c>
      <c r="I1256" s="51" t="s">
        <v>1011</v>
      </c>
      <c r="J1256" s="50" t="str">
        <f t="shared" si="38"/>
        <v>7962638060.pdf</v>
      </c>
      <c r="K1256" s="51" t="s">
        <v>1006</v>
      </c>
      <c r="L1256" s="51" t="s">
        <v>412</v>
      </c>
      <c r="M1256" s="50" t="str">
        <f t="shared" si="39"/>
        <v>13.800</v>
      </c>
      <c r="N1256" s="50" t="str">
        <f>IF(A1256&lt;&gt;"",VLOOKUP(RIGHT(A1256,3)*1,[4]Des_Loc!A:B,2,0),"")</f>
        <v>NOVA OLINDA</v>
      </c>
    </row>
    <row r="1257" spans="1:14" ht="16.5" customHeight="1" x14ac:dyDescent="0.25">
      <c r="A1257" s="52">
        <v>7960797042</v>
      </c>
      <c r="B1257" s="51" t="s">
        <v>1003</v>
      </c>
      <c r="C1257" s="51" t="s">
        <v>1010</v>
      </c>
      <c r="D1257" s="51" t="s">
        <v>1011</v>
      </c>
      <c r="E1257" s="51" t="s">
        <v>1005</v>
      </c>
      <c r="F1257" s="51" t="s">
        <v>1011</v>
      </c>
      <c r="G1257" s="51" t="s">
        <v>1005</v>
      </c>
      <c r="H1257" s="51" t="s">
        <v>1005</v>
      </c>
      <c r="I1257" s="51" t="s">
        <v>1011</v>
      </c>
      <c r="J1257" s="50" t="str">
        <f t="shared" si="38"/>
        <v>7960797042.pdf</v>
      </c>
      <c r="K1257" s="51" t="s">
        <v>1006</v>
      </c>
      <c r="L1257" s="51" t="s">
        <v>1087</v>
      </c>
      <c r="M1257" s="50" t="str">
        <f t="shared" si="39"/>
        <v>13.800</v>
      </c>
      <c r="N1257" s="50" t="str">
        <f>IF(A1257&lt;&gt;"",VLOOKUP(RIGHT(A1257,3)*1,[4]Des_Loc!A:B,2,0),"")</f>
        <v>CARIRI DO TOCANTINS</v>
      </c>
    </row>
    <row r="1258" spans="1:14" ht="16.5" customHeight="1" x14ac:dyDescent="0.25">
      <c r="A1258" s="52">
        <v>7960798037</v>
      </c>
      <c r="B1258" s="51" t="s">
        <v>1003</v>
      </c>
      <c r="C1258" s="51" t="s">
        <v>1010</v>
      </c>
      <c r="D1258" s="51" t="s">
        <v>1011</v>
      </c>
      <c r="E1258" s="51" t="s">
        <v>1005</v>
      </c>
      <c r="F1258" s="51" t="s">
        <v>1011</v>
      </c>
      <c r="G1258" s="51" t="s">
        <v>1005</v>
      </c>
      <c r="H1258" s="51" t="s">
        <v>1005</v>
      </c>
      <c r="I1258" s="51" t="s">
        <v>1011</v>
      </c>
      <c r="J1258" s="50" t="str">
        <f t="shared" si="38"/>
        <v>7960798037.pdf</v>
      </c>
      <c r="K1258" s="51" t="s">
        <v>1006</v>
      </c>
      <c r="L1258" s="51" t="s">
        <v>1098</v>
      </c>
      <c r="M1258" s="50" t="str">
        <f t="shared" si="39"/>
        <v>34.500</v>
      </c>
      <c r="N1258" s="50" t="str">
        <f>IF(A1258&lt;&gt;"",VLOOKUP(RIGHT(A1258,3)*1,[4]Des_Loc!A:B,2,0),"")</f>
        <v>ALIANCA DO TOCANTINS</v>
      </c>
    </row>
    <row r="1259" spans="1:14" ht="16.5" customHeight="1" x14ac:dyDescent="0.25">
      <c r="A1259" s="52">
        <v>7960800037</v>
      </c>
      <c r="B1259" s="51" t="s">
        <v>1003</v>
      </c>
      <c r="C1259" s="51" t="s">
        <v>1010</v>
      </c>
      <c r="D1259" s="51" t="s">
        <v>1011</v>
      </c>
      <c r="E1259" s="51" t="s">
        <v>1005</v>
      </c>
      <c r="F1259" s="51" t="s">
        <v>1005</v>
      </c>
      <c r="G1259" s="51" t="s">
        <v>1005</v>
      </c>
      <c r="H1259" s="51" t="s">
        <v>1005</v>
      </c>
      <c r="I1259" s="51" t="s">
        <v>1005</v>
      </c>
      <c r="J1259" s="50" t="str">
        <f t="shared" si="38"/>
        <v>7960800037.pdf</v>
      </c>
      <c r="K1259" s="51" t="s">
        <v>1006</v>
      </c>
      <c r="L1259" s="51" t="s">
        <v>1098</v>
      </c>
      <c r="M1259" s="50" t="str">
        <f t="shared" si="39"/>
        <v>34.500</v>
      </c>
      <c r="N1259" s="50" t="str">
        <f>IF(A1259&lt;&gt;"",VLOOKUP(RIGHT(A1259,3)*1,[4]Des_Loc!A:B,2,0),"")</f>
        <v>ALIANCA DO TOCANTINS</v>
      </c>
    </row>
    <row r="1260" spans="1:14" ht="16.5" customHeight="1" x14ac:dyDescent="0.25">
      <c r="A1260" s="52">
        <v>7961325003</v>
      </c>
      <c r="B1260" s="51" t="s">
        <v>1003</v>
      </c>
      <c r="C1260" s="51" t="s">
        <v>1213</v>
      </c>
      <c r="D1260" s="51" t="s">
        <v>1011</v>
      </c>
      <c r="E1260" s="51" t="s">
        <v>1005</v>
      </c>
      <c r="F1260" s="51" t="s">
        <v>1011</v>
      </c>
      <c r="G1260" s="51" t="s">
        <v>1005</v>
      </c>
      <c r="H1260" s="51" t="s">
        <v>1005</v>
      </c>
      <c r="I1260" s="51" t="s">
        <v>1011</v>
      </c>
      <c r="J1260" s="50" t="str">
        <f t="shared" si="38"/>
        <v>7961325003.pdf</v>
      </c>
      <c r="K1260" s="51" t="s">
        <v>1006</v>
      </c>
      <c r="L1260" s="51" t="s">
        <v>1187</v>
      </c>
      <c r="M1260" s="50" t="str">
        <f t="shared" si="39"/>
        <v>13.800</v>
      </c>
      <c r="N1260" s="50" t="str">
        <f>IF(A1260&lt;&gt;"",VLOOKUP(RIGHT(A1260,3)*1,[4]Des_Loc!A:B,2,0),"")</f>
        <v>GURUPI</v>
      </c>
    </row>
    <row r="1261" spans="1:14" ht="16.5" customHeight="1" x14ac:dyDescent="0.25">
      <c r="A1261" s="52">
        <v>7960781003</v>
      </c>
      <c r="B1261" s="51" t="s">
        <v>1003</v>
      </c>
      <c r="C1261" s="51" t="s">
        <v>1010</v>
      </c>
      <c r="D1261" s="51" t="s">
        <v>1011</v>
      </c>
      <c r="E1261" s="51" t="s">
        <v>1005</v>
      </c>
      <c r="F1261" s="51" t="s">
        <v>1011</v>
      </c>
      <c r="G1261" s="51" t="s">
        <v>1005</v>
      </c>
      <c r="H1261" s="51" t="s">
        <v>1005</v>
      </c>
      <c r="I1261" s="51" t="s">
        <v>1011</v>
      </c>
      <c r="J1261" s="50" t="str">
        <f t="shared" si="38"/>
        <v>7960781003.pdf</v>
      </c>
      <c r="K1261" s="51" t="s">
        <v>1006</v>
      </c>
      <c r="L1261" s="51" t="s">
        <v>483</v>
      </c>
      <c r="M1261" s="50" t="str">
        <f t="shared" si="39"/>
        <v>34.500</v>
      </c>
      <c r="N1261" s="50" t="str">
        <f>IF(A1261&lt;&gt;"",VLOOKUP(RIGHT(A1261,3)*1,[4]Des_Loc!A:B,2,0),"")</f>
        <v>GURUPI</v>
      </c>
    </row>
    <row r="1262" spans="1:14" ht="16.5" customHeight="1" x14ac:dyDescent="0.25">
      <c r="A1262" s="52">
        <v>7960714107</v>
      </c>
      <c r="B1262" s="51" t="s">
        <v>1003</v>
      </c>
      <c r="C1262" s="51" t="s">
        <v>1213</v>
      </c>
      <c r="D1262" s="51" t="s">
        <v>1011</v>
      </c>
      <c r="E1262" s="51" t="s">
        <v>1005</v>
      </c>
      <c r="F1262" s="51" t="s">
        <v>1011</v>
      </c>
      <c r="G1262" s="51" t="s">
        <v>1005</v>
      </c>
      <c r="H1262" s="51" t="s">
        <v>1005</v>
      </c>
      <c r="I1262" s="51" t="s">
        <v>1011</v>
      </c>
      <c r="J1262" s="50" t="str">
        <f t="shared" si="38"/>
        <v>7960714107.pdf</v>
      </c>
      <c r="K1262" s="51" t="s">
        <v>1006</v>
      </c>
      <c r="L1262" s="51" t="s">
        <v>1076</v>
      </c>
      <c r="M1262" s="50" t="str">
        <f t="shared" si="39"/>
        <v>34.500</v>
      </c>
      <c r="N1262" s="50" t="str">
        <f>IF(A1262&lt;&gt;"",VLOOKUP(RIGHT(A1262,3)*1,[4]Des_Loc!A:B,2,0),"")</f>
        <v>SANDOLANDIA</v>
      </c>
    </row>
    <row r="1263" spans="1:14" ht="16.5" customHeight="1" x14ac:dyDescent="0.25">
      <c r="A1263" s="52">
        <v>7964803072</v>
      </c>
      <c r="B1263" s="51" t="s">
        <v>1003</v>
      </c>
      <c r="C1263" s="51" t="s">
        <v>1025</v>
      </c>
      <c r="D1263" s="51" t="s">
        <v>1011</v>
      </c>
      <c r="E1263" s="51" t="s">
        <v>1005</v>
      </c>
      <c r="F1263" s="51" t="s">
        <v>1011</v>
      </c>
      <c r="G1263" s="51" t="s">
        <v>1005</v>
      </c>
      <c r="H1263" s="51" t="s">
        <v>1005</v>
      </c>
      <c r="I1263" s="51" t="s">
        <v>1011</v>
      </c>
      <c r="J1263" s="50" t="str">
        <f t="shared" si="38"/>
        <v>7964803072.pdf</v>
      </c>
      <c r="K1263" s="51" t="s">
        <v>1006</v>
      </c>
      <c r="L1263" s="51" t="s">
        <v>616</v>
      </c>
      <c r="M1263" s="50" t="str">
        <f t="shared" si="39"/>
        <v>34.500</v>
      </c>
      <c r="N1263" s="50" t="str">
        <f>IF(A1263&lt;&gt;"",VLOOKUP(RIGHT(A1263,3)*1,[4]Des_Loc!A:B,2,0),"")</f>
        <v>CONCEICAO DO TOCANTINS</v>
      </c>
    </row>
    <row r="1264" spans="1:14" ht="16.5" customHeight="1" x14ac:dyDescent="0.25">
      <c r="A1264" s="52">
        <v>7965010157</v>
      </c>
      <c r="B1264" s="51" t="s">
        <v>1003</v>
      </c>
      <c r="C1264" s="51" t="s">
        <v>1010</v>
      </c>
      <c r="D1264" s="51" t="s">
        <v>1011</v>
      </c>
      <c r="E1264" s="51" t="s">
        <v>1005</v>
      </c>
      <c r="F1264" s="51" t="s">
        <v>1011</v>
      </c>
      <c r="G1264" s="51" t="s">
        <v>1005</v>
      </c>
      <c r="H1264" s="51" t="s">
        <v>1005</v>
      </c>
      <c r="I1264" s="51" t="s">
        <v>1011</v>
      </c>
      <c r="J1264" s="50" t="str">
        <f t="shared" si="38"/>
        <v>7965010157.pdf</v>
      </c>
      <c r="K1264" s="51" t="s">
        <v>1006</v>
      </c>
      <c r="L1264" s="51" t="s">
        <v>505</v>
      </c>
      <c r="M1264" s="50" t="str">
        <f t="shared" si="39"/>
        <v>34.500</v>
      </c>
      <c r="N1264" s="50" t="str">
        <f>IF(A1264&lt;&gt;"",VLOOKUP(RIGHT(A1264,3)*1,[4]Des_Loc!A:B,2,0),"")</f>
        <v>ARAGUANA</v>
      </c>
    </row>
    <row r="1265" spans="1:14" ht="16.5" customHeight="1" x14ac:dyDescent="0.25">
      <c r="A1265" s="52">
        <v>7961143060</v>
      </c>
      <c r="B1265" s="51" t="s">
        <v>1003</v>
      </c>
      <c r="C1265" s="51" t="s">
        <v>1010</v>
      </c>
      <c r="D1265" s="51" t="s">
        <v>1011</v>
      </c>
      <c r="E1265" s="51" t="s">
        <v>1005</v>
      </c>
      <c r="F1265" s="51" t="s">
        <v>1115</v>
      </c>
      <c r="G1265" s="51" t="s">
        <v>1005</v>
      </c>
      <c r="H1265" s="51" t="s">
        <v>1005</v>
      </c>
      <c r="I1265" s="51" t="s">
        <v>1005</v>
      </c>
      <c r="J1265" s="50" t="str">
        <f t="shared" si="38"/>
        <v>7961143060.pdf</v>
      </c>
      <c r="K1265" s="51" t="s">
        <v>1006</v>
      </c>
      <c r="L1265" s="51" t="s">
        <v>1101</v>
      </c>
      <c r="M1265" s="50" t="str">
        <f t="shared" si="39"/>
        <v>34.500</v>
      </c>
      <c r="N1265" s="50" t="str">
        <f>IF(A1265&lt;&gt;"",VLOOKUP(RIGHT(A1265,3)*1,[4]Des_Loc!A:B,2,0),"")</f>
        <v>NOVA OLINDA</v>
      </c>
    </row>
    <row r="1266" spans="1:14" ht="16.5" customHeight="1" x14ac:dyDescent="0.25">
      <c r="A1266" s="52">
        <v>7962637060</v>
      </c>
      <c r="B1266" s="51" t="s">
        <v>1003</v>
      </c>
      <c r="C1266" s="51" t="s">
        <v>1021</v>
      </c>
      <c r="D1266" s="51" t="s">
        <v>1005</v>
      </c>
      <c r="E1266" s="51" t="s">
        <v>1005</v>
      </c>
      <c r="F1266" s="51" t="s">
        <v>1005</v>
      </c>
      <c r="G1266" s="51" t="s">
        <v>1005</v>
      </c>
      <c r="H1266" s="51" t="s">
        <v>1005</v>
      </c>
      <c r="I1266" s="51" t="s">
        <v>1005</v>
      </c>
      <c r="J1266" s="50" t="str">
        <f t="shared" si="38"/>
        <v>7962637060.pdf</v>
      </c>
      <c r="K1266" s="51" t="s">
        <v>1006</v>
      </c>
      <c r="L1266" s="51" t="s">
        <v>1101</v>
      </c>
      <c r="M1266" s="50" t="str">
        <f t="shared" si="39"/>
        <v>34.500</v>
      </c>
      <c r="N1266" s="50" t="str">
        <f>IF(A1266&lt;&gt;"",VLOOKUP(RIGHT(A1266,3)*1,[4]Des_Loc!A:B,2,0),"")</f>
        <v>NOVA OLINDA</v>
      </c>
    </row>
    <row r="1267" spans="1:14" ht="16.5" customHeight="1" x14ac:dyDescent="0.25">
      <c r="A1267" s="52">
        <v>7965042063</v>
      </c>
      <c r="B1267" s="51" t="s">
        <v>1003</v>
      </c>
      <c r="C1267" s="51" t="s">
        <v>1010</v>
      </c>
      <c r="D1267" s="51" t="s">
        <v>1011</v>
      </c>
      <c r="E1267" s="51" t="s">
        <v>1005</v>
      </c>
      <c r="F1267" s="51" t="s">
        <v>1011</v>
      </c>
      <c r="G1267" s="51" t="s">
        <v>1005</v>
      </c>
      <c r="H1267" s="51" t="s">
        <v>1005</v>
      </c>
      <c r="I1267" s="51" t="s">
        <v>1011</v>
      </c>
      <c r="J1267" s="50" t="str">
        <f t="shared" si="38"/>
        <v>7965042063.pdf</v>
      </c>
      <c r="K1267" s="51" t="s">
        <v>1006</v>
      </c>
      <c r="L1267" s="51" t="s">
        <v>1101</v>
      </c>
      <c r="M1267" s="50" t="str">
        <f t="shared" si="39"/>
        <v>34.500</v>
      </c>
      <c r="N1267" s="50" t="str">
        <f>IF(A1267&lt;&gt;"",VLOOKUP(RIGHT(A1267,3)*1,[4]Des_Loc!A:B,2,0),"")</f>
        <v>BANDEIRANTES DO TOCANTINS</v>
      </c>
    </row>
    <row r="1268" spans="1:14" ht="16.5" customHeight="1" x14ac:dyDescent="0.25">
      <c r="A1268" s="52">
        <v>7960923045</v>
      </c>
      <c r="B1268" s="51" t="s">
        <v>1003</v>
      </c>
      <c r="C1268" s="51" t="s">
        <v>1004</v>
      </c>
      <c r="D1268" s="51" t="s">
        <v>1011</v>
      </c>
      <c r="E1268" s="51" t="s">
        <v>1005</v>
      </c>
      <c r="F1268" s="51" t="s">
        <v>1005</v>
      </c>
      <c r="G1268" s="51" t="s">
        <v>1005</v>
      </c>
      <c r="H1268" s="51" t="s">
        <v>1005</v>
      </c>
      <c r="I1268" s="51" t="s">
        <v>1005</v>
      </c>
      <c r="J1268" s="50" t="str">
        <f t="shared" si="38"/>
        <v>7960923045.pdf</v>
      </c>
      <c r="K1268" s="51" t="s">
        <v>1006</v>
      </c>
      <c r="L1268" s="51" t="s">
        <v>1203</v>
      </c>
      <c r="M1268" s="50" t="str">
        <f t="shared" si="39"/>
        <v>13.800</v>
      </c>
      <c r="N1268" s="50" t="str">
        <f>IF(A1268&lt;&gt;"",VLOOKUP(RIGHT(A1268,3)*1,[4]Des_Loc!A:B,2,0),"")</f>
        <v>AUGUSTINOPOLIS</v>
      </c>
    </row>
    <row r="1269" spans="1:14" ht="16.5" customHeight="1" x14ac:dyDescent="0.25">
      <c r="A1269" s="52">
        <v>7965089045</v>
      </c>
      <c r="B1269" s="51" t="s">
        <v>1003</v>
      </c>
      <c r="C1269" s="51" t="s">
        <v>1025</v>
      </c>
      <c r="D1269" s="51" t="s">
        <v>1011</v>
      </c>
      <c r="E1269" s="51" t="s">
        <v>1005</v>
      </c>
      <c r="F1269" s="51" t="s">
        <v>1011</v>
      </c>
      <c r="G1269" s="51" t="s">
        <v>1005</v>
      </c>
      <c r="H1269" s="51" t="s">
        <v>1005</v>
      </c>
      <c r="I1269" s="51" t="s">
        <v>1011</v>
      </c>
      <c r="J1269" s="50" t="str">
        <f t="shared" si="38"/>
        <v>7965089045.pdf</v>
      </c>
      <c r="K1269" s="51" t="s">
        <v>1006</v>
      </c>
      <c r="L1269" s="51" t="s">
        <v>1203</v>
      </c>
      <c r="M1269" s="50" t="str">
        <f t="shared" si="39"/>
        <v>13.800</v>
      </c>
      <c r="N1269" s="50" t="str">
        <f>IF(A1269&lt;&gt;"",VLOOKUP(RIGHT(A1269,3)*1,[4]Des_Loc!A:B,2,0),"")</f>
        <v>AUGUSTINOPOLIS</v>
      </c>
    </row>
    <row r="1270" spans="1:14" ht="16.5" customHeight="1" x14ac:dyDescent="0.25">
      <c r="A1270" s="52">
        <v>7965032004</v>
      </c>
      <c r="B1270" s="51" t="s">
        <v>1003</v>
      </c>
      <c r="C1270" s="51" t="s">
        <v>1010</v>
      </c>
      <c r="D1270" s="51" t="s">
        <v>1011</v>
      </c>
      <c r="E1270" s="51" t="s">
        <v>1005</v>
      </c>
      <c r="F1270" s="51" t="s">
        <v>1011</v>
      </c>
      <c r="G1270" s="51" t="s">
        <v>1005</v>
      </c>
      <c r="H1270" s="51" t="s">
        <v>1005</v>
      </c>
      <c r="I1270" s="51" t="s">
        <v>1011</v>
      </c>
      <c r="J1270" s="50" t="str">
        <f t="shared" si="38"/>
        <v>7965032004.pdf</v>
      </c>
      <c r="K1270" s="51" t="s">
        <v>1006</v>
      </c>
      <c r="L1270" s="51" t="s">
        <v>1123</v>
      </c>
      <c r="M1270" s="50" t="str">
        <f t="shared" si="39"/>
        <v>13.800</v>
      </c>
      <c r="N1270" s="50" t="str">
        <f>IF(A1270&lt;&gt;"",VLOOKUP(RIGHT(A1270,3)*1,[4]Des_Loc!A:B,2,0),"")</f>
        <v>ARAGUAINA</v>
      </c>
    </row>
    <row r="1271" spans="1:14" ht="16.5" customHeight="1" x14ac:dyDescent="0.25">
      <c r="A1271" s="52">
        <v>7963521038</v>
      </c>
      <c r="B1271" s="51" t="s">
        <v>1003</v>
      </c>
      <c r="C1271" s="51" t="s">
        <v>1008</v>
      </c>
      <c r="D1271" s="51" t="s">
        <v>1011</v>
      </c>
      <c r="E1271" s="51" t="s">
        <v>1005</v>
      </c>
      <c r="F1271" s="51" t="s">
        <v>1005</v>
      </c>
      <c r="G1271" s="51" t="s">
        <v>1005</v>
      </c>
      <c r="H1271" s="51" t="s">
        <v>1005</v>
      </c>
      <c r="I1271" s="51" t="s">
        <v>1005</v>
      </c>
      <c r="J1271" s="50" t="str">
        <f t="shared" si="38"/>
        <v>7963521038.pdf</v>
      </c>
      <c r="K1271" s="51" t="s">
        <v>1006</v>
      </c>
      <c r="L1271" s="51" t="s">
        <v>1094</v>
      </c>
      <c r="M1271" s="50" t="str">
        <f t="shared" si="39"/>
        <v>34.500</v>
      </c>
      <c r="N1271" s="50" t="str">
        <f>IF(A1271&lt;&gt;"",VLOOKUP(RIGHT(A1271,3)*1,[4]Des_Loc!A:B,2,0),"")</f>
        <v>TAGUATINGA</v>
      </c>
    </row>
    <row r="1272" spans="1:14" ht="16.5" customHeight="1" x14ac:dyDescent="0.25">
      <c r="A1272" s="52">
        <v>7963508027</v>
      </c>
      <c r="B1272" s="51" t="s">
        <v>1003</v>
      </c>
      <c r="C1272" s="51" t="s">
        <v>1010</v>
      </c>
      <c r="D1272" s="51" t="s">
        <v>1011</v>
      </c>
      <c r="E1272" s="51" t="s">
        <v>1005</v>
      </c>
      <c r="F1272" s="51" t="s">
        <v>1005</v>
      </c>
      <c r="G1272" s="51" t="s">
        <v>1005</v>
      </c>
      <c r="H1272" s="51" t="s">
        <v>1005</v>
      </c>
      <c r="I1272" s="51" t="s">
        <v>1005</v>
      </c>
      <c r="J1272" s="50" t="str">
        <f t="shared" si="38"/>
        <v>7963508027.pdf</v>
      </c>
      <c r="K1272" s="51" t="s">
        <v>1006</v>
      </c>
      <c r="L1272" s="51" t="s">
        <v>1094</v>
      </c>
      <c r="M1272" s="50" t="str">
        <f t="shared" si="39"/>
        <v>34.500</v>
      </c>
      <c r="N1272" s="50" t="str">
        <f>IF(A1272&lt;&gt;"",VLOOKUP(RIGHT(A1272,3)*1,[4]Des_Loc!A:B,2,0),"")</f>
        <v>PONTE ALTA BOM JESUS</v>
      </c>
    </row>
    <row r="1273" spans="1:14" ht="16.5" customHeight="1" x14ac:dyDescent="0.25">
      <c r="A1273" s="52">
        <v>7964815091</v>
      </c>
      <c r="B1273" s="51" t="s">
        <v>1003</v>
      </c>
      <c r="C1273" s="51" t="s">
        <v>1010</v>
      </c>
      <c r="D1273" s="51" t="s">
        <v>1011</v>
      </c>
      <c r="E1273" s="51" t="s">
        <v>1005</v>
      </c>
      <c r="F1273" s="51" t="s">
        <v>1005</v>
      </c>
      <c r="G1273" s="51" t="s">
        <v>1005</v>
      </c>
      <c r="H1273" s="51" t="s">
        <v>1005</v>
      </c>
      <c r="I1273" s="51" t="s">
        <v>1005</v>
      </c>
      <c r="J1273" s="50" t="str">
        <f t="shared" si="38"/>
        <v>7964815091.pdf</v>
      </c>
      <c r="K1273" s="51" t="s">
        <v>1006</v>
      </c>
      <c r="L1273" s="51" t="s">
        <v>1086</v>
      </c>
      <c r="M1273" s="50" t="str">
        <f t="shared" si="39"/>
        <v>34.500</v>
      </c>
      <c r="N1273" s="50" t="str">
        <f>IF(A1273&lt;&gt;"",VLOOKUP(RIGHT(A1273,3)*1,[4]Des_Loc!A:B,2,0),"")</f>
        <v>ALMAS</v>
      </c>
    </row>
    <row r="1274" spans="1:14" ht="16.5" customHeight="1" x14ac:dyDescent="0.25">
      <c r="A1274" s="52">
        <v>7961675122</v>
      </c>
      <c r="B1274" s="51" t="s">
        <v>1003</v>
      </c>
      <c r="C1274" s="51" t="s">
        <v>1010</v>
      </c>
      <c r="D1274" s="51" t="s">
        <v>1011</v>
      </c>
      <c r="E1274" s="51" t="s">
        <v>1005</v>
      </c>
      <c r="F1274" s="51" t="s">
        <v>1005</v>
      </c>
      <c r="G1274" s="51" t="s">
        <v>1005</v>
      </c>
      <c r="H1274" s="51" t="s">
        <v>1005</v>
      </c>
      <c r="I1274" s="51" t="s">
        <v>1005</v>
      </c>
      <c r="J1274" s="50" t="str">
        <f t="shared" si="38"/>
        <v>7961675122.pdf</v>
      </c>
      <c r="K1274" s="51" t="s">
        <v>1006</v>
      </c>
      <c r="L1274" s="51" t="s">
        <v>571</v>
      </c>
      <c r="M1274" s="50" t="str">
        <f t="shared" si="39"/>
        <v>34.500</v>
      </c>
      <c r="N1274" s="50" t="str">
        <f>IF(A1274&lt;&gt;"",VLOOKUP(RIGHT(A1274,3)*1,[4]Des_Loc!A:B,2,0),"")</f>
        <v>PALMAS</v>
      </c>
    </row>
    <row r="1275" spans="1:14" ht="16.5" customHeight="1" x14ac:dyDescent="0.25">
      <c r="A1275" s="52">
        <v>7963500031</v>
      </c>
      <c r="B1275" s="51" t="s">
        <v>1003</v>
      </c>
      <c r="C1275" s="51" t="s">
        <v>1010</v>
      </c>
      <c r="D1275" s="51" t="s">
        <v>1011</v>
      </c>
      <c r="E1275" s="51" t="s">
        <v>1005</v>
      </c>
      <c r="F1275" s="51" t="s">
        <v>1005</v>
      </c>
      <c r="G1275" s="51" t="s">
        <v>1005</v>
      </c>
      <c r="H1275" s="51" t="s">
        <v>1005</v>
      </c>
      <c r="I1275" s="51" t="s">
        <v>1005</v>
      </c>
      <c r="J1275" s="50" t="str">
        <f t="shared" si="38"/>
        <v>7963500031.pdf</v>
      </c>
      <c r="K1275" s="51" t="s">
        <v>1006</v>
      </c>
      <c r="L1275" s="51" t="s">
        <v>1124</v>
      </c>
      <c r="M1275" s="50" t="str">
        <f t="shared" si="39"/>
        <v>34.500</v>
      </c>
      <c r="N1275" s="50" t="str">
        <f>IF(A1275&lt;&gt;"",VLOOKUP(RIGHT(A1275,3)*1,[4]Des_Loc!A:B,2,0),"")</f>
        <v>RIO DOS BOIS</v>
      </c>
    </row>
    <row r="1276" spans="1:14" ht="16.5" customHeight="1" x14ac:dyDescent="0.25">
      <c r="A1276" s="52">
        <v>7964816091</v>
      </c>
      <c r="B1276" s="51" t="s">
        <v>1003</v>
      </c>
      <c r="C1276" s="51" t="s">
        <v>1010</v>
      </c>
      <c r="D1276" s="51" t="s">
        <v>1011</v>
      </c>
      <c r="E1276" s="51" t="s">
        <v>1005</v>
      </c>
      <c r="F1276" s="51" t="s">
        <v>1011</v>
      </c>
      <c r="G1276" s="51" t="s">
        <v>1005</v>
      </c>
      <c r="H1276" s="51" t="s">
        <v>1005</v>
      </c>
      <c r="I1276" s="51" t="s">
        <v>1011</v>
      </c>
      <c r="J1276" s="50" t="str">
        <f t="shared" si="38"/>
        <v>7964816091.pdf</v>
      </c>
      <c r="K1276" s="51" t="s">
        <v>1006</v>
      </c>
      <c r="L1276" s="51" t="s">
        <v>1183</v>
      </c>
      <c r="M1276" s="50" t="str">
        <f t="shared" si="39"/>
        <v>34.500</v>
      </c>
      <c r="N1276" s="50" t="str">
        <f>IF(A1276&lt;&gt;"",VLOOKUP(RIGHT(A1276,3)*1,[4]Des_Loc!A:B,2,0),"")</f>
        <v>ALMAS</v>
      </c>
    </row>
    <row r="1277" spans="1:14" ht="16.5" customHeight="1" x14ac:dyDescent="0.25">
      <c r="A1277" s="52">
        <v>7962734119</v>
      </c>
      <c r="B1277" s="51" t="s">
        <v>1003</v>
      </c>
      <c r="C1277" s="51" t="s">
        <v>1008</v>
      </c>
      <c r="D1277" s="51" t="s">
        <v>1005</v>
      </c>
      <c r="E1277" s="51" t="s">
        <v>1005</v>
      </c>
      <c r="F1277" s="51" t="s">
        <v>1005</v>
      </c>
      <c r="G1277" s="51" t="s">
        <v>1005</v>
      </c>
      <c r="H1277" s="51" t="s">
        <v>1005</v>
      </c>
      <c r="I1277" s="51" t="s">
        <v>1005</v>
      </c>
      <c r="J1277" s="50" t="str">
        <f t="shared" si="38"/>
        <v>7962734119.pdf</v>
      </c>
      <c r="K1277" s="51" t="s">
        <v>1006</v>
      </c>
      <c r="L1277" s="51" t="s">
        <v>453</v>
      </c>
      <c r="M1277" s="50" t="str">
        <f t="shared" si="39"/>
        <v>34.500</v>
      </c>
      <c r="N1277" s="50" t="str">
        <f>IF(A1277&lt;&gt;"",VLOOKUP(RIGHT(A1277,3)*1,[4]Des_Loc!A:B,2,0),"")</f>
        <v>SAO BENTO DO TOCANTINS</v>
      </c>
    </row>
    <row r="1278" spans="1:14" ht="16.5" customHeight="1" x14ac:dyDescent="0.25">
      <c r="A1278" s="52">
        <v>7963661046</v>
      </c>
      <c r="B1278" s="51" t="s">
        <v>1003</v>
      </c>
      <c r="C1278" s="51" t="s">
        <v>1025</v>
      </c>
      <c r="D1278" s="51" t="s">
        <v>1011</v>
      </c>
      <c r="E1278" s="51" t="s">
        <v>1005</v>
      </c>
      <c r="F1278" s="51" t="s">
        <v>1011</v>
      </c>
      <c r="G1278" s="51" t="s">
        <v>1011</v>
      </c>
      <c r="H1278" s="51" t="s">
        <v>1011</v>
      </c>
      <c r="I1278" s="51" t="s">
        <v>1011</v>
      </c>
      <c r="J1278" s="50" t="str">
        <f t="shared" si="38"/>
        <v>7963661046.pdf</v>
      </c>
      <c r="K1278" s="51" t="s">
        <v>1006</v>
      </c>
      <c r="L1278" s="51" t="s">
        <v>1019</v>
      </c>
      <c r="M1278" s="50" t="str">
        <f t="shared" si="39"/>
        <v>34.500</v>
      </c>
      <c r="N1278" s="50" t="str">
        <f>IF(A1278&lt;&gt;"",VLOOKUP(RIGHT(A1278,3)*1,[4]Des_Loc!A:B,2,0),"")</f>
        <v>NOVA ROSALANDIA</v>
      </c>
    </row>
    <row r="1279" spans="1:14" ht="16.5" customHeight="1" x14ac:dyDescent="0.25">
      <c r="A1279" s="52">
        <v>7964802072</v>
      </c>
      <c r="B1279" s="51" t="s">
        <v>1003</v>
      </c>
      <c r="C1279" s="51" t="s">
        <v>1010</v>
      </c>
      <c r="D1279" s="51" t="s">
        <v>1011</v>
      </c>
      <c r="E1279" s="51" t="s">
        <v>1005</v>
      </c>
      <c r="F1279" s="51" t="s">
        <v>1011</v>
      </c>
      <c r="G1279" s="51" t="s">
        <v>1005</v>
      </c>
      <c r="H1279" s="51" t="s">
        <v>1005</v>
      </c>
      <c r="I1279" s="51" t="s">
        <v>1011</v>
      </c>
      <c r="J1279" s="50" t="str">
        <f t="shared" si="38"/>
        <v>7964802072.pdf</v>
      </c>
      <c r="K1279" s="51" t="s">
        <v>1006</v>
      </c>
      <c r="L1279" s="51" t="s">
        <v>616</v>
      </c>
      <c r="M1279" s="50" t="str">
        <f t="shared" si="39"/>
        <v>34.500</v>
      </c>
      <c r="N1279" s="50" t="str">
        <f>IF(A1279&lt;&gt;"",VLOOKUP(RIGHT(A1279,3)*1,[4]Des_Loc!A:B,2,0),"")</f>
        <v>CONCEICAO DO TOCANTINS</v>
      </c>
    </row>
    <row r="1280" spans="1:14" ht="16.5" customHeight="1" x14ac:dyDescent="0.25">
      <c r="A1280" s="52">
        <v>7963997027</v>
      </c>
      <c r="B1280" s="51" t="s">
        <v>1003</v>
      </c>
      <c r="C1280" s="51" t="s">
        <v>1025</v>
      </c>
      <c r="D1280" s="51" t="s">
        <v>1011</v>
      </c>
      <c r="E1280" s="51" t="s">
        <v>1005</v>
      </c>
      <c r="F1280" s="51" t="s">
        <v>1011</v>
      </c>
      <c r="G1280" s="51" t="s">
        <v>1011</v>
      </c>
      <c r="H1280" s="51" t="s">
        <v>1005</v>
      </c>
      <c r="I1280" s="51" t="s">
        <v>1011</v>
      </c>
      <c r="J1280" s="50" t="str">
        <f t="shared" si="38"/>
        <v>7963997027.pdf</v>
      </c>
      <c r="K1280" s="51" t="s">
        <v>1006</v>
      </c>
      <c r="L1280" s="51" t="s">
        <v>1094</v>
      </c>
      <c r="M1280" s="50" t="str">
        <f t="shared" si="39"/>
        <v>34.500</v>
      </c>
      <c r="N1280" s="50" t="str">
        <f>IF(A1280&lt;&gt;"",VLOOKUP(RIGHT(A1280,3)*1,[4]Des_Loc!A:B,2,0),"")</f>
        <v>PONTE ALTA BOM JESUS</v>
      </c>
    </row>
    <row r="1281" spans="1:14" ht="16.5" customHeight="1" x14ac:dyDescent="0.25">
      <c r="A1281" s="52">
        <v>7960787037</v>
      </c>
      <c r="B1281" s="51" t="s">
        <v>1003</v>
      </c>
      <c r="C1281" s="51" t="s">
        <v>1021</v>
      </c>
      <c r="D1281" s="51" t="s">
        <v>1011</v>
      </c>
      <c r="E1281" s="51" t="s">
        <v>1005</v>
      </c>
      <c r="F1281" s="51" t="s">
        <v>1005</v>
      </c>
      <c r="G1281" s="51" t="s">
        <v>1005</v>
      </c>
      <c r="H1281" s="51" t="s">
        <v>1005</v>
      </c>
      <c r="I1281" s="51" t="s">
        <v>1005</v>
      </c>
      <c r="J1281" s="50" t="str">
        <f t="shared" si="38"/>
        <v>7960787037.pdf</v>
      </c>
      <c r="K1281" s="51" t="s">
        <v>1006</v>
      </c>
      <c r="L1281" s="51" t="s">
        <v>1098</v>
      </c>
      <c r="M1281" s="50" t="str">
        <f t="shared" si="39"/>
        <v>34.500</v>
      </c>
      <c r="N1281" s="50" t="str">
        <f>IF(A1281&lt;&gt;"",VLOOKUP(RIGHT(A1281,3)*1,[4]Des_Loc!A:B,2,0),"")</f>
        <v>ALIANCA DO TOCANTINS</v>
      </c>
    </row>
    <row r="1282" spans="1:14" ht="16.5" customHeight="1" x14ac:dyDescent="0.25">
      <c r="A1282" s="52">
        <v>7962821013</v>
      </c>
      <c r="B1282" s="51" t="s">
        <v>1003</v>
      </c>
      <c r="C1282" s="51" t="s">
        <v>1025</v>
      </c>
      <c r="D1282" s="51" t="s">
        <v>1011</v>
      </c>
      <c r="E1282" s="51" t="s">
        <v>1005</v>
      </c>
      <c r="F1282" s="51" t="s">
        <v>1011</v>
      </c>
      <c r="G1282" s="51" t="s">
        <v>1005</v>
      </c>
      <c r="H1282" s="51" t="s">
        <v>1005</v>
      </c>
      <c r="I1282" s="51" t="s">
        <v>1011</v>
      </c>
      <c r="J1282" s="50" t="str">
        <f t="shared" ref="J1282:J1293" si="40">CONCATENATE(A1282,".pdf")</f>
        <v>7962821013.pdf</v>
      </c>
      <c r="K1282" s="51" t="s">
        <v>1006</v>
      </c>
      <c r="L1282" s="51" t="s">
        <v>476</v>
      </c>
      <c r="M1282" s="50" t="str">
        <f t="shared" ref="M1282:M1293" si="41">IF(L1282&lt;&gt;"",IF(LEFT(L1282,2)="AL","13.800","34.500"),"")</f>
        <v>13.800</v>
      </c>
      <c r="N1282" s="50" t="str">
        <f>IF(A1282&lt;&gt;"",VLOOKUP(RIGHT(A1282,3)*1,[4]Des_Loc!A:B,2,0),"")</f>
        <v>PARAISO DO TOCANTINS</v>
      </c>
    </row>
    <row r="1283" spans="1:14" ht="16.5" customHeight="1" x14ac:dyDescent="0.25">
      <c r="A1283" s="52">
        <v>7924620042</v>
      </c>
      <c r="B1283" s="51" t="s">
        <v>1003</v>
      </c>
      <c r="C1283" s="51" t="s">
        <v>1004</v>
      </c>
      <c r="D1283" s="51" t="s">
        <v>1011</v>
      </c>
      <c r="E1283" s="51" t="s">
        <v>1005</v>
      </c>
      <c r="F1283" s="51" t="s">
        <v>1005</v>
      </c>
      <c r="G1283" s="51" t="s">
        <v>1005</v>
      </c>
      <c r="H1283" s="51" t="s">
        <v>1005</v>
      </c>
      <c r="I1283" s="51" t="s">
        <v>1005</v>
      </c>
      <c r="J1283" s="50" t="str">
        <f t="shared" si="40"/>
        <v>7924620042.pdf</v>
      </c>
      <c r="K1283" s="51" t="s">
        <v>1067</v>
      </c>
      <c r="L1283" s="51" t="s">
        <v>1087</v>
      </c>
      <c r="M1283" s="50" t="str">
        <f t="shared" si="41"/>
        <v>13.800</v>
      </c>
      <c r="N1283" s="50" t="str">
        <f>IF(A1283&lt;&gt;"",VLOOKUP(RIGHT(A1283,3)*1,[4]Des_Loc!A:B,2,0),"")</f>
        <v>CARIRI DO TOCANTINS</v>
      </c>
    </row>
    <row r="1284" spans="1:14" ht="16.5" customHeight="1" x14ac:dyDescent="0.25">
      <c r="A1284" s="52">
        <v>7965013080</v>
      </c>
      <c r="B1284" s="51" t="s">
        <v>1003</v>
      </c>
      <c r="C1284" s="51" t="s">
        <v>1010</v>
      </c>
      <c r="D1284" s="51" t="s">
        <v>1011</v>
      </c>
      <c r="E1284" s="51" t="s">
        <v>1005</v>
      </c>
      <c r="F1284" s="51" t="s">
        <v>1005</v>
      </c>
      <c r="G1284" s="51" t="s">
        <v>1005</v>
      </c>
      <c r="H1284" s="51" t="s">
        <v>1005</v>
      </c>
      <c r="I1284" s="51" t="s">
        <v>1005</v>
      </c>
      <c r="J1284" s="50" t="str">
        <f t="shared" si="40"/>
        <v>7965013080.pdf</v>
      </c>
      <c r="K1284" s="51" t="s">
        <v>1006</v>
      </c>
      <c r="L1284" s="51" t="s">
        <v>497</v>
      </c>
      <c r="M1284" s="50" t="str">
        <f t="shared" si="41"/>
        <v>34.500</v>
      </c>
      <c r="N1284" s="50" t="str">
        <f>IF(A1284&lt;&gt;"",VLOOKUP(RIGHT(A1284,3)*1,[4]Des_Loc!A:B,2,0),"")</f>
        <v>DARCINOPOLIS</v>
      </c>
    </row>
    <row r="1285" spans="1:14" ht="16.5" customHeight="1" x14ac:dyDescent="0.25">
      <c r="A1285" s="52">
        <v>7967181127</v>
      </c>
      <c r="B1285" s="51" t="s">
        <v>1003</v>
      </c>
      <c r="C1285" s="51" t="s">
        <v>1010</v>
      </c>
      <c r="D1285" s="51" t="s">
        <v>1011</v>
      </c>
      <c r="E1285" s="51" t="s">
        <v>1005</v>
      </c>
      <c r="F1285" s="51" t="s">
        <v>1005</v>
      </c>
      <c r="G1285" s="51" t="s">
        <v>1005</v>
      </c>
      <c r="H1285" s="51" t="s">
        <v>1005</v>
      </c>
      <c r="I1285" s="51" t="s">
        <v>1005</v>
      </c>
      <c r="J1285" s="50" t="str">
        <f t="shared" si="40"/>
        <v>7967181127.pdf</v>
      </c>
      <c r="K1285" s="51" t="s">
        <v>1006</v>
      </c>
      <c r="L1285" s="51" t="s">
        <v>594</v>
      </c>
      <c r="M1285" s="50" t="str">
        <f t="shared" si="41"/>
        <v>34.500</v>
      </c>
      <c r="N1285" s="50" t="str">
        <f>IF(A1285&lt;&gt;"",VLOOKUP(RIGHT(A1285,3)*1,[4]Des_Loc!A:B,2,0),"")</f>
        <v>PALMEIRAS DO TOCANTINS</v>
      </c>
    </row>
    <row r="1286" spans="1:14" ht="16.5" customHeight="1" x14ac:dyDescent="0.25">
      <c r="A1286" s="52">
        <v>7962635060</v>
      </c>
      <c r="B1286" s="51" t="s">
        <v>1003</v>
      </c>
      <c r="C1286" s="51" t="s">
        <v>1010</v>
      </c>
      <c r="D1286" s="51" t="s">
        <v>1011</v>
      </c>
      <c r="E1286" s="51" t="s">
        <v>1005</v>
      </c>
      <c r="F1286" s="51" t="s">
        <v>1011</v>
      </c>
      <c r="G1286" s="51" t="s">
        <v>1011</v>
      </c>
      <c r="H1286" s="51" t="s">
        <v>1005</v>
      </c>
      <c r="I1286" s="51" t="s">
        <v>1011</v>
      </c>
      <c r="J1286" s="50" t="str">
        <f t="shared" si="40"/>
        <v>7962635060.pdf</v>
      </c>
      <c r="K1286" s="51" t="s">
        <v>1006</v>
      </c>
      <c r="L1286" s="51" t="s">
        <v>412</v>
      </c>
      <c r="M1286" s="50" t="str">
        <f t="shared" si="41"/>
        <v>13.800</v>
      </c>
      <c r="N1286" s="50" t="str">
        <f>IF(A1286&lt;&gt;"",VLOOKUP(RIGHT(A1286,3)*1,[4]Des_Loc!A:B,2,0),"")</f>
        <v>NOVA OLINDA</v>
      </c>
    </row>
    <row r="1287" spans="1:14" ht="16.5" customHeight="1" x14ac:dyDescent="0.25">
      <c r="A1287" s="52">
        <v>7967182124</v>
      </c>
      <c r="B1287" s="51" t="s">
        <v>1003</v>
      </c>
      <c r="C1287" s="51" t="s">
        <v>1025</v>
      </c>
      <c r="D1287" s="51" t="s">
        <v>1011</v>
      </c>
      <c r="E1287" s="51" t="s">
        <v>1005</v>
      </c>
      <c r="F1287" s="51" t="s">
        <v>1005</v>
      </c>
      <c r="G1287" s="51" t="s">
        <v>1005</v>
      </c>
      <c r="H1287" s="51" t="s">
        <v>1005</v>
      </c>
      <c r="I1287" s="51" t="s">
        <v>1005</v>
      </c>
      <c r="J1287" s="50" t="str">
        <f t="shared" si="40"/>
        <v>7967182124.pdf</v>
      </c>
      <c r="K1287" s="51" t="s">
        <v>1006</v>
      </c>
      <c r="L1287" s="51" t="s">
        <v>1081</v>
      </c>
      <c r="M1287" s="50" t="str">
        <f t="shared" si="41"/>
        <v>13.800</v>
      </c>
      <c r="N1287" s="50" t="str">
        <f>IF(A1287&lt;&gt;"",VLOOKUP(RIGHT(A1287,3)*1,[4]Des_Loc!A:B,2,0),"")</f>
        <v>RIACHINHO</v>
      </c>
    </row>
    <row r="1288" spans="1:14" ht="16.5" customHeight="1" x14ac:dyDescent="0.25">
      <c r="A1288" s="52">
        <v>7965133015</v>
      </c>
      <c r="B1288" s="51" t="s">
        <v>1003</v>
      </c>
      <c r="C1288" s="51" t="s">
        <v>1025</v>
      </c>
      <c r="D1288" s="51" t="s">
        <v>1011</v>
      </c>
      <c r="E1288" s="51" t="s">
        <v>1005</v>
      </c>
      <c r="F1288" s="51" t="s">
        <v>1011</v>
      </c>
      <c r="G1288" s="51" t="s">
        <v>1011</v>
      </c>
      <c r="H1288" s="51" t="s">
        <v>1005</v>
      </c>
      <c r="I1288" s="51" t="s">
        <v>1011</v>
      </c>
      <c r="J1288" s="50" t="str">
        <f t="shared" si="40"/>
        <v>7965133015.pdf</v>
      </c>
      <c r="K1288" s="51" t="s">
        <v>1006</v>
      </c>
      <c r="L1288" s="51" t="s">
        <v>754</v>
      </c>
      <c r="M1288" s="50" t="str">
        <f t="shared" si="41"/>
        <v>34.500</v>
      </c>
      <c r="N1288" s="50" t="str">
        <f>IF(A1288&lt;&gt;"",VLOOKUP(RIGHT(A1288,3)*1,[4]Des_Loc!A:B,2,0),"")</f>
        <v>PEDRO AFONSO</v>
      </c>
    </row>
    <row r="1289" spans="1:14" ht="16.5" customHeight="1" x14ac:dyDescent="0.25">
      <c r="A1289" s="52">
        <v>7963253008</v>
      </c>
      <c r="B1289" s="51" t="s">
        <v>1003</v>
      </c>
      <c r="C1289" s="51" t="s">
        <v>1025</v>
      </c>
      <c r="D1289" s="51" t="s">
        <v>1011</v>
      </c>
      <c r="E1289" s="51" t="s">
        <v>1005</v>
      </c>
      <c r="F1289" s="51" t="s">
        <v>1011</v>
      </c>
      <c r="G1289" s="51" t="s">
        <v>1011</v>
      </c>
      <c r="H1289" s="51" t="s">
        <v>1005</v>
      </c>
      <c r="I1289" s="51" t="s">
        <v>1011</v>
      </c>
      <c r="J1289" s="50" t="str">
        <f t="shared" si="40"/>
        <v>7963253008.pdf</v>
      </c>
      <c r="K1289" s="51" t="s">
        <v>1006</v>
      </c>
      <c r="L1289" s="51" t="s">
        <v>1063</v>
      </c>
      <c r="M1289" s="50" t="str">
        <f t="shared" si="41"/>
        <v>34.500</v>
      </c>
      <c r="N1289" s="50" t="str">
        <f>IF(A1289&lt;&gt;"",VLOOKUP(RIGHT(A1289,3)*1,[4]Des_Loc!A:B,2,0),"")</f>
        <v>MIRANORTE</v>
      </c>
    </row>
    <row r="1290" spans="1:14" ht="16.5" customHeight="1" x14ac:dyDescent="0.25">
      <c r="A1290" s="52">
        <v>7954395015</v>
      </c>
      <c r="B1290" s="51" t="s">
        <v>1003</v>
      </c>
      <c r="C1290" s="51" t="s">
        <v>1010</v>
      </c>
      <c r="D1290" s="51" t="s">
        <v>1011</v>
      </c>
      <c r="E1290" s="51" t="s">
        <v>1005</v>
      </c>
      <c r="F1290" s="51" t="s">
        <v>1011</v>
      </c>
      <c r="G1290" s="51" t="s">
        <v>1005</v>
      </c>
      <c r="H1290" s="51" t="s">
        <v>1005</v>
      </c>
      <c r="I1290" s="51" t="s">
        <v>1011</v>
      </c>
      <c r="J1290" s="50" t="str">
        <f t="shared" si="40"/>
        <v>7954395015.pdf</v>
      </c>
      <c r="K1290" s="51" t="s">
        <v>1006</v>
      </c>
      <c r="L1290" s="51" t="s">
        <v>491</v>
      </c>
      <c r="M1290" s="50" t="str">
        <f t="shared" si="41"/>
        <v>34.500</v>
      </c>
      <c r="N1290" s="50" t="str">
        <f>IF(A1290&lt;&gt;"",VLOOKUP(RIGHT(A1290,3)*1,[4]Des_Loc!A:B,2,0),"")</f>
        <v>PEDRO AFONSO</v>
      </c>
    </row>
    <row r="1291" spans="1:14" ht="16.5" customHeight="1" x14ac:dyDescent="0.25">
      <c r="A1291" s="52">
        <v>7963511038</v>
      </c>
      <c r="B1291" s="51" t="s">
        <v>1003</v>
      </c>
      <c r="C1291" s="51" t="s">
        <v>1010</v>
      </c>
      <c r="D1291" s="51" t="s">
        <v>1011</v>
      </c>
      <c r="E1291" s="51" t="s">
        <v>1011</v>
      </c>
      <c r="F1291" s="51" t="s">
        <v>1011</v>
      </c>
      <c r="G1291" s="51" t="s">
        <v>1005</v>
      </c>
      <c r="H1291" s="51" t="s">
        <v>1005</v>
      </c>
      <c r="I1291" s="51" t="s">
        <v>1011</v>
      </c>
      <c r="J1291" s="50" t="str">
        <f t="shared" si="40"/>
        <v>7963511038.pdf</v>
      </c>
      <c r="K1291" s="51" t="s">
        <v>1006</v>
      </c>
      <c r="L1291" s="51" t="s">
        <v>1094</v>
      </c>
      <c r="M1291" s="50" t="str">
        <f t="shared" si="41"/>
        <v>34.500</v>
      </c>
      <c r="N1291" s="50" t="str">
        <f>IF(A1291&lt;&gt;"",VLOOKUP(RIGHT(A1291,3)*1,[4]Des_Loc!A:B,2,0),"")</f>
        <v>TAGUATINGA</v>
      </c>
    </row>
    <row r="1292" spans="1:14" ht="16.5" customHeight="1" x14ac:dyDescent="0.25">
      <c r="A1292" s="52">
        <v>7964751038</v>
      </c>
      <c r="B1292" s="51" t="s">
        <v>1003</v>
      </c>
      <c r="C1292" s="51" t="s">
        <v>1010</v>
      </c>
      <c r="D1292" s="51" t="s">
        <v>1011</v>
      </c>
      <c r="E1292" s="51" t="s">
        <v>1011</v>
      </c>
      <c r="F1292" s="51" t="s">
        <v>1011</v>
      </c>
      <c r="G1292" s="51" t="s">
        <v>1005</v>
      </c>
      <c r="H1292" s="51" t="s">
        <v>1005</v>
      </c>
      <c r="I1292" s="51" t="s">
        <v>1011</v>
      </c>
      <c r="J1292" s="50" t="str">
        <f t="shared" si="40"/>
        <v>7964751038.pdf</v>
      </c>
      <c r="K1292" s="51" t="s">
        <v>1006</v>
      </c>
      <c r="L1292" s="51" t="s">
        <v>1094</v>
      </c>
      <c r="M1292" s="50" t="str">
        <f t="shared" si="41"/>
        <v>34.500</v>
      </c>
      <c r="N1292" s="50" t="str">
        <f>IF(A1292&lt;&gt;"",VLOOKUP(RIGHT(A1292,3)*1,[4]Des_Loc!A:B,2,0),"")</f>
        <v>TAGUATINGA</v>
      </c>
    </row>
    <row r="1293" spans="1:14" ht="16.5" customHeight="1" x14ac:dyDescent="0.25">
      <c r="A1293" s="52">
        <v>7960070001</v>
      </c>
      <c r="B1293" s="51" t="s">
        <v>1003</v>
      </c>
      <c r="C1293" s="51" t="s">
        <v>1213</v>
      </c>
      <c r="D1293" s="51" t="s">
        <v>1011</v>
      </c>
      <c r="E1293" s="51" t="s">
        <v>1005</v>
      </c>
      <c r="F1293" s="51" t="s">
        <v>1011</v>
      </c>
      <c r="G1293" s="51" t="s">
        <v>1011</v>
      </c>
      <c r="H1293" s="51" t="s">
        <v>1005</v>
      </c>
      <c r="I1293" s="51" t="s">
        <v>1011</v>
      </c>
      <c r="J1293" s="50" t="str">
        <f t="shared" si="40"/>
        <v>7960070001.pdf</v>
      </c>
      <c r="K1293" s="51" t="s">
        <v>1232</v>
      </c>
      <c r="L1293" s="51" t="s">
        <v>1066</v>
      </c>
      <c r="M1293" s="50" t="str">
        <f t="shared" si="41"/>
        <v>13.800</v>
      </c>
      <c r="N1293" s="50" t="str">
        <f>IF(A1293&lt;&gt;"",VLOOKUP(RIGHT(A1293,3)*1,[4]Des_Loc!A:B,2,0),"")</f>
        <v>PORTO NACIONAL</v>
      </c>
    </row>
    <row r="1294" spans="1:14" ht="16.5" customHeight="1" x14ac:dyDescent="0.25">
      <c r="A1294" s="52"/>
      <c r="B1294" s="51"/>
      <c r="C1294" s="51"/>
      <c r="D1294" s="51"/>
      <c r="E1294" s="51"/>
      <c r="F1294" s="51"/>
      <c r="G1294" s="51"/>
      <c r="H1294" s="51"/>
      <c r="I1294" s="51"/>
      <c r="J1294" s="50"/>
      <c r="K1294" s="51"/>
      <c r="L1294" s="51"/>
      <c r="M1294" s="51"/>
      <c r="N1294" s="50" t="str">
        <f>IF(A1294&lt;&gt;"",VLOOKUP(RIGHT(A1294,3)*1,[4]Des_Loc!A:B,2,0),"")</f>
        <v/>
      </c>
    </row>
    <row r="1295" spans="1:14" ht="16.5" customHeight="1" x14ac:dyDescent="0.25">
      <c r="A1295" s="52"/>
      <c r="B1295" s="51"/>
      <c r="C1295" s="51"/>
      <c r="D1295" s="51"/>
      <c r="E1295" s="51"/>
      <c r="F1295" s="51"/>
      <c r="G1295" s="51"/>
      <c r="H1295" s="51"/>
      <c r="I1295" s="51"/>
      <c r="J1295" s="50"/>
      <c r="K1295" s="51"/>
      <c r="L1295" s="51"/>
      <c r="N1295" s="50" t="str">
        <f>IF(A1295&lt;&gt;"",VLOOKUP(RIGHT(A1295,3)*1,[4]Des_Loc!A:B,2,0),"")</f>
        <v/>
      </c>
    </row>
    <row r="1296" spans="1:14" ht="16.5" customHeight="1" x14ac:dyDescent="0.25">
      <c r="A1296" s="52"/>
      <c r="B1296" s="51"/>
      <c r="C1296" s="51"/>
      <c r="D1296" s="51"/>
      <c r="E1296" s="51"/>
      <c r="F1296" s="51"/>
      <c r="G1296" s="51"/>
      <c r="H1296" s="51"/>
      <c r="I1296" s="51"/>
      <c r="J1296" s="50"/>
      <c r="K1296" s="51"/>
      <c r="L1296" s="51"/>
      <c r="M1296" s="51"/>
      <c r="N1296" s="50" t="str">
        <f>IF(A1296&lt;&gt;"",VLOOKUP(RIGHT(A1296,3)*1,[4]Des_Loc!A:B,2,0),"")</f>
        <v/>
      </c>
    </row>
    <row r="1297" spans="1:14" ht="16.5" customHeight="1" x14ac:dyDescent="0.25">
      <c r="A1297" s="52"/>
      <c r="B1297" s="51"/>
      <c r="C1297" s="51"/>
      <c r="D1297" s="51"/>
      <c r="E1297" s="51"/>
      <c r="F1297" s="51"/>
      <c r="G1297" s="51"/>
      <c r="H1297" s="51"/>
      <c r="I1297" s="51"/>
      <c r="J1297" s="50"/>
      <c r="K1297" s="51"/>
      <c r="L1297" s="51"/>
      <c r="M1297" s="51"/>
      <c r="N1297" s="50" t="str">
        <f>IF(A1297&lt;&gt;"",VLOOKUP(RIGHT(A1297,3)*1,[4]Des_Loc!A:B,2,0),"")</f>
        <v/>
      </c>
    </row>
    <row r="1298" spans="1:14" ht="16.5" customHeight="1" x14ac:dyDescent="0.25">
      <c r="A1298" s="52"/>
      <c r="B1298" s="51"/>
      <c r="C1298" s="51"/>
      <c r="D1298" s="51"/>
      <c r="E1298" s="51"/>
      <c r="F1298" s="51"/>
      <c r="G1298" s="51"/>
      <c r="H1298" s="51"/>
      <c r="I1298" s="51"/>
      <c r="J1298" s="50"/>
      <c r="K1298" s="51"/>
      <c r="L1298" s="51"/>
      <c r="M1298" s="51"/>
      <c r="N1298" s="50" t="str">
        <f>IF(A1298&lt;&gt;"",VLOOKUP(RIGHT(A1298,3)*1,[4]Des_Loc!A:B,2,0),"")</f>
        <v/>
      </c>
    </row>
    <row r="1299" spans="1:14" ht="16.5" customHeight="1" x14ac:dyDescent="0.25">
      <c r="A1299" s="52"/>
      <c r="B1299" s="51"/>
      <c r="C1299" s="51"/>
      <c r="D1299" s="51"/>
      <c r="E1299" s="51"/>
      <c r="F1299" s="51"/>
      <c r="G1299" s="51"/>
      <c r="H1299" s="51"/>
      <c r="I1299" s="51"/>
      <c r="J1299" s="50"/>
      <c r="K1299" s="51"/>
      <c r="L1299" s="51"/>
      <c r="M1299" s="51"/>
      <c r="N1299" s="50" t="str">
        <f>IF(A1299&lt;&gt;"",VLOOKUP(RIGHT(A1299,3)*1,[4]Des_Loc!A:B,2,0),"")</f>
        <v/>
      </c>
    </row>
    <row r="1300" spans="1:14" ht="16.5" customHeight="1" x14ac:dyDescent="0.25">
      <c r="A1300" s="52"/>
      <c r="B1300" s="51"/>
      <c r="C1300" s="51"/>
      <c r="D1300" s="51"/>
      <c r="E1300" s="51"/>
      <c r="F1300" s="51"/>
      <c r="G1300" s="51"/>
      <c r="H1300" s="51"/>
      <c r="I1300" s="51"/>
      <c r="J1300" s="50"/>
      <c r="K1300" s="51"/>
      <c r="L1300" s="51"/>
      <c r="M1300" s="51"/>
      <c r="N1300" s="50" t="str">
        <f>IF(A1300&lt;&gt;"",VLOOKUP(RIGHT(A1300,3)*1,[4]Des_Loc!A:B,2,0),"")</f>
        <v/>
      </c>
    </row>
    <row r="1301" spans="1:14" ht="16.5" customHeight="1" x14ac:dyDescent="0.25">
      <c r="A1301" s="52"/>
      <c r="B1301" s="51"/>
      <c r="C1301" s="51"/>
      <c r="D1301" s="51"/>
      <c r="E1301" s="51"/>
      <c r="F1301" s="51"/>
      <c r="G1301" s="51"/>
      <c r="H1301" s="51"/>
      <c r="I1301" s="51"/>
      <c r="J1301" s="50"/>
      <c r="K1301" s="51"/>
      <c r="L1301" s="51"/>
      <c r="M1301" s="51"/>
      <c r="N1301" s="50" t="str">
        <f>IF(A1301&lt;&gt;"",VLOOKUP(RIGHT(A1301,3)*1,[4]Des_Loc!A:B,2,0),"")</f>
        <v/>
      </c>
    </row>
    <row r="1302" spans="1:14" ht="16.5" customHeight="1" x14ac:dyDescent="0.25">
      <c r="A1302" s="52"/>
      <c r="B1302" s="51"/>
      <c r="C1302" s="51"/>
      <c r="D1302" s="51"/>
      <c r="E1302" s="51"/>
      <c r="F1302" s="51"/>
      <c r="G1302" s="51"/>
      <c r="H1302" s="51"/>
      <c r="I1302" s="51"/>
      <c r="J1302" s="50"/>
      <c r="K1302" s="51"/>
      <c r="L1302" s="51"/>
      <c r="M1302" s="51"/>
      <c r="N1302" s="50" t="str">
        <f>IF(A1302&lt;&gt;"",VLOOKUP(RIGHT(A1302,3)*1,[4]Des_Loc!A:B,2,0),"")</f>
        <v/>
      </c>
    </row>
    <row r="1303" spans="1:14" ht="16.5" customHeight="1" x14ac:dyDescent="0.25">
      <c r="A1303" s="52"/>
      <c r="B1303" s="51"/>
      <c r="C1303" s="51"/>
      <c r="D1303" s="51"/>
      <c r="E1303" s="51"/>
      <c r="F1303" s="51"/>
      <c r="G1303" s="51"/>
      <c r="H1303" s="51"/>
      <c r="I1303" s="51"/>
      <c r="J1303" s="50"/>
      <c r="K1303" s="51"/>
      <c r="L1303" s="51"/>
      <c r="M1303" s="51"/>
      <c r="N1303" s="50" t="str">
        <f>IF(A1303&lt;&gt;"",VLOOKUP(RIGHT(A1303,3)*1,[4]Des_Loc!A:B,2,0),"")</f>
        <v/>
      </c>
    </row>
    <row r="1304" spans="1:14" ht="16.5" customHeight="1" x14ac:dyDescent="0.25">
      <c r="A1304" s="52"/>
      <c r="B1304" s="51"/>
      <c r="C1304" s="51"/>
      <c r="D1304" s="51"/>
      <c r="E1304" s="51"/>
      <c r="F1304" s="51"/>
      <c r="G1304" s="51"/>
      <c r="H1304" s="51"/>
      <c r="I1304" s="51"/>
      <c r="J1304" s="50"/>
      <c r="K1304" s="51"/>
      <c r="L1304" s="51"/>
      <c r="M1304" s="51"/>
      <c r="N1304" s="50" t="str">
        <f>IF(A1304&lt;&gt;"",VLOOKUP(RIGHT(A1304,3)*1,[4]Des_Loc!A:B,2,0),"")</f>
        <v/>
      </c>
    </row>
    <row r="1305" spans="1:14" ht="16.5" customHeight="1" x14ac:dyDescent="0.25">
      <c r="A1305" s="52"/>
      <c r="B1305" s="51"/>
      <c r="C1305" s="51"/>
      <c r="D1305" s="51"/>
      <c r="E1305" s="51"/>
      <c r="F1305" s="51"/>
      <c r="G1305" s="51"/>
      <c r="H1305" s="51"/>
      <c r="I1305" s="51"/>
      <c r="J1305" s="50"/>
      <c r="K1305" s="51"/>
      <c r="L1305" s="51"/>
      <c r="M1305" s="51"/>
      <c r="N1305" s="50" t="str">
        <f>IF(A1305&lt;&gt;"",VLOOKUP(RIGHT(A1305,3)*1,[4]Des_Loc!A:B,2,0),"")</f>
        <v/>
      </c>
    </row>
    <row r="1306" spans="1:14" ht="16.5" customHeight="1" x14ac:dyDescent="0.25">
      <c r="A1306" s="52"/>
      <c r="B1306" s="51"/>
      <c r="C1306" s="51"/>
      <c r="D1306" s="51"/>
      <c r="E1306" s="51"/>
      <c r="F1306" s="51"/>
      <c r="G1306" s="51"/>
      <c r="H1306" s="51"/>
      <c r="I1306" s="51"/>
      <c r="J1306" s="50"/>
      <c r="K1306" s="51"/>
      <c r="L1306" s="51"/>
      <c r="M1306" s="51"/>
      <c r="N1306" s="50" t="str">
        <f>IF(A1306&lt;&gt;"",VLOOKUP(RIGHT(A1306,3)*1,[4]Des_Loc!A:B,2,0),"")</f>
        <v/>
      </c>
    </row>
    <row r="1307" spans="1:14" ht="16.5" customHeight="1" x14ac:dyDescent="0.25">
      <c r="A1307" s="52"/>
      <c r="B1307" s="51"/>
      <c r="C1307" s="51"/>
      <c r="D1307" s="51"/>
      <c r="E1307" s="51"/>
      <c r="F1307" s="51"/>
      <c r="G1307" s="51"/>
      <c r="H1307" s="51"/>
      <c r="I1307" s="51"/>
      <c r="J1307" s="50"/>
      <c r="K1307" s="51"/>
      <c r="L1307" s="51"/>
      <c r="M1307" s="51"/>
      <c r="N1307" s="50" t="str">
        <f>IF(A1307&lt;&gt;"",VLOOKUP(RIGHT(A1307,3)*1,[4]Des_Loc!A:B,2,0),"")</f>
        <v/>
      </c>
    </row>
    <row r="1308" spans="1:14" ht="16.5" customHeight="1" x14ac:dyDescent="0.25">
      <c r="A1308" s="49"/>
      <c r="B1308" s="47"/>
      <c r="C1308" s="47"/>
      <c r="D1308" s="47"/>
      <c r="F1308" s="47"/>
      <c r="G1308" s="47"/>
      <c r="H1308" s="47"/>
      <c r="I1308" s="47"/>
      <c r="J1308" s="48"/>
      <c r="K1308" s="47"/>
      <c r="L1308" s="47"/>
      <c r="M1308" s="47"/>
      <c r="N1308" s="47"/>
    </row>
    <row r="1309" spans="1:14" ht="16.5" customHeight="1" x14ac:dyDescent="0.25">
      <c r="A1309" s="49"/>
      <c r="B1309" s="47"/>
      <c r="C1309" s="47"/>
      <c r="D1309" s="47"/>
      <c r="E1309" s="47"/>
      <c r="F1309" s="47"/>
      <c r="G1309" s="47"/>
      <c r="H1309" s="47"/>
      <c r="I1309" s="47"/>
      <c r="J1309" s="48"/>
      <c r="K1309" s="47"/>
      <c r="L1309" s="47"/>
      <c r="M1309" s="47"/>
      <c r="N1309" s="47"/>
    </row>
    <row r="1310" spans="1:14" ht="16.5" customHeight="1" x14ac:dyDescent="0.25">
      <c r="A1310" s="49"/>
      <c r="B1310" s="47"/>
      <c r="C1310" s="47"/>
      <c r="D1310" s="47"/>
      <c r="E1310" s="47"/>
      <c r="F1310" s="47"/>
      <c r="G1310" s="47"/>
      <c r="H1310" s="47"/>
      <c r="I1310" s="47"/>
      <c r="J1310" s="48"/>
      <c r="K1310" s="47"/>
      <c r="L1310" s="47"/>
      <c r="M1310" s="47"/>
      <c r="N1310" s="47"/>
    </row>
    <row r="1311" spans="1:14" ht="16.5" customHeight="1" x14ac:dyDescent="0.25">
      <c r="A1311" s="49"/>
      <c r="B1311" s="47"/>
      <c r="C1311" s="47"/>
      <c r="D1311" s="47"/>
      <c r="E1311" s="47"/>
      <c r="F1311" s="47"/>
      <c r="G1311" s="47"/>
      <c r="H1311" s="47"/>
      <c r="I1311" s="47"/>
      <c r="J1311" s="48"/>
      <c r="K1311" s="47"/>
      <c r="L1311" s="47"/>
      <c r="M1311" s="47"/>
      <c r="N1311" s="47"/>
    </row>
    <row r="1312" spans="1:14" ht="16.5" customHeight="1" x14ac:dyDescent="0.25">
      <c r="A1312" s="49"/>
      <c r="B1312" s="47"/>
      <c r="C1312" s="47"/>
      <c r="D1312" s="47"/>
      <c r="E1312" s="47"/>
      <c r="F1312" s="47"/>
      <c r="G1312" s="47"/>
      <c r="H1312" s="47"/>
      <c r="I1312" s="47"/>
      <c r="J1312" s="48"/>
      <c r="K1312" s="47"/>
      <c r="L1312" s="47"/>
      <c r="M1312" s="47"/>
      <c r="N1312" s="47"/>
    </row>
    <row r="1313" spans="1:14" ht="16.5" customHeight="1" x14ac:dyDescent="0.25">
      <c r="A1313" s="49"/>
      <c r="B1313" s="47"/>
      <c r="C1313" s="47"/>
      <c r="D1313" s="47"/>
      <c r="E1313" s="47"/>
      <c r="F1313" s="47"/>
      <c r="G1313" s="47"/>
      <c r="H1313" s="47"/>
      <c r="I1313" s="47"/>
      <c r="J1313" s="48"/>
      <c r="K1313" s="47"/>
      <c r="L1313" s="47"/>
      <c r="M1313" s="47"/>
      <c r="N1313" s="47"/>
    </row>
    <row r="1314" spans="1:14" ht="16.5" customHeight="1" x14ac:dyDescent="0.25">
      <c r="A1314" s="49"/>
      <c r="B1314" s="47"/>
      <c r="C1314" s="47"/>
      <c r="D1314" s="47"/>
      <c r="E1314" s="47"/>
      <c r="F1314" s="47"/>
      <c r="G1314" s="47"/>
      <c r="H1314" s="47"/>
      <c r="I1314" s="47"/>
      <c r="J1314" s="48"/>
      <c r="K1314" s="47"/>
      <c r="L1314" s="47"/>
      <c r="M1314" s="47"/>
      <c r="N1314" s="47"/>
    </row>
    <row r="1315" spans="1:14" ht="16.5" customHeight="1" x14ac:dyDescent="0.25">
      <c r="A1315" s="49"/>
      <c r="B1315" s="47"/>
      <c r="C1315" s="47"/>
      <c r="D1315" s="47"/>
      <c r="E1315" s="47"/>
      <c r="F1315" s="47"/>
      <c r="G1315" s="47"/>
      <c r="H1315" s="47"/>
      <c r="I1315" s="47"/>
      <c r="J1315" s="48"/>
      <c r="K1315" s="47"/>
      <c r="L1315" s="47"/>
      <c r="M1315" s="47"/>
      <c r="N1315" s="47"/>
    </row>
    <row r="1316" spans="1:14" ht="16.5" customHeight="1" x14ac:dyDescent="0.25">
      <c r="A1316" s="49"/>
      <c r="B1316" s="47"/>
      <c r="C1316" s="47"/>
      <c r="D1316" s="47"/>
      <c r="E1316" s="47"/>
      <c r="F1316" s="47"/>
      <c r="G1316" s="47"/>
      <c r="H1316" s="47"/>
      <c r="I1316" s="47"/>
      <c r="J1316" s="48"/>
      <c r="K1316" s="47"/>
      <c r="L1316" s="47"/>
      <c r="M1316" s="47"/>
      <c r="N1316" s="47"/>
    </row>
    <row r="1317" spans="1:14" ht="16.5" customHeight="1" x14ac:dyDescent="0.25">
      <c r="A1317" s="49"/>
      <c r="B1317" s="47"/>
      <c r="C1317" s="47"/>
      <c r="D1317" s="47"/>
      <c r="E1317" s="47"/>
      <c r="F1317" s="47"/>
      <c r="G1317" s="47"/>
      <c r="H1317" s="47"/>
      <c r="I1317" s="47"/>
      <c r="J1317" s="48"/>
      <c r="K1317" s="47"/>
      <c r="L1317" s="47"/>
      <c r="M1317" s="47"/>
      <c r="N1317" s="47"/>
    </row>
    <row r="1318" spans="1:14" ht="16.5" customHeight="1" x14ac:dyDescent="0.25">
      <c r="A1318" s="49"/>
      <c r="B1318" s="47"/>
      <c r="C1318" s="47"/>
      <c r="D1318" s="47"/>
      <c r="E1318" s="47"/>
      <c r="F1318" s="47"/>
      <c r="G1318" s="47"/>
      <c r="H1318" s="47"/>
      <c r="I1318" s="47"/>
      <c r="J1318" s="48"/>
      <c r="K1318" s="47"/>
      <c r="L1318" s="47"/>
      <c r="M1318" s="47"/>
      <c r="N1318" s="47"/>
    </row>
    <row r="1319" spans="1:14" ht="16.5" customHeight="1" x14ac:dyDescent="0.25">
      <c r="A1319" s="49"/>
      <c r="B1319" s="47"/>
      <c r="C1319" s="47"/>
      <c r="D1319" s="47"/>
      <c r="E1319" s="47"/>
      <c r="F1319" s="47"/>
      <c r="G1319" s="47"/>
      <c r="H1319" s="47"/>
      <c r="I1319" s="47"/>
      <c r="J1319" s="48"/>
      <c r="K1319" s="47"/>
      <c r="L1319" s="47"/>
      <c r="M1319" s="47"/>
      <c r="N1319" s="47"/>
    </row>
    <row r="1320" spans="1:14" ht="16.5" customHeight="1" x14ac:dyDescent="0.25">
      <c r="A1320" s="49"/>
      <c r="B1320" s="47"/>
      <c r="C1320" s="47"/>
      <c r="D1320" s="47"/>
      <c r="E1320" s="47"/>
      <c r="F1320" s="47"/>
      <c r="G1320" s="47"/>
      <c r="H1320" s="47"/>
      <c r="I1320" s="47"/>
      <c r="J1320" s="48"/>
      <c r="K1320" s="47"/>
      <c r="L1320" s="47"/>
      <c r="M1320" s="47"/>
      <c r="N1320" s="47"/>
    </row>
    <row r="1321" spans="1:14" ht="16.5" customHeight="1" x14ac:dyDescent="0.25">
      <c r="A1321" s="49"/>
      <c r="B1321" s="47"/>
      <c r="C1321" s="47"/>
      <c r="D1321" s="47"/>
      <c r="E1321" s="47"/>
      <c r="F1321" s="47"/>
      <c r="G1321" s="47"/>
      <c r="H1321" s="47"/>
      <c r="I1321" s="47"/>
      <c r="J1321" s="48"/>
      <c r="K1321" s="47"/>
      <c r="L1321" s="47"/>
      <c r="M1321" s="47"/>
      <c r="N1321" s="47"/>
    </row>
    <row r="1322" spans="1:14" ht="16.5" customHeight="1" x14ac:dyDescent="0.25">
      <c r="A1322" s="49"/>
      <c r="B1322" s="47"/>
      <c r="C1322" s="47"/>
      <c r="D1322" s="47"/>
      <c r="E1322" s="47"/>
      <c r="F1322" s="47"/>
      <c r="G1322" s="47"/>
      <c r="H1322" s="47"/>
      <c r="I1322" s="47"/>
      <c r="J1322" s="48"/>
      <c r="K1322" s="47"/>
      <c r="L1322" s="47"/>
      <c r="M1322" s="47"/>
      <c r="N1322" s="47"/>
    </row>
    <row r="1323" spans="1:14" ht="16.5" customHeight="1" x14ac:dyDescent="0.25">
      <c r="A1323" s="49"/>
      <c r="B1323" s="47"/>
      <c r="C1323" s="47"/>
      <c r="D1323" s="47"/>
      <c r="E1323" s="47"/>
      <c r="F1323" s="47"/>
      <c r="G1323" s="47"/>
      <c r="H1323" s="47"/>
      <c r="I1323" s="47"/>
      <c r="J1323" s="48"/>
      <c r="K1323" s="47"/>
      <c r="L1323" s="47"/>
      <c r="M1323" s="47"/>
      <c r="N1323" s="47"/>
    </row>
    <row r="1324" spans="1:14" ht="16.5" customHeight="1" x14ac:dyDescent="0.25">
      <c r="A1324" s="49"/>
      <c r="B1324" s="47"/>
      <c r="C1324" s="47"/>
      <c r="D1324" s="47"/>
      <c r="E1324" s="47"/>
      <c r="F1324" s="47"/>
      <c r="G1324" s="47"/>
      <c r="H1324" s="47"/>
      <c r="I1324" s="47"/>
      <c r="J1324" s="48"/>
      <c r="K1324" s="47"/>
      <c r="L1324" s="47"/>
      <c r="M1324" s="47"/>
      <c r="N1324" s="47"/>
    </row>
    <row r="1325" spans="1:14" ht="16.5" customHeight="1" x14ac:dyDescent="0.25">
      <c r="A1325" s="49"/>
      <c r="B1325" s="47"/>
      <c r="C1325" s="47"/>
      <c r="D1325" s="47"/>
      <c r="E1325" s="47"/>
      <c r="F1325" s="47"/>
      <c r="G1325" s="47"/>
      <c r="H1325" s="47"/>
      <c r="I1325" s="47"/>
      <c r="J1325" s="48"/>
      <c r="K1325" s="47"/>
      <c r="L1325" s="47"/>
      <c r="M1325" s="47"/>
      <c r="N1325" s="47"/>
    </row>
    <row r="1326" spans="1:14" ht="16.5" customHeight="1" x14ac:dyDescent="0.25">
      <c r="A1326" s="49"/>
      <c r="B1326" s="47"/>
      <c r="C1326" s="47"/>
      <c r="D1326" s="47"/>
      <c r="E1326" s="47"/>
      <c r="F1326" s="47"/>
      <c r="G1326" s="47"/>
      <c r="H1326" s="47"/>
      <c r="I1326" s="47"/>
      <c r="J1326" s="48"/>
      <c r="K1326" s="47"/>
      <c r="L1326" s="47"/>
      <c r="M1326" s="47"/>
      <c r="N1326" s="47"/>
    </row>
    <row r="1327" spans="1:14" ht="16.5" customHeight="1" x14ac:dyDescent="0.25">
      <c r="A1327" s="49"/>
      <c r="B1327" s="47"/>
      <c r="C1327" s="47"/>
      <c r="D1327" s="47"/>
      <c r="E1327" s="47"/>
      <c r="F1327" s="47"/>
      <c r="G1327" s="47"/>
      <c r="H1327" s="47"/>
      <c r="I1327" s="47"/>
      <c r="J1327" s="48"/>
      <c r="K1327" s="47"/>
      <c r="L1327" s="47"/>
      <c r="M1327" s="47"/>
      <c r="N1327" s="47"/>
    </row>
    <row r="1328" spans="1:14" ht="16.5" customHeight="1" x14ac:dyDescent="0.25">
      <c r="A1328" s="49"/>
      <c r="B1328" s="47"/>
      <c r="C1328" s="47"/>
      <c r="D1328" s="47"/>
      <c r="E1328" s="47"/>
      <c r="F1328" s="47"/>
      <c r="G1328" s="47"/>
      <c r="H1328" s="47"/>
      <c r="I1328" s="47"/>
      <c r="J1328" s="48"/>
      <c r="K1328" s="47"/>
      <c r="L1328" s="47"/>
      <c r="M1328" s="47"/>
      <c r="N1328" s="47"/>
    </row>
    <row r="1329" spans="1:14" ht="16.5" customHeight="1" x14ac:dyDescent="0.25">
      <c r="A1329" s="49"/>
      <c r="B1329" s="47"/>
      <c r="C1329" s="47"/>
      <c r="D1329" s="47"/>
      <c r="E1329" s="47"/>
      <c r="F1329" s="47"/>
      <c r="G1329" s="47"/>
      <c r="H1329" s="47"/>
      <c r="I1329" s="47"/>
      <c r="J1329" s="48"/>
      <c r="K1329" s="47"/>
      <c r="L1329" s="47"/>
      <c r="M1329" s="47"/>
      <c r="N1329" s="47"/>
    </row>
    <row r="1330" spans="1:14" ht="16.5" customHeight="1" x14ac:dyDescent="0.25">
      <c r="A1330" s="49"/>
      <c r="B1330" s="47"/>
      <c r="C1330" s="47"/>
      <c r="D1330" s="47"/>
      <c r="E1330" s="47"/>
      <c r="F1330" s="47"/>
      <c r="G1330" s="47"/>
      <c r="H1330" s="47"/>
      <c r="I1330" s="47"/>
      <c r="J1330" s="48"/>
      <c r="K1330" s="47"/>
      <c r="L1330" s="47"/>
      <c r="M1330" s="47"/>
      <c r="N1330" s="47"/>
    </row>
    <row r="1331" spans="1:14" ht="16.5" customHeight="1" x14ac:dyDescent="0.25">
      <c r="A1331" s="49"/>
      <c r="B1331" s="47"/>
      <c r="C1331" s="47"/>
      <c r="D1331" s="47"/>
      <c r="E1331" s="47"/>
      <c r="F1331" s="47"/>
      <c r="G1331" s="47"/>
      <c r="H1331" s="47"/>
      <c r="I1331" s="47"/>
      <c r="J1331" s="48"/>
      <c r="K1331" s="47"/>
      <c r="L1331" s="47"/>
      <c r="M1331" s="47"/>
      <c r="N1331" s="47"/>
    </row>
    <row r="1332" spans="1:14" ht="16.5" customHeight="1" x14ac:dyDescent="0.25">
      <c r="A1332" s="49"/>
      <c r="B1332" s="47"/>
      <c r="C1332" s="47"/>
      <c r="D1332" s="47"/>
      <c r="E1332" s="47"/>
      <c r="F1332" s="47"/>
      <c r="G1332" s="47"/>
      <c r="H1332" s="47"/>
      <c r="I1332" s="47"/>
      <c r="J1332" s="48"/>
      <c r="K1332" s="47"/>
      <c r="L1332" s="47"/>
      <c r="M1332" s="47"/>
      <c r="N1332" s="47"/>
    </row>
    <row r="1333" spans="1:14" ht="16.5" customHeight="1" x14ac:dyDescent="0.25">
      <c r="A1333" s="49"/>
      <c r="B1333" s="47"/>
      <c r="C1333" s="47"/>
      <c r="D1333" s="47"/>
      <c r="E1333" s="47"/>
      <c r="F1333" s="47"/>
      <c r="G1333" s="47"/>
      <c r="H1333" s="47"/>
      <c r="I1333" s="47"/>
      <c r="J1333" s="48"/>
      <c r="K1333" s="47"/>
      <c r="L1333" s="47"/>
      <c r="M1333" s="47"/>
      <c r="N1333" s="47"/>
    </row>
    <row r="1334" spans="1:14" ht="16.5" customHeight="1" x14ac:dyDescent="0.25">
      <c r="A1334" s="49"/>
      <c r="B1334" s="47"/>
      <c r="C1334" s="47"/>
      <c r="D1334" s="47"/>
      <c r="E1334" s="47"/>
      <c r="F1334" s="47"/>
      <c r="G1334" s="47"/>
      <c r="H1334" s="47"/>
      <c r="I1334" s="47"/>
      <c r="J1334" s="48"/>
      <c r="K1334" s="47"/>
      <c r="L1334" s="47"/>
      <c r="M1334" s="47"/>
      <c r="N1334" s="47"/>
    </row>
    <row r="1335" spans="1:14" ht="16.5" customHeight="1" x14ac:dyDescent="0.25">
      <c r="A1335" s="49"/>
      <c r="B1335" s="47"/>
      <c r="C1335" s="47"/>
      <c r="D1335" s="47"/>
      <c r="E1335" s="47"/>
      <c r="F1335" s="47"/>
      <c r="G1335" s="47"/>
      <c r="H1335" s="47"/>
      <c r="I1335" s="47"/>
      <c r="J1335" s="48"/>
      <c r="K1335" s="47"/>
      <c r="L1335" s="47"/>
      <c r="M1335" s="47"/>
      <c r="N1335" s="47"/>
    </row>
    <row r="1336" spans="1:14" ht="16.5" customHeight="1" x14ac:dyDescent="0.25">
      <c r="A1336" s="49"/>
      <c r="B1336" s="47"/>
      <c r="C1336" s="47"/>
      <c r="D1336" s="47"/>
      <c r="E1336" s="47"/>
      <c r="F1336" s="47"/>
      <c r="G1336" s="47"/>
      <c r="H1336" s="47"/>
      <c r="I1336" s="47"/>
      <c r="J1336" s="48"/>
      <c r="K1336" s="47"/>
      <c r="L1336" s="47"/>
      <c r="M1336" s="47"/>
      <c r="N1336" s="47"/>
    </row>
    <row r="1337" spans="1:14" ht="16.5" customHeight="1" x14ac:dyDescent="0.25">
      <c r="A1337" s="49"/>
      <c r="B1337" s="47"/>
      <c r="C1337" s="47"/>
      <c r="D1337" s="47"/>
      <c r="E1337" s="47"/>
      <c r="F1337" s="47"/>
      <c r="G1337" s="47"/>
      <c r="H1337" s="47"/>
      <c r="I1337" s="47"/>
      <c r="J1337" s="48"/>
      <c r="K1337" s="47"/>
      <c r="L1337" s="47"/>
      <c r="M1337" s="47"/>
      <c r="N1337" s="47"/>
    </row>
    <row r="1338" spans="1:14" ht="16.5" customHeight="1" x14ac:dyDescent="0.25">
      <c r="A1338" s="49"/>
      <c r="B1338" s="47"/>
      <c r="C1338" s="47"/>
      <c r="D1338" s="47"/>
      <c r="E1338" s="47"/>
      <c r="F1338" s="47"/>
      <c r="G1338" s="47"/>
      <c r="H1338" s="47"/>
      <c r="I1338" s="47"/>
      <c r="J1338" s="48"/>
      <c r="K1338" s="47"/>
      <c r="L1338" s="47"/>
      <c r="M1338" s="47"/>
      <c r="N1338" s="47"/>
    </row>
    <row r="1339" spans="1:14" ht="16.5" customHeight="1" x14ac:dyDescent="0.25">
      <c r="A1339" s="49"/>
      <c r="B1339" s="47"/>
      <c r="C1339" s="47"/>
      <c r="D1339" s="47"/>
      <c r="E1339" s="47"/>
      <c r="F1339" s="47"/>
      <c r="G1339" s="47"/>
      <c r="H1339" s="47"/>
      <c r="I1339" s="47"/>
      <c r="J1339" s="48"/>
      <c r="K1339" s="47"/>
      <c r="L1339" s="47"/>
      <c r="M1339" s="47"/>
      <c r="N1339" s="47"/>
    </row>
    <row r="1340" spans="1:14" ht="16.5" customHeight="1" x14ac:dyDescent="0.25">
      <c r="A1340" s="49"/>
      <c r="B1340" s="47"/>
      <c r="C1340" s="47"/>
      <c r="D1340" s="47"/>
      <c r="E1340" s="47"/>
      <c r="F1340" s="47"/>
      <c r="G1340" s="47"/>
      <c r="H1340" s="47"/>
      <c r="I1340" s="47"/>
      <c r="J1340" s="48"/>
      <c r="K1340" s="47"/>
      <c r="L1340" s="47"/>
      <c r="M1340" s="47"/>
      <c r="N1340" s="47"/>
    </row>
    <row r="1341" spans="1:14" ht="16.5" customHeight="1" x14ac:dyDescent="0.25">
      <c r="A1341" s="49"/>
      <c r="B1341" s="47"/>
      <c r="C1341" s="47"/>
      <c r="D1341" s="47"/>
      <c r="E1341" s="47"/>
      <c r="F1341" s="47"/>
      <c r="G1341" s="47"/>
      <c r="H1341" s="47"/>
      <c r="I1341" s="47"/>
      <c r="J1341" s="48"/>
      <c r="K1341" s="47"/>
      <c r="L1341" s="47"/>
      <c r="M1341" s="47"/>
      <c r="N1341" s="47"/>
    </row>
    <row r="1342" spans="1:14" ht="16.5" customHeight="1" x14ac:dyDescent="0.25">
      <c r="A1342" s="49"/>
      <c r="B1342" s="47"/>
      <c r="C1342" s="47"/>
      <c r="D1342" s="47"/>
      <c r="E1342" s="47"/>
      <c r="F1342" s="47"/>
      <c r="G1342" s="47"/>
      <c r="H1342" s="47"/>
      <c r="I1342" s="47"/>
      <c r="J1342" s="48"/>
      <c r="K1342" s="47"/>
      <c r="L1342" s="47"/>
      <c r="M1342" s="47"/>
      <c r="N1342" s="47"/>
    </row>
    <row r="1343" spans="1:14" ht="16.5" customHeight="1" x14ac:dyDescent="0.25">
      <c r="A1343" s="49"/>
      <c r="B1343" s="47"/>
      <c r="C1343" s="47"/>
      <c r="D1343" s="47"/>
      <c r="E1343" s="47"/>
      <c r="F1343" s="47"/>
      <c r="G1343" s="47"/>
      <c r="H1343" s="47"/>
      <c r="I1343" s="47"/>
      <c r="J1343" s="48"/>
      <c r="K1343" s="47"/>
      <c r="L1343" s="47"/>
      <c r="M1343" s="47"/>
      <c r="N1343" s="47"/>
    </row>
    <row r="1344" spans="1:14" ht="16.5" customHeight="1" x14ac:dyDescent="0.25">
      <c r="A1344" s="49"/>
      <c r="B1344" s="47"/>
      <c r="C1344" s="47"/>
      <c r="D1344" s="47"/>
      <c r="E1344" s="47"/>
      <c r="F1344" s="47"/>
      <c r="G1344" s="47"/>
      <c r="H1344" s="47"/>
      <c r="I1344" s="47"/>
      <c r="J1344" s="48"/>
      <c r="K1344" s="47"/>
      <c r="L1344" s="47"/>
      <c r="M1344" s="47"/>
      <c r="N1344" s="47"/>
    </row>
    <row r="1345" spans="1:14" ht="16.5" customHeight="1" x14ac:dyDescent="0.25">
      <c r="A1345" s="49"/>
      <c r="B1345" s="47"/>
      <c r="C1345" s="47"/>
      <c r="D1345" s="47"/>
      <c r="E1345" s="47"/>
      <c r="F1345" s="47"/>
      <c r="G1345" s="47"/>
      <c r="H1345" s="47"/>
      <c r="I1345" s="47"/>
      <c r="J1345" s="48"/>
      <c r="K1345" s="47"/>
      <c r="L1345" s="47"/>
      <c r="M1345" s="47"/>
      <c r="N1345" s="47"/>
    </row>
    <row r="1346" spans="1:14" ht="16.5" customHeight="1" x14ac:dyDescent="0.25">
      <c r="A1346" s="49"/>
      <c r="B1346" s="47"/>
      <c r="C1346" s="47"/>
      <c r="D1346" s="47"/>
      <c r="E1346" s="47"/>
      <c r="F1346" s="47"/>
      <c r="G1346" s="47"/>
      <c r="H1346" s="47"/>
      <c r="I1346" s="47"/>
      <c r="J1346" s="48"/>
      <c r="K1346" s="47"/>
      <c r="L1346" s="47"/>
      <c r="M1346" s="47"/>
      <c r="N1346" s="47"/>
    </row>
    <row r="1347" spans="1:14" ht="16.5" customHeight="1" x14ac:dyDescent="0.25">
      <c r="A1347" s="49"/>
      <c r="B1347" s="47"/>
      <c r="C1347" s="47"/>
      <c r="D1347" s="47"/>
      <c r="E1347" s="47"/>
      <c r="F1347" s="47"/>
      <c r="G1347" s="47"/>
      <c r="H1347" s="47"/>
      <c r="I1347" s="47"/>
      <c r="J1347" s="48"/>
      <c r="K1347" s="47"/>
      <c r="L1347" s="47"/>
      <c r="M1347" s="47"/>
      <c r="N1347" s="47"/>
    </row>
    <row r="1348" spans="1:14" ht="16.5" customHeight="1" x14ac:dyDescent="0.25">
      <c r="A1348" s="49"/>
      <c r="B1348" s="47"/>
      <c r="C1348" s="47"/>
      <c r="D1348" s="47"/>
      <c r="E1348" s="47"/>
      <c r="F1348" s="47"/>
      <c r="G1348" s="47"/>
      <c r="H1348" s="47"/>
      <c r="I1348" s="47"/>
      <c r="J1348" s="48"/>
      <c r="K1348" s="47"/>
      <c r="L1348" s="47"/>
      <c r="M1348" s="47"/>
      <c r="N1348" s="47"/>
    </row>
    <row r="1349" spans="1:14" ht="16.5" customHeight="1" x14ac:dyDescent="0.25">
      <c r="A1349" s="49"/>
      <c r="B1349" s="47"/>
      <c r="C1349" s="47"/>
      <c r="D1349" s="47"/>
      <c r="E1349" s="47"/>
      <c r="F1349" s="47"/>
      <c r="G1349" s="47"/>
      <c r="H1349" s="47"/>
      <c r="I1349" s="47"/>
      <c r="J1349" s="48"/>
      <c r="K1349" s="47"/>
      <c r="L1349" s="47"/>
      <c r="M1349" s="47"/>
      <c r="N1349" s="47"/>
    </row>
    <row r="1350" spans="1:14" ht="16.5" customHeight="1" x14ac:dyDescent="0.25">
      <c r="A1350" s="49"/>
      <c r="B1350" s="47"/>
      <c r="C1350" s="47"/>
      <c r="D1350" s="47"/>
      <c r="E1350" s="47"/>
      <c r="F1350" s="47"/>
      <c r="G1350" s="47"/>
      <c r="H1350" s="47"/>
      <c r="I1350" s="47"/>
      <c r="J1350" s="48"/>
      <c r="K1350" s="47"/>
      <c r="L1350" s="47"/>
      <c r="M1350" s="47"/>
      <c r="N1350" s="47"/>
    </row>
    <row r="1351" spans="1:14" ht="16.5" customHeight="1" x14ac:dyDescent="0.25">
      <c r="A1351" s="49"/>
      <c r="B1351" s="47"/>
      <c r="C1351" s="47"/>
      <c r="D1351" s="47"/>
      <c r="E1351" s="47"/>
      <c r="F1351" s="47"/>
      <c r="G1351" s="47"/>
      <c r="H1351" s="47"/>
      <c r="I1351" s="47"/>
      <c r="J1351" s="48"/>
      <c r="K1351" s="47"/>
      <c r="L1351" s="47"/>
      <c r="M1351" s="47"/>
      <c r="N1351" s="47"/>
    </row>
    <row r="1352" spans="1:14" ht="16.5" customHeight="1" x14ac:dyDescent="0.25">
      <c r="A1352" s="49"/>
      <c r="B1352" s="47"/>
      <c r="C1352" s="47"/>
      <c r="D1352" s="47"/>
      <c r="E1352" s="47"/>
      <c r="F1352" s="47"/>
      <c r="G1352" s="47"/>
      <c r="H1352" s="47"/>
      <c r="I1352" s="47"/>
      <c r="J1352" s="48"/>
      <c r="K1352" s="47"/>
      <c r="L1352" s="47"/>
      <c r="M1352" s="47"/>
      <c r="N1352" s="47"/>
    </row>
    <row r="1353" spans="1:14" ht="16.5" customHeight="1" x14ac:dyDescent="0.25">
      <c r="A1353" s="49"/>
      <c r="B1353" s="47"/>
      <c r="C1353" s="47"/>
      <c r="D1353" s="47"/>
      <c r="E1353" s="47"/>
      <c r="F1353" s="47"/>
      <c r="G1353" s="47"/>
      <c r="H1353" s="47"/>
      <c r="I1353" s="47"/>
      <c r="J1353" s="48"/>
      <c r="K1353" s="47"/>
      <c r="L1353" s="47"/>
      <c r="M1353" s="47"/>
      <c r="N1353" s="47"/>
    </row>
    <row r="1354" spans="1:14" ht="16.5" customHeight="1" x14ac:dyDescent="0.25">
      <c r="A1354" s="49"/>
      <c r="B1354" s="47"/>
      <c r="C1354" s="47"/>
      <c r="D1354" s="47"/>
      <c r="E1354" s="47"/>
      <c r="F1354" s="47"/>
      <c r="G1354" s="47"/>
      <c r="H1354" s="47"/>
      <c r="I1354" s="47"/>
      <c r="J1354" s="48"/>
      <c r="K1354" s="47"/>
      <c r="L1354" s="47"/>
      <c r="M1354" s="47"/>
      <c r="N1354" s="47"/>
    </row>
    <row r="1355" spans="1:14" ht="16.5" customHeight="1" x14ac:dyDescent="0.25">
      <c r="A1355" s="49"/>
      <c r="B1355" s="47"/>
      <c r="C1355" s="47"/>
      <c r="D1355" s="47"/>
      <c r="E1355" s="47"/>
      <c r="F1355" s="47"/>
      <c r="G1355" s="47"/>
      <c r="H1355" s="47"/>
      <c r="I1355" s="47"/>
      <c r="J1355" s="48"/>
      <c r="K1355" s="47"/>
      <c r="L1355" s="47"/>
      <c r="M1355" s="47"/>
      <c r="N1355" s="47"/>
    </row>
    <row r="1356" spans="1:14" ht="16.5" customHeight="1" x14ac:dyDescent="0.25">
      <c r="A1356" s="49"/>
      <c r="B1356" s="47"/>
      <c r="C1356" s="47"/>
      <c r="D1356" s="47"/>
      <c r="E1356" s="47"/>
      <c r="F1356" s="47"/>
      <c r="G1356" s="47"/>
      <c r="H1356" s="47"/>
      <c r="I1356" s="47"/>
      <c r="J1356" s="48"/>
      <c r="K1356" s="47"/>
      <c r="L1356" s="47"/>
      <c r="M1356" s="47"/>
      <c r="N1356" s="47"/>
    </row>
    <row r="1357" spans="1:14" ht="16.5" customHeight="1" x14ac:dyDescent="0.25">
      <c r="A1357" s="49"/>
      <c r="B1357" s="47"/>
      <c r="C1357" s="47"/>
      <c r="D1357" s="47"/>
      <c r="E1357" s="47"/>
      <c r="F1357" s="47"/>
      <c r="G1357" s="47"/>
      <c r="H1357" s="47"/>
      <c r="I1357" s="47"/>
      <c r="J1357" s="48"/>
      <c r="K1357" s="47"/>
      <c r="L1357" s="47"/>
      <c r="M1357" s="47"/>
      <c r="N1357" s="47"/>
    </row>
    <row r="1358" spans="1:14" ht="16.5" customHeight="1" x14ac:dyDescent="0.25">
      <c r="A1358" s="49"/>
      <c r="B1358" s="47"/>
      <c r="C1358" s="47"/>
      <c r="D1358" s="47"/>
      <c r="E1358" s="47"/>
      <c r="F1358" s="47"/>
      <c r="G1358" s="47"/>
      <c r="H1358" s="47"/>
      <c r="I1358" s="47"/>
      <c r="J1358" s="48"/>
      <c r="K1358" s="47"/>
      <c r="L1358" s="47"/>
      <c r="M1358" s="47"/>
      <c r="N1358" s="47"/>
    </row>
    <row r="1359" spans="1:14" ht="16.5" customHeight="1" x14ac:dyDescent="0.25">
      <c r="A1359" s="49"/>
      <c r="B1359" s="47"/>
      <c r="C1359" s="47"/>
      <c r="D1359" s="47"/>
      <c r="E1359" s="47"/>
      <c r="F1359" s="47"/>
      <c r="G1359" s="47"/>
      <c r="H1359" s="47"/>
      <c r="I1359" s="47"/>
      <c r="J1359" s="48"/>
      <c r="K1359" s="47"/>
      <c r="L1359" s="47"/>
      <c r="M1359" s="47"/>
      <c r="N1359" s="47"/>
    </row>
    <row r="1360" spans="1:14" ht="16.5" customHeight="1" x14ac:dyDescent="0.25">
      <c r="A1360" s="49"/>
      <c r="B1360" s="47"/>
      <c r="C1360" s="47"/>
      <c r="D1360" s="47"/>
      <c r="E1360" s="47"/>
      <c r="F1360" s="47"/>
      <c r="G1360" s="47"/>
      <c r="H1360" s="47"/>
      <c r="I1360" s="47"/>
      <c r="J1360" s="48"/>
      <c r="K1360" s="47"/>
      <c r="L1360" s="47"/>
      <c r="M1360" s="47"/>
      <c r="N1360" s="47"/>
    </row>
    <row r="1361" spans="1:14" ht="16.5" customHeight="1" x14ac:dyDescent="0.25">
      <c r="A1361" s="49"/>
      <c r="B1361" s="47"/>
      <c r="C1361" s="47"/>
      <c r="D1361" s="47"/>
      <c r="E1361" s="47"/>
      <c r="F1361" s="47"/>
      <c r="G1361" s="47"/>
      <c r="H1361" s="47"/>
      <c r="I1361" s="47"/>
      <c r="J1361" s="48"/>
      <c r="K1361" s="47"/>
      <c r="L1361" s="47"/>
      <c r="M1361" s="47"/>
      <c r="N1361" s="47"/>
    </row>
    <row r="1362" spans="1:14" ht="16.5" customHeight="1" x14ac:dyDescent="0.25">
      <c r="A1362" s="49"/>
      <c r="B1362" s="47"/>
      <c r="C1362" s="47"/>
      <c r="D1362" s="47"/>
      <c r="E1362" s="47"/>
      <c r="F1362" s="47"/>
      <c r="G1362" s="47"/>
      <c r="H1362" s="47"/>
      <c r="I1362" s="47"/>
      <c r="J1362" s="48"/>
      <c r="K1362" s="47"/>
      <c r="L1362" s="47"/>
      <c r="M1362" s="47"/>
      <c r="N1362" s="47"/>
    </row>
    <row r="1363" spans="1:14" ht="16.5" customHeight="1" x14ac:dyDescent="0.25">
      <c r="A1363" s="49"/>
      <c r="B1363" s="47"/>
      <c r="C1363" s="47"/>
      <c r="D1363" s="47"/>
      <c r="E1363" s="47"/>
      <c r="F1363" s="47"/>
      <c r="G1363" s="47"/>
      <c r="H1363" s="47"/>
      <c r="I1363" s="47"/>
      <c r="J1363" s="48"/>
      <c r="K1363" s="47"/>
      <c r="L1363" s="47"/>
      <c r="M1363" s="47"/>
      <c r="N1363" s="47"/>
    </row>
    <row r="1364" spans="1:14" ht="16.5" customHeight="1" x14ac:dyDescent="0.25">
      <c r="A1364" s="49"/>
      <c r="B1364" s="47"/>
      <c r="C1364" s="47"/>
      <c r="D1364" s="47"/>
      <c r="E1364" s="47"/>
      <c r="F1364" s="47"/>
      <c r="G1364" s="47"/>
      <c r="H1364" s="47"/>
      <c r="I1364" s="47"/>
      <c r="J1364" s="48"/>
      <c r="K1364" s="47"/>
      <c r="L1364" s="47"/>
      <c r="M1364" s="47"/>
      <c r="N1364" s="47"/>
    </row>
    <row r="1365" spans="1:14" ht="16.5" customHeight="1" x14ac:dyDescent="0.25">
      <c r="A1365" s="49"/>
      <c r="B1365" s="47"/>
      <c r="C1365" s="47"/>
      <c r="D1365" s="47"/>
      <c r="E1365" s="47"/>
      <c r="F1365" s="47"/>
      <c r="G1365" s="47"/>
      <c r="H1365" s="47"/>
      <c r="I1365" s="47"/>
      <c r="J1365" s="48"/>
      <c r="K1365" s="47"/>
      <c r="L1365" s="47"/>
      <c r="M1365" s="47"/>
      <c r="N1365" s="47"/>
    </row>
    <row r="1366" spans="1:14" ht="16.5" customHeight="1" x14ac:dyDescent="0.25">
      <c r="A1366" s="49"/>
      <c r="B1366" s="47"/>
      <c r="C1366" s="47"/>
      <c r="D1366" s="47"/>
      <c r="E1366" s="47"/>
      <c r="F1366" s="47"/>
      <c r="G1366" s="47"/>
      <c r="H1366" s="47"/>
      <c r="I1366" s="47"/>
      <c r="J1366" s="48"/>
      <c r="K1366" s="47"/>
      <c r="L1366" s="47"/>
      <c r="M1366" s="47"/>
      <c r="N1366" s="47"/>
    </row>
    <row r="1367" spans="1:14" ht="16.5" customHeight="1" x14ac:dyDescent="0.25">
      <c r="A1367" s="49"/>
      <c r="B1367" s="47"/>
      <c r="C1367" s="47"/>
      <c r="D1367" s="47"/>
      <c r="E1367" s="47"/>
      <c r="F1367" s="47"/>
      <c r="G1367" s="47"/>
      <c r="H1367" s="47"/>
      <c r="I1367" s="47"/>
      <c r="J1367" s="48"/>
      <c r="K1367" s="47"/>
      <c r="L1367" s="47"/>
      <c r="M1367" s="47"/>
      <c r="N1367" s="47"/>
    </row>
    <row r="1368" spans="1:14" ht="16.5" customHeight="1" x14ac:dyDescent="0.25">
      <c r="A1368" s="49"/>
      <c r="B1368" s="47"/>
      <c r="C1368" s="47"/>
      <c r="D1368" s="47"/>
      <c r="E1368" s="47"/>
      <c r="F1368" s="47"/>
      <c r="G1368" s="47"/>
      <c r="H1368" s="47"/>
      <c r="I1368" s="47"/>
      <c r="J1368" s="48"/>
      <c r="K1368" s="47"/>
      <c r="L1368" s="47"/>
      <c r="M1368" s="47"/>
      <c r="N1368" s="47"/>
    </row>
    <row r="1369" spans="1:14" ht="16.5" customHeight="1" x14ac:dyDescent="0.25">
      <c r="A1369" s="49"/>
      <c r="B1369" s="47"/>
      <c r="C1369" s="47"/>
      <c r="D1369" s="47"/>
      <c r="E1369" s="47"/>
      <c r="F1369" s="47"/>
      <c r="G1369" s="47"/>
      <c r="H1369" s="47"/>
      <c r="I1369" s="47"/>
      <c r="J1369" s="48"/>
      <c r="K1369" s="47"/>
      <c r="L1369" s="47"/>
      <c r="M1369" s="47"/>
      <c r="N1369" s="47"/>
    </row>
    <row r="1370" spans="1:14" ht="16.5" customHeight="1" x14ac:dyDescent="0.25">
      <c r="A1370" s="49"/>
      <c r="B1370" s="47"/>
      <c r="C1370" s="47"/>
      <c r="D1370" s="47"/>
      <c r="E1370" s="47"/>
      <c r="F1370" s="47"/>
      <c r="G1370" s="47"/>
      <c r="H1370" s="47"/>
      <c r="I1370" s="47"/>
      <c r="J1370" s="48"/>
      <c r="K1370" s="47"/>
      <c r="L1370" s="47"/>
      <c r="M1370" s="47"/>
      <c r="N1370" s="47"/>
    </row>
    <row r="1371" spans="1:14" ht="16.5" customHeight="1" x14ac:dyDescent="0.25">
      <c r="A1371" s="49"/>
      <c r="B1371" s="47"/>
      <c r="C1371" s="47"/>
      <c r="D1371" s="47"/>
      <c r="E1371" s="47"/>
      <c r="F1371" s="47"/>
      <c r="G1371" s="47"/>
      <c r="H1371" s="47"/>
      <c r="I1371" s="47"/>
      <c r="J1371" s="48"/>
      <c r="K1371" s="47"/>
      <c r="L1371" s="47"/>
      <c r="M1371" s="47"/>
      <c r="N1371" s="47"/>
    </row>
    <row r="1372" spans="1:14" ht="16.5" customHeight="1" x14ac:dyDescent="0.25">
      <c r="A1372" s="49"/>
      <c r="B1372" s="47"/>
      <c r="C1372" s="47"/>
      <c r="D1372" s="47"/>
      <c r="E1372" s="47"/>
      <c r="F1372" s="47"/>
      <c r="G1372" s="47"/>
      <c r="H1372" s="47"/>
      <c r="I1372" s="47"/>
      <c r="J1372" s="48"/>
      <c r="K1372" s="47"/>
      <c r="L1372" s="47"/>
      <c r="M1372" s="47"/>
      <c r="N1372" s="47"/>
    </row>
    <row r="1373" spans="1:14" ht="16.5" customHeight="1" x14ac:dyDescent="0.25">
      <c r="A1373" s="49"/>
      <c r="B1373" s="47"/>
      <c r="C1373" s="47"/>
      <c r="D1373" s="47"/>
      <c r="E1373" s="47"/>
      <c r="F1373" s="47"/>
      <c r="G1373" s="47"/>
      <c r="H1373" s="47"/>
      <c r="I1373" s="47"/>
      <c r="J1373" s="48"/>
      <c r="K1373" s="47"/>
      <c r="L1373" s="47"/>
      <c r="M1373" s="47"/>
      <c r="N1373" s="47"/>
    </row>
    <row r="1374" spans="1:14" ht="16.5" customHeight="1" x14ac:dyDescent="0.25">
      <c r="A1374" s="49"/>
      <c r="B1374" s="47"/>
      <c r="C1374" s="47"/>
      <c r="D1374" s="47"/>
      <c r="E1374" s="47"/>
      <c r="F1374" s="47"/>
      <c r="G1374" s="47"/>
      <c r="H1374" s="47"/>
      <c r="I1374" s="47"/>
      <c r="J1374" s="48"/>
      <c r="K1374" s="47"/>
      <c r="L1374" s="47"/>
      <c r="M1374" s="47"/>
      <c r="N1374" s="47"/>
    </row>
    <row r="1375" spans="1:14" ht="16.5" customHeight="1" x14ac:dyDescent="0.25">
      <c r="A1375" s="49"/>
      <c r="B1375" s="47"/>
      <c r="C1375" s="47"/>
      <c r="D1375" s="47"/>
      <c r="E1375" s="47"/>
      <c r="F1375" s="47"/>
      <c r="G1375" s="47"/>
      <c r="H1375" s="47"/>
      <c r="I1375" s="47"/>
      <c r="J1375" s="48"/>
      <c r="K1375" s="47"/>
      <c r="L1375" s="47"/>
      <c r="M1375" s="47"/>
      <c r="N1375" s="47"/>
    </row>
    <row r="1376" spans="1:14" ht="16.5" customHeight="1" x14ac:dyDescent="0.25">
      <c r="A1376" s="49"/>
      <c r="B1376" s="47"/>
      <c r="C1376" s="47"/>
      <c r="D1376" s="47"/>
      <c r="E1376" s="47"/>
      <c r="F1376" s="47"/>
      <c r="G1376" s="47"/>
      <c r="H1376" s="47"/>
      <c r="I1376" s="47"/>
      <c r="J1376" s="48"/>
      <c r="K1376" s="47"/>
      <c r="L1376" s="47"/>
      <c r="M1376" s="47"/>
      <c r="N1376" s="47"/>
    </row>
    <row r="1377" spans="1:14" ht="16.5" customHeight="1" x14ac:dyDescent="0.25">
      <c r="A1377" s="49"/>
      <c r="B1377" s="47"/>
      <c r="C1377" s="47"/>
      <c r="D1377" s="47"/>
      <c r="E1377" s="47"/>
      <c r="F1377" s="47"/>
      <c r="G1377" s="47"/>
      <c r="H1377" s="47"/>
      <c r="I1377" s="47"/>
      <c r="J1377" s="48"/>
      <c r="K1377" s="47"/>
      <c r="L1377" s="47"/>
      <c r="M1377" s="47"/>
      <c r="N1377" s="47"/>
    </row>
    <row r="1378" spans="1:14" ht="16.5" customHeight="1" x14ac:dyDescent="0.25">
      <c r="A1378" s="49"/>
      <c r="B1378" s="47"/>
      <c r="C1378" s="47"/>
      <c r="D1378" s="47"/>
      <c r="E1378" s="47"/>
      <c r="F1378" s="47"/>
      <c r="G1378" s="47"/>
      <c r="H1378" s="47"/>
      <c r="I1378" s="47"/>
      <c r="J1378" s="48"/>
      <c r="K1378" s="47"/>
      <c r="L1378" s="47"/>
      <c r="M1378" s="47"/>
      <c r="N1378" s="47"/>
    </row>
    <row r="1379" spans="1:14" ht="16.5" customHeight="1" x14ac:dyDescent="0.25">
      <c r="A1379" s="49"/>
      <c r="B1379" s="47"/>
      <c r="C1379" s="47"/>
      <c r="D1379" s="47"/>
      <c r="E1379" s="47"/>
      <c r="F1379" s="47"/>
      <c r="G1379" s="47"/>
      <c r="H1379" s="47"/>
      <c r="I1379" s="47"/>
      <c r="J1379" s="48"/>
      <c r="K1379" s="47"/>
      <c r="L1379" s="47"/>
      <c r="M1379" s="47"/>
      <c r="N1379" s="47"/>
    </row>
    <row r="1380" spans="1:14" ht="16.5" customHeight="1" x14ac:dyDescent="0.25">
      <c r="A1380" s="49"/>
      <c r="B1380" s="47"/>
      <c r="C1380" s="47"/>
      <c r="D1380" s="47"/>
      <c r="E1380" s="47"/>
      <c r="F1380" s="47"/>
      <c r="G1380" s="47"/>
      <c r="H1380" s="47"/>
      <c r="I1380" s="47"/>
      <c r="J1380" s="48"/>
      <c r="K1380" s="47"/>
      <c r="L1380" s="47"/>
      <c r="M1380" s="47"/>
      <c r="N1380" s="47"/>
    </row>
    <row r="1381" spans="1:14" ht="16.5" customHeight="1" x14ac:dyDescent="0.25">
      <c r="A1381" s="49"/>
      <c r="B1381" s="47"/>
      <c r="C1381" s="47"/>
      <c r="D1381" s="47"/>
      <c r="E1381" s="47"/>
      <c r="F1381" s="47"/>
      <c r="G1381" s="47"/>
      <c r="H1381" s="47"/>
      <c r="I1381" s="47"/>
      <c r="J1381" s="48"/>
      <c r="K1381" s="47"/>
      <c r="L1381" s="47"/>
      <c r="M1381" s="47"/>
      <c r="N1381" s="47"/>
    </row>
    <row r="1382" spans="1:14" ht="16.5" customHeight="1" x14ac:dyDescent="0.25">
      <c r="A1382" s="49"/>
      <c r="B1382" s="47"/>
      <c r="C1382" s="47"/>
      <c r="D1382" s="47"/>
      <c r="E1382" s="47"/>
      <c r="F1382" s="47"/>
      <c r="G1382" s="47"/>
      <c r="H1382" s="47"/>
      <c r="I1382" s="47"/>
      <c r="J1382" s="48"/>
      <c r="K1382" s="47"/>
      <c r="L1382" s="47"/>
      <c r="M1382" s="47"/>
      <c r="N1382" s="47"/>
    </row>
    <row r="1383" spans="1:14" ht="16.5" customHeight="1" x14ac:dyDescent="0.25">
      <c r="A1383" s="49"/>
      <c r="B1383" s="47"/>
      <c r="C1383" s="47"/>
      <c r="D1383" s="47"/>
      <c r="E1383" s="47"/>
      <c r="F1383" s="47"/>
      <c r="G1383" s="47"/>
      <c r="H1383" s="47"/>
      <c r="I1383" s="47"/>
      <c r="J1383" s="48"/>
      <c r="K1383" s="47"/>
      <c r="L1383" s="47"/>
      <c r="M1383" s="47"/>
      <c r="N1383" s="47"/>
    </row>
    <row r="1384" spans="1:14" ht="16.5" customHeight="1" x14ac:dyDescent="0.25">
      <c r="A1384" s="49"/>
      <c r="B1384" s="47"/>
      <c r="C1384" s="47"/>
      <c r="D1384" s="47"/>
      <c r="E1384" s="47"/>
      <c r="F1384" s="47"/>
      <c r="G1384" s="47"/>
      <c r="H1384" s="47"/>
      <c r="I1384" s="47"/>
      <c r="J1384" s="48"/>
      <c r="K1384" s="47"/>
      <c r="L1384" s="47"/>
      <c r="M1384" s="47"/>
      <c r="N1384" s="47"/>
    </row>
    <row r="1385" spans="1:14" ht="16.5" customHeight="1" x14ac:dyDescent="0.25">
      <c r="A1385" s="49"/>
      <c r="B1385" s="47"/>
      <c r="C1385" s="47"/>
      <c r="D1385" s="47"/>
      <c r="E1385" s="47"/>
      <c r="F1385" s="47"/>
      <c r="G1385" s="47"/>
      <c r="H1385" s="47"/>
      <c r="I1385" s="47"/>
      <c r="J1385" s="48"/>
      <c r="K1385" s="47"/>
      <c r="L1385" s="47"/>
      <c r="M1385" s="47"/>
      <c r="N1385" s="47"/>
    </row>
    <row r="1386" spans="1:14" ht="16.5" customHeight="1" x14ac:dyDescent="0.25">
      <c r="A1386" s="49"/>
      <c r="B1386" s="47"/>
      <c r="C1386" s="47"/>
      <c r="D1386" s="47"/>
      <c r="E1386" s="47"/>
      <c r="F1386" s="47"/>
      <c r="G1386" s="47"/>
      <c r="H1386" s="47"/>
      <c r="I1386" s="47"/>
      <c r="J1386" s="48"/>
      <c r="K1386" s="47"/>
      <c r="L1386" s="47"/>
      <c r="M1386" s="47"/>
      <c r="N1386" s="47"/>
    </row>
    <row r="1387" spans="1:14" ht="16.5" customHeight="1" x14ac:dyDescent="0.25">
      <c r="A1387" s="49"/>
      <c r="B1387" s="47"/>
      <c r="C1387" s="47"/>
      <c r="D1387" s="47"/>
      <c r="E1387" s="47"/>
      <c r="F1387" s="47"/>
      <c r="G1387" s="47"/>
      <c r="H1387" s="47"/>
      <c r="I1387" s="47"/>
      <c r="J1387" s="48"/>
      <c r="K1387" s="47"/>
      <c r="L1387" s="47"/>
      <c r="M1387" s="47"/>
      <c r="N1387" s="47"/>
    </row>
    <row r="1388" spans="1:14" ht="16.5" customHeight="1" x14ac:dyDescent="0.25">
      <c r="A1388" s="49"/>
      <c r="B1388" s="47"/>
      <c r="C1388" s="47"/>
      <c r="D1388" s="47"/>
      <c r="E1388" s="47"/>
      <c r="F1388" s="47"/>
      <c r="G1388" s="47"/>
      <c r="H1388" s="47"/>
      <c r="I1388" s="47"/>
      <c r="J1388" s="48"/>
      <c r="K1388" s="47"/>
      <c r="L1388" s="47"/>
      <c r="M1388" s="47"/>
      <c r="N1388" s="47"/>
    </row>
    <row r="1389" spans="1:14" ht="16.5" customHeight="1" x14ac:dyDescent="0.25">
      <c r="A1389" s="49"/>
      <c r="B1389" s="47"/>
      <c r="C1389" s="47"/>
      <c r="D1389" s="47"/>
      <c r="E1389" s="47"/>
      <c r="F1389" s="47"/>
      <c r="G1389" s="47"/>
      <c r="H1389" s="47"/>
      <c r="I1389" s="47"/>
      <c r="J1389" s="48"/>
      <c r="K1389" s="47"/>
      <c r="L1389" s="47"/>
      <c r="M1389" s="47"/>
      <c r="N1389" s="47"/>
    </row>
    <row r="1390" spans="1:14" ht="16.5" customHeight="1" x14ac:dyDescent="0.25">
      <c r="A1390" s="49"/>
      <c r="B1390" s="47"/>
      <c r="C1390" s="47"/>
      <c r="D1390" s="47"/>
      <c r="E1390" s="47"/>
      <c r="F1390" s="47"/>
      <c r="G1390" s="47"/>
      <c r="H1390" s="47"/>
      <c r="I1390" s="47"/>
      <c r="J1390" s="48"/>
      <c r="K1390" s="47"/>
      <c r="L1390" s="47"/>
      <c r="M1390" s="47"/>
      <c r="N1390" s="47"/>
    </row>
    <row r="1391" spans="1:14" ht="16.5" customHeight="1" x14ac:dyDescent="0.25">
      <c r="A1391" s="49"/>
      <c r="B1391" s="47"/>
      <c r="C1391" s="47"/>
      <c r="D1391" s="47"/>
      <c r="E1391" s="47"/>
      <c r="F1391" s="47"/>
      <c r="G1391" s="47"/>
      <c r="H1391" s="47"/>
      <c r="I1391" s="47"/>
      <c r="J1391" s="48"/>
      <c r="K1391" s="47"/>
      <c r="L1391" s="47"/>
      <c r="M1391" s="47"/>
      <c r="N1391" s="47"/>
    </row>
    <row r="1392" spans="1:14" ht="16.5" customHeight="1" x14ac:dyDescent="0.25">
      <c r="A1392" s="49"/>
      <c r="B1392" s="47"/>
      <c r="C1392" s="47"/>
      <c r="D1392" s="47"/>
      <c r="E1392" s="47"/>
      <c r="F1392" s="47"/>
      <c r="G1392" s="47"/>
      <c r="H1392" s="47"/>
      <c r="I1392" s="47"/>
      <c r="J1392" s="48"/>
      <c r="K1392" s="47"/>
      <c r="L1392" s="47"/>
      <c r="M1392" s="47"/>
      <c r="N1392" s="47"/>
    </row>
    <row r="1393" spans="1:14" ht="16.5" customHeight="1" x14ac:dyDescent="0.25">
      <c r="A1393" s="49"/>
      <c r="B1393" s="47"/>
      <c r="C1393" s="47"/>
      <c r="D1393" s="47"/>
      <c r="E1393" s="47"/>
      <c r="F1393" s="47"/>
      <c r="G1393" s="47"/>
      <c r="H1393" s="47"/>
      <c r="I1393" s="47"/>
      <c r="J1393" s="48"/>
      <c r="K1393" s="47"/>
      <c r="L1393" s="47"/>
      <c r="M1393" s="47"/>
      <c r="N1393" s="47"/>
    </row>
    <row r="1394" spans="1:14" ht="16.5" customHeight="1" x14ac:dyDescent="0.25">
      <c r="A1394" s="49"/>
      <c r="B1394" s="47"/>
      <c r="C1394" s="47"/>
      <c r="D1394" s="47"/>
      <c r="E1394" s="47"/>
      <c r="F1394" s="47"/>
      <c r="G1394" s="47"/>
      <c r="H1394" s="47"/>
      <c r="I1394" s="47"/>
      <c r="J1394" s="48"/>
      <c r="K1394" s="47"/>
      <c r="L1394" s="47"/>
      <c r="M1394" s="47"/>
      <c r="N1394" s="47"/>
    </row>
    <row r="1395" spans="1:14" ht="16.5" customHeight="1" x14ac:dyDescent="0.25">
      <c r="A1395" s="49"/>
      <c r="B1395" s="47"/>
      <c r="C1395" s="47"/>
      <c r="D1395" s="47"/>
      <c r="E1395" s="47"/>
      <c r="F1395" s="47"/>
      <c r="G1395" s="47"/>
      <c r="H1395" s="47"/>
      <c r="I1395" s="47"/>
      <c r="J1395" s="48"/>
      <c r="K1395" s="47"/>
      <c r="L1395" s="47"/>
      <c r="M1395" s="47"/>
      <c r="N1395" s="47"/>
    </row>
    <row r="1396" spans="1:14" ht="16.5" customHeight="1" x14ac:dyDescent="0.25">
      <c r="A1396" s="49"/>
      <c r="B1396" s="47"/>
      <c r="C1396" s="47"/>
      <c r="D1396" s="47"/>
      <c r="E1396" s="47"/>
      <c r="F1396" s="47"/>
      <c r="G1396" s="47"/>
      <c r="H1396" s="47"/>
      <c r="I1396" s="47"/>
      <c r="J1396" s="48"/>
      <c r="K1396" s="47"/>
      <c r="L1396" s="47"/>
      <c r="M1396" s="47"/>
      <c r="N1396" s="47"/>
    </row>
    <row r="1397" spans="1:14" ht="16.5" customHeight="1" x14ac:dyDescent="0.25">
      <c r="A1397" s="49"/>
      <c r="B1397" s="47"/>
      <c r="C1397" s="47"/>
      <c r="D1397" s="47"/>
      <c r="E1397" s="47"/>
      <c r="F1397" s="47"/>
      <c r="G1397" s="47"/>
      <c r="H1397" s="47"/>
      <c r="I1397" s="47"/>
      <c r="J1397" s="48"/>
      <c r="K1397" s="47"/>
      <c r="L1397" s="47"/>
      <c r="M1397" s="47"/>
      <c r="N1397" s="47"/>
    </row>
    <row r="1398" spans="1:14" ht="16.5" customHeight="1" x14ac:dyDescent="0.25">
      <c r="A1398" s="49"/>
      <c r="B1398" s="47"/>
      <c r="C1398" s="47"/>
      <c r="D1398" s="47"/>
      <c r="E1398" s="47"/>
      <c r="F1398" s="47"/>
      <c r="G1398" s="47"/>
      <c r="H1398" s="47"/>
      <c r="I1398" s="47"/>
      <c r="J1398" s="48"/>
      <c r="K1398" s="47"/>
      <c r="L1398" s="47"/>
      <c r="M1398" s="47"/>
      <c r="N1398" s="47"/>
    </row>
    <row r="1399" spans="1:14" ht="16.5" customHeight="1" x14ac:dyDescent="0.25">
      <c r="A1399" s="49"/>
      <c r="B1399" s="47"/>
      <c r="C1399" s="47"/>
      <c r="D1399" s="47"/>
      <c r="E1399" s="47"/>
      <c r="F1399" s="47"/>
      <c r="G1399" s="47"/>
      <c r="H1399" s="47"/>
      <c r="I1399" s="47"/>
      <c r="J1399" s="48"/>
      <c r="K1399" s="47"/>
      <c r="L1399" s="47"/>
      <c r="M1399" s="47"/>
      <c r="N1399" s="47"/>
    </row>
    <row r="1400" spans="1:14" ht="16.5" customHeight="1" x14ac:dyDescent="0.25">
      <c r="A1400" s="49"/>
      <c r="B1400" s="47"/>
      <c r="C1400" s="47"/>
      <c r="D1400" s="47"/>
      <c r="E1400" s="47"/>
      <c r="F1400" s="47"/>
      <c r="G1400" s="47"/>
      <c r="H1400" s="47"/>
      <c r="I1400" s="47"/>
      <c r="J1400" s="48"/>
      <c r="K1400" s="47"/>
      <c r="L1400" s="47"/>
      <c r="M1400" s="47"/>
      <c r="N1400" s="47"/>
    </row>
    <row r="1401" spans="1:14" ht="16.5" customHeight="1" x14ac:dyDescent="0.25">
      <c r="A1401" s="49"/>
      <c r="B1401" s="47"/>
      <c r="C1401" s="47"/>
      <c r="D1401" s="47"/>
      <c r="E1401" s="47"/>
      <c r="F1401" s="47"/>
      <c r="G1401" s="47"/>
      <c r="H1401" s="47"/>
      <c r="I1401" s="47"/>
      <c r="J1401" s="48"/>
      <c r="K1401" s="47"/>
      <c r="L1401" s="47"/>
      <c r="M1401" s="47"/>
      <c r="N1401" s="47"/>
    </row>
    <row r="1402" spans="1:14" ht="16.5" customHeight="1" x14ac:dyDescent="0.25">
      <c r="A1402" s="49"/>
      <c r="B1402" s="47"/>
      <c r="C1402" s="47"/>
      <c r="D1402" s="47"/>
      <c r="E1402" s="47"/>
      <c r="F1402" s="47"/>
      <c r="G1402" s="47"/>
      <c r="H1402" s="47"/>
      <c r="I1402" s="47"/>
      <c r="J1402" s="48"/>
      <c r="K1402" s="47"/>
      <c r="L1402" s="47"/>
      <c r="M1402" s="47"/>
      <c r="N1402" s="47"/>
    </row>
    <row r="1403" spans="1:14" ht="16.5" customHeight="1" x14ac:dyDescent="0.25">
      <c r="A1403" s="49"/>
      <c r="B1403" s="47"/>
      <c r="C1403" s="47"/>
      <c r="D1403" s="47"/>
      <c r="E1403" s="47"/>
      <c r="F1403" s="47"/>
      <c r="G1403" s="47"/>
      <c r="H1403" s="47"/>
      <c r="I1403" s="47"/>
      <c r="J1403" s="48"/>
      <c r="K1403" s="47"/>
      <c r="L1403" s="47"/>
      <c r="M1403" s="47"/>
      <c r="N1403" s="47"/>
    </row>
    <row r="1404" spans="1:14" ht="16.5" customHeight="1" x14ac:dyDescent="0.25">
      <c r="A1404" s="49"/>
      <c r="B1404" s="47"/>
      <c r="C1404" s="47"/>
      <c r="D1404" s="47"/>
      <c r="E1404" s="47"/>
      <c r="F1404" s="47"/>
      <c r="G1404" s="47"/>
      <c r="H1404" s="47"/>
      <c r="I1404" s="47"/>
      <c r="J1404" s="48"/>
      <c r="K1404" s="47"/>
      <c r="L1404" s="47"/>
      <c r="M1404" s="47"/>
      <c r="N1404" s="47"/>
    </row>
    <row r="1405" spans="1:14" ht="16.5" customHeight="1" x14ac:dyDescent="0.25">
      <c r="A1405" s="49"/>
      <c r="B1405" s="47"/>
      <c r="C1405" s="47"/>
      <c r="D1405" s="47"/>
      <c r="E1405" s="47"/>
      <c r="F1405" s="47"/>
      <c r="G1405" s="47"/>
      <c r="H1405" s="47"/>
      <c r="I1405" s="47"/>
      <c r="J1405" s="48"/>
      <c r="K1405" s="47"/>
      <c r="L1405" s="47"/>
      <c r="M1405" s="47"/>
      <c r="N1405" s="47"/>
    </row>
    <row r="1406" spans="1:14" ht="16.5" customHeight="1" x14ac:dyDescent="0.25">
      <c r="A1406" s="49"/>
      <c r="B1406" s="47"/>
      <c r="C1406" s="47"/>
      <c r="D1406" s="47"/>
      <c r="E1406" s="47"/>
      <c r="F1406" s="47"/>
      <c r="G1406" s="47"/>
      <c r="H1406" s="47"/>
      <c r="I1406" s="47"/>
      <c r="J1406" s="48"/>
      <c r="K1406" s="47"/>
      <c r="L1406" s="47"/>
      <c r="M1406" s="47"/>
      <c r="N1406" s="47"/>
    </row>
    <row r="1407" spans="1:14" ht="16.5" customHeight="1" x14ac:dyDescent="0.25">
      <c r="A1407" s="49"/>
      <c r="B1407" s="47"/>
      <c r="C1407" s="47"/>
      <c r="D1407" s="47"/>
      <c r="E1407" s="47"/>
      <c r="F1407" s="47"/>
      <c r="G1407" s="47"/>
      <c r="H1407" s="47"/>
      <c r="I1407" s="47"/>
      <c r="J1407" s="48"/>
      <c r="K1407" s="47"/>
      <c r="L1407" s="47"/>
      <c r="M1407" s="47"/>
      <c r="N1407" s="47"/>
    </row>
    <row r="1408" spans="1:14" ht="16.5" customHeight="1" x14ac:dyDescent="0.25">
      <c r="A1408" s="49"/>
      <c r="B1408" s="47"/>
      <c r="C1408" s="47"/>
      <c r="D1408" s="47"/>
      <c r="E1408" s="47"/>
      <c r="F1408" s="47"/>
      <c r="G1408" s="47"/>
      <c r="H1408" s="47"/>
      <c r="I1408" s="47"/>
      <c r="J1408" s="48"/>
      <c r="K1408" s="47"/>
      <c r="L1408" s="47"/>
      <c r="M1408" s="47"/>
      <c r="N1408" s="47"/>
    </row>
    <row r="1409" spans="1:14" ht="16.5" customHeight="1" x14ac:dyDescent="0.25">
      <c r="A1409" s="49"/>
      <c r="B1409" s="47"/>
      <c r="C1409" s="47"/>
      <c r="D1409" s="47"/>
      <c r="E1409" s="47"/>
      <c r="F1409" s="47"/>
      <c r="G1409" s="47"/>
      <c r="H1409" s="47"/>
      <c r="I1409" s="47"/>
      <c r="J1409" s="48"/>
      <c r="K1409" s="47"/>
      <c r="L1409" s="47"/>
      <c r="M1409" s="47"/>
      <c r="N1409" s="47"/>
    </row>
    <row r="1410" spans="1:14" ht="16.5" customHeight="1" x14ac:dyDescent="0.25">
      <c r="A1410" s="49"/>
      <c r="B1410" s="47"/>
      <c r="C1410" s="47"/>
      <c r="D1410" s="47"/>
      <c r="E1410" s="47"/>
      <c r="F1410" s="47"/>
      <c r="G1410" s="47"/>
      <c r="H1410" s="47"/>
      <c r="I1410" s="47"/>
      <c r="J1410" s="48"/>
      <c r="K1410" s="47"/>
      <c r="L1410" s="47"/>
      <c r="M1410" s="47"/>
      <c r="N1410" s="47"/>
    </row>
    <row r="1411" spans="1:14" ht="16.5" customHeight="1" x14ac:dyDescent="0.25">
      <c r="A1411" s="49"/>
      <c r="B1411" s="47"/>
      <c r="C1411" s="47"/>
      <c r="D1411" s="47"/>
      <c r="E1411" s="47"/>
      <c r="F1411" s="47"/>
      <c r="G1411" s="47"/>
      <c r="H1411" s="47"/>
      <c r="I1411" s="47"/>
      <c r="J1411" s="48"/>
      <c r="K1411" s="47"/>
      <c r="L1411" s="47"/>
      <c r="M1411" s="47"/>
      <c r="N1411" s="47"/>
    </row>
    <row r="1412" spans="1:14" ht="16.5" customHeight="1" x14ac:dyDescent="0.25">
      <c r="A1412" s="49"/>
      <c r="B1412" s="47"/>
      <c r="C1412" s="47"/>
      <c r="D1412" s="47"/>
      <c r="E1412" s="47"/>
      <c r="F1412" s="47"/>
      <c r="G1412" s="47"/>
      <c r="H1412" s="47"/>
      <c r="I1412" s="47"/>
      <c r="J1412" s="48"/>
      <c r="K1412" s="47"/>
      <c r="L1412" s="47"/>
      <c r="M1412" s="47"/>
      <c r="N1412" s="47"/>
    </row>
    <row r="1413" spans="1:14" ht="16.5" customHeight="1" x14ac:dyDescent="0.25">
      <c r="A1413" s="49"/>
      <c r="B1413" s="47"/>
      <c r="C1413" s="47"/>
      <c r="D1413" s="47"/>
      <c r="E1413" s="47"/>
      <c r="F1413" s="47"/>
      <c r="G1413" s="47"/>
      <c r="H1413" s="47"/>
      <c r="I1413" s="47"/>
      <c r="J1413" s="48"/>
      <c r="K1413" s="47"/>
      <c r="L1413" s="47"/>
      <c r="M1413" s="47"/>
      <c r="N1413" s="47"/>
    </row>
    <row r="1414" spans="1:14" ht="16.5" customHeight="1" x14ac:dyDescent="0.25">
      <c r="A1414" s="49"/>
      <c r="B1414" s="47"/>
      <c r="C1414" s="47"/>
      <c r="D1414" s="47"/>
      <c r="E1414" s="47"/>
      <c r="F1414" s="47"/>
      <c r="G1414" s="47"/>
      <c r="H1414" s="47"/>
      <c r="I1414" s="47"/>
      <c r="J1414" s="48"/>
      <c r="K1414" s="47"/>
      <c r="L1414" s="47"/>
      <c r="M1414" s="47"/>
      <c r="N1414" s="47"/>
    </row>
    <row r="1415" spans="1:14" ht="16.5" customHeight="1" x14ac:dyDescent="0.25">
      <c r="A1415" s="49"/>
      <c r="B1415" s="47"/>
      <c r="C1415" s="47"/>
      <c r="D1415" s="47"/>
      <c r="E1415" s="47"/>
      <c r="F1415" s="47"/>
      <c r="G1415" s="47"/>
      <c r="H1415" s="47"/>
      <c r="I1415" s="47"/>
      <c r="J1415" s="48"/>
      <c r="K1415" s="47"/>
      <c r="L1415" s="47"/>
      <c r="M1415" s="47"/>
      <c r="N1415" s="47"/>
    </row>
    <row r="1416" spans="1:14" ht="16.5" customHeight="1" x14ac:dyDescent="0.25">
      <c r="A1416" s="49"/>
      <c r="B1416" s="47"/>
      <c r="C1416" s="47"/>
      <c r="D1416" s="47"/>
      <c r="E1416" s="47"/>
      <c r="F1416" s="47"/>
      <c r="G1416" s="47"/>
      <c r="H1416" s="47"/>
      <c r="I1416" s="47"/>
      <c r="J1416" s="48"/>
      <c r="K1416" s="47"/>
      <c r="L1416" s="47"/>
      <c r="M1416" s="47"/>
      <c r="N1416" s="47"/>
    </row>
    <row r="1417" spans="1:14" ht="16.5" customHeight="1" x14ac:dyDescent="0.25">
      <c r="A1417" s="49"/>
      <c r="B1417" s="47"/>
      <c r="C1417" s="47"/>
      <c r="D1417" s="47"/>
      <c r="E1417" s="47"/>
      <c r="F1417" s="47"/>
      <c r="G1417" s="47"/>
      <c r="H1417" s="47"/>
      <c r="I1417" s="47"/>
      <c r="J1417" s="48"/>
      <c r="K1417" s="47"/>
      <c r="L1417" s="47"/>
      <c r="M1417" s="47"/>
      <c r="N1417" s="47"/>
    </row>
    <row r="1418" spans="1:14" ht="16.5" customHeight="1" x14ac:dyDescent="0.25">
      <c r="A1418" s="49"/>
      <c r="B1418" s="47"/>
      <c r="C1418" s="47"/>
      <c r="D1418" s="47"/>
      <c r="E1418" s="47"/>
      <c r="F1418" s="47"/>
      <c r="G1418" s="47"/>
      <c r="H1418" s="47"/>
      <c r="I1418" s="47"/>
      <c r="J1418" s="48"/>
      <c r="K1418" s="47"/>
      <c r="L1418" s="47"/>
      <c r="M1418" s="47"/>
      <c r="N1418" s="47"/>
    </row>
    <row r="1419" spans="1:14" ht="16.5" customHeight="1" x14ac:dyDescent="0.25">
      <c r="A1419" s="49"/>
      <c r="B1419" s="47"/>
      <c r="C1419" s="47"/>
      <c r="D1419" s="47"/>
      <c r="E1419" s="47"/>
      <c r="F1419" s="47"/>
      <c r="G1419" s="47"/>
      <c r="H1419" s="47"/>
      <c r="I1419" s="47"/>
      <c r="J1419" s="48"/>
      <c r="K1419" s="47"/>
      <c r="L1419" s="47"/>
      <c r="M1419" s="47"/>
      <c r="N1419" s="47"/>
    </row>
    <row r="1420" spans="1:14" ht="16.5" customHeight="1" x14ac:dyDescent="0.25">
      <c r="A1420" s="49"/>
      <c r="B1420" s="47"/>
      <c r="C1420" s="47"/>
      <c r="D1420" s="47"/>
      <c r="E1420" s="47"/>
      <c r="F1420" s="47"/>
      <c r="G1420" s="47"/>
      <c r="H1420" s="47"/>
      <c r="I1420" s="47"/>
      <c r="J1420" s="48"/>
      <c r="K1420" s="47"/>
      <c r="L1420" s="47"/>
      <c r="M1420" s="47"/>
      <c r="N1420" s="47"/>
    </row>
    <row r="1421" spans="1:14" ht="16.5" customHeight="1" x14ac:dyDescent="0.25">
      <c r="A1421" s="49"/>
      <c r="B1421" s="47"/>
      <c r="C1421" s="47"/>
      <c r="D1421" s="47"/>
      <c r="E1421" s="47"/>
      <c r="F1421" s="47"/>
      <c r="G1421" s="47"/>
      <c r="H1421" s="47"/>
      <c r="I1421" s="47"/>
      <c r="J1421" s="48"/>
      <c r="K1421" s="47"/>
      <c r="L1421" s="47"/>
      <c r="M1421" s="47"/>
      <c r="N1421" s="47"/>
    </row>
    <row r="1422" spans="1:14" ht="16.5" customHeight="1" x14ac:dyDescent="0.25">
      <c r="A1422" s="49"/>
      <c r="B1422" s="47"/>
      <c r="C1422" s="47"/>
      <c r="D1422" s="47"/>
      <c r="E1422" s="47"/>
      <c r="F1422" s="47"/>
      <c r="G1422" s="47"/>
      <c r="H1422" s="47"/>
      <c r="I1422" s="47"/>
      <c r="J1422" s="48"/>
      <c r="K1422" s="47"/>
      <c r="L1422" s="47"/>
      <c r="M1422" s="47"/>
      <c r="N1422" s="47"/>
    </row>
    <row r="1423" spans="1:14" ht="16.5" customHeight="1" x14ac:dyDescent="0.25">
      <c r="A1423" s="49"/>
      <c r="B1423" s="47"/>
      <c r="C1423" s="47"/>
      <c r="D1423" s="47"/>
      <c r="E1423" s="47"/>
      <c r="F1423" s="47"/>
      <c r="G1423" s="47"/>
      <c r="H1423" s="47"/>
      <c r="I1423" s="47"/>
      <c r="J1423" s="48"/>
      <c r="K1423" s="47"/>
      <c r="L1423" s="47"/>
      <c r="M1423" s="47"/>
      <c r="N1423" s="47"/>
    </row>
    <row r="1424" spans="1:14" ht="16.5" customHeight="1" x14ac:dyDescent="0.25">
      <c r="A1424" s="49"/>
      <c r="B1424" s="47"/>
      <c r="C1424" s="47"/>
      <c r="D1424" s="47"/>
      <c r="E1424" s="47"/>
      <c r="F1424" s="47"/>
      <c r="G1424" s="47"/>
      <c r="H1424" s="47"/>
      <c r="I1424" s="47"/>
      <c r="J1424" s="48"/>
      <c r="K1424" s="47"/>
      <c r="L1424" s="47"/>
      <c r="M1424" s="47"/>
      <c r="N1424" s="47"/>
    </row>
    <row r="1425" spans="1:14" ht="16.5" customHeight="1" x14ac:dyDescent="0.25">
      <c r="A1425" s="49"/>
      <c r="B1425" s="47"/>
      <c r="C1425" s="47"/>
      <c r="D1425" s="47"/>
      <c r="E1425" s="47"/>
      <c r="F1425" s="47"/>
      <c r="G1425" s="47"/>
      <c r="H1425" s="47"/>
      <c r="I1425" s="47"/>
      <c r="J1425" s="48"/>
      <c r="K1425" s="47"/>
      <c r="L1425" s="47"/>
      <c r="M1425" s="47"/>
      <c r="N1425" s="47"/>
    </row>
    <row r="1426" spans="1:14" ht="16.5" customHeight="1" x14ac:dyDescent="0.25">
      <c r="A1426" s="49"/>
      <c r="B1426" s="47"/>
      <c r="C1426" s="47"/>
      <c r="D1426" s="47"/>
      <c r="E1426" s="47"/>
      <c r="F1426" s="47"/>
      <c r="G1426" s="47"/>
      <c r="H1426" s="47"/>
      <c r="I1426" s="47"/>
      <c r="J1426" s="48"/>
      <c r="K1426" s="47"/>
      <c r="L1426" s="47"/>
      <c r="M1426" s="47"/>
      <c r="N1426" s="47"/>
    </row>
    <row r="1427" spans="1:14" ht="16.5" customHeight="1" x14ac:dyDescent="0.25">
      <c r="A1427" s="49"/>
      <c r="B1427" s="47"/>
      <c r="C1427" s="47"/>
      <c r="D1427" s="47"/>
      <c r="E1427" s="47"/>
      <c r="F1427" s="47"/>
      <c r="G1427" s="47"/>
      <c r="H1427" s="47"/>
      <c r="I1427" s="47"/>
      <c r="J1427" s="48"/>
      <c r="K1427" s="47"/>
      <c r="L1427" s="47"/>
      <c r="M1427" s="47"/>
      <c r="N1427" s="47"/>
    </row>
    <row r="1428" spans="1:14" ht="16.5" customHeight="1" x14ac:dyDescent="0.25">
      <c r="A1428" s="49"/>
      <c r="B1428" s="47"/>
      <c r="C1428" s="47"/>
      <c r="D1428" s="47"/>
      <c r="E1428" s="47"/>
      <c r="F1428" s="47"/>
      <c r="G1428" s="47"/>
      <c r="H1428" s="47"/>
      <c r="I1428" s="47"/>
      <c r="J1428" s="48"/>
      <c r="K1428" s="47"/>
      <c r="L1428" s="47"/>
      <c r="M1428" s="47"/>
      <c r="N1428" s="47"/>
    </row>
    <row r="1429" spans="1:14" ht="16.5" customHeight="1" x14ac:dyDescent="0.25">
      <c r="A1429" s="49"/>
      <c r="B1429" s="47"/>
      <c r="C1429" s="47"/>
      <c r="D1429" s="47"/>
      <c r="E1429" s="47"/>
      <c r="F1429" s="47"/>
      <c r="G1429" s="47"/>
      <c r="H1429" s="47"/>
      <c r="I1429" s="47"/>
      <c r="J1429" s="48"/>
      <c r="K1429" s="47"/>
      <c r="L1429" s="47"/>
      <c r="M1429" s="47"/>
      <c r="N1429" s="47"/>
    </row>
    <row r="1430" spans="1:14" ht="16.5" customHeight="1" x14ac:dyDescent="0.25">
      <c r="A1430" s="49"/>
      <c r="B1430" s="47"/>
      <c r="C1430" s="47"/>
      <c r="D1430" s="47"/>
      <c r="E1430" s="47"/>
      <c r="F1430" s="47"/>
      <c r="G1430" s="47"/>
      <c r="H1430" s="47"/>
      <c r="I1430" s="47"/>
      <c r="J1430" s="48"/>
      <c r="K1430" s="47"/>
      <c r="L1430" s="47"/>
      <c r="M1430" s="47"/>
      <c r="N1430" s="47"/>
    </row>
    <row r="1431" spans="1:14" ht="16.5" customHeight="1" x14ac:dyDescent="0.25">
      <c r="A1431" s="49"/>
      <c r="B1431" s="47"/>
      <c r="C1431" s="47"/>
      <c r="D1431" s="47"/>
      <c r="E1431" s="47"/>
      <c r="F1431" s="47"/>
      <c r="G1431" s="47"/>
      <c r="H1431" s="47"/>
      <c r="I1431" s="47"/>
      <c r="J1431" s="48"/>
      <c r="K1431" s="47"/>
      <c r="L1431" s="47"/>
      <c r="M1431" s="47"/>
      <c r="N1431" s="47"/>
    </row>
    <row r="1432" spans="1:14" ht="16.5" customHeight="1" x14ac:dyDescent="0.25">
      <c r="A1432" s="49"/>
      <c r="B1432" s="47"/>
      <c r="C1432" s="47"/>
      <c r="D1432" s="47"/>
      <c r="E1432" s="47"/>
      <c r="F1432" s="47"/>
      <c r="G1432" s="47"/>
      <c r="H1432" s="47"/>
      <c r="I1432" s="47"/>
      <c r="J1432" s="48"/>
      <c r="K1432" s="47"/>
      <c r="L1432" s="47"/>
      <c r="M1432" s="47"/>
      <c r="N1432" s="47"/>
    </row>
    <row r="1433" spans="1:14" ht="16.5" customHeight="1" x14ac:dyDescent="0.25">
      <c r="A1433" s="49"/>
      <c r="B1433" s="47"/>
      <c r="C1433" s="47"/>
      <c r="D1433" s="47"/>
      <c r="E1433" s="47"/>
      <c r="F1433" s="47"/>
      <c r="G1433" s="47"/>
      <c r="H1433" s="47"/>
      <c r="I1433" s="47"/>
      <c r="J1433" s="48"/>
      <c r="K1433" s="47"/>
      <c r="L1433" s="47"/>
      <c r="M1433" s="47"/>
      <c r="N1433" s="47"/>
    </row>
    <row r="1434" spans="1:14" ht="16.5" customHeight="1" x14ac:dyDescent="0.25">
      <c r="A1434" s="49"/>
      <c r="B1434" s="47"/>
      <c r="C1434" s="47"/>
      <c r="D1434" s="47"/>
      <c r="E1434" s="47"/>
      <c r="F1434" s="47"/>
      <c r="G1434" s="47"/>
      <c r="H1434" s="47"/>
      <c r="I1434" s="47"/>
      <c r="J1434" s="48"/>
      <c r="K1434" s="47"/>
      <c r="L1434" s="47"/>
      <c r="M1434" s="47"/>
      <c r="N1434" s="47"/>
    </row>
    <row r="1435" spans="1:14" ht="16.5" customHeight="1" x14ac:dyDescent="0.25">
      <c r="A1435" s="49"/>
      <c r="B1435" s="47"/>
      <c r="C1435" s="47"/>
      <c r="D1435" s="47"/>
      <c r="E1435" s="47"/>
      <c r="F1435" s="47"/>
      <c r="G1435" s="47"/>
      <c r="H1435" s="47"/>
      <c r="I1435" s="47"/>
      <c r="J1435" s="48"/>
      <c r="K1435" s="47"/>
      <c r="L1435" s="47"/>
      <c r="M1435" s="47"/>
      <c r="N1435" s="47"/>
    </row>
    <row r="1436" spans="1:14" ht="16.5" customHeight="1" x14ac:dyDescent="0.25">
      <c r="A1436" s="49"/>
      <c r="B1436" s="47"/>
      <c r="C1436" s="47"/>
      <c r="D1436" s="47"/>
      <c r="E1436" s="47"/>
      <c r="F1436" s="47"/>
      <c r="G1436" s="47"/>
      <c r="H1436" s="47"/>
      <c r="I1436" s="47"/>
      <c r="J1436" s="48"/>
      <c r="K1436" s="47"/>
      <c r="L1436" s="47"/>
      <c r="M1436" s="47"/>
      <c r="N1436" s="47"/>
    </row>
    <row r="1437" spans="1:14" ht="16.5" customHeight="1" x14ac:dyDescent="0.25">
      <c r="A1437" s="49"/>
      <c r="B1437" s="47"/>
      <c r="C1437" s="47"/>
      <c r="D1437" s="47"/>
      <c r="E1437" s="47"/>
      <c r="F1437" s="47"/>
      <c r="G1437" s="47"/>
      <c r="H1437" s="47"/>
      <c r="I1437" s="47"/>
      <c r="J1437" s="48"/>
      <c r="K1437" s="47"/>
      <c r="L1437" s="47"/>
      <c r="M1437" s="47"/>
      <c r="N1437" s="47"/>
    </row>
    <row r="1438" spans="1:14" ht="16.5" customHeight="1" x14ac:dyDescent="0.25">
      <c r="A1438" s="49"/>
      <c r="B1438" s="47"/>
      <c r="C1438" s="47"/>
      <c r="D1438" s="47"/>
      <c r="E1438" s="47"/>
      <c r="F1438" s="47"/>
      <c r="G1438" s="47"/>
      <c r="H1438" s="47"/>
      <c r="I1438" s="47"/>
      <c r="J1438" s="48"/>
      <c r="K1438" s="47"/>
      <c r="L1438" s="47"/>
      <c r="M1438" s="47"/>
      <c r="N1438" s="47"/>
    </row>
    <row r="1439" spans="1:14" ht="16.5" customHeight="1" x14ac:dyDescent="0.25">
      <c r="A1439" s="49"/>
      <c r="B1439" s="47"/>
      <c r="C1439" s="47"/>
      <c r="D1439" s="47"/>
      <c r="E1439" s="47"/>
      <c r="F1439" s="47"/>
      <c r="G1439" s="47"/>
      <c r="H1439" s="47"/>
      <c r="I1439" s="47"/>
      <c r="J1439" s="48"/>
      <c r="K1439" s="47"/>
      <c r="L1439" s="47"/>
      <c r="M1439" s="47"/>
      <c r="N1439" s="47"/>
    </row>
    <row r="1440" spans="1:14" ht="16.5" customHeight="1" x14ac:dyDescent="0.25">
      <c r="A1440" s="49"/>
      <c r="B1440" s="47"/>
      <c r="C1440" s="47"/>
      <c r="D1440" s="47"/>
      <c r="E1440" s="47"/>
      <c r="F1440" s="47"/>
      <c r="G1440" s="47"/>
      <c r="H1440" s="47"/>
      <c r="I1440" s="47"/>
      <c r="J1440" s="48"/>
      <c r="K1440" s="47"/>
      <c r="L1440" s="47"/>
      <c r="M1440" s="47"/>
      <c r="N1440" s="47"/>
    </row>
    <row r="1441" spans="1:14" ht="16.5" customHeight="1" x14ac:dyDescent="0.25">
      <c r="A1441" s="49"/>
      <c r="B1441" s="47"/>
      <c r="C1441" s="47"/>
      <c r="D1441" s="47"/>
      <c r="E1441" s="47"/>
      <c r="F1441" s="47"/>
      <c r="G1441" s="47"/>
      <c r="H1441" s="47"/>
      <c r="I1441" s="47"/>
      <c r="J1441" s="48"/>
      <c r="K1441" s="47"/>
      <c r="L1441" s="47"/>
      <c r="M1441" s="47"/>
      <c r="N1441" s="47"/>
    </row>
    <row r="1442" spans="1:14" ht="16.5" customHeight="1" x14ac:dyDescent="0.25">
      <c r="A1442" s="49"/>
      <c r="B1442" s="47"/>
      <c r="C1442" s="47"/>
      <c r="D1442" s="47"/>
      <c r="E1442" s="47"/>
      <c r="F1442" s="47"/>
      <c r="G1442" s="47"/>
      <c r="H1442" s="47"/>
      <c r="I1442" s="47"/>
      <c r="J1442" s="48"/>
      <c r="K1442" s="47"/>
      <c r="L1442" s="47"/>
      <c r="M1442" s="47"/>
      <c r="N1442" s="47"/>
    </row>
    <row r="1443" spans="1:14" ht="16.5" customHeight="1" x14ac:dyDescent="0.25">
      <c r="A1443" s="49"/>
      <c r="B1443" s="47"/>
      <c r="C1443" s="47"/>
      <c r="D1443" s="47"/>
      <c r="E1443" s="47"/>
      <c r="F1443" s="47"/>
      <c r="G1443" s="47"/>
      <c r="H1443" s="47"/>
      <c r="I1443" s="47"/>
      <c r="J1443" s="48"/>
      <c r="K1443" s="47"/>
      <c r="L1443" s="47"/>
      <c r="M1443" s="47"/>
      <c r="N1443" s="47"/>
    </row>
    <row r="1444" spans="1:14" ht="16.5" customHeight="1" x14ac:dyDescent="0.25">
      <c r="A1444" s="49"/>
      <c r="B1444" s="47"/>
      <c r="C1444" s="47"/>
      <c r="D1444" s="47"/>
      <c r="E1444" s="47"/>
      <c r="F1444" s="47"/>
      <c r="G1444" s="47"/>
      <c r="H1444" s="47"/>
      <c r="I1444" s="47"/>
      <c r="J1444" s="48"/>
      <c r="K1444" s="47"/>
      <c r="L1444" s="47"/>
      <c r="M1444" s="47"/>
      <c r="N1444" s="47"/>
    </row>
    <row r="1445" spans="1:14" ht="16.5" customHeight="1" x14ac:dyDescent="0.25">
      <c r="A1445" s="49"/>
      <c r="B1445" s="47"/>
      <c r="C1445" s="47"/>
      <c r="D1445" s="47"/>
      <c r="E1445" s="47"/>
      <c r="F1445" s="47"/>
      <c r="G1445" s="47"/>
      <c r="H1445" s="47"/>
      <c r="I1445" s="47"/>
      <c r="J1445" s="48"/>
      <c r="K1445" s="47"/>
      <c r="L1445" s="47"/>
      <c r="M1445" s="47"/>
      <c r="N1445" s="47"/>
    </row>
    <row r="1446" spans="1:14" ht="16.5" customHeight="1" x14ac:dyDescent="0.25">
      <c r="A1446" s="49"/>
      <c r="B1446" s="47"/>
      <c r="C1446" s="47"/>
      <c r="D1446" s="47"/>
      <c r="E1446" s="47"/>
      <c r="F1446" s="47"/>
      <c r="G1446" s="47"/>
      <c r="H1446" s="47"/>
      <c r="I1446" s="47"/>
      <c r="J1446" s="48"/>
      <c r="K1446" s="47"/>
      <c r="L1446" s="47"/>
      <c r="M1446" s="47"/>
      <c r="N1446" s="47"/>
    </row>
    <row r="1447" spans="1:14" ht="16.5" customHeight="1" x14ac:dyDescent="0.25">
      <c r="A1447" s="49"/>
      <c r="B1447" s="47"/>
      <c r="C1447" s="47"/>
      <c r="D1447" s="47"/>
      <c r="E1447" s="47"/>
      <c r="F1447" s="47"/>
      <c r="G1447" s="47"/>
      <c r="H1447" s="47"/>
      <c r="I1447" s="47"/>
      <c r="J1447" s="48"/>
      <c r="K1447" s="47"/>
      <c r="L1447" s="47"/>
      <c r="M1447" s="47"/>
      <c r="N1447" s="47"/>
    </row>
    <row r="1448" spans="1:14" ht="16.5" customHeight="1" x14ac:dyDescent="0.25">
      <c r="A1448" s="49"/>
      <c r="B1448" s="47"/>
      <c r="C1448" s="47"/>
      <c r="D1448" s="47"/>
      <c r="E1448" s="47"/>
      <c r="F1448" s="47"/>
      <c r="G1448" s="47"/>
      <c r="H1448" s="47"/>
      <c r="I1448" s="47"/>
      <c r="J1448" s="48"/>
      <c r="K1448" s="47"/>
      <c r="L1448" s="47"/>
      <c r="M1448" s="47"/>
      <c r="N1448" s="47"/>
    </row>
    <row r="1449" spans="1:14" ht="16.5" customHeight="1" x14ac:dyDescent="0.25">
      <c r="A1449" s="49"/>
      <c r="B1449" s="47"/>
      <c r="C1449" s="47"/>
      <c r="D1449" s="47"/>
      <c r="E1449" s="47"/>
      <c r="F1449" s="47"/>
      <c r="G1449" s="47"/>
      <c r="H1449" s="47"/>
      <c r="I1449" s="47"/>
      <c r="J1449" s="48"/>
      <c r="K1449" s="47"/>
      <c r="L1449" s="47"/>
      <c r="M1449" s="47"/>
      <c r="N1449" s="47"/>
    </row>
    <row r="1450" spans="1:14" ht="16.5" customHeight="1" x14ac:dyDescent="0.25">
      <c r="A1450" s="49"/>
      <c r="B1450" s="47"/>
      <c r="C1450" s="47"/>
      <c r="D1450" s="47"/>
      <c r="E1450" s="47"/>
      <c r="F1450" s="47"/>
      <c r="G1450" s="47"/>
      <c r="H1450" s="47"/>
      <c r="I1450" s="47"/>
      <c r="J1450" s="48"/>
      <c r="K1450" s="47"/>
      <c r="L1450" s="47"/>
      <c r="M1450" s="47"/>
      <c r="N1450" s="47"/>
    </row>
    <row r="1451" spans="1:14" ht="16.5" customHeight="1" x14ac:dyDescent="0.25">
      <c r="A1451" s="49"/>
      <c r="B1451" s="47"/>
      <c r="C1451" s="47"/>
      <c r="D1451" s="47"/>
      <c r="E1451" s="47"/>
      <c r="F1451" s="47"/>
      <c r="G1451" s="47"/>
      <c r="H1451" s="47"/>
      <c r="I1451" s="47"/>
      <c r="J1451" s="48"/>
      <c r="K1451" s="47"/>
      <c r="L1451" s="47"/>
      <c r="M1451" s="47"/>
      <c r="N1451" s="47"/>
    </row>
    <row r="1452" spans="1:14" ht="16.5" customHeight="1" x14ac:dyDescent="0.25">
      <c r="A1452" s="49"/>
      <c r="B1452" s="47"/>
      <c r="C1452" s="47"/>
      <c r="D1452" s="47"/>
      <c r="E1452" s="47"/>
      <c r="F1452" s="47"/>
      <c r="G1452" s="47"/>
      <c r="H1452" s="47"/>
      <c r="I1452" s="47"/>
      <c r="J1452" s="48"/>
      <c r="K1452" s="47"/>
      <c r="L1452" s="47"/>
      <c r="M1452" s="47"/>
      <c r="N1452" s="47"/>
    </row>
    <row r="1453" spans="1:14" ht="16.5" customHeight="1" x14ac:dyDescent="0.25">
      <c r="A1453" s="49"/>
      <c r="B1453" s="47"/>
      <c r="C1453" s="47"/>
      <c r="D1453" s="47"/>
      <c r="E1453" s="47"/>
      <c r="F1453" s="47"/>
      <c r="G1453" s="47"/>
      <c r="H1453" s="47"/>
      <c r="I1453" s="47"/>
      <c r="J1453" s="48"/>
      <c r="K1453" s="47"/>
      <c r="L1453" s="47"/>
      <c r="M1453" s="47"/>
      <c r="N1453" s="47"/>
    </row>
    <row r="1454" spans="1:14" ht="16.5" customHeight="1" x14ac:dyDescent="0.25">
      <c r="A1454" s="49"/>
      <c r="B1454" s="47"/>
      <c r="C1454" s="47"/>
      <c r="D1454" s="47"/>
      <c r="E1454" s="47"/>
      <c r="F1454" s="47"/>
      <c r="G1454" s="47"/>
      <c r="H1454" s="47"/>
      <c r="I1454" s="47"/>
      <c r="J1454" s="48"/>
      <c r="K1454" s="47"/>
      <c r="L1454" s="47"/>
      <c r="M1454" s="47"/>
      <c r="N1454" s="47"/>
    </row>
    <row r="1455" spans="1:14" ht="16.5" customHeight="1" x14ac:dyDescent="0.25">
      <c r="A1455" s="49"/>
      <c r="B1455" s="47"/>
      <c r="C1455" s="47"/>
      <c r="D1455" s="47"/>
      <c r="E1455" s="47"/>
      <c r="F1455" s="47"/>
      <c r="G1455" s="47"/>
      <c r="H1455" s="47"/>
      <c r="I1455" s="47"/>
      <c r="J1455" s="48"/>
      <c r="K1455" s="47"/>
      <c r="L1455" s="47"/>
      <c r="M1455" s="47"/>
      <c r="N1455" s="47"/>
    </row>
    <row r="1456" spans="1:14" ht="16.5" customHeight="1" x14ac:dyDescent="0.25">
      <c r="A1456" s="49"/>
      <c r="B1456" s="47"/>
      <c r="C1456" s="47"/>
      <c r="D1456" s="47"/>
      <c r="E1456" s="47"/>
      <c r="F1456" s="47"/>
      <c r="G1456" s="47"/>
      <c r="H1456" s="47"/>
      <c r="I1456" s="47"/>
      <c r="J1456" s="48"/>
      <c r="K1456" s="47"/>
      <c r="L1456" s="47"/>
      <c r="M1456" s="47"/>
      <c r="N1456" s="47"/>
    </row>
    <row r="1457" spans="1:14" ht="16.5" customHeight="1" x14ac:dyDescent="0.25">
      <c r="A1457" s="49"/>
      <c r="B1457" s="47"/>
      <c r="C1457" s="47"/>
      <c r="D1457" s="47"/>
      <c r="E1457" s="47"/>
      <c r="F1457" s="47"/>
      <c r="G1457" s="47"/>
      <c r="H1457" s="47"/>
      <c r="I1457" s="47"/>
      <c r="J1457" s="48"/>
      <c r="K1457" s="47"/>
      <c r="L1457" s="47"/>
      <c r="M1457" s="47"/>
      <c r="N1457" s="47"/>
    </row>
    <row r="1458" spans="1:14" ht="16.5" customHeight="1" x14ac:dyDescent="0.25">
      <c r="A1458" s="49"/>
      <c r="B1458" s="47"/>
      <c r="C1458" s="47"/>
      <c r="D1458" s="47"/>
      <c r="E1458" s="47"/>
      <c r="F1458" s="47"/>
      <c r="G1458" s="47"/>
      <c r="H1458" s="47"/>
      <c r="I1458" s="47"/>
      <c r="J1458" s="48"/>
      <c r="K1458" s="47"/>
      <c r="L1458" s="47"/>
      <c r="M1458" s="47"/>
      <c r="N1458" s="47"/>
    </row>
    <row r="1459" spans="1:14" ht="16.5" customHeight="1" x14ac:dyDescent="0.25">
      <c r="A1459" s="49"/>
      <c r="B1459" s="47"/>
      <c r="C1459" s="47"/>
      <c r="D1459" s="47"/>
      <c r="E1459" s="47"/>
      <c r="F1459" s="47"/>
      <c r="G1459" s="47"/>
      <c r="H1459" s="47"/>
      <c r="I1459" s="47"/>
      <c r="J1459" s="48"/>
      <c r="K1459" s="47"/>
      <c r="L1459" s="47"/>
      <c r="M1459" s="47"/>
      <c r="N1459" s="47"/>
    </row>
    <row r="1460" spans="1:14" ht="16.5" customHeight="1" x14ac:dyDescent="0.25">
      <c r="A1460" s="49"/>
      <c r="B1460" s="47"/>
      <c r="C1460" s="47"/>
      <c r="D1460" s="47"/>
      <c r="E1460" s="47"/>
      <c r="F1460" s="47"/>
      <c r="G1460" s="47"/>
      <c r="H1460" s="47"/>
      <c r="I1460" s="47"/>
      <c r="J1460" s="48"/>
      <c r="K1460" s="47"/>
      <c r="L1460" s="47"/>
      <c r="M1460" s="47"/>
      <c r="N1460" s="47"/>
    </row>
    <row r="1461" spans="1:14" ht="16.5" customHeight="1" x14ac:dyDescent="0.25">
      <c r="A1461" s="49"/>
      <c r="B1461" s="47"/>
      <c r="C1461" s="47"/>
      <c r="D1461" s="47"/>
      <c r="E1461" s="47"/>
      <c r="F1461" s="47"/>
      <c r="G1461" s="47"/>
      <c r="H1461" s="47"/>
      <c r="I1461" s="47"/>
      <c r="J1461" s="48"/>
      <c r="K1461" s="47"/>
      <c r="L1461" s="47"/>
      <c r="M1461" s="47"/>
      <c r="N1461" s="47"/>
    </row>
    <row r="1462" spans="1:14" ht="16.5" customHeight="1" x14ac:dyDescent="0.25">
      <c r="A1462" s="49"/>
      <c r="B1462" s="47"/>
      <c r="C1462" s="47"/>
      <c r="D1462" s="47"/>
      <c r="E1462" s="47"/>
      <c r="F1462" s="47"/>
      <c r="G1462" s="47"/>
      <c r="H1462" s="47"/>
      <c r="I1462" s="47"/>
      <c r="J1462" s="48"/>
      <c r="K1462" s="47"/>
      <c r="L1462" s="47"/>
      <c r="M1462" s="47"/>
      <c r="N1462" s="47"/>
    </row>
    <row r="1463" spans="1:14" ht="16.5" customHeight="1" x14ac:dyDescent="0.25">
      <c r="A1463" s="49"/>
      <c r="B1463" s="47"/>
      <c r="C1463" s="47"/>
      <c r="D1463" s="47"/>
      <c r="E1463" s="47"/>
      <c r="F1463" s="47"/>
      <c r="G1463" s="47"/>
      <c r="H1463" s="47"/>
      <c r="I1463" s="47"/>
      <c r="J1463" s="48"/>
      <c r="K1463" s="47"/>
      <c r="L1463" s="47"/>
      <c r="M1463" s="47"/>
      <c r="N1463" s="47"/>
    </row>
    <row r="1464" spans="1:14" ht="16.5" customHeight="1" x14ac:dyDescent="0.25">
      <c r="A1464" s="49"/>
      <c r="B1464" s="47"/>
      <c r="C1464" s="47"/>
      <c r="D1464" s="47"/>
      <c r="E1464" s="47"/>
      <c r="F1464" s="47"/>
      <c r="G1464" s="47"/>
      <c r="H1464" s="47"/>
      <c r="I1464" s="47"/>
      <c r="J1464" s="48"/>
      <c r="K1464" s="47"/>
      <c r="L1464" s="47"/>
      <c r="M1464" s="47"/>
      <c r="N1464" s="47"/>
    </row>
    <row r="1465" spans="1:14" ht="16.5" customHeight="1" x14ac:dyDescent="0.25">
      <c r="A1465" s="49"/>
      <c r="B1465" s="47"/>
      <c r="C1465" s="47"/>
      <c r="D1465" s="47"/>
      <c r="E1465" s="47"/>
      <c r="F1465" s="47"/>
      <c r="G1465" s="47"/>
      <c r="H1465" s="47"/>
      <c r="I1465" s="47"/>
      <c r="J1465" s="48"/>
      <c r="K1465" s="47"/>
      <c r="L1465" s="47"/>
      <c r="M1465" s="47"/>
      <c r="N1465" s="47"/>
    </row>
    <row r="1466" spans="1:14" ht="16.5" customHeight="1" x14ac:dyDescent="0.25">
      <c r="A1466" s="49"/>
      <c r="B1466" s="47"/>
      <c r="C1466" s="47"/>
      <c r="D1466" s="47"/>
      <c r="E1466" s="47"/>
      <c r="F1466" s="47"/>
      <c r="G1466" s="47"/>
      <c r="H1466" s="47"/>
      <c r="I1466" s="47"/>
      <c r="J1466" s="48"/>
      <c r="K1466" s="47"/>
      <c r="L1466" s="47"/>
      <c r="M1466" s="47"/>
      <c r="N1466" s="47"/>
    </row>
    <row r="1467" spans="1:14" ht="16.5" customHeight="1" x14ac:dyDescent="0.25">
      <c r="A1467" s="49"/>
      <c r="B1467" s="47"/>
      <c r="C1467" s="47"/>
      <c r="D1467" s="47"/>
      <c r="E1467" s="47"/>
      <c r="F1467" s="47"/>
      <c r="G1467" s="47"/>
      <c r="H1467" s="47"/>
      <c r="I1467" s="47"/>
      <c r="J1467" s="48"/>
      <c r="K1467" s="47"/>
      <c r="L1467" s="47"/>
      <c r="M1467" s="47"/>
      <c r="N1467" s="47"/>
    </row>
    <row r="1468" spans="1:14" ht="16.5" customHeight="1" x14ac:dyDescent="0.25">
      <c r="A1468" s="49"/>
      <c r="B1468" s="47"/>
      <c r="C1468" s="47"/>
      <c r="D1468" s="47"/>
      <c r="E1468" s="47"/>
      <c r="F1468" s="47"/>
      <c r="G1468" s="47"/>
      <c r="H1468" s="47"/>
      <c r="I1468" s="47"/>
      <c r="J1468" s="48"/>
      <c r="K1468" s="47"/>
      <c r="L1468" s="47"/>
      <c r="M1468" s="47"/>
      <c r="N1468" s="47"/>
    </row>
    <row r="1469" spans="1:14" ht="16.5" customHeight="1" x14ac:dyDescent="0.25">
      <c r="A1469" s="49"/>
      <c r="B1469" s="47"/>
      <c r="C1469" s="47"/>
      <c r="D1469" s="47"/>
      <c r="E1469" s="47"/>
      <c r="F1469" s="47"/>
      <c r="G1469" s="47"/>
      <c r="H1469" s="47"/>
      <c r="I1469" s="47"/>
      <c r="J1469" s="48"/>
      <c r="K1469" s="47"/>
      <c r="L1469" s="47"/>
      <c r="M1469" s="47"/>
      <c r="N1469" s="47"/>
    </row>
    <row r="1470" spans="1:14" ht="16.5" customHeight="1" x14ac:dyDescent="0.25">
      <c r="A1470" s="49"/>
      <c r="B1470" s="47"/>
      <c r="C1470" s="47"/>
      <c r="D1470" s="47"/>
      <c r="E1470" s="47"/>
      <c r="F1470" s="47"/>
      <c r="G1470" s="47"/>
      <c r="H1470" s="47"/>
      <c r="I1470" s="47"/>
      <c r="J1470" s="48"/>
      <c r="K1470" s="47"/>
      <c r="L1470" s="47"/>
      <c r="M1470" s="47"/>
      <c r="N1470" s="47"/>
    </row>
    <row r="1471" spans="1:14" ht="16.5" customHeight="1" x14ac:dyDescent="0.25">
      <c r="A1471" s="49"/>
      <c r="B1471" s="47"/>
      <c r="C1471" s="47"/>
      <c r="D1471" s="47"/>
      <c r="E1471" s="47"/>
      <c r="F1471" s="47"/>
      <c r="G1471" s="47"/>
      <c r="H1471" s="47"/>
      <c r="I1471" s="47"/>
      <c r="J1471" s="48"/>
      <c r="K1471" s="47"/>
      <c r="L1471" s="47"/>
      <c r="M1471" s="47"/>
      <c r="N1471" s="47"/>
    </row>
    <row r="1472" spans="1:14" ht="16.5" customHeight="1" x14ac:dyDescent="0.25">
      <c r="A1472" s="49"/>
      <c r="B1472" s="47"/>
      <c r="C1472" s="47"/>
      <c r="D1472" s="47"/>
      <c r="E1472" s="47"/>
      <c r="F1472" s="47"/>
      <c r="G1472" s="47"/>
      <c r="H1472" s="47"/>
      <c r="I1472" s="47"/>
      <c r="J1472" s="48"/>
      <c r="K1472" s="47"/>
      <c r="L1472" s="47"/>
      <c r="M1472" s="47"/>
      <c r="N1472" s="47"/>
    </row>
    <row r="1473" spans="1:14" ht="16.5" customHeight="1" x14ac:dyDescent="0.25">
      <c r="A1473" s="49"/>
      <c r="B1473" s="47"/>
      <c r="C1473" s="47"/>
      <c r="D1473" s="47"/>
      <c r="E1473" s="47"/>
      <c r="F1473" s="47"/>
      <c r="G1473" s="47"/>
      <c r="H1473" s="47"/>
      <c r="I1473" s="47"/>
      <c r="J1473" s="48"/>
      <c r="K1473" s="47"/>
      <c r="L1473" s="47"/>
      <c r="M1473" s="47"/>
      <c r="N1473" s="47"/>
    </row>
    <row r="1474" spans="1:14" ht="16.5" customHeight="1" x14ac:dyDescent="0.25">
      <c r="A1474" s="49"/>
      <c r="B1474" s="47"/>
      <c r="C1474" s="47"/>
      <c r="D1474" s="47"/>
      <c r="E1474" s="47"/>
      <c r="F1474" s="47"/>
      <c r="G1474" s="47"/>
      <c r="H1474" s="47"/>
      <c r="I1474" s="47"/>
      <c r="J1474" s="48"/>
      <c r="K1474" s="47"/>
      <c r="L1474" s="47"/>
      <c r="M1474" s="47"/>
      <c r="N1474" s="47"/>
    </row>
    <row r="1475" spans="1:14" ht="16.5" customHeight="1" x14ac:dyDescent="0.25">
      <c r="A1475" s="49"/>
      <c r="B1475" s="47"/>
      <c r="C1475" s="47"/>
      <c r="D1475" s="47"/>
      <c r="E1475" s="47"/>
      <c r="F1475" s="47"/>
      <c r="G1475" s="47"/>
      <c r="H1475" s="47"/>
      <c r="I1475" s="47"/>
      <c r="J1475" s="48"/>
      <c r="K1475" s="47"/>
      <c r="L1475" s="47"/>
      <c r="M1475" s="47"/>
      <c r="N1475" s="47"/>
    </row>
    <row r="1476" spans="1:14" ht="16.5" customHeight="1" x14ac:dyDescent="0.25">
      <c r="A1476" s="49"/>
      <c r="B1476" s="47"/>
      <c r="C1476" s="47"/>
      <c r="D1476" s="47"/>
      <c r="E1476" s="47"/>
      <c r="F1476" s="47"/>
      <c r="G1476" s="47"/>
      <c r="H1476" s="47"/>
      <c r="I1476" s="47"/>
      <c r="J1476" s="48"/>
      <c r="K1476" s="47"/>
      <c r="L1476" s="47"/>
      <c r="M1476" s="47"/>
      <c r="N1476" s="47"/>
    </row>
    <row r="1477" spans="1:14" ht="16.5" customHeight="1" x14ac:dyDescent="0.25">
      <c r="A1477" s="49"/>
      <c r="B1477" s="47"/>
      <c r="C1477" s="47"/>
      <c r="D1477" s="47"/>
      <c r="E1477" s="47"/>
      <c r="F1477" s="47"/>
      <c r="G1477" s="47"/>
      <c r="H1477" s="47"/>
      <c r="I1477" s="47"/>
      <c r="J1477" s="48"/>
      <c r="K1477" s="47"/>
      <c r="L1477" s="47"/>
      <c r="M1477" s="47"/>
      <c r="N1477" s="47"/>
    </row>
    <row r="1478" spans="1:14" ht="16.5" customHeight="1" x14ac:dyDescent="0.25">
      <c r="A1478" s="49"/>
      <c r="B1478" s="47"/>
      <c r="C1478" s="47"/>
      <c r="D1478" s="47"/>
      <c r="E1478" s="47"/>
      <c r="F1478" s="47"/>
      <c r="G1478" s="47"/>
      <c r="H1478" s="47"/>
      <c r="I1478" s="47"/>
      <c r="J1478" s="48"/>
      <c r="K1478" s="47"/>
      <c r="L1478" s="47"/>
      <c r="M1478" s="47"/>
      <c r="N1478" s="47"/>
    </row>
    <row r="1479" spans="1:14" ht="16.5" customHeight="1" x14ac:dyDescent="0.25">
      <c r="A1479" s="49"/>
      <c r="B1479" s="47"/>
      <c r="C1479" s="47"/>
      <c r="D1479" s="47"/>
      <c r="E1479" s="47"/>
      <c r="F1479" s="47"/>
      <c r="G1479" s="47"/>
      <c r="H1479" s="47"/>
      <c r="I1479" s="47"/>
      <c r="J1479" s="48"/>
      <c r="K1479" s="47"/>
      <c r="L1479" s="47"/>
      <c r="M1479" s="47"/>
      <c r="N1479" s="47"/>
    </row>
    <row r="1480" spans="1:14" ht="16.5" customHeight="1" x14ac:dyDescent="0.25">
      <c r="A1480" s="49"/>
      <c r="B1480" s="47"/>
      <c r="C1480" s="47"/>
      <c r="D1480" s="47"/>
      <c r="E1480" s="47"/>
      <c r="F1480" s="47"/>
      <c r="G1480" s="47"/>
      <c r="H1480" s="47"/>
      <c r="I1480" s="47"/>
      <c r="J1480" s="48"/>
      <c r="K1480" s="47"/>
      <c r="L1480" s="47"/>
      <c r="M1480" s="47"/>
      <c r="N1480" s="47"/>
    </row>
    <row r="1481" spans="1:14" ht="16.5" customHeight="1" x14ac:dyDescent="0.25">
      <c r="A1481" s="49"/>
      <c r="B1481" s="47"/>
      <c r="C1481" s="47"/>
      <c r="D1481" s="47"/>
      <c r="E1481" s="47"/>
      <c r="F1481" s="47"/>
      <c r="G1481" s="47"/>
      <c r="H1481" s="47"/>
      <c r="I1481" s="47"/>
      <c r="J1481" s="48"/>
      <c r="K1481" s="47"/>
      <c r="L1481" s="47"/>
      <c r="M1481" s="47"/>
      <c r="N1481" s="47"/>
    </row>
    <row r="1482" spans="1:14" ht="16.5" customHeight="1" x14ac:dyDescent="0.25">
      <c r="A1482" s="49"/>
      <c r="B1482" s="47"/>
      <c r="C1482" s="47"/>
      <c r="D1482" s="47"/>
      <c r="E1482" s="47"/>
      <c r="F1482" s="47"/>
      <c r="G1482" s="47"/>
      <c r="H1482" s="47"/>
      <c r="I1482" s="47"/>
      <c r="J1482" s="48"/>
      <c r="K1482" s="47"/>
      <c r="L1482" s="47"/>
      <c r="M1482" s="47"/>
      <c r="N1482" s="47"/>
    </row>
    <row r="1483" spans="1:14" ht="16.5" customHeight="1" x14ac:dyDescent="0.25">
      <c r="A1483" s="49"/>
      <c r="B1483" s="47"/>
      <c r="C1483" s="47"/>
      <c r="D1483" s="47"/>
      <c r="E1483" s="47"/>
      <c r="F1483" s="47"/>
      <c r="G1483" s="47"/>
      <c r="H1483" s="47"/>
      <c r="I1483" s="47"/>
      <c r="J1483" s="48"/>
      <c r="K1483" s="47"/>
      <c r="L1483" s="47"/>
      <c r="M1483" s="47"/>
      <c r="N1483" s="47"/>
    </row>
    <row r="1484" spans="1:14" ht="16.5" customHeight="1" x14ac:dyDescent="0.25">
      <c r="A1484" s="49"/>
      <c r="B1484" s="47"/>
      <c r="C1484" s="47"/>
      <c r="D1484" s="47"/>
      <c r="E1484" s="47"/>
      <c r="F1484" s="47"/>
      <c r="G1484" s="47"/>
      <c r="H1484" s="47"/>
      <c r="I1484" s="47"/>
      <c r="J1484" s="48"/>
      <c r="K1484" s="47"/>
      <c r="L1484" s="47"/>
      <c r="M1484" s="47"/>
      <c r="N1484" s="47"/>
    </row>
    <row r="1485" spans="1:14" ht="16.5" customHeight="1" x14ac:dyDescent="0.25">
      <c r="A1485" s="49"/>
      <c r="B1485" s="47"/>
      <c r="C1485" s="47"/>
      <c r="D1485" s="47"/>
      <c r="E1485" s="47"/>
      <c r="F1485" s="47"/>
      <c r="G1485" s="47"/>
      <c r="H1485" s="47"/>
      <c r="I1485" s="47"/>
      <c r="J1485" s="48"/>
      <c r="K1485" s="47"/>
      <c r="L1485" s="47"/>
      <c r="M1485" s="47"/>
      <c r="N1485" s="47"/>
    </row>
    <row r="1486" spans="1:14" ht="16.5" customHeight="1" x14ac:dyDescent="0.25">
      <c r="A1486" s="49"/>
      <c r="B1486" s="47"/>
      <c r="C1486" s="47"/>
      <c r="D1486" s="47"/>
      <c r="E1486" s="47"/>
      <c r="F1486" s="47"/>
      <c r="G1486" s="47"/>
      <c r="H1486" s="47"/>
      <c r="I1486" s="47"/>
      <c r="J1486" s="48"/>
      <c r="K1486" s="47"/>
      <c r="L1486" s="47"/>
      <c r="M1486" s="47"/>
      <c r="N1486" s="47"/>
    </row>
    <row r="1487" spans="1:14" ht="16.5" customHeight="1" x14ac:dyDescent="0.25">
      <c r="A1487" s="49"/>
      <c r="B1487" s="47"/>
      <c r="C1487" s="47"/>
      <c r="D1487" s="47"/>
      <c r="E1487" s="47"/>
      <c r="F1487" s="47"/>
      <c r="G1487" s="47"/>
      <c r="H1487" s="47"/>
      <c r="I1487" s="47"/>
      <c r="J1487" s="48"/>
      <c r="K1487" s="47"/>
      <c r="L1487" s="47"/>
      <c r="M1487" s="47"/>
      <c r="N1487" s="47"/>
    </row>
    <row r="1488" spans="1:14" ht="16.5" customHeight="1" x14ac:dyDescent="0.25">
      <c r="A1488" s="49"/>
      <c r="B1488" s="47"/>
      <c r="C1488" s="47"/>
      <c r="D1488" s="47"/>
      <c r="E1488" s="47"/>
      <c r="F1488" s="47"/>
      <c r="G1488" s="47"/>
      <c r="H1488" s="47"/>
      <c r="I1488" s="47"/>
      <c r="J1488" s="48"/>
      <c r="K1488" s="47"/>
      <c r="L1488" s="47"/>
      <c r="M1488" s="47"/>
      <c r="N1488" s="47"/>
    </row>
    <row r="1489" spans="1:14" ht="16.5" customHeight="1" x14ac:dyDescent="0.25">
      <c r="A1489" s="49"/>
      <c r="B1489" s="47"/>
      <c r="C1489" s="47"/>
      <c r="D1489" s="47"/>
      <c r="E1489" s="47"/>
      <c r="F1489" s="47"/>
      <c r="G1489" s="47"/>
      <c r="H1489" s="47"/>
      <c r="I1489" s="47"/>
      <c r="J1489" s="48"/>
      <c r="K1489" s="47"/>
      <c r="L1489" s="47"/>
      <c r="M1489" s="47"/>
      <c r="N1489" s="47"/>
    </row>
    <row r="1490" spans="1:14" ht="16.5" customHeight="1" x14ac:dyDescent="0.25">
      <c r="A1490" s="49"/>
      <c r="B1490" s="47"/>
      <c r="C1490" s="47"/>
      <c r="D1490" s="47"/>
      <c r="E1490" s="47"/>
      <c r="F1490" s="47"/>
      <c r="G1490" s="47"/>
      <c r="H1490" s="47"/>
      <c r="I1490" s="47"/>
      <c r="J1490" s="48"/>
      <c r="K1490" s="47"/>
      <c r="L1490" s="47"/>
      <c r="M1490" s="47"/>
      <c r="N1490" s="47"/>
    </row>
    <row r="1491" spans="1:14" ht="16.5" customHeight="1" x14ac:dyDescent="0.25">
      <c r="A1491" s="49"/>
      <c r="B1491" s="47"/>
      <c r="C1491" s="47"/>
      <c r="D1491" s="47"/>
      <c r="E1491" s="47"/>
      <c r="F1491" s="47"/>
      <c r="G1491" s="47"/>
      <c r="H1491" s="47"/>
      <c r="I1491" s="47"/>
      <c r="J1491" s="48"/>
      <c r="K1491" s="47"/>
      <c r="L1491" s="47"/>
      <c r="M1491" s="47"/>
      <c r="N1491" s="47"/>
    </row>
    <row r="1492" spans="1:14" ht="16.5" customHeight="1" x14ac:dyDescent="0.25">
      <c r="A1492" s="49"/>
      <c r="B1492" s="47"/>
      <c r="C1492" s="47"/>
      <c r="D1492" s="47"/>
      <c r="E1492" s="47"/>
      <c r="F1492" s="47"/>
      <c r="G1492" s="47"/>
      <c r="H1492" s="47"/>
      <c r="I1492" s="47"/>
      <c r="J1492" s="48"/>
      <c r="K1492" s="47"/>
      <c r="L1492" s="47"/>
      <c r="M1492" s="47"/>
      <c r="N1492" s="47"/>
    </row>
    <row r="1493" spans="1:14" ht="16.5" customHeight="1" x14ac:dyDescent="0.25">
      <c r="A1493" s="49"/>
      <c r="B1493" s="47"/>
      <c r="C1493" s="47"/>
      <c r="D1493" s="47"/>
      <c r="E1493" s="47"/>
      <c r="F1493" s="47"/>
      <c r="G1493" s="47"/>
      <c r="H1493" s="47"/>
      <c r="I1493" s="47"/>
      <c r="J1493" s="48"/>
      <c r="K1493" s="47"/>
      <c r="L1493" s="47"/>
      <c r="M1493" s="47"/>
      <c r="N1493" s="47"/>
    </row>
    <row r="1494" spans="1:14" ht="16.5" customHeight="1" x14ac:dyDescent="0.25">
      <c r="A1494" s="49"/>
      <c r="B1494" s="47"/>
      <c r="C1494" s="47"/>
      <c r="D1494" s="47"/>
      <c r="E1494" s="47"/>
      <c r="F1494" s="47"/>
      <c r="G1494" s="47"/>
      <c r="H1494" s="47"/>
      <c r="I1494" s="47"/>
      <c r="J1494" s="48"/>
      <c r="K1494" s="47"/>
      <c r="L1494" s="47"/>
      <c r="M1494" s="47"/>
      <c r="N1494" s="47"/>
    </row>
    <row r="1495" spans="1:14" ht="16.5" customHeight="1" x14ac:dyDescent="0.25">
      <c r="A1495" s="49"/>
      <c r="B1495" s="47"/>
      <c r="C1495" s="47"/>
      <c r="D1495" s="47"/>
      <c r="E1495" s="47"/>
      <c r="F1495" s="47"/>
      <c r="G1495" s="47"/>
      <c r="H1495" s="47"/>
      <c r="I1495" s="47"/>
      <c r="J1495" s="48"/>
      <c r="K1495" s="47"/>
      <c r="L1495" s="47"/>
      <c r="M1495" s="47"/>
      <c r="N1495" s="47"/>
    </row>
    <row r="1496" spans="1:14" ht="16.5" customHeight="1" x14ac:dyDescent="0.25">
      <c r="A1496" s="49"/>
      <c r="B1496" s="47"/>
      <c r="C1496" s="47"/>
      <c r="D1496" s="47"/>
      <c r="E1496" s="47"/>
      <c r="F1496" s="47"/>
      <c r="G1496" s="47"/>
      <c r="H1496" s="47"/>
      <c r="I1496" s="47"/>
      <c r="J1496" s="48"/>
      <c r="K1496" s="47"/>
      <c r="L1496" s="47"/>
      <c r="M1496" s="47"/>
      <c r="N1496" s="47"/>
    </row>
    <row r="1497" spans="1:14" ht="16.5" customHeight="1" x14ac:dyDescent="0.25">
      <c r="A1497" s="49"/>
      <c r="B1497" s="47"/>
      <c r="C1497" s="47"/>
      <c r="D1497" s="47"/>
      <c r="E1497" s="47"/>
      <c r="F1497" s="47"/>
      <c r="G1497" s="47"/>
      <c r="H1497" s="47"/>
      <c r="I1497" s="47"/>
      <c r="J1497" s="48"/>
      <c r="K1497" s="47"/>
      <c r="L1497" s="47"/>
      <c r="M1497" s="47"/>
      <c r="N1497" s="47"/>
    </row>
    <row r="1498" spans="1:14" ht="16.5" customHeight="1" x14ac:dyDescent="0.25">
      <c r="A1498" s="49"/>
      <c r="B1498" s="47"/>
      <c r="C1498" s="47"/>
      <c r="D1498" s="47"/>
      <c r="E1498" s="47"/>
      <c r="F1498" s="47"/>
      <c r="G1498" s="47"/>
      <c r="H1498" s="47"/>
      <c r="I1498" s="47"/>
      <c r="J1498" s="48"/>
      <c r="K1498" s="47"/>
      <c r="L1498" s="47"/>
      <c r="M1498" s="47"/>
      <c r="N1498" s="47"/>
    </row>
    <row r="1499" spans="1:14" ht="16.5" customHeight="1" x14ac:dyDescent="0.25">
      <c r="A1499" s="49"/>
      <c r="B1499" s="47"/>
      <c r="C1499" s="47"/>
      <c r="D1499" s="47"/>
      <c r="E1499" s="47"/>
      <c r="F1499" s="47"/>
      <c r="G1499" s="47"/>
      <c r="H1499" s="47"/>
      <c r="I1499" s="47"/>
      <c r="J1499" s="48"/>
      <c r="K1499" s="47"/>
      <c r="L1499" s="47"/>
      <c r="M1499" s="47"/>
      <c r="N1499" s="47"/>
    </row>
    <row r="1500" spans="1:14" ht="16.5" customHeight="1" x14ac:dyDescent="0.25">
      <c r="A1500" s="49"/>
      <c r="B1500" s="47"/>
      <c r="C1500" s="47"/>
      <c r="D1500" s="47"/>
      <c r="E1500" s="47"/>
      <c r="F1500" s="47"/>
      <c r="G1500" s="47"/>
      <c r="H1500" s="47"/>
      <c r="I1500" s="47"/>
      <c r="J1500" s="48"/>
      <c r="K1500" s="47"/>
      <c r="L1500" s="47"/>
      <c r="M1500" s="47"/>
      <c r="N1500" s="47"/>
    </row>
    <row r="1501" spans="1:14" ht="16.5" customHeight="1" x14ac:dyDescent="0.25">
      <c r="A1501" s="49"/>
      <c r="B1501" s="47"/>
      <c r="C1501" s="47"/>
      <c r="D1501" s="47"/>
      <c r="E1501" s="47"/>
      <c r="F1501" s="47"/>
      <c r="G1501" s="47"/>
      <c r="H1501" s="47"/>
      <c r="I1501" s="47"/>
      <c r="J1501" s="48"/>
      <c r="K1501" s="47"/>
      <c r="L1501" s="47"/>
      <c r="M1501" s="47"/>
      <c r="N1501" s="47"/>
    </row>
    <row r="1502" spans="1:14" ht="16.5" customHeight="1" x14ac:dyDescent="0.25">
      <c r="A1502" s="49"/>
      <c r="B1502" s="47"/>
      <c r="C1502" s="47"/>
      <c r="D1502" s="47"/>
      <c r="E1502" s="47"/>
      <c r="F1502" s="47"/>
      <c r="G1502" s="47"/>
      <c r="H1502" s="47"/>
      <c r="I1502" s="47"/>
      <c r="J1502" s="48"/>
      <c r="K1502" s="47"/>
      <c r="L1502" s="47"/>
      <c r="M1502" s="47"/>
      <c r="N1502" s="47"/>
    </row>
    <row r="1503" spans="1:14" ht="16.5" customHeight="1" x14ac:dyDescent="0.25">
      <c r="A1503" s="49"/>
      <c r="B1503" s="47"/>
      <c r="C1503" s="47"/>
      <c r="D1503" s="47"/>
      <c r="E1503" s="47"/>
      <c r="F1503" s="47"/>
      <c r="G1503" s="47"/>
      <c r="H1503" s="47"/>
      <c r="I1503" s="47"/>
      <c r="J1503" s="48"/>
      <c r="K1503" s="47"/>
      <c r="L1503" s="47"/>
      <c r="M1503" s="47"/>
      <c r="N1503" s="47"/>
    </row>
    <row r="1504" spans="1:14" ht="16.5" customHeight="1" x14ac:dyDescent="0.25">
      <c r="A1504" s="49"/>
      <c r="B1504" s="47"/>
      <c r="C1504" s="47"/>
      <c r="D1504" s="47"/>
      <c r="E1504" s="47"/>
      <c r="F1504" s="47"/>
      <c r="G1504" s="47"/>
      <c r="H1504" s="47"/>
      <c r="I1504" s="47"/>
      <c r="J1504" s="48"/>
      <c r="K1504" s="47"/>
      <c r="L1504" s="47"/>
      <c r="M1504" s="47"/>
      <c r="N1504" s="47"/>
    </row>
    <row r="1505" spans="1:14" ht="16.5" customHeight="1" x14ac:dyDescent="0.25">
      <c r="A1505" s="49"/>
      <c r="B1505" s="47"/>
      <c r="C1505" s="47"/>
      <c r="D1505" s="47"/>
      <c r="E1505" s="47"/>
      <c r="F1505" s="47"/>
      <c r="G1505" s="47"/>
      <c r="H1505" s="47"/>
      <c r="I1505" s="47"/>
      <c r="J1505" s="48"/>
      <c r="K1505" s="47"/>
      <c r="L1505" s="47"/>
      <c r="M1505" s="47"/>
      <c r="N1505" s="47"/>
    </row>
    <row r="1506" spans="1:14" ht="16.5" customHeight="1" x14ac:dyDescent="0.25">
      <c r="A1506" s="49"/>
      <c r="B1506" s="47"/>
      <c r="C1506" s="47"/>
      <c r="D1506" s="47"/>
      <c r="E1506" s="47"/>
      <c r="F1506" s="47"/>
      <c r="G1506" s="47"/>
      <c r="H1506" s="47"/>
      <c r="I1506" s="47"/>
      <c r="J1506" s="48"/>
      <c r="K1506" s="47"/>
      <c r="L1506" s="47"/>
      <c r="M1506" s="47"/>
      <c r="N1506" s="47"/>
    </row>
    <row r="1507" spans="1:14" ht="16.5" customHeight="1" x14ac:dyDescent="0.25">
      <c r="A1507" s="49"/>
      <c r="B1507" s="47"/>
      <c r="C1507" s="47"/>
      <c r="D1507" s="47"/>
      <c r="E1507" s="47"/>
      <c r="F1507" s="47"/>
      <c r="G1507" s="47"/>
      <c r="H1507" s="47"/>
      <c r="I1507" s="47"/>
      <c r="J1507" s="48"/>
      <c r="K1507" s="47"/>
      <c r="L1507" s="47"/>
      <c r="M1507" s="47"/>
      <c r="N1507" s="47"/>
    </row>
    <row r="1508" spans="1:14" ht="16.5" customHeight="1" x14ac:dyDescent="0.25">
      <c r="A1508" s="49"/>
      <c r="B1508" s="47"/>
      <c r="C1508" s="47"/>
      <c r="D1508" s="47"/>
      <c r="E1508" s="47"/>
      <c r="F1508" s="47"/>
      <c r="G1508" s="47"/>
      <c r="H1508" s="47"/>
      <c r="I1508" s="47"/>
      <c r="J1508" s="48"/>
      <c r="K1508" s="47"/>
      <c r="L1508" s="47"/>
      <c r="M1508" s="47"/>
      <c r="N1508" s="47"/>
    </row>
    <row r="1509" spans="1:14" ht="16.5" customHeight="1" x14ac:dyDescent="0.25">
      <c r="A1509" s="49"/>
      <c r="B1509" s="47"/>
      <c r="C1509" s="47"/>
      <c r="D1509" s="47"/>
      <c r="E1509" s="47"/>
      <c r="F1509" s="47"/>
      <c r="G1509" s="47"/>
      <c r="H1509" s="47"/>
      <c r="I1509" s="47"/>
      <c r="J1509" s="48"/>
      <c r="K1509" s="47"/>
      <c r="L1509" s="47"/>
      <c r="M1509" s="47"/>
      <c r="N1509" s="47"/>
    </row>
    <row r="1510" spans="1:14" ht="16.5" customHeight="1" x14ac:dyDescent="0.25">
      <c r="A1510" s="49"/>
      <c r="B1510" s="47"/>
      <c r="C1510" s="47"/>
      <c r="D1510" s="47"/>
      <c r="E1510" s="47"/>
      <c r="F1510" s="47"/>
      <c r="G1510" s="47"/>
      <c r="H1510" s="47"/>
      <c r="I1510" s="47"/>
      <c r="J1510" s="48"/>
      <c r="K1510" s="47"/>
      <c r="L1510" s="47"/>
      <c r="M1510" s="47"/>
      <c r="N1510" s="47"/>
    </row>
    <row r="1511" spans="1:14" ht="16.5" customHeight="1" x14ac:dyDescent="0.25">
      <c r="A1511" s="49"/>
      <c r="B1511" s="47"/>
      <c r="C1511" s="47"/>
      <c r="D1511" s="47"/>
      <c r="E1511" s="47"/>
      <c r="F1511" s="47"/>
      <c r="G1511" s="47"/>
      <c r="H1511" s="47"/>
      <c r="I1511" s="47"/>
      <c r="J1511" s="48"/>
      <c r="K1511" s="47"/>
      <c r="L1511" s="47"/>
      <c r="M1511" s="47"/>
      <c r="N1511" s="47"/>
    </row>
    <row r="1512" spans="1:14" ht="16.5" customHeight="1" x14ac:dyDescent="0.25">
      <c r="A1512" s="49"/>
      <c r="B1512" s="47"/>
      <c r="C1512" s="47"/>
      <c r="D1512" s="47"/>
      <c r="E1512" s="47"/>
      <c r="F1512" s="47"/>
      <c r="G1512" s="47"/>
      <c r="H1512" s="47"/>
      <c r="I1512" s="47"/>
      <c r="J1512" s="48"/>
      <c r="K1512" s="47"/>
      <c r="L1512" s="47"/>
      <c r="M1512" s="47"/>
      <c r="N1512" s="47"/>
    </row>
    <row r="1513" spans="1:14" ht="16.5" customHeight="1" x14ac:dyDescent="0.25">
      <c r="A1513" s="49"/>
      <c r="B1513" s="47"/>
      <c r="C1513" s="47"/>
      <c r="D1513" s="47"/>
      <c r="E1513" s="47"/>
      <c r="F1513" s="47"/>
      <c r="G1513" s="47"/>
      <c r="H1513" s="47"/>
      <c r="I1513" s="47"/>
      <c r="J1513" s="48"/>
      <c r="K1513" s="47"/>
      <c r="L1513" s="47"/>
      <c r="M1513" s="47"/>
      <c r="N1513" s="47"/>
    </row>
    <row r="1514" spans="1:14" ht="16.5" customHeight="1" x14ac:dyDescent="0.25">
      <c r="A1514" s="49"/>
      <c r="B1514" s="47"/>
      <c r="C1514" s="47"/>
      <c r="D1514" s="47"/>
      <c r="E1514" s="47"/>
      <c r="F1514" s="47"/>
      <c r="G1514" s="47"/>
      <c r="H1514" s="47"/>
      <c r="I1514" s="47"/>
      <c r="J1514" s="48"/>
      <c r="K1514" s="47"/>
      <c r="L1514" s="47"/>
      <c r="M1514" s="47"/>
      <c r="N1514" s="47"/>
    </row>
    <row r="1515" spans="1:14" ht="16.5" customHeight="1" x14ac:dyDescent="0.25">
      <c r="A1515" s="49"/>
      <c r="B1515" s="47"/>
      <c r="C1515" s="47"/>
      <c r="D1515" s="47"/>
      <c r="E1515" s="47"/>
      <c r="F1515" s="47"/>
      <c r="G1515" s="47"/>
      <c r="H1515" s="47"/>
      <c r="I1515" s="47"/>
      <c r="J1515" s="48"/>
      <c r="K1515" s="47"/>
      <c r="L1515" s="47"/>
      <c r="M1515" s="47"/>
      <c r="N1515" s="47"/>
    </row>
    <row r="1516" spans="1:14" ht="16.5" customHeight="1" x14ac:dyDescent="0.25">
      <c r="A1516" s="49"/>
      <c r="B1516" s="47"/>
      <c r="C1516" s="47"/>
      <c r="D1516" s="47"/>
      <c r="E1516" s="47"/>
      <c r="F1516" s="47"/>
      <c r="G1516" s="47"/>
      <c r="H1516" s="47"/>
      <c r="I1516" s="47"/>
      <c r="J1516" s="48"/>
      <c r="K1516" s="47"/>
      <c r="L1516" s="47"/>
      <c r="M1516" s="47"/>
      <c r="N1516" s="47"/>
    </row>
    <row r="1517" spans="1:14" ht="16.5" customHeight="1" x14ac:dyDescent="0.25">
      <c r="A1517" s="49"/>
      <c r="B1517" s="47"/>
      <c r="C1517" s="47"/>
      <c r="D1517" s="47"/>
      <c r="E1517" s="47"/>
      <c r="F1517" s="47"/>
      <c r="G1517" s="47"/>
      <c r="H1517" s="47"/>
      <c r="I1517" s="47"/>
      <c r="J1517" s="48"/>
      <c r="K1517" s="47"/>
      <c r="L1517" s="47"/>
      <c r="M1517" s="47"/>
      <c r="N1517" s="47"/>
    </row>
    <row r="1518" spans="1:14" ht="16.5" customHeight="1" x14ac:dyDescent="0.25">
      <c r="A1518" s="49"/>
      <c r="B1518" s="47"/>
      <c r="C1518" s="47"/>
      <c r="D1518" s="47"/>
      <c r="E1518" s="47"/>
      <c r="F1518" s="47"/>
      <c r="G1518" s="47"/>
      <c r="H1518" s="47"/>
      <c r="I1518" s="47"/>
      <c r="J1518" s="48"/>
      <c r="K1518" s="47"/>
      <c r="L1518" s="47"/>
      <c r="M1518" s="47"/>
      <c r="N1518" s="47"/>
    </row>
    <row r="1519" spans="1:14" ht="16.5" customHeight="1" x14ac:dyDescent="0.25">
      <c r="A1519" s="49"/>
      <c r="B1519" s="47"/>
      <c r="C1519" s="47"/>
      <c r="D1519" s="47"/>
      <c r="E1519" s="47"/>
      <c r="F1519" s="47"/>
      <c r="G1519" s="47"/>
      <c r="H1519" s="47"/>
      <c r="I1519" s="47"/>
      <c r="J1519" s="48"/>
      <c r="K1519" s="47"/>
      <c r="L1519" s="47"/>
      <c r="M1519" s="47"/>
      <c r="N1519" s="47"/>
    </row>
    <row r="1520" spans="1:14" ht="16.5" customHeight="1" x14ac:dyDescent="0.25">
      <c r="A1520" s="49"/>
      <c r="B1520" s="47"/>
      <c r="C1520" s="47"/>
      <c r="D1520" s="47"/>
      <c r="E1520" s="47"/>
      <c r="F1520" s="47"/>
      <c r="G1520" s="47"/>
      <c r="H1520" s="47"/>
      <c r="I1520" s="47"/>
      <c r="J1520" s="48"/>
      <c r="K1520" s="47"/>
      <c r="L1520" s="47"/>
      <c r="M1520" s="47"/>
      <c r="N1520" s="47"/>
    </row>
    <row r="1521" spans="1:14" ht="16.5" customHeight="1" x14ac:dyDescent="0.25">
      <c r="A1521" s="49"/>
      <c r="B1521" s="47"/>
      <c r="C1521" s="47"/>
      <c r="D1521" s="47"/>
      <c r="E1521" s="47"/>
      <c r="F1521" s="47"/>
      <c r="G1521" s="47"/>
      <c r="H1521" s="47"/>
      <c r="I1521" s="47"/>
      <c r="J1521" s="48"/>
      <c r="K1521" s="47"/>
      <c r="L1521" s="47"/>
      <c r="M1521" s="47"/>
      <c r="N1521" s="47"/>
    </row>
    <row r="1522" spans="1:14" ht="16.5" customHeight="1" x14ac:dyDescent="0.25">
      <c r="A1522" s="49"/>
      <c r="B1522" s="47"/>
      <c r="C1522" s="47"/>
      <c r="D1522" s="47"/>
      <c r="E1522" s="47"/>
      <c r="F1522" s="47"/>
      <c r="G1522" s="47"/>
      <c r="H1522" s="47"/>
      <c r="I1522" s="47"/>
      <c r="J1522" s="48"/>
      <c r="K1522" s="47"/>
      <c r="L1522" s="47"/>
      <c r="M1522" s="47"/>
      <c r="N1522" s="47"/>
    </row>
    <row r="1523" spans="1:14" ht="16.5" customHeight="1" x14ac:dyDescent="0.25">
      <c r="A1523" s="49"/>
      <c r="B1523" s="47"/>
      <c r="C1523" s="47"/>
      <c r="D1523" s="47"/>
      <c r="E1523" s="47"/>
      <c r="F1523" s="47"/>
      <c r="G1523" s="47"/>
      <c r="H1523" s="47"/>
      <c r="I1523" s="47"/>
      <c r="J1523" s="48"/>
      <c r="K1523" s="47"/>
      <c r="L1523" s="47"/>
      <c r="M1523" s="47"/>
      <c r="N1523" s="47"/>
    </row>
    <row r="1524" spans="1:14" ht="16.5" customHeight="1" x14ac:dyDescent="0.25">
      <c r="A1524" s="49"/>
      <c r="B1524" s="47"/>
      <c r="C1524" s="47"/>
      <c r="D1524" s="47"/>
      <c r="E1524" s="47"/>
      <c r="F1524" s="47"/>
      <c r="G1524" s="47"/>
      <c r="H1524" s="47"/>
      <c r="I1524" s="47"/>
      <c r="J1524" s="48"/>
      <c r="K1524" s="47"/>
      <c r="L1524" s="47"/>
      <c r="M1524" s="47"/>
      <c r="N1524" s="47"/>
    </row>
    <row r="1525" spans="1:14" ht="16.5" customHeight="1" x14ac:dyDescent="0.25">
      <c r="A1525" s="49"/>
      <c r="B1525" s="47"/>
      <c r="C1525" s="47"/>
      <c r="D1525" s="47"/>
      <c r="E1525" s="47"/>
      <c r="F1525" s="47"/>
      <c r="G1525" s="47"/>
      <c r="H1525" s="47"/>
      <c r="I1525" s="47"/>
      <c r="J1525" s="48"/>
      <c r="K1525" s="47"/>
      <c r="L1525" s="47"/>
      <c r="M1525" s="47"/>
      <c r="N1525" s="47"/>
    </row>
    <row r="1526" spans="1:14" ht="16.5" customHeight="1" x14ac:dyDescent="0.25">
      <c r="A1526" s="49"/>
      <c r="B1526" s="47"/>
      <c r="C1526" s="47"/>
      <c r="D1526" s="47"/>
      <c r="E1526" s="47"/>
      <c r="F1526" s="47"/>
      <c r="G1526" s="47"/>
      <c r="H1526" s="47"/>
      <c r="I1526" s="47"/>
      <c r="J1526" s="48"/>
      <c r="K1526" s="47"/>
      <c r="L1526" s="47"/>
      <c r="M1526" s="47"/>
      <c r="N1526" s="47"/>
    </row>
    <row r="1527" spans="1:14" ht="16.5" customHeight="1" x14ac:dyDescent="0.25">
      <c r="A1527" s="49"/>
      <c r="B1527" s="47"/>
      <c r="C1527" s="47"/>
      <c r="D1527" s="47"/>
      <c r="E1527" s="47"/>
      <c r="F1527" s="47"/>
      <c r="G1527" s="47"/>
      <c r="H1527" s="47"/>
      <c r="I1527" s="47"/>
      <c r="J1527" s="48"/>
      <c r="K1527" s="47"/>
      <c r="L1527" s="47"/>
      <c r="M1527" s="47"/>
      <c r="N1527" s="47"/>
    </row>
    <row r="1528" spans="1:14" ht="16.5" customHeight="1" x14ac:dyDescent="0.25">
      <c r="A1528" s="49"/>
      <c r="B1528" s="47"/>
      <c r="C1528" s="47"/>
      <c r="D1528" s="47"/>
      <c r="E1528" s="47"/>
      <c r="F1528" s="47"/>
      <c r="G1528" s="47"/>
      <c r="H1528" s="47"/>
      <c r="I1528" s="47"/>
      <c r="J1528" s="48"/>
      <c r="K1528" s="47"/>
      <c r="L1528" s="47"/>
      <c r="M1528" s="47"/>
      <c r="N1528" s="47"/>
    </row>
    <row r="1529" spans="1:14" ht="16.5" customHeight="1" x14ac:dyDescent="0.25">
      <c r="A1529" s="49"/>
      <c r="B1529" s="47"/>
      <c r="C1529" s="47"/>
      <c r="D1529" s="47"/>
      <c r="E1529" s="47"/>
      <c r="F1529" s="47"/>
      <c r="G1529" s="47"/>
      <c r="H1529" s="47"/>
      <c r="I1529" s="47"/>
      <c r="J1529" s="48"/>
      <c r="K1529" s="47"/>
      <c r="L1529" s="47"/>
      <c r="M1529" s="47"/>
      <c r="N1529" s="47"/>
    </row>
    <row r="1530" spans="1:14" ht="16.5" customHeight="1" x14ac:dyDescent="0.25">
      <c r="A1530" s="49"/>
      <c r="B1530" s="47"/>
      <c r="C1530" s="47"/>
      <c r="D1530" s="47"/>
      <c r="E1530" s="47"/>
      <c r="F1530" s="47"/>
      <c r="G1530" s="47"/>
      <c r="H1530" s="47"/>
      <c r="I1530" s="47"/>
      <c r="J1530" s="48"/>
      <c r="K1530" s="47"/>
      <c r="L1530" s="47"/>
      <c r="M1530" s="47"/>
      <c r="N1530" s="47"/>
    </row>
    <row r="1531" spans="1:14" ht="16.5" customHeight="1" x14ac:dyDescent="0.25">
      <c r="A1531" s="49"/>
      <c r="B1531" s="47"/>
      <c r="C1531" s="47"/>
      <c r="D1531" s="47"/>
      <c r="E1531" s="47"/>
      <c r="F1531" s="47"/>
      <c r="G1531" s="47"/>
      <c r="H1531" s="47"/>
      <c r="I1531" s="47"/>
      <c r="J1531" s="48"/>
      <c r="K1531" s="47"/>
      <c r="L1531" s="47"/>
      <c r="M1531" s="47"/>
      <c r="N1531" s="47"/>
    </row>
    <row r="1532" spans="1:14" ht="16.5" customHeight="1" x14ac:dyDescent="0.25">
      <c r="A1532" s="49"/>
      <c r="B1532" s="47"/>
      <c r="C1532" s="47"/>
      <c r="D1532" s="47"/>
      <c r="E1532" s="47"/>
      <c r="F1532" s="47"/>
      <c r="G1532" s="47"/>
      <c r="H1532" s="47"/>
      <c r="I1532" s="47"/>
      <c r="J1532" s="48"/>
      <c r="K1532" s="47"/>
      <c r="L1532" s="47"/>
      <c r="M1532" s="47"/>
      <c r="N1532" s="47"/>
    </row>
    <row r="1533" spans="1:14" ht="16.5" customHeight="1" x14ac:dyDescent="0.25">
      <c r="A1533" s="49"/>
      <c r="B1533" s="47"/>
      <c r="C1533" s="47"/>
      <c r="D1533" s="47"/>
      <c r="E1533" s="47"/>
      <c r="F1533" s="47"/>
      <c r="G1533" s="47"/>
      <c r="H1533" s="47"/>
      <c r="I1533" s="47"/>
      <c r="J1533" s="48"/>
      <c r="K1533" s="47"/>
      <c r="L1533" s="47"/>
      <c r="M1533" s="47"/>
      <c r="N1533" s="47"/>
    </row>
    <row r="1534" spans="1:14" ht="16.5" customHeight="1" x14ac:dyDescent="0.25">
      <c r="A1534" s="49"/>
      <c r="B1534" s="47"/>
      <c r="C1534" s="47"/>
      <c r="D1534" s="47"/>
      <c r="E1534" s="47"/>
      <c r="F1534" s="47"/>
      <c r="G1534" s="47"/>
      <c r="H1534" s="47"/>
      <c r="I1534" s="47"/>
      <c r="J1534" s="48"/>
      <c r="K1534" s="47"/>
      <c r="L1534" s="47"/>
      <c r="M1534" s="47"/>
      <c r="N1534" s="47"/>
    </row>
    <row r="1535" spans="1:14" ht="16.5" customHeight="1" x14ac:dyDescent="0.25">
      <c r="A1535" s="49"/>
      <c r="B1535" s="47"/>
      <c r="C1535" s="47"/>
      <c r="D1535" s="47"/>
      <c r="E1535" s="47"/>
      <c r="F1535" s="47"/>
      <c r="G1535" s="47"/>
      <c r="H1535" s="47"/>
      <c r="I1535" s="47"/>
      <c r="J1535" s="48"/>
      <c r="K1535" s="47"/>
      <c r="L1535" s="47"/>
      <c r="M1535" s="47"/>
      <c r="N1535" s="47"/>
    </row>
    <row r="1536" spans="1:14" ht="16.5" customHeight="1" x14ac:dyDescent="0.25">
      <c r="A1536" s="49"/>
      <c r="B1536" s="47"/>
      <c r="C1536" s="47"/>
      <c r="D1536" s="47"/>
      <c r="E1536" s="47"/>
      <c r="F1536" s="47"/>
      <c r="G1536" s="47"/>
      <c r="H1536" s="47"/>
      <c r="I1536" s="47"/>
      <c r="J1536" s="48"/>
      <c r="K1536" s="47"/>
      <c r="L1536" s="47"/>
      <c r="M1536" s="47"/>
      <c r="N1536" s="47"/>
    </row>
    <row r="1537" spans="1:14" ht="16.5" customHeight="1" x14ac:dyDescent="0.25">
      <c r="A1537" s="49"/>
      <c r="B1537" s="47"/>
      <c r="C1537" s="47"/>
      <c r="D1537" s="47"/>
      <c r="E1537" s="47"/>
      <c r="F1537" s="47"/>
      <c r="G1537" s="47"/>
      <c r="H1537" s="47"/>
      <c r="I1537" s="47"/>
      <c r="J1537" s="48"/>
      <c r="K1537" s="47"/>
      <c r="L1537" s="47"/>
      <c r="M1537" s="47"/>
      <c r="N1537" s="47"/>
    </row>
    <row r="1538" spans="1:14" ht="16.5" customHeight="1" x14ac:dyDescent="0.25">
      <c r="A1538" s="49"/>
      <c r="B1538" s="47"/>
      <c r="C1538" s="47"/>
      <c r="D1538" s="47"/>
      <c r="E1538" s="47"/>
      <c r="F1538" s="47"/>
      <c r="G1538" s="47"/>
      <c r="H1538" s="47"/>
      <c r="I1538" s="47"/>
      <c r="J1538" s="48"/>
      <c r="K1538" s="47"/>
      <c r="L1538" s="47"/>
      <c r="M1538" s="47"/>
      <c r="N1538" s="47"/>
    </row>
    <row r="1539" spans="1:14" ht="16.5" customHeight="1" x14ac:dyDescent="0.25">
      <c r="A1539" s="49"/>
      <c r="B1539" s="47"/>
      <c r="C1539" s="47"/>
      <c r="D1539" s="47"/>
      <c r="E1539" s="47"/>
      <c r="F1539" s="47"/>
      <c r="G1539" s="47"/>
      <c r="H1539" s="47"/>
      <c r="I1539" s="47"/>
      <c r="J1539" s="48"/>
      <c r="K1539" s="47"/>
      <c r="L1539" s="47"/>
      <c r="M1539" s="47"/>
      <c r="N1539" s="47"/>
    </row>
    <row r="1540" spans="1:14" ht="16.5" customHeight="1" x14ac:dyDescent="0.25">
      <c r="A1540" s="49"/>
      <c r="B1540" s="47"/>
      <c r="C1540" s="47"/>
      <c r="D1540" s="47"/>
      <c r="E1540" s="47"/>
      <c r="F1540" s="47"/>
      <c r="G1540" s="47"/>
      <c r="H1540" s="47"/>
      <c r="I1540" s="47"/>
      <c r="J1540" s="48"/>
      <c r="K1540" s="47"/>
      <c r="L1540" s="47"/>
      <c r="M1540" s="47"/>
      <c r="N1540" s="47"/>
    </row>
    <row r="1541" spans="1:14" ht="16.5" customHeight="1" x14ac:dyDescent="0.25">
      <c r="A1541" s="49"/>
      <c r="B1541" s="47"/>
      <c r="C1541" s="47"/>
      <c r="D1541" s="47"/>
      <c r="E1541" s="47"/>
      <c r="F1541" s="47"/>
      <c r="G1541" s="47"/>
      <c r="H1541" s="47"/>
      <c r="I1541" s="47"/>
      <c r="J1541" s="48"/>
      <c r="K1541" s="47"/>
      <c r="L1541" s="47"/>
      <c r="M1541" s="47"/>
      <c r="N1541" s="47"/>
    </row>
    <row r="1542" spans="1:14" ht="16.5" customHeight="1" x14ac:dyDescent="0.25">
      <c r="A1542" s="49"/>
      <c r="B1542" s="47"/>
      <c r="C1542" s="47"/>
      <c r="D1542" s="47"/>
      <c r="E1542" s="47"/>
      <c r="F1542" s="47"/>
      <c r="G1542" s="47"/>
      <c r="H1542" s="47"/>
      <c r="I1542" s="47"/>
      <c r="J1542" s="48"/>
      <c r="K1542" s="47"/>
      <c r="L1542" s="47"/>
      <c r="M1542" s="47"/>
      <c r="N1542" s="47"/>
    </row>
    <row r="1543" spans="1:14" ht="16.5" customHeight="1" x14ac:dyDescent="0.25">
      <c r="A1543" s="49"/>
      <c r="B1543" s="47"/>
      <c r="C1543" s="47"/>
      <c r="D1543" s="47"/>
      <c r="E1543" s="47"/>
      <c r="F1543" s="47"/>
      <c r="G1543" s="47"/>
      <c r="H1543" s="47"/>
      <c r="I1543" s="47"/>
      <c r="J1543" s="48"/>
      <c r="K1543" s="47"/>
      <c r="L1543" s="47"/>
      <c r="M1543" s="47"/>
      <c r="N1543" s="47"/>
    </row>
    <row r="1544" spans="1:14" ht="16.5" customHeight="1" x14ac:dyDescent="0.25">
      <c r="A1544" s="49"/>
      <c r="B1544" s="47"/>
      <c r="C1544" s="47"/>
      <c r="D1544" s="47"/>
      <c r="E1544" s="47"/>
      <c r="F1544" s="47"/>
      <c r="G1544" s="47"/>
      <c r="H1544" s="47"/>
      <c r="I1544" s="47"/>
      <c r="J1544" s="48"/>
      <c r="K1544" s="47"/>
      <c r="L1544" s="47"/>
      <c r="M1544" s="47"/>
      <c r="N1544" s="47"/>
    </row>
    <row r="1545" spans="1:14" ht="16.5" customHeight="1" x14ac:dyDescent="0.25">
      <c r="A1545" s="49"/>
      <c r="B1545" s="47"/>
      <c r="C1545" s="47"/>
      <c r="D1545" s="47"/>
      <c r="E1545" s="47"/>
      <c r="F1545" s="47"/>
      <c r="G1545" s="47"/>
      <c r="H1545" s="47"/>
      <c r="I1545" s="47"/>
      <c r="J1545" s="48"/>
      <c r="K1545" s="47"/>
      <c r="L1545" s="47"/>
      <c r="M1545" s="47"/>
      <c r="N1545" s="47"/>
    </row>
    <row r="1546" spans="1:14" ht="16.5" customHeight="1" x14ac:dyDescent="0.25">
      <c r="A1546" s="49"/>
      <c r="B1546" s="47"/>
      <c r="C1546" s="47"/>
      <c r="D1546" s="47"/>
      <c r="E1546" s="47"/>
      <c r="F1546" s="47"/>
      <c r="G1546" s="47"/>
      <c r="H1546" s="47"/>
      <c r="I1546" s="47"/>
      <c r="J1546" s="48"/>
      <c r="K1546" s="47"/>
      <c r="L1546" s="47"/>
      <c r="M1546" s="47"/>
      <c r="N1546" s="47"/>
    </row>
    <row r="1547" spans="1:14" ht="16.5" customHeight="1" x14ac:dyDescent="0.25">
      <c r="A1547" s="49"/>
      <c r="B1547" s="47"/>
      <c r="C1547" s="47"/>
      <c r="D1547" s="47"/>
      <c r="E1547" s="47"/>
      <c r="F1547" s="47"/>
      <c r="G1547" s="47"/>
      <c r="H1547" s="47"/>
      <c r="I1547" s="47"/>
      <c r="J1547" s="48"/>
      <c r="K1547" s="47"/>
      <c r="L1547" s="47"/>
      <c r="M1547" s="47"/>
      <c r="N1547" s="47"/>
    </row>
    <row r="1548" spans="1:14" ht="16.5" customHeight="1" x14ac:dyDescent="0.25">
      <c r="A1548" s="49"/>
      <c r="B1548" s="47"/>
      <c r="C1548" s="47"/>
      <c r="D1548" s="47"/>
      <c r="E1548" s="47"/>
      <c r="F1548" s="47"/>
      <c r="G1548" s="47"/>
      <c r="H1548" s="47"/>
      <c r="I1548" s="47"/>
      <c r="J1548" s="48"/>
      <c r="K1548" s="47"/>
      <c r="L1548" s="47"/>
      <c r="M1548" s="47"/>
      <c r="N1548" s="47"/>
    </row>
    <row r="1549" spans="1:14" ht="16.5" customHeight="1" x14ac:dyDescent="0.25">
      <c r="A1549" s="49"/>
      <c r="B1549" s="47"/>
      <c r="C1549" s="47"/>
      <c r="D1549" s="47"/>
      <c r="E1549" s="47"/>
      <c r="F1549" s="47"/>
      <c r="G1549" s="47"/>
      <c r="H1549" s="47"/>
      <c r="I1549" s="47"/>
      <c r="J1549" s="48"/>
      <c r="K1549" s="47"/>
      <c r="L1549" s="47"/>
      <c r="M1549" s="47"/>
      <c r="N1549" s="47"/>
    </row>
    <row r="1550" spans="1:14" ht="16.5" customHeight="1" x14ac:dyDescent="0.25">
      <c r="A1550" s="49"/>
      <c r="B1550" s="47"/>
      <c r="C1550" s="47"/>
      <c r="D1550" s="47"/>
      <c r="E1550" s="47"/>
      <c r="F1550" s="47"/>
      <c r="G1550" s="47"/>
      <c r="H1550" s="47"/>
      <c r="I1550" s="47"/>
      <c r="J1550" s="48"/>
      <c r="K1550" s="47"/>
      <c r="L1550" s="47"/>
      <c r="M1550" s="47"/>
      <c r="N1550" s="47"/>
    </row>
    <row r="1551" spans="1:14" ht="16.5" customHeight="1" x14ac:dyDescent="0.25">
      <c r="A1551" s="49"/>
      <c r="B1551" s="47"/>
      <c r="C1551" s="47"/>
      <c r="D1551" s="47"/>
      <c r="E1551" s="47"/>
      <c r="F1551" s="47"/>
      <c r="G1551" s="47"/>
      <c r="H1551" s="47"/>
      <c r="I1551" s="47"/>
      <c r="J1551" s="48"/>
      <c r="K1551" s="47"/>
      <c r="L1551" s="47"/>
      <c r="M1551" s="47"/>
      <c r="N1551" s="47"/>
    </row>
    <row r="1552" spans="1:14" ht="16.5" customHeight="1" x14ac:dyDescent="0.25">
      <c r="A1552" s="49"/>
      <c r="B1552" s="47"/>
      <c r="C1552" s="47"/>
      <c r="D1552" s="47"/>
      <c r="E1552" s="47"/>
      <c r="F1552" s="47"/>
      <c r="G1552" s="47"/>
      <c r="H1552" s="47"/>
      <c r="I1552" s="47"/>
      <c r="J1552" s="48"/>
      <c r="K1552" s="47"/>
      <c r="L1552" s="47"/>
      <c r="M1552" s="47"/>
      <c r="N1552" s="47"/>
    </row>
    <row r="1553" spans="1:14" ht="16.5" customHeight="1" x14ac:dyDescent="0.25">
      <c r="A1553" s="49"/>
      <c r="B1553" s="47"/>
      <c r="C1553" s="47"/>
      <c r="D1553" s="47"/>
      <c r="E1553" s="47"/>
      <c r="F1553" s="47"/>
      <c r="G1553" s="47"/>
      <c r="H1553" s="47"/>
      <c r="I1553" s="47"/>
      <c r="J1553" s="48"/>
      <c r="K1553" s="47"/>
      <c r="L1553" s="47"/>
      <c r="M1553" s="47"/>
      <c r="N1553" s="47"/>
    </row>
    <row r="1554" spans="1:14" ht="16.5" customHeight="1" x14ac:dyDescent="0.25">
      <c r="A1554" s="49"/>
      <c r="B1554" s="47"/>
      <c r="C1554" s="47"/>
      <c r="D1554" s="47"/>
      <c r="E1554" s="47"/>
      <c r="F1554" s="47"/>
      <c r="G1554" s="47"/>
      <c r="H1554" s="47"/>
      <c r="I1554" s="47"/>
      <c r="J1554" s="48"/>
      <c r="K1554" s="47"/>
      <c r="L1554" s="47"/>
      <c r="M1554" s="47"/>
      <c r="N1554" s="47"/>
    </row>
    <row r="1555" spans="1:14" ht="16.5" customHeight="1" x14ac:dyDescent="0.25">
      <c r="A1555" s="49"/>
      <c r="B1555" s="47"/>
      <c r="C1555" s="47"/>
      <c r="D1555" s="47"/>
      <c r="E1555" s="47"/>
      <c r="F1555" s="47"/>
      <c r="G1555" s="47"/>
      <c r="H1555" s="47"/>
      <c r="I1555" s="47"/>
      <c r="J1555" s="48"/>
      <c r="K1555" s="47"/>
      <c r="L1555" s="47"/>
      <c r="M1555" s="47"/>
      <c r="N1555" s="47"/>
    </row>
    <row r="1556" spans="1:14" ht="16.5" customHeight="1" x14ac:dyDescent="0.25">
      <c r="A1556" s="49"/>
      <c r="B1556" s="47"/>
      <c r="C1556" s="47"/>
      <c r="D1556" s="47"/>
      <c r="E1556" s="47"/>
      <c r="F1556" s="47"/>
      <c r="G1556" s="47"/>
      <c r="H1556" s="47"/>
      <c r="I1556" s="47"/>
      <c r="J1556" s="48"/>
      <c r="K1556" s="47"/>
      <c r="L1556" s="47"/>
      <c r="M1556" s="47"/>
      <c r="N1556" s="47"/>
    </row>
    <row r="1557" spans="1:14" ht="16.5" customHeight="1" x14ac:dyDescent="0.25">
      <c r="A1557" s="49"/>
      <c r="B1557" s="47"/>
      <c r="C1557" s="47"/>
      <c r="D1557" s="47"/>
      <c r="E1557" s="47"/>
      <c r="F1557" s="47"/>
      <c r="G1557" s="47"/>
      <c r="H1557" s="47"/>
      <c r="I1557" s="47"/>
      <c r="J1557" s="48"/>
      <c r="K1557" s="47"/>
      <c r="L1557" s="47"/>
      <c r="M1557" s="47"/>
      <c r="N1557" s="47"/>
    </row>
    <row r="1558" spans="1:14" ht="16.5" customHeight="1" x14ac:dyDescent="0.25">
      <c r="A1558" s="49"/>
      <c r="B1558" s="47"/>
      <c r="C1558" s="47"/>
      <c r="D1558" s="47"/>
      <c r="E1558" s="47"/>
      <c r="F1558" s="47"/>
      <c r="G1558" s="47"/>
      <c r="H1558" s="47"/>
      <c r="I1558" s="47"/>
      <c r="J1558" s="48"/>
      <c r="K1558" s="47"/>
      <c r="L1558" s="47"/>
      <c r="M1558" s="47"/>
      <c r="N1558" s="47"/>
    </row>
    <row r="1559" spans="1:14" ht="16.5" customHeight="1" x14ac:dyDescent="0.25">
      <c r="A1559" s="49"/>
      <c r="B1559" s="47"/>
      <c r="C1559" s="47"/>
      <c r="D1559" s="47"/>
      <c r="E1559" s="47"/>
      <c r="F1559" s="47"/>
      <c r="G1559" s="47"/>
      <c r="H1559" s="47"/>
      <c r="I1559" s="47"/>
      <c r="J1559" s="48"/>
      <c r="K1559" s="47"/>
      <c r="L1559" s="47"/>
      <c r="M1559" s="47"/>
      <c r="N1559" s="47"/>
    </row>
    <row r="1560" spans="1:14" ht="16.5" customHeight="1" x14ac:dyDescent="0.25">
      <c r="A1560" s="49"/>
      <c r="B1560" s="47"/>
      <c r="C1560" s="47"/>
      <c r="D1560" s="47"/>
      <c r="E1560" s="47"/>
      <c r="F1560" s="47"/>
      <c r="G1560" s="47"/>
      <c r="H1560" s="47"/>
      <c r="I1560" s="47"/>
      <c r="J1560" s="48"/>
      <c r="K1560" s="47"/>
      <c r="L1560" s="47"/>
      <c r="M1560" s="47"/>
      <c r="N1560" s="47"/>
    </row>
    <row r="1561" spans="1:14" ht="16.5" customHeight="1" x14ac:dyDescent="0.25">
      <c r="A1561" s="49"/>
      <c r="B1561" s="47"/>
      <c r="C1561" s="47"/>
      <c r="D1561" s="47"/>
      <c r="E1561" s="47"/>
      <c r="F1561" s="47"/>
      <c r="G1561" s="47"/>
      <c r="H1561" s="47"/>
      <c r="I1561" s="47"/>
      <c r="J1561" s="48"/>
      <c r="K1561" s="47"/>
      <c r="L1561" s="47"/>
      <c r="M1561" s="47"/>
      <c r="N1561" s="47"/>
    </row>
    <row r="1562" spans="1:14" ht="16.5" customHeight="1" x14ac:dyDescent="0.25">
      <c r="A1562" s="49"/>
      <c r="B1562" s="47"/>
      <c r="C1562" s="47"/>
      <c r="D1562" s="47"/>
      <c r="E1562" s="47"/>
      <c r="F1562" s="47"/>
      <c r="G1562" s="47"/>
      <c r="H1562" s="47"/>
      <c r="I1562" s="47"/>
      <c r="J1562" s="48"/>
      <c r="K1562" s="47"/>
      <c r="L1562" s="47"/>
      <c r="M1562" s="47"/>
      <c r="N1562" s="47"/>
    </row>
    <row r="1563" spans="1:14" ht="16.5" customHeight="1" x14ac:dyDescent="0.25">
      <c r="A1563" s="49"/>
      <c r="B1563" s="47"/>
      <c r="C1563" s="47"/>
      <c r="D1563" s="47"/>
      <c r="E1563" s="47"/>
      <c r="F1563" s="47"/>
      <c r="G1563" s="47"/>
      <c r="H1563" s="47"/>
      <c r="I1563" s="47"/>
      <c r="J1563" s="48"/>
      <c r="K1563" s="47"/>
      <c r="L1563" s="47"/>
      <c r="M1563" s="47"/>
      <c r="N1563" s="47"/>
    </row>
    <row r="1564" spans="1:14" ht="16.5" customHeight="1" x14ac:dyDescent="0.25">
      <c r="A1564" s="49"/>
      <c r="B1564" s="47"/>
      <c r="C1564" s="47"/>
      <c r="D1564" s="47"/>
      <c r="E1564" s="47"/>
      <c r="F1564" s="47"/>
      <c r="G1564" s="47"/>
      <c r="H1564" s="47"/>
      <c r="I1564" s="47"/>
      <c r="J1564" s="48"/>
      <c r="K1564" s="47"/>
      <c r="L1564" s="47"/>
      <c r="M1564" s="47"/>
      <c r="N1564" s="47"/>
    </row>
    <row r="1565" spans="1:14" ht="16.5" customHeight="1" x14ac:dyDescent="0.25">
      <c r="A1565" s="49"/>
      <c r="B1565" s="47"/>
      <c r="C1565" s="47"/>
      <c r="D1565" s="47"/>
      <c r="E1565" s="47"/>
      <c r="F1565" s="47"/>
      <c r="G1565" s="47"/>
      <c r="H1565" s="47"/>
      <c r="I1565" s="47"/>
      <c r="J1565" s="48"/>
      <c r="K1565" s="47"/>
      <c r="L1565" s="47"/>
      <c r="M1565" s="47"/>
      <c r="N1565" s="47"/>
    </row>
    <row r="1566" spans="1:14" ht="16.5" customHeight="1" x14ac:dyDescent="0.25">
      <c r="A1566" s="49"/>
      <c r="B1566" s="47"/>
      <c r="C1566" s="47"/>
      <c r="D1566" s="47"/>
      <c r="E1566" s="47"/>
      <c r="F1566" s="47"/>
      <c r="G1566" s="47"/>
      <c r="H1566" s="47"/>
      <c r="I1566" s="47"/>
      <c r="J1566" s="48"/>
      <c r="K1566" s="47"/>
      <c r="L1566" s="47"/>
      <c r="M1566" s="47"/>
      <c r="N1566" s="47"/>
    </row>
    <row r="1567" spans="1:14" ht="16.5" customHeight="1" x14ac:dyDescent="0.25">
      <c r="A1567" s="49"/>
      <c r="B1567" s="47"/>
      <c r="C1567" s="47"/>
      <c r="D1567" s="47"/>
      <c r="E1567" s="47"/>
      <c r="F1567" s="47"/>
      <c r="G1567" s="47"/>
      <c r="H1567" s="47"/>
      <c r="I1567" s="47"/>
      <c r="J1567" s="48"/>
      <c r="K1567" s="47"/>
      <c r="L1567" s="47"/>
      <c r="M1567" s="47"/>
      <c r="N1567" s="47"/>
    </row>
    <row r="1568" spans="1:14" ht="16.5" customHeight="1" x14ac:dyDescent="0.25">
      <c r="A1568" s="49"/>
      <c r="B1568" s="47"/>
      <c r="C1568" s="47"/>
      <c r="D1568" s="47"/>
      <c r="E1568" s="47"/>
      <c r="F1568" s="47"/>
      <c r="G1568" s="47"/>
      <c r="H1568" s="47"/>
      <c r="I1568" s="47"/>
      <c r="J1568" s="48"/>
      <c r="K1568" s="47"/>
      <c r="L1568" s="47"/>
      <c r="M1568" s="47"/>
      <c r="N1568" s="47"/>
    </row>
    <row r="1569" spans="1:14" ht="16.5" customHeight="1" x14ac:dyDescent="0.25">
      <c r="A1569" s="49"/>
      <c r="B1569" s="47"/>
      <c r="C1569" s="47"/>
      <c r="D1569" s="47"/>
      <c r="E1569" s="47"/>
      <c r="F1569" s="47"/>
      <c r="G1569" s="47"/>
      <c r="H1569" s="47"/>
      <c r="I1569" s="47"/>
      <c r="J1569" s="48"/>
      <c r="K1569" s="47"/>
      <c r="L1569" s="47"/>
      <c r="M1569" s="47"/>
      <c r="N1569" s="47"/>
    </row>
    <row r="1570" spans="1:14" ht="16.5" customHeight="1" x14ac:dyDescent="0.25">
      <c r="A1570" s="49"/>
      <c r="B1570" s="47"/>
      <c r="C1570" s="47"/>
      <c r="D1570" s="47"/>
      <c r="E1570" s="47"/>
      <c r="F1570" s="47"/>
      <c r="G1570" s="47"/>
      <c r="H1570" s="47"/>
      <c r="I1570" s="47"/>
      <c r="J1570" s="48"/>
      <c r="K1570" s="47"/>
      <c r="L1570" s="47"/>
      <c r="M1570" s="47"/>
      <c r="N1570" s="47"/>
    </row>
    <row r="1571" spans="1:14" ht="16.5" customHeight="1" x14ac:dyDescent="0.25">
      <c r="A1571" s="49"/>
      <c r="B1571" s="47"/>
      <c r="C1571" s="47"/>
      <c r="D1571" s="47"/>
      <c r="E1571" s="47"/>
      <c r="F1571" s="47"/>
      <c r="G1571" s="47"/>
      <c r="H1571" s="47"/>
      <c r="I1571" s="47"/>
      <c r="J1571" s="48"/>
      <c r="K1571" s="47"/>
      <c r="L1571" s="47"/>
      <c r="M1571" s="47"/>
      <c r="N1571" s="47"/>
    </row>
    <row r="1572" spans="1:14" ht="16.5" customHeight="1" x14ac:dyDescent="0.25">
      <c r="A1572" s="49"/>
      <c r="B1572" s="47"/>
      <c r="C1572" s="47"/>
      <c r="D1572" s="47"/>
      <c r="E1572" s="47"/>
      <c r="F1572" s="47"/>
      <c r="G1572" s="47"/>
      <c r="H1572" s="47"/>
      <c r="I1572" s="47"/>
      <c r="J1572" s="48"/>
      <c r="K1572" s="47"/>
      <c r="L1572" s="47"/>
      <c r="M1572" s="47"/>
      <c r="N1572" s="47"/>
    </row>
    <row r="1573" spans="1:14" ht="16.5" customHeight="1" x14ac:dyDescent="0.25">
      <c r="A1573" s="49"/>
      <c r="B1573" s="47"/>
      <c r="C1573" s="47"/>
      <c r="D1573" s="47"/>
      <c r="E1573" s="47"/>
      <c r="F1573" s="47"/>
      <c r="G1573" s="47"/>
      <c r="H1573" s="47"/>
      <c r="I1573" s="47"/>
      <c r="J1573" s="48"/>
      <c r="K1573" s="47"/>
      <c r="L1573" s="47"/>
      <c r="M1573" s="47"/>
      <c r="N1573" s="47"/>
    </row>
    <row r="1574" spans="1:14" ht="16.5" customHeight="1" x14ac:dyDescent="0.25">
      <c r="A1574" s="49"/>
      <c r="B1574" s="47"/>
      <c r="C1574" s="47"/>
      <c r="D1574" s="47"/>
      <c r="E1574" s="47"/>
      <c r="F1574" s="47"/>
      <c r="G1574" s="47"/>
      <c r="H1574" s="47"/>
      <c r="I1574" s="47"/>
      <c r="J1574" s="48"/>
      <c r="K1574" s="47"/>
      <c r="L1574" s="47"/>
      <c r="M1574" s="47"/>
      <c r="N1574" s="47"/>
    </row>
    <row r="1575" spans="1:14" ht="16.5" customHeight="1" x14ac:dyDescent="0.25">
      <c r="A1575" s="49"/>
      <c r="B1575" s="47"/>
      <c r="C1575" s="47"/>
      <c r="D1575" s="47"/>
      <c r="E1575" s="47"/>
      <c r="F1575" s="47"/>
      <c r="G1575" s="47"/>
      <c r="H1575" s="47"/>
      <c r="I1575" s="47"/>
      <c r="J1575" s="48"/>
      <c r="K1575" s="47"/>
      <c r="L1575" s="47"/>
      <c r="M1575" s="47"/>
      <c r="N1575" s="47"/>
    </row>
    <row r="1576" spans="1:14" ht="16.5" customHeight="1" x14ac:dyDescent="0.25">
      <c r="A1576" s="49"/>
      <c r="B1576" s="47"/>
      <c r="C1576" s="47"/>
      <c r="D1576" s="47"/>
      <c r="E1576" s="47"/>
      <c r="F1576" s="47"/>
      <c r="G1576" s="47"/>
      <c r="H1576" s="47"/>
      <c r="I1576" s="47"/>
      <c r="J1576" s="48"/>
      <c r="K1576" s="47"/>
      <c r="L1576" s="47"/>
      <c r="M1576" s="47"/>
      <c r="N1576" s="47"/>
    </row>
    <row r="1577" spans="1:14" ht="16.5" customHeight="1" x14ac:dyDescent="0.25">
      <c r="A1577" s="49"/>
      <c r="B1577" s="47"/>
      <c r="C1577" s="47"/>
      <c r="D1577" s="47"/>
      <c r="E1577" s="47"/>
      <c r="F1577" s="47"/>
      <c r="G1577" s="47"/>
      <c r="H1577" s="47"/>
      <c r="I1577" s="47"/>
      <c r="J1577" s="48"/>
      <c r="K1577" s="47"/>
      <c r="L1577" s="47"/>
      <c r="M1577" s="47"/>
      <c r="N1577" s="47"/>
    </row>
    <row r="1578" spans="1:14" ht="16.5" customHeight="1" x14ac:dyDescent="0.25">
      <c r="A1578" s="49"/>
      <c r="B1578" s="47"/>
      <c r="C1578" s="47"/>
      <c r="D1578" s="47"/>
      <c r="E1578" s="47"/>
      <c r="F1578" s="47"/>
      <c r="G1578" s="47"/>
      <c r="H1578" s="47"/>
      <c r="I1578" s="47"/>
      <c r="J1578" s="48"/>
      <c r="K1578" s="47"/>
      <c r="L1578" s="47"/>
      <c r="M1578" s="47"/>
      <c r="N1578" s="47"/>
    </row>
    <row r="1579" spans="1:14" ht="16.5" customHeight="1" x14ac:dyDescent="0.25">
      <c r="A1579" s="49"/>
      <c r="B1579" s="47"/>
      <c r="C1579" s="47"/>
      <c r="D1579" s="47"/>
      <c r="E1579" s="47"/>
      <c r="F1579" s="47"/>
      <c r="G1579" s="47"/>
      <c r="H1579" s="47"/>
      <c r="I1579" s="47"/>
      <c r="J1579" s="48"/>
      <c r="K1579" s="47"/>
      <c r="L1579" s="47"/>
      <c r="M1579" s="47"/>
      <c r="N1579" s="47"/>
    </row>
    <row r="1580" spans="1:14" ht="16.5" customHeight="1" x14ac:dyDescent="0.25">
      <c r="A1580" s="49"/>
      <c r="B1580" s="47"/>
      <c r="C1580" s="47"/>
      <c r="D1580" s="47"/>
      <c r="E1580" s="47"/>
      <c r="F1580" s="47"/>
      <c r="G1580" s="47"/>
      <c r="H1580" s="47"/>
      <c r="I1580" s="47"/>
      <c r="J1580" s="48"/>
      <c r="K1580" s="47"/>
      <c r="L1580" s="47"/>
      <c r="M1580" s="47"/>
      <c r="N1580" s="47"/>
    </row>
    <row r="1581" spans="1:14" ht="16.5" customHeight="1" x14ac:dyDescent="0.25">
      <c r="A1581" s="49"/>
      <c r="B1581" s="47"/>
      <c r="C1581" s="47"/>
      <c r="D1581" s="47"/>
      <c r="E1581" s="47"/>
      <c r="F1581" s="47"/>
      <c r="G1581" s="47"/>
      <c r="H1581" s="47"/>
      <c r="I1581" s="47"/>
      <c r="J1581" s="48"/>
      <c r="K1581" s="47"/>
      <c r="L1581" s="47"/>
      <c r="M1581" s="47"/>
      <c r="N1581" s="47"/>
    </row>
    <row r="1582" spans="1:14" ht="16.5" customHeight="1" x14ac:dyDescent="0.25">
      <c r="A1582" s="49"/>
      <c r="B1582" s="47"/>
      <c r="C1582" s="47"/>
      <c r="D1582" s="47"/>
      <c r="E1582" s="47"/>
      <c r="F1582" s="47"/>
      <c r="G1582" s="47"/>
      <c r="H1582" s="47"/>
      <c r="I1582" s="47"/>
      <c r="J1582" s="48"/>
      <c r="K1582" s="47"/>
      <c r="L1582" s="47"/>
      <c r="M1582" s="47"/>
      <c r="N1582" s="47"/>
    </row>
    <row r="1583" spans="1:14" ht="16.5" customHeight="1" x14ac:dyDescent="0.25">
      <c r="A1583" s="49"/>
      <c r="B1583" s="47"/>
      <c r="C1583" s="47"/>
      <c r="D1583" s="47"/>
      <c r="E1583" s="47"/>
      <c r="F1583" s="47"/>
      <c r="G1583" s="47"/>
      <c r="H1583" s="47"/>
      <c r="I1583" s="47"/>
      <c r="J1583" s="48"/>
      <c r="K1583" s="47"/>
      <c r="L1583" s="47"/>
      <c r="M1583" s="47"/>
      <c r="N1583" s="47"/>
    </row>
    <row r="1584" spans="1:14" ht="16.5" customHeight="1" x14ac:dyDescent="0.25">
      <c r="A1584" s="49"/>
      <c r="B1584" s="47"/>
      <c r="C1584" s="47"/>
      <c r="D1584" s="47"/>
      <c r="E1584" s="47"/>
      <c r="F1584" s="47"/>
      <c r="G1584" s="47"/>
      <c r="H1584" s="47"/>
      <c r="I1584" s="47"/>
      <c r="J1584" s="48"/>
      <c r="K1584" s="47"/>
      <c r="L1584" s="47"/>
      <c r="M1584" s="47"/>
      <c r="N1584" s="47"/>
    </row>
    <row r="1585" spans="1:14" ht="16.5" customHeight="1" x14ac:dyDescent="0.25">
      <c r="A1585" s="49"/>
      <c r="B1585" s="47"/>
      <c r="C1585" s="47"/>
      <c r="D1585" s="47"/>
      <c r="E1585" s="47"/>
      <c r="F1585" s="47"/>
      <c r="G1585" s="47"/>
      <c r="H1585" s="47"/>
      <c r="I1585" s="47"/>
      <c r="J1585" s="48"/>
      <c r="K1585" s="47"/>
      <c r="L1585" s="47"/>
      <c r="M1585" s="47"/>
      <c r="N1585" s="47"/>
    </row>
    <row r="1586" spans="1:14" ht="16.5" customHeight="1" x14ac:dyDescent="0.25">
      <c r="A1586" s="49"/>
      <c r="B1586" s="47"/>
      <c r="C1586" s="47"/>
      <c r="D1586" s="47"/>
      <c r="E1586" s="47"/>
      <c r="F1586" s="47"/>
      <c r="G1586" s="47"/>
      <c r="H1586" s="47"/>
      <c r="I1586" s="47"/>
      <c r="J1586" s="48"/>
      <c r="K1586" s="47"/>
      <c r="L1586" s="47"/>
      <c r="M1586" s="47"/>
      <c r="N1586" s="47"/>
    </row>
    <row r="1587" spans="1:14" ht="16.5" customHeight="1" x14ac:dyDescent="0.25">
      <c r="A1587" s="49"/>
      <c r="B1587" s="47"/>
      <c r="C1587" s="47"/>
      <c r="D1587" s="47"/>
      <c r="E1587" s="47"/>
      <c r="F1587" s="47"/>
      <c r="G1587" s="47"/>
      <c r="H1587" s="47"/>
      <c r="I1587" s="47"/>
      <c r="J1587" s="48"/>
      <c r="K1587" s="47"/>
      <c r="L1587" s="47"/>
      <c r="M1587" s="47"/>
      <c r="N1587" s="47"/>
    </row>
    <row r="1588" spans="1:14" ht="16.5" customHeight="1" x14ac:dyDescent="0.25">
      <c r="A1588" s="49"/>
      <c r="B1588" s="47"/>
      <c r="C1588" s="47"/>
      <c r="D1588" s="47"/>
      <c r="E1588" s="47"/>
      <c r="F1588" s="47"/>
      <c r="G1588" s="47"/>
      <c r="H1588" s="47"/>
      <c r="I1588" s="47"/>
      <c r="J1588" s="48"/>
      <c r="K1588" s="47"/>
      <c r="L1588" s="47"/>
      <c r="M1588" s="47"/>
      <c r="N1588" s="47"/>
    </row>
    <row r="1589" spans="1:14" ht="16.5" customHeight="1" x14ac:dyDescent="0.25">
      <c r="A1589" s="49"/>
      <c r="B1589" s="47"/>
      <c r="C1589" s="47"/>
      <c r="D1589" s="47"/>
      <c r="E1589" s="47"/>
      <c r="F1589" s="47"/>
      <c r="G1589" s="47"/>
      <c r="H1589" s="47"/>
      <c r="I1589" s="47"/>
      <c r="J1589" s="48"/>
      <c r="K1589" s="47"/>
      <c r="L1589" s="47"/>
      <c r="M1589" s="47"/>
      <c r="N1589" s="47"/>
    </row>
    <row r="1590" spans="1:14" ht="16.5" customHeight="1" x14ac:dyDescent="0.25">
      <c r="A1590" s="49"/>
      <c r="B1590" s="47"/>
      <c r="C1590" s="47"/>
      <c r="D1590" s="47"/>
      <c r="E1590" s="47"/>
      <c r="F1590" s="47"/>
      <c r="G1590" s="47"/>
      <c r="H1590" s="47"/>
      <c r="I1590" s="47"/>
      <c r="J1590" s="48"/>
      <c r="K1590" s="47"/>
      <c r="L1590" s="47"/>
      <c r="M1590" s="47"/>
      <c r="N1590" s="47"/>
    </row>
    <row r="1591" spans="1:14" ht="16.5" customHeight="1" x14ac:dyDescent="0.25">
      <c r="A1591" s="49"/>
      <c r="B1591" s="47"/>
      <c r="C1591" s="47"/>
      <c r="D1591" s="47"/>
      <c r="E1591" s="47"/>
      <c r="F1591" s="47"/>
      <c r="G1591" s="47"/>
      <c r="H1591" s="47"/>
      <c r="I1591" s="47"/>
      <c r="J1591" s="48"/>
      <c r="K1591" s="47"/>
      <c r="L1591" s="47"/>
      <c r="M1591" s="47"/>
      <c r="N1591" s="47"/>
    </row>
    <row r="1592" spans="1:14" ht="16.5" customHeight="1" x14ac:dyDescent="0.25">
      <c r="A1592" s="49"/>
      <c r="B1592" s="47"/>
      <c r="C1592" s="47"/>
      <c r="D1592" s="47"/>
      <c r="E1592" s="47"/>
      <c r="F1592" s="47"/>
      <c r="G1592" s="47"/>
      <c r="H1592" s="47"/>
      <c r="I1592" s="47"/>
      <c r="J1592" s="48"/>
      <c r="K1592" s="47"/>
      <c r="L1592" s="47"/>
      <c r="M1592" s="47"/>
      <c r="N1592" s="47"/>
    </row>
    <row r="1593" spans="1:14" ht="16.5" customHeight="1" x14ac:dyDescent="0.25">
      <c r="A1593" s="49"/>
      <c r="B1593" s="47"/>
      <c r="C1593" s="47"/>
      <c r="D1593" s="47"/>
      <c r="E1593" s="47"/>
      <c r="F1593" s="47"/>
      <c r="G1593" s="47"/>
      <c r="H1593" s="47"/>
      <c r="I1593" s="47"/>
      <c r="J1593" s="48"/>
      <c r="K1593" s="47"/>
      <c r="L1593" s="47"/>
      <c r="M1593" s="47"/>
      <c r="N1593" s="47"/>
    </row>
    <row r="1594" spans="1:14" ht="16.5" customHeight="1" x14ac:dyDescent="0.25">
      <c r="A1594" s="49"/>
      <c r="B1594" s="47"/>
      <c r="C1594" s="47"/>
      <c r="D1594" s="47"/>
      <c r="E1594" s="47"/>
      <c r="F1594" s="47"/>
      <c r="G1594" s="47"/>
      <c r="H1594" s="47"/>
      <c r="I1594" s="47"/>
      <c r="J1594" s="48"/>
      <c r="K1594" s="47"/>
      <c r="L1594" s="47"/>
      <c r="M1594" s="47"/>
      <c r="N1594" s="47"/>
    </row>
    <row r="1595" spans="1:14" ht="16.5" customHeight="1" x14ac:dyDescent="0.25">
      <c r="A1595" s="49"/>
      <c r="B1595" s="47"/>
      <c r="C1595" s="47"/>
      <c r="D1595" s="47"/>
      <c r="E1595" s="47"/>
      <c r="F1595" s="47"/>
      <c r="G1595" s="47"/>
      <c r="H1595" s="47"/>
      <c r="I1595" s="47"/>
      <c r="J1595" s="48"/>
      <c r="K1595" s="47"/>
      <c r="L1595" s="47"/>
      <c r="M1595" s="47"/>
      <c r="N1595" s="47"/>
    </row>
    <row r="1596" spans="1:14" ht="16.5" customHeight="1" x14ac:dyDescent="0.25">
      <c r="A1596" s="49"/>
      <c r="B1596" s="47"/>
      <c r="C1596" s="47"/>
      <c r="D1596" s="47"/>
      <c r="E1596" s="47"/>
      <c r="F1596" s="47"/>
      <c r="G1596" s="47"/>
      <c r="H1596" s="47"/>
      <c r="I1596" s="47"/>
      <c r="J1596" s="48"/>
      <c r="K1596" s="47"/>
      <c r="L1596" s="47"/>
      <c r="M1596" s="47"/>
      <c r="N1596" s="47"/>
    </row>
    <row r="1597" spans="1:14" ht="16.5" customHeight="1" x14ac:dyDescent="0.25">
      <c r="A1597" s="49"/>
      <c r="B1597" s="47"/>
      <c r="C1597" s="47"/>
      <c r="D1597" s="47"/>
      <c r="E1597" s="47"/>
      <c r="F1597" s="47"/>
      <c r="G1597" s="47"/>
      <c r="H1597" s="47"/>
      <c r="I1597" s="47"/>
      <c r="J1597" s="48"/>
      <c r="K1597" s="47"/>
      <c r="L1597" s="47"/>
      <c r="M1597" s="47"/>
      <c r="N1597" s="47"/>
    </row>
    <row r="1598" spans="1:14" ht="16.5" customHeight="1" x14ac:dyDescent="0.25">
      <c r="A1598" s="49"/>
      <c r="B1598" s="47"/>
      <c r="C1598" s="47"/>
      <c r="D1598" s="47"/>
      <c r="E1598" s="47"/>
      <c r="F1598" s="47"/>
      <c r="G1598" s="47"/>
      <c r="H1598" s="47"/>
      <c r="I1598" s="47"/>
      <c r="J1598" s="48"/>
      <c r="K1598" s="47"/>
      <c r="L1598" s="47"/>
      <c r="M1598" s="47"/>
      <c r="N1598" s="47"/>
    </row>
    <row r="1599" spans="1:14" ht="16.5" customHeight="1" x14ac:dyDescent="0.25">
      <c r="A1599" s="49"/>
      <c r="B1599" s="47"/>
      <c r="C1599" s="47"/>
      <c r="D1599" s="47"/>
      <c r="E1599" s="47"/>
      <c r="F1599" s="47"/>
      <c r="G1599" s="47"/>
      <c r="H1599" s="47"/>
      <c r="I1599" s="47"/>
      <c r="J1599" s="48"/>
      <c r="K1599" s="47"/>
      <c r="L1599" s="47"/>
      <c r="M1599" s="47"/>
      <c r="N1599" s="47"/>
    </row>
    <row r="1600" spans="1:14" ht="16.5" customHeight="1" x14ac:dyDescent="0.25">
      <c r="A1600" s="49"/>
      <c r="B1600" s="47"/>
      <c r="C1600" s="47"/>
      <c r="D1600" s="47"/>
      <c r="E1600" s="47"/>
      <c r="F1600" s="47"/>
      <c r="G1600" s="47"/>
      <c r="H1600" s="47"/>
      <c r="I1600" s="47"/>
      <c r="J1600" s="48"/>
      <c r="K1600" s="47"/>
      <c r="L1600" s="47"/>
      <c r="M1600" s="47"/>
      <c r="N1600" s="47"/>
    </row>
    <row r="1601" spans="1:14" ht="16.5" customHeight="1" x14ac:dyDescent="0.25">
      <c r="A1601" s="49"/>
      <c r="B1601" s="47"/>
      <c r="C1601" s="47"/>
      <c r="D1601" s="47"/>
      <c r="E1601" s="47"/>
      <c r="F1601" s="47"/>
      <c r="G1601" s="47"/>
      <c r="H1601" s="47"/>
      <c r="I1601" s="47"/>
      <c r="J1601" s="48"/>
      <c r="K1601" s="47"/>
      <c r="L1601" s="47"/>
      <c r="M1601" s="47"/>
      <c r="N1601" s="47"/>
    </row>
    <row r="1602" spans="1:14" ht="16.5" customHeight="1" x14ac:dyDescent="0.25">
      <c r="A1602" s="49"/>
      <c r="B1602" s="47"/>
      <c r="C1602" s="47"/>
      <c r="D1602" s="47"/>
      <c r="E1602" s="47"/>
      <c r="F1602" s="47"/>
      <c r="G1602" s="47"/>
      <c r="H1602" s="47"/>
      <c r="I1602" s="47"/>
      <c r="J1602" s="48"/>
      <c r="K1602" s="47"/>
      <c r="L1602" s="47"/>
      <c r="M1602" s="47"/>
      <c r="N1602" s="47"/>
    </row>
    <row r="1603" spans="1:14" ht="16.5" customHeight="1" x14ac:dyDescent="0.25">
      <c r="A1603" s="49"/>
      <c r="B1603" s="47"/>
      <c r="C1603" s="47"/>
      <c r="D1603" s="47"/>
      <c r="E1603" s="47"/>
      <c r="F1603" s="47"/>
      <c r="G1603" s="47"/>
      <c r="H1603" s="47"/>
      <c r="I1603" s="47"/>
      <c r="J1603" s="48"/>
      <c r="K1603" s="47"/>
      <c r="L1603" s="47"/>
      <c r="M1603" s="47"/>
      <c r="N1603" s="47"/>
    </row>
    <row r="1604" spans="1:14" ht="16.5" customHeight="1" x14ac:dyDescent="0.25">
      <c r="A1604" s="49"/>
      <c r="B1604" s="47"/>
      <c r="C1604" s="47"/>
      <c r="D1604" s="47"/>
      <c r="E1604" s="47"/>
      <c r="F1604" s="47"/>
      <c r="G1604" s="47"/>
      <c r="H1604" s="47"/>
      <c r="I1604" s="47"/>
      <c r="J1604" s="48"/>
      <c r="K1604" s="47"/>
      <c r="L1604" s="47"/>
      <c r="M1604" s="47"/>
      <c r="N1604" s="47"/>
    </row>
    <row r="1605" spans="1:14" ht="16.5" customHeight="1" x14ac:dyDescent="0.25">
      <c r="A1605" s="49"/>
      <c r="B1605" s="47"/>
      <c r="C1605" s="47"/>
      <c r="D1605" s="47"/>
      <c r="E1605" s="47"/>
      <c r="F1605" s="47"/>
      <c r="G1605" s="47"/>
      <c r="H1605" s="47"/>
      <c r="I1605" s="47"/>
      <c r="J1605" s="48"/>
      <c r="K1605" s="47"/>
      <c r="L1605" s="47"/>
      <c r="M1605" s="47"/>
      <c r="N1605" s="47"/>
    </row>
    <row r="1606" spans="1:14" ht="16.5" customHeight="1" x14ac:dyDescent="0.25">
      <c r="A1606" s="49"/>
      <c r="B1606" s="47"/>
      <c r="C1606" s="47"/>
      <c r="D1606" s="47"/>
      <c r="E1606" s="47"/>
      <c r="F1606" s="47"/>
      <c r="G1606" s="47"/>
      <c r="H1606" s="47"/>
      <c r="I1606" s="47"/>
      <c r="J1606" s="48"/>
      <c r="K1606" s="47"/>
      <c r="L1606" s="47"/>
      <c r="M1606" s="47"/>
      <c r="N1606" s="47"/>
    </row>
    <row r="1607" spans="1:14" ht="16.5" customHeight="1" x14ac:dyDescent="0.25">
      <c r="A1607" s="49"/>
      <c r="B1607" s="47"/>
      <c r="C1607" s="47"/>
      <c r="D1607" s="47"/>
      <c r="E1607" s="47"/>
      <c r="F1607" s="47"/>
      <c r="G1607" s="47"/>
      <c r="H1607" s="47"/>
      <c r="I1607" s="47"/>
      <c r="J1607" s="48"/>
      <c r="K1607" s="47"/>
      <c r="L1607" s="47"/>
      <c r="M1607" s="47"/>
      <c r="N1607" s="47"/>
    </row>
    <row r="1608" spans="1:14" ht="16.5" customHeight="1" x14ac:dyDescent="0.25">
      <c r="A1608" s="49"/>
      <c r="B1608" s="47"/>
      <c r="C1608" s="47"/>
      <c r="D1608" s="47"/>
      <c r="E1608" s="47"/>
      <c r="F1608" s="47"/>
      <c r="G1608" s="47"/>
      <c r="H1608" s="47"/>
      <c r="I1608" s="47"/>
      <c r="J1608" s="48"/>
      <c r="K1608" s="47"/>
      <c r="L1608" s="47"/>
      <c r="M1608" s="47"/>
      <c r="N1608" s="47"/>
    </row>
    <row r="1609" spans="1:14" ht="16.5" customHeight="1" x14ac:dyDescent="0.25">
      <c r="A1609" s="49"/>
      <c r="B1609" s="47"/>
      <c r="C1609" s="47"/>
      <c r="D1609" s="47"/>
      <c r="E1609" s="47"/>
      <c r="F1609" s="47"/>
      <c r="G1609" s="47"/>
      <c r="H1609" s="47"/>
      <c r="I1609" s="47"/>
      <c r="J1609" s="48"/>
      <c r="K1609" s="47"/>
      <c r="L1609" s="47"/>
      <c r="M1609" s="47"/>
      <c r="N1609" s="47"/>
    </row>
    <row r="1610" spans="1:14" ht="16.5" customHeight="1" x14ac:dyDescent="0.25">
      <c r="A1610" s="49"/>
      <c r="B1610" s="47"/>
      <c r="C1610" s="47"/>
      <c r="D1610" s="47"/>
      <c r="E1610" s="47"/>
      <c r="F1610" s="47"/>
      <c r="G1610" s="47"/>
      <c r="H1610" s="47"/>
      <c r="I1610" s="47"/>
      <c r="J1610" s="48"/>
      <c r="K1610" s="47"/>
      <c r="L1610" s="47"/>
      <c r="M1610" s="47"/>
      <c r="N1610" s="47"/>
    </row>
    <row r="1611" spans="1:14" ht="16.5" customHeight="1" x14ac:dyDescent="0.25">
      <c r="A1611" s="49"/>
      <c r="B1611" s="47"/>
      <c r="C1611" s="47"/>
      <c r="D1611" s="47"/>
      <c r="E1611" s="47"/>
      <c r="F1611" s="47"/>
      <c r="G1611" s="47"/>
      <c r="H1611" s="47"/>
      <c r="I1611" s="47"/>
      <c r="J1611" s="48"/>
      <c r="K1611" s="47"/>
      <c r="L1611" s="47"/>
      <c r="M1611" s="47"/>
      <c r="N1611" s="47"/>
    </row>
    <row r="1612" spans="1:14" ht="16.5" customHeight="1" x14ac:dyDescent="0.25">
      <c r="A1612" s="49"/>
      <c r="B1612" s="47"/>
      <c r="C1612" s="47"/>
      <c r="D1612" s="47"/>
      <c r="E1612" s="47"/>
      <c r="F1612" s="47"/>
      <c r="G1612" s="47"/>
      <c r="H1612" s="47"/>
      <c r="I1612" s="47"/>
      <c r="J1612" s="48"/>
      <c r="K1612" s="47"/>
      <c r="L1612" s="47"/>
      <c r="M1612" s="47"/>
      <c r="N1612" s="47"/>
    </row>
    <row r="1613" spans="1:14" ht="16.5" customHeight="1" x14ac:dyDescent="0.25">
      <c r="A1613" s="49"/>
      <c r="B1613" s="47"/>
      <c r="C1613" s="47"/>
      <c r="D1613" s="47"/>
      <c r="E1613" s="47"/>
      <c r="F1613" s="47"/>
      <c r="G1613" s="47"/>
      <c r="H1613" s="47"/>
      <c r="I1613" s="47"/>
      <c r="J1613" s="48"/>
      <c r="K1613" s="47"/>
      <c r="L1613" s="47"/>
      <c r="M1613" s="47"/>
      <c r="N1613" s="47"/>
    </row>
    <row r="1614" spans="1:14" ht="16.5" customHeight="1" x14ac:dyDescent="0.25">
      <c r="A1614" s="49"/>
      <c r="B1614" s="47"/>
      <c r="C1614" s="47"/>
      <c r="D1614" s="47"/>
      <c r="E1614" s="47"/>
      <c r="F1614" s="47"/>
      <c r="G1614" s="47"/>
      <c r="H1614" s="47"/>
      <c r="I1614" s="47"/>
      <c r="J1614" s="48"/>
      <c r="K1614" s="47"/>
      <c r="L1614" s="47"/>
      <c r="M1614" s="47"/>
      <c r="N1614" s="47"/>
    </row>
    <row r="1615" spans="1:14" ht="16.5" customHeight="1" x14ac:dyDescent="0.25">
      <c r="A1615" s="49"/>
      <c r="B1615" s="47"/>
      <c r="C1615" s="47"/>
      <c r="D1615" s="47"/>
      <c r="E1615" s="47"/>
      <c r="F1615" s="47"/>
      <c r="G1615" s="47"/>
      <c r="H1615" s="47"/>
      <c r="I1615" s="47"/>
      <c r="J1615" s="48"/>
      <c r="K1615" s="47"/>
      <c r="L1615" s="47"/>
      <c r="M1615" s="47"/>
      <c r="N1615" s="47"/>
    </row>
    <row r="1616" spans="1:14" ht="16.5" customHeight="1" x14ac:dyDescent="0.25">
      <c r="A1616" s="49"/>
      <c r="B1616" s="47"/>
      <c r="C1616" s="47"/>
      <c r="D1616" s="47"/>
      <c r="E1616" s="47"/>
      <c r="F1616" s="47"/>
      <c r="G1616" s="47"/>
      <c r="H1616" s="47"/>
      <c r="I1616" s="47"/>
      <c r="J1616" s="48"/>
      <c r="K1616" s="47"/>
      <c r="L1616" s="47"/>
      <c r="M1616" s="47"/>
      <c r="N1616" s="47"/>
    </row>
    <row r="1617" spans="1:14" ht="16.5" customHeight="1" x14ac:dyDescent="0.25">
      <c r="A1617" s="49"/>
      <c r="B1617" s="47"/>
      <c r="C1617" s="47"/>
      <c r="D1617" s="47"/>
      <c r="E1617" s="47"/>
      <c r="F1617" s="47"/>
      <c r="G1617" s="47"/>
      <c r="H1617" s="47"/>
      <c r="I1617" s="47"/>
      <c r="J1617" s="48"/>
      <c r="K1617" s="47"/>
      <c r="L1617" s="47"/>
      <c r="M1617" s="47"/>
      <c r="N1617" s="47"/>
    </row>
    <row r="1618" spans="1:14" ht="16.5" customHeight="1" x14ac:dyDescent="0.25">
      <c r="A1618" s="49"/>
      <c r="B1618" s="47"/>
      <c r="C1618" s="47"/>
      <c r="D1618" s="47"/>
      <c r="E1618" s="47"/>
      <c r="F1618" s="47"/>
      <c r="G1618" s="47"/>
      <c r="H1618" s="47"/>
      <c r="I1618" s="47"/>
      <c r="J1618" s="48"/>
      <c r="K1618" s="47"/>
      <c r="L1618" s="47"/>
      <c r="M1618" s="47"/>
      <c r="N1618" s="47"/>
    </row>
    <row r="1619" spans="1:14" ht="16.5" customHeight="1" x14ac:dyDescent="0.25">
      <c r="A1619" s="49"/>
      <c r="B1619" s="47"/>
      <c r="C1619" s="47"/>
      <c r="D1619" s="47"/>
      <c r="E1619" s="47"/>
      <c r="F1619" s="47"/>
      <c r="G1619" s="47"/>
      <c r="H1619" s="47"/>
      <c r="I1619" s="47"/>
      <c r="J1619" s="48"/>
      <c r="K1619" s="47"/>
      <c r="L1619" s="47"/>
      <c r="M1619" s="47"/>
      <c r="N1619" s="47"/>
    </row>
    <row r="1620" spans="1:14" ht="16.5" customHeight="1" x14ac:dyDescent="0.25">
      <c r="A1620" s="49"/>
      <c r="B1620" s="47"/>
      <c r="C1620" s="47"/>
      <c r="D1620" s="47"/>
      <c r="E1620" s="47"/>
      <c r="F1620" s="47"/>
      <c r="G1620" s="47"/>
      <c r="H1620" s="47"/>
      <c r="I1620" s="47"/>
      <c r="J1620" s="48"/>
      <c r="K1620" s="47"/>
      <c r="L1620" s="47"/>
      <c r="M1620" s="47"/>
      <c r="N1620" s="47"/>
    </row>
    <row r="1621" spans="1:14" ht="16.5" customHeight="1" x14ac:dyDescent="0.25">
      <c r="A1621" s="49"/>
      <c r="B1621" s="47"/>
      <c r="C1621" s="47"/>
      <c r="D1621" s="47"/>
      <c r="E1621" s="47"/>
      <c r="F1621" s="47"/>
      <c r="G1621" s="47"/>
      <c r="H1621" s="47"/>
      <c r="I1621" s="47"/>
      <c r="J1621" s="48"/>
      <c r="K1621" s="47"/>
      <c r="L1621" s="47"/>
      <c r="M1621" s="47"/>
      <c r="N1621" s="47"/>
    </row>
    <row r="1622" spans="1:14" ht="16.5" customHeight="1" x14ac:dyDescent="0.25">
      <c r="A1622" s="49"/>
      <c r="B1622" s="47"/>
      <c r="C1622" s="47"/>
      <c r="D1622" s="47"/>
      <c r="E1622" s="47"/>
      <c r="F1622" s="47"/>
      <c r="G1622" s="47"/>
      <c r="H1622" s="47"/>
      <c r="I1622" s="47"/>
      <c r="J1622" s="48"/>
      <c r="K1622" s="47"/>
      <c r="L1622" s="47"/>
      <c r="M1622" s="47"/>
      <c r="N1622" s="47"/>
    </row>
    <row r="1623" spans="1:14" ht="16.5" customHeight="1" x14ac:dyDescent="0.25">
      <c r="A1623" s="49"/>
      <c r="B1623" s="47"/>
      <c r="C1623" s="47"/>
      <c r="D1623" s="47"/>
      <c r="E1623" s="47"/>
      <c r="F1623" s="47"/>
      <c r="G1623" s="47"/>
      <c r="H1623" s="47"/>
      <c r="I1623" s="47"/>
      <c r="J1623" s="48"/>
      <c r="K1623" s="47"/>
      <c r="L1623" s="47"/>
      <c r="M1623" s="47"/>
      <c r="N1623" s="47"/>
    </row>
    <row r="1624" spans="1:14" ht="16.5" customHeight="1" x14ac:dyDescent="0.25">
      <c r="A1624" s="49"/>
      <c r="B1624" s="47"/>
      <c r="C1624" s="47"/>
      <c r="D1624" s="47"/>
      <c r="E1624" s="47"/>
      <c r="F1624" s="47"/>
      <c r="G1624" s="47"/>
      <c r="H1624" s="47"/>
      <c r="I1624" s="47"/>
      <c r="J1624" s="48"/>
      <c r="K1624" s="47"/>
      <c r="L1624" s="47"/>
      <c r="M1624" s="47"/>
      <c r="N1624" s="47"/>
    </row>
    <row r="1625" spans="1:14" ht="16.5" customHeight="1" x14ac:dyDescent="0.25">
      <c r="A1625" s="49"/>
      <c r="B1625" s="47"/>
      <c r="C1625" s="47"/>
      <c r="D1625" s="47"/>
      <c r="E1625" s="47"/>
      <c r="F1625" s="47"/>
      <c r="G1625" s="47"/>
      <c r="H1625" s="47"/>
      <c r="I1625" s="47"/>
      <c r="J1625" s="48"/>
      <c r="K1625" s="47"/>
      <c r="L1625" s="47"/>
      <c r="M1625" s="47"/>
      <c r="N1625" s="47"/>
    </row>
    <row r="1626" spans="1:14" ht="16.5" customHeight="1" x14ac:dyDescent="0.25">
      <c r="A1626" s="49"/>
      <c r="B1626" s="47"/>
      <c r="C1626" s="47"/>
      <c r="D1626" s="47"/>
      <c r="E1626" s="47"/>
      <c r="F1626" s="47"/>
      <c r="G1626" s="47"/>
      <c r="H1626" s="47"/>
      <c r="I1626" s="47"/>
      <c r="J1626" s="48"/>
      <c r="K1626" s="47"/>
      <c r="L1626" s="47"/>
      <c r="M1626" s="47"/>
      <c r="N1626" s="47"/>
    </row>
    <row r="1627" spans="1:14" ht="16.5" customHeight="1" x14ac:dyDescent="0.25">
      <c r="A1627" s="49"/>
      <c r="B1627" s="47"/>
      <c r="C1627" s="47"/>
      <c r="D1627" s="47"/>
      <c r="E1627" s="47"/>
      <c r="F1627" s="47"/>
      <c r="G1627" s="47"/>
      <c r="H1627" s="47"/>
      <c r="I1627" s="47"/>
      <c r="J1627" s="48"/>
      <c r="K1627" s="47"/>
      <c r="L1627" s="47"/>
      <c r="M1627" s="47"/>
      <c r="N1627" s="47"/>
    </row>
    <row r="1628" spans="1:14" ht="16.5" customHeight="1" x14ac:dyDescent="0.25">
      <c r="A1628" s="49"/>
      <c r="B1628" s="47"/>
      <c r="C1628" s="47"/>
      <c r="D1628" s="47"/>
      <c r="E1628" s="47"/>
      <c r="F1628" s="47"/>
      <c r="G1628" s="47"/>
      <c r="H1628" s="47"/>
      <c r="I1628" s="47"/>
      <c r="J1628" s="48"/>
      <c r="K1628" s="47"/>
      <c r="L1628" s="47"/>
      <c r="M1628" s="47"/>
      <c r="N1628" s="47"/>
    </row>
    <row r="1629" spans="1:14" ht="16.5" customHeight="1" x14ac:dyDescent="0.25">
      <c r="A1629" s="49"/>
      <c r="B1629" s="47"/>
      <c r="C1629" s="47"/>
      <c r="D1629" s="47"/>
      <c r="E1629" s="47"/>
      <c r="F1629" s="47"/>
      <c r="G1629" s="47"/>
      <c r="H1629" s="47"/>
      <c r="I1629" s="47"/>
      <c r="J1629" s="48"/>
      <c r="K1629" s="47"/>
      <c r="L1629" s="47"/>
      <c r="M1629" s="47"/>
      <c r="N1629" s="47"/>
    </row>
    <row r="1630" spans="1:14" ht="16.5" customHeight="1" x14ac:dyDescent="0.25">
      <c r="A1630" s="49"/>
      <c r="B1630" s="47"/>
      <c r="C1630" s="47"/>
      <c r="D1630" s="47"/>
      <c r="E1630" s="47"/>
      <c r="F1630" s="47"/>
      <c r="G1630" s="47"/>
      <c r="H1630" s="47"/>
      <c r="I1630" s="47"/>
      <c r="J1630" s="48"/>
      <c r="K1630" s="47"/>
      <c r="L1630" s="47"/>
      <c r="M1630" s="47"/>
      <c r="N1630" s="47"/>
    </row>
    <row r="1631" spans="1:14" ht="16.5" customHeight="1" x14ac:dyDescent="0.25">
      <c r="A1631" s="49"/>
      <c r="B1631" s="47"/>
      <c r="C1631" s="47"/>
      <c r="D1631" s="47"/>
      <c r="E1631" s="47"/>
      <c r="F1631" s="47"/>
      <c r="G1631" s="47"/>
      <c r="H1631" s="47"/>
      <c r="I1631" s="47"/>
      <c r="J1631" s="48"/>
      <c r="K1631" s="47"/>
      <c r="L1631" s="47"/>
      <c r="M1631" s="47"/>
      <c r="N1631" s="47"/>
    </row>
    <row r="1632" spans="1:14" ht="16.5" customHeight="1" x14ac:dyDescent="0.25">
      <c r="A1632" s="49"/>
      <c r="B1632" s="47"/>
      <c r="C1632" s="47"/>
      <c r="D1632" s="47"/>
      <c r="E1632" s="47"/>
      <c r="F1632" s="47"/>
      <c r="G1632" s="47"/>
      <c r="H1632" s="47"/>
      <c r="I1632" s="47"/>
      <c r="J1632" s="48"/>
      <c r="K1632" s="47"/>
      <c r="L1632" s="47"/>
      <c r="M1632" s="47"/>
      <c r="N1632" s="47"/>
    </row>
    <row r="1633" spans="1:14" ht="16.5" customHeight="1" x14ac:dyDescent="0.25">
      <c r="A1633" s="49"/>
      <c r="B1633" s="47"/>
      <c r="C1633" s="47"/>
      <c r="D1633" s="47"/>
      <c r="E1633" s="47"/>
      <c r="F1633" s="47"/>
      <c r="G1633" s="47"/>
      <c r="H1633" s="47"/>
      <c r="I1633" s="47"/>
      <c r="J1633" s="48"/>
      <c r="K1633" s="47"/>
      <c r="L1633" s="47"/>
      <c r="M1633" s="47"/>
      <c r="N1633" s="47"/>
    </row>
    <row r="1634" spans="1:14" ht="16.5" customHeight="1" x14ac:dyDescent="0.25">
      <c r="A1634" s="49"/>
      <c r="B1634" s="47"/>
      <c r="C1634" s="47"/>
      <c r="D1634" s="47"/>
      <c r="E1634" s="47"/>
      <c r="F1634" s="47"/>
      <c r="G1634" s="47"/>
      <c r="H1634" s="47"/>
      <c r="I1634" s="47"/>
      <c r="J1634" s="48"/>
      <c r="K1634" s="47"/>
      <c r="L1634" s="47"/>
      <c r="M1634" s="47"/>
      <c r="N1634" s="47"/>
    </row>
    <row r="1635" spans="1:14" ht="16.5" customHeight="1" x14ac:dyDescent="0.25">
      <c r="A1635" s="49"/>
      <c r="B1635" s="47"/>
      <c r="C1635" s="47"/>
      <c r="D1635" s="47"/>
      <c r="E1635" s="47"/>
      <c r="F1635" s="47"/>
      <c r="G1635" s="47"/>
      <c r="H1635" s="47"/>
      <c r="I1635" s="47"/>
      <c r="J1635" s="48"/>
      <c r="K1635" s="47"/>
      <c r="L1635" s="47"/>
      <c r="M1635" s="47"/>
      <c r="N1635" s="47"/>
    </row>
    <row r="1636" spans="1:14" ht="16.5" customHeight="1" x14ac:dyDescent="0.25">
      <c r="A1636" s="49"/>
      <c r="B1636" s="47"/>
      <c r="C1636" s="47"/>
      <c r="D1636" s="47"/>
      <c r="E1636" s="47"/>
      <c r="F1636" s="47"/>
      <c r="G1636" s="47"/>
      <c r="H1636" s="47"/>
      <c r="I1636" s="47"/>
      <c r="J1636" s="48"/>
      <c r="K1636" s="47"/>
      <c r="L1636" s="47"/>
      <c r="M1636" s="47"/>
      <c r="N1636" s="47"/>
    </row>
    <row r="1637" spans="1:14" ht="16.5" customHeight="1" x14ac:dyDescent="0.25">
      <c r="A1637" s="49"/>
      <c r="B1637" s="47"/>
      <c r="C1637" s="47"/>
      <c r="D1637" s="47"/>
      <c r="E1637" s="47"/>
      <c r="F1637" s="47"/>
      <c r="G1637" s="47"/>
      <c r="H1637" s="47"/>
      <c r="I1637" s="47"/>
      <c r="J1637" s="48"/>
      <c r="K1637" s="47"/>
      <c r="L1637" s="47"/>
      <c r="M1637" s="47"/>
      <c r="N1637" s="47"/>
    </row>
    <row r="1638" spans="1:14" ht="16.5" customHeight="1" x14ac:dyDescent="0.25">
      <c r="A1638" s="49"/>
      <c r="B1638" s="47"/>
      <c r="C1638" s="47"/>
      <c r="D1638" s="47"/>
      <c r="E1638" s="47"/>
      <c r="F1638" s="47"/>
      <c r="G1638" s="47"/>
      <c r="H1638" s="47"/>
      <c r="I1638" s="47"/>
      <c r="J1638" s="48"/>
      <c r="K1638" s="47"/>
      <c r="L1638" s="47"/>
      <c r="M1638" s="47"/>
      <c r="N1638" s="47"/>
    </row>
    <row r="1639" spans="1:14" ht="16.5" customHeight="1" x14ac:dyDescent="0.25">
      <c r="A1639" s="49"/>
      <c r="B1639" s="47"/>
      <c r="C1639" s="47"/>
      <c r="D1639" s="47"/>
      <c r="E1639" s="47"/>
      <c r="F1639" s="47"/>
      <c r="G1639" s="47"/>
      <c r="H1639" s="47"/>
      <c r="I1639" s="47"/>
      <c r="J1639" s="48"/>
      <c r="K1639" s="47"/>
      <c r="L1639" s="47"/>
      <c r="M1639" s="47"/>
      <c r="N1639" s="47"/>
    </row>
    <row r="1640" spans="1:14" ht="16.5" customHeight="1" x14ac:dyDescent="0.25">
      <c r="A1640" s="49"/>
      <c r="B1640" s="47"/>
      <c r="C1640" s="47"/>
      <c r="D1640" s="47"/>
      <c r="E1640" s="47"/>
      <c r="F1640" s="47"/>
      <c r="G1640" s="47"/>
      <c r="H1640" s="47"/>
      <c r="I1640" s="47"/>
      <c r="J1640" s="48"/>
      <c r="K1640" s="47"/>
      <c r="L1640" s="47"/>
      <c r="M1640" s="47"/>
      <c r="N1640" s="47"/>
    </row>
    <row r="1641" spans="1:14" ht="16.5" customHeight="1" x14ac:dyDescent="0.25">
      <c r="A1641" s="49"/>
      <c r="B1641" s="47"/>
      <c r="C1641" s="47"/>
      <c r="D1641" s="47"/>
      <c r="E1641" s="47"/>
      <c r="F1641" s="47"/>
      <c r="G1641" s="47"/>
      <c r="H1641" s="47"/>
      <c r="I1641" s="47"/>
      <c r="J1641" s="48"/>
      <c r="K1641" s="47"/>
      <c r="L1641" s="47"/>
      <c r="M1641" s="47"/>
      <c r="N1641" s="47"/>
    </row>
    <row r="1642" spans="1:14" ht="16.5" customHeight="1" x14ac:dyDescent="0.25">
      <c r="A1642" s="49"/>
      <c r="B1642" s="47"/>
      <c r="C1642" s="47"/>
      <c r="D1642" s="47"/>
      <c r="E1642" s="47"/>
      <c r="F1642" s="47"/>
      <c r="G1642" s="47"/>
      <c r="H1642" s="47"/>
      <c r="I1642" s="47"/>
      <c r="J1642" s="48"/>
      <c r="K1642" s="47"/>
      <c r="L1642" s="47"/>
      <c r="M1642" s="47"/>
      <c r="N1642" s="47"/>
    </row>
    <row r="1643" spans="1:14" ht="16.5" customHeight="1" x14ac:dyDescent="0.25">
      <c r="A1643" s="49"/>
      <c r="B1643" s="47"/>
      <c r="C1643" s="47"/>
      <c r="D1643" s="47"/>
      <c r="E1643" s="47"/>
      <c r="F1643" s="47"/>
      <c r="G1643" s="47"/>
      <c r="H1643" s="47"/>
      <c r="I1643" s="47"/>
      <c r="J1643" s="48"/>
      <c r="K1643" s="47"/>
      <c r="L1643" s="47"/>
      <c r="M1643" s="47"/>
      <c r="N1643" s="47"/>
    </row>
    <row r="1644" spans="1:14" ht="16.5" customHeight="1" x14ac:dyDescent="0.25">
      <c r="A1644" s="49"/>
      <c r="B1644" s="47"/>
      <c r="C1644" s="47"/>
      <c r="D1644" s="47"/>
      <c r="E1644" s="47"/>
      <c r="F1644" s="47"/>
      <c r="G1644" s="47"/>
      <c r="H1644" s="47"/>
      <c r="I1644" s="47"/>
      <c r="J1644" s="48"/>
      <c r="K1644" s="47"/>
      <c r="L1644" s="47"/>
      <c r="M1644" s="47"/>
      <c r="N1644" s="47"/>
    </row>
    <row r="1645" spans="1:14" ht="16.5" customHeight="1" x14ac:dyDescent="0.25">
      <c r="A1645" s="49"/>
      <c r="B1645" s="47"/>
      <c r="C1645" s="47"/>
      <c r="D1645" s="47"/>
      <c r="E1645" s="47"/>
      <c r="F1645" s="47"/>
      <c r="G1645" s="47"/>
      <c r="H1645" s="47"/>
      <c r="I1645" s="47"/>
      <c r="J1645" s="48"/>
      <c r="K1645" s="47"/>
      <c r="L1645" s="47"/>
      <c r="M1645" s="47"/>
      <c r="N1645" s="47"/>
    </row>
    <row r="1646" spans="1:14" ht="16.5" customHeight="1" x14ac:dyDescent="0.25">
      <c r="A1646" s="49"/>
      <c r="B1646" s="47"/>
      <c r="C1646" s="47"/>
      <c r="D1646" s="47"/>
      <c r="E1646" s="47"/>
      <c r="F1646" s="47"/>
      <c r="G1646" s="47"/>
      <c r="H1646" s="47"/>
      <c r="I1646" s="47"/>
      <c r="J1646" s="48"/>
      <c r="K1646" s="47"/>
      <c r="L1646" s="47"/>
      <c r="M1646" s="47"/>
      <c r="N1646" s="47"/>
    </row>
    <row r="1647" spans="1:14" ht="16.5" customHeight="1" x14ac:dyDescent="0.25">
      <c r="A1647" s="49"/>
      <c r="B1647" s="47"/>
      <c r="C1647" s="47"/>
      <c r="D1647" s="47"/>
      <c r="E1647" s="47"/>
      <c r="F1647" s="47"/>
      <c r="G1647" s="47"/>
      <c r="H1647" s="47"/>
      <c r="I1647" s="47"/>
      <c r="J1647" s="48"/>
      <c r="K1647" s="47"/>
      <c r="L1647" s="47"/>
      <c r="M1647" s="47"/>
      <c r="N1647" s="47"/>
    </row>
    <row r="1648" spans="1:14" ht="16.5" customHeight="1" x14ac:dyDescent="0.25">
      <c r="A1648" s="49"/>
      <c r="B1648" s="47"/>
      <c r="C1648" s="47"/>
      <c r="D1648" s="47"/>
      <c r="E1648" s="47"/>
      <c r="F1648" s="47"/>
      <c r="G1648" s="47"/>
      <c r="H1648" s="47"/>
      <c r="I1648" s="47"/>
      <c r="J1648" s="48"/>
      <c r="K1648" s="47"/>
      <c r="L1648" s="47"/>
      <c r="M1648" s="47"/>
      <c r="N1648" s="47"/>
    </row>
    <row r="1649" spans="1:14" ht="16.5" customHeight="1" x14ac:dyDescent="0.25">
      <c r="A1649" s="49"/>
      <c r="B1649" s="47"/>
      <c r="C1649" s="47"/>
      <c r="D1649" s="47"/>
      <c r="E1649" s="47"/>
      <c r="F1649" s="47"/>
      <c r="G1649" s="47"/>
      <c r="H1649" s="47"/>
      <c r="I1649" s="47"/>
      <c r="J1649" s="48"/>
      <c r="K1649" s="47"/>
      <c r="L1649" s="47"/>
      <c r="M1649" s="47"/>
      <c r="N1649" s="47"/>
    </row>
    <row r="1650" spans="1:14" ht="16.5" customHeight="1" x14ac:dyDescent="0.25">
      <c r="A1650" s="49"/>
      <c r="B1650" s="47"/>
      <c r="C1650" s="47"/>
      <c r="D1650" s="47"/>
      <c r="E1650" s="47"/>
      <c r="F1650" s="47"/>
      <c r="G1650" s="47"/>
      <c r="H1650" s="47"/>
      <c r="I1650" s="47"/>
      <c r="J1650" s="48"/>
      <c r="K1650" s="47"/>
      <c r="L1650" s="47"/>
      <c r="M1650" s="47"/>
      <c r="N1650" s="47"/>
    </row>
    <row r="1651" spans="1:14" ht="16.5" customHeight="1" x14ac:dyDescent="0.25">
      <c r="A1651" s="49"/>
      <c r="B1651" s="47"/>
      <c r="C1651" s="47"/>
      <c r="D1651" s="47"/>
      <c r="E1651" s="47"/>
      <c r="F1651" s="47"/>
      <c r="G1651" s="47"/>
      <c r="H1651" s="47"/>
      <c r="I1651" s="47"/>
      <c r="J1651" s="48"/>
      <c r="K1651" s="47"/>
      <c r="L1651" s="47"/>
      <c r="M1651" s="47"/>
      <c r="N1651" s="47"/>
    </row>
    <row r="1652" spans="1:14" ht="16.5" customHeight="1" x14ac:dyDescent="0.25">
      <c r="A1652" s="49"/>
      <c r="B1652" s="47"/>
      <c r="C1652" s="47"/>
      <c r="D1652" s="47"/>
      <c r="E1652" s="47"/>
      <c r="F1652" s="47"/>
      <c r="G1652" s="47"/>
      <c r="H1652" s="47"/>
      <c r="I1652" s="47"/>
      <c r="J1652" s="48"/>
      <c r="K1652" s="47"/>
      <c r="L1652" s="47"/>
      <c r="M1652" s="47"/>
      <c r="N1652" s="47"/>
    </row>
    <row r="1653" spans="1:14" ht="16.5" customHeight="1" x14ac:dyDescent="0.25">
      <c r="A1653" s="49"/>
      <c r="B1653" s="47"/>
      <c r="C1653" s="47"/>
      <c r="D1653" s="47"/>
      <c r="E1653" s="47"/>
      <c r="F1653" s="47"/>
      <c r="G1653" s="47"/>
      <c r="H1653" s="47"/>
      <c r="I1653" s="47"/>
      <c r="J1653" s="48"/>
      <c r="K1653" s="47"/>
      <c r="L1653" s="47"/>
      <c r="M1653" s="47"/>
      <c r="N1653" s="47"/>
    </row>
    <row r="1654" spans="1:14" ht="16.5" customHeight="1" x14ac:dyDescent="0.25">
      <c r="A1654" s="49"/>
      <c r="B1654" s="47"/>
      <c r="C1654" s="47"/>
      <c r="D1654" s="47"/>
      <c r="E1654" s="47"/>
      <c r="F1654" s="47"/>
      <c r="G1654" s="47"/>
      <c r="H1654" s="47"/>
      <c r="I1654" s="47"/>
      <c r="J1654" s="48"/>
      <c r="K1654" s="47"/>
      <c r="L1654" s="47"/>
      <c r="M1654" s="47"/>
      <c r="N1654" s="47"/>
    </row>
    <row r="1655" spans="1:14" ht="16.5" customHeight="1" x14ac:dyDescent="0.25">
      <c r="A1655" s="49"/>
      <c r="B1655" s="47"/>
      <c r="C1655" s="47"/>
      <c r="D1655" s="47"/>
      <c r="E1655" s="47"/>
      <c r="F1655" s="47"/>
      <c r="G1655" s="47"/>
      <c r="H1655" s="47"/>
      <c r="I1655" s="47"/>
      <c r="J1655" s="48"/>
      <c r="K1655" s="47"/>
      <c r="L1655" s="47"/>
      <c r="M1655" s="47"/>
      <c r="N1655" s="47"/>
    </row>
    <row r="1656" spans="1:14" ht="16.5" customHeight="1" x14ac:dyDescent="0.25">
      <c r="A1656" s="49"/>
      <c r="B1656" s="47"/>
      <c r="C1656" s="47"/>
      <c r="D1656" s="47"/>
      <c r="E1656" s="47"/>
      <c r="F1656" s="47"/>
      <c r="G1656" s="47"/>
      <c r="H1656" s="47"/>
      <c r="I1656" s="47"/>
      <c r="J1656" s="48"/>
      <c r="K1656" s="47"/>
      <c r="L1656" s="47"/>
      <c r="M1656" s="47"/>
      <c r="N1656" s="47"/>
    </row>
    <row r="1657" spans="1:14" ht="16.5" customHeight="1" x14ac:dyDescent="0.25">
      <c r="A1657" s="49"/>
      <c r="B1657" s="47"/>
      <c r="C1657" s="47"/>
      <c r="D1657" s="47"/>
      <c r="E1657" s="47"/>
      <c r="F1657" s="47"/>
      <c r="G1657" s="47"/>
      <c r="H1657" s="47"/>
      <c r="I1657" s="47"/>
      <c r="J1657" s="48"/>
      <c r="K1657" s="47"/>
      <c r="L1657" s="47"/>
      <c r="M1657" s="47"/>
      <c r="N1657" s="47"/>
    </row>
    <row r="1658" spans="1:14" ht="16.5" customHeight="1" x14ac:dyDescent="0.25">
      <c r="A1658" s="49"/>
      <c r="B1658" s="47"/>
      <c r="C1658" s="47"/>
      <c r="D1658" s="47"/>
      <c r="E1658" s="47"/>
      <c r="F1658" s="47"/>
      <c r="G1658" s="47"/>
      <c r="H1658" s="47"/>
      <c r="I1658" s="47"/>
      <c r="J1658" s="48"/>
      <c r="K1658" s="47"/>
      <c r="L1658" s="47"/>
      <c r="M1658" s="47"/>
      <c r="N1658" s="47"/>
    </row>
    <row r="1659" spans="1:14" ht="16.5" customHeight="1" x14ac:dyDescent="0.25">
      <c r="A1659" s="49"/>
      <c r="B1659" s="47"/>
      <c r="C1659" s="47"/>
      <c r="D1659" s="47"/>
      <c r="E1659" s="47"/>
      <c r="F1659" s="47"/>
      <c r="G1659" s="47"/>
      <c r="H1659" s="47"/>
      <c r="I1659" s="47"/>
      <c r="J1659" s="48"/>
      <c r="K1659" s="47"/>
      <c r="L1659" s="47"/>
      <c r="M1659" s="47"/>
      <c r="N1659" s="47"/>
    </row>
    <row r="1660" spans="1:14" ht="16.5" customHeight="1" x14ac:dyDescent="0.25">
      <c r="A1660" s="49"/>
      <c r="B1660" s="47"/>
      <c r="C1660" s="47"/>
      <c r="D1660" s="47"/>
      <c r="E1660" s="47"/>
      <c r="F1660" s="47"/>
      <c r="G1660" s="47"/>
      <c r="H1660" s="47"/>
      <c r="I1660" s="47"/>
      <c r="J1660" s="48"/>
      <c r="K1660" s="47"/>
      <c r="L1660" s="47"/>
      <c r="M1660" s="47"/>
      <c r="N1660" s="47"/>
    </row>
    <row r="1661" spans="1:14" ht="16.5" customHeight="1" x14ac:dyDescent="0.25">
      <c r="A1661" s="49"/>
      <c r="B1661" s="47"/>
      <c r="C1661" s="47"/>
      <c r="D1661" s="47"/>
      <c r="E1661" s="47"/>
      <c r="F1661" s="47"/>
      <c r="G1661" s="47"/>
      <c r="H1661" s="47"/>
      <c r="I1661" s="47"/>
      <c r="J1661" s="48"/>
      <c r="K1661" s="47"/>
      <c r="L1661" s="47"/>
      <c r="M1661" s="47"/>
      <c r="N1661" s="47"/>
    </row>
    <row r="1662" spans="1:14" ht="16.5" customHeight="1" x14ac:dyDescent="0.25">
      <c r="A1662" s="49"/>
      <c r="B1662" s="47"/>
      <c r="C1662" s="47"/>
      <c r="D1662" s="47"/>
      <c r="E1662" s="47"/>
      <c r="F1662" s="47"/>
      <c r="G1662" s="47"/>
      <c r="H1662" s="47"/>
      <c r="I1662" s="47"/>
      <c r="J1662" s="48"/>
      <c r="K1662" s="47"/>
      <c r="L1662" s="47"/>
      <c r="M1662" s="47"/>
      <c r="N1662" s="47"/>
    </row>
    <row r="1663" spans="1:14" ht="16.5" customHeight="1" x14ac:dyDescent="0.25">
      <c r="A1663" s="49"/>
      <c r="B1663" s="47"/>
      <c r="C1663" s="47"/>
      <c r="D1663" s="47"/>
      <c r="E1663" s="47"/>
      <c r="F1663" s="47"/>
      <c r="G1663" s="47"/>
      <c r="H1663" s="47"/>
      <c r="I1663" s="47"/>
      <c r="J1663" s="48"/>
      <c r="K1663" s="47"/>
      <c r="L1663" s="47"/>
      <c r="M1663" s="47"/>
      <c r="N1663" s="47"/>
    </row>
    <row r="1664" spans="1:14" ht="16.5" customHeight="1" x14ac:dyDescent="0.25">
      <c r="A1664" s="49"/>
      <c r="B1664" s="47"/>
      <c r="C1664" s="47"/>
      <c r="D1664" s="47"/>
      <c r="E1664" s="47"/>
      <c r="F1664" s="47"/>
      <c r="G1664" s="47"/>
      <c r="H1664" s="47"/>
      <c r="I1664" s="47"/>
      <c r="J1664" s="48"/>
      <c r="K1664" s="47"/>
      <c r="L1664" s="47"/>
      <c r="M1664" s="47"/>
      <c r="N1664" s="47"/>
    </row>
    <row r="1665" spans="1:14" ht="16.5" customHeight="1" x14ac:dyDescent="0.25">
      <c r="A1665" s="49"/>
      <c r="B1665" s="47"/>
      <c r="C1665" s="47"/>
      <c r="D1665" s="47"/>
      <c r="E1665" s="47"/>
      <c r="F1665" s="47"/>
      <c r="G1665" s="47"/>
      <c r="H1665" s="47"/>
      <c r="I1665" s="47"/>
      <c r="J1665" s="48"/>
      <c r="K1665" s="47"/>
      <c r="L1665" s="47"/>
      <c r="M1665" s="47"/>
      <c r="N1665" s="47"/>
    </row>
    <row r="1666" spans="1:14" ht="16.5" customHeight="1" x14ac:dyDescent="0.25">
      <c r="A1666" s="49"/>
      <c r="B1666" s="47"/>
      <c r="C1666" s="47"/>
      <c r="D1666" s="47"/>
      <c r="E1666" s="47"/>
      <c r="F1666" s="47"/>
      <c r="G1666" s="47"/>
      <c r="H1666" s="47"/>
      <c r="I1666" s="47"/>
      <c r="J1666" s="48"/>
      <c r="K1666" s="47"/>
      <c r="L1666" s="47"/>
      <c r="M1666" s="47"/>
      <c r="N1666" s="47"/>
    </row>
    <row r="1667" spans="1:14" ht="16.5" customHeight="1" x14ac:dyDescent="0.25">
      <c r="A1667" s="49"/>
      <c r="B1667" s="47"/>
      <c r="C1667" s="47"/>
      <c r="D1667" s="47"/>
      <c r="E1667" s="47"/>
      <c r="F1667" s="47"/>
      <c r="G1667" s="47"/>
      <c r="H1667" s="47"/>
      <c r="I1667" s="47"/>
      <c r="J1667" s="48"/>
      <c r="K1667" s="47"/>
      <c r="L1667" s="47"/>
      <c r="M1667" s="47"/>
      <c r="N1667" s="47"/>
    </row>
    <row r="1668" spans="1:14" ht="16.5" customHeight="1" x14ac:dyDescent="0.25">
      <c r="A1668" s="49"/>
      <c r="B1668" s="47"/>
      <c r="C1668" s="47"/>
      <c r="D1668" s="47"/>
      <c r="E1668" s="47"/>
      <c r="F1668" s="47"/>
      <c r="G1668" s="47"/>
      <c r="H1668" s="47"/>
      <c r="I1668" s="47"/>
      <c r="J1668" s="48"/>
      <c r="K1668" s="47"/>
      <c r="L1668" s="47"/>
      <c r="M1668" s="47"/>
      <c r="N1668" s="47"/>
    </row>
    <row r="1669" spans="1:14" ht="16.5" customHeight="1" x14ac:dyDescent="0.25">
      <c r="A1669" s="49"/>
      <c r="B1669" s="47"/>
      <c r="C1669" s="47"/>
      <c r="D1669" s="47"/>
      <c r="E1669" s="47"/>
      <c r="F1669" s="47"/>
      <c r="G1669" s="47"/>
      <c r="H1669" s="47"/>
      <c r="I1669" s="47"/>
      <c r="J1669" s="48"/>
      <c r="K1669" s="47"/>
      <c r="L1669" s="47"/>
      <c r="M1669" s="47"/>
      <c r="N1669" s="47"/>
    </row>
    <row r="1670" spans="1:14" ht="16.5" customHeight="1" x14ac:dyDescent="0.25">
      <c r="A1670" s="49"/>
      <c r="B1670" s="47"/>
      <c r="C1670" s="47"/>
      <c r="D1670" s="47"/>
      <c r="E1670" s="47"/>
      <c r="F1670" s="47"/>
      <c r="G1670" s="47"/>
      <c r="H1670" s="47"/>
      <c r="I1670" s="47"/>
      <c r="J1670" s="48"/>
      <c r="K1670" s="47"/>
      <c r="L1670" s="47"/>
      <c r="M1670" s="47"/>
      <c r="N1670" s="47"/>
    </row>
    <row r="1671" spans="1:14" ht="16.5" customHeight="1" x14ac:dyDescent="0.25">
      <c r="A1671" s="49"/>
      <c r="B1671" s="47"/>
      <c r="C1671" s="47"/>
      <c r="D1671" s="47"/>
      <c r="E1671" s="47"/>
      <c r="F1671" s="47"/>
      <c r="G1671" s="47"/>
      <c r="H1671" s="47"/>
      <c r="I1671" s="47"/>
      <c r="J1671" s="48"/>
      <c r="K1671" s="47"/>
      <c r="L1671" s="47"/>
      <c r="M1671" s="47"/>
      <c r="N1671" s="47"/>
    </row>
    <row r="1672" spans="1:14" ht="16.5" customHeight="1" x14ac:dyDescent="0.25">
      <c r="A1672" s="49"/>
      <c r="B1672" s="47"/>
      <c r="C1672" s="47"/>
      <c r="D1672" s="47"/>
      <c r="E1672" s="47"/>
      <c r="F1672" s="47"/>
      <c r="G1672" s="47"/>
      <c r="H1672" s="47"/>
      <c r="I1672" s="47"/>
      <c r="J1672" s="48"/>
      <c r="K1672" s="47"/>
      <c r="L1672" s="47"/>
      <c r="M1672" s="47"/>
      <c r="N1672" s="47"/>
    </row>
    <row r="1673" spans="1:14" ht="16.5" customHeight="1" x14ac:dyDescent="0.25">
      <c r="A1673" s="49"/>
      <c r="B1673" s="47"/>
      <c r="C1673" s="47"/>
      <c r="D1673" s="47"/>
      <c r="E1673" s="47"/>
      <c r="F1673" s="47"/>
      <c r="G1673" s="47"/>
      <c r="H1673" s="47"/>
      <c r="I1673" s="47"/>
      <c r="J1673" s="48"/>
      <c r="K1673" s="47"/>
      <c r="L1673" s="47"/>
      <c r="M1673" s="47"/>
      <c r="N1673" s="47"/>
    </row>
    <row r="1674" spans="1:14" ht="16.5" customHeight="1" x14ac:dyDescent="0.25">
      <c r="A1674" s="49"/>
      <c r="B1674" s="47"/>
      <c r="C1674" s="47"/>
      <c r="D1674" s="47"/>
      <c r="E1674" s="47"/>
      <c r="F1674" s="47"/>
      <c r="G1674" s="47"/>
      <c r="H1674" s="47"/>
      <c r="I1674" s="47"/>
      <c r="J1674" s="48"/>
      <c r="K1674" s="47"/>
      <c r="L1674" s="47"/>
      <c r="M1674" s="47"/>
      <c r="N1674" s="47"/>
    </row>
    <row r="1675" spans="1:14" ht="16.5" customHeight="1" x14ac:dyDescent="0.25">
      <c r="A1675" s="49"/>
      <c r="B1675" s="47"/>
      <c r="C1675" s="47"/>
      <c r="D1675" s="47"/>
      <c r="E1675" s="47"/>
      <c r="F1675" s="47"/>
      <c r="G1675" s="47"/>
      <c r="H1675" s="47"/>
      <c r="I1675" s="47"/>
      <c r="J1675" s="48"/>
      <c r="K1675" s="47"/>
      <c r="L1675" s="47"/>
      <c r="M1675" s="47"/>
      <c r="N1675" s="47"/>
    </row>
    <row r="1676" spans="1:14" ht="16.5" customHeight="1" x14ac:dyDescent="0.25">
      <c r="A1676" s="49"/>
      <c r="B1676" s="47"/>
      <c r="C1676" s="47"/>
      <c r="D1676" s="47"/>
      <c r="E1676" s="47"/>
      <c r="F1676" s="47"/>
      <c r="G1676" s="47"/>
      <c r="H1676" s="47"/>
      <c r="I1676" s="47"/>
      <c r="J1676" s="48"/>
      <c r="K1676" s="47"/>
      <c r="L1676" s="47"/>
      <c r="M1676" s="47"/>
      <c r="N1676" s="47"/>
    </row>
    <row r="1677" spans="1:14" ht="16.5" customHeight="1" x14ac:dyDescent="0.25">
      <c r="A1677" s="49"/>
      <c r="B1677" s="47"/>
      <c r="C1677" s="47"/>
      <c r="D1677" s="47"/>
      <c r="E1677" s="47"/>
      <c r="F1677" s="47"/>
      <c r="G1677" s="47"/>
      <c r="H1677" s="47"/>
      <c r="I1677" s="47"/>
      <c r="J1677" s="48"/>
      <c r="K1677" s="47"/>
      <c r="L1677" s="47"/>
      <c r="M1677" s="47"/>
      <c r="N1677" s="47"/>
    </row>
    <row r="1678" spans="1:14" ht="16.5" customHeight="1" x14ac:dyDescent="0.25">
      <c r="A1678" s="49"/>
      <c r="B1678" s="47"/>
      <c r="C1678" s="47"/>
      <c r="D1678" s="47"/>
      <c r="E1678" s="47"/>
      <c r="F1678" s="47"/>
      <c r="G1678" s="47"/>
      <c r="H1678" s="47"/>
      <c r="I1678" s="47"/>
      <c r="J1678" s="48"/>
      <c r="K1678" s="47"/>
      <c r="L1678" s="47"/>
      <c r="M1678" s="47"/>
      <c r="N1678" s="47"/>
    </row>
    <row r="1679" spans="1:14" ht="16.5" customHeight="1" x14ac:dyDescent="0.25">
      <c r="A1679" s="49"/>
      <c r="B1679" s="47"/>
      <c r="C1679" s="47"/>
      <c r="D1679" s="47"/>
      <c r="E1679" s="47"/>
      <c r="F1679" s="47"/>
      <c r="G1679" s="47"/>
      <c r="H1679" s="47"/>
      <c r="I1679" s="47"/>
      <c r="J1679" s="48"/>
      <c r="K1679" s="47"/>
      <c r="L1679" s="47"/>
      <c r="M1679" s="47"/>
      <c r="N1679" s="47"/>
    </row>
    <row r="1680" spans="1:14" ht="16.5" customHeight="1" x14ac:dyDescent="0.25">
      <c r="A1680" s="49"/>
      <c r="B1680" s="47"/>
      <c r="C1680" s="47"/>
      <c r="D1680" s="47"/>
      <c r="E1680" s="47"/>
      <c r="F1680" s="47"/>
      <c r="G1680" s="47"/>
      <c r="H1680" s="47"/>
      <c r="I1680" s="47"/>
      <c r="J1680" s="48"/>
      <c r="K1680" s="47"/>
      <c r="L1680" s="47"/>
      <c r="M1680" s="47"/>
      <c r="N1680" s="47"/>
    </row>
    <row r="1681" spans="1:14" ht="16.5" customHeight="1" x14ac:dyDescent="0.25">
      <c r="A1681" s="49"/>
      <c r="B1681" s="47"/>
      <c r="C1681" s="47"/>
      <c r="D1681" s="47"/>
      <c r="E1681" s="47"/>
      <c r="F1681" s="47"/>
      <c r="G1681" s="47"/>
      <c r="H1681" s="47"/>
      <c r="I1681" s="47"/>
      <c r="J1681" s="48"/>
      <c r="K1681" s="47"/>
      <c r="L1681" s="47"/>
      <c r="M1681" s="47"/>
      <c r="N1681" s="47"/>
    </row>
    <row r="1682" spans="1:14" ht="16.5" customHeight="1" x14ac:dyDescent="0.25">
      <c r="A1682" s="49"/>
      <c r="B1682" s="47"/>
      <c r="C1682" s="47"/>
      <c r="D1682" s="47"/>
      <c r="E1682" s="47"/>
      <c r="F1682" s="47"/>
      <c r="G1682" s="47"/>
      <c r="H1682" s="47"/>
      <c r="I1682" s="47"/>
      <c r="J1682" s="48"/>
      <c r="K1682" s="47"/>
      <c r="L1682" s="47"/>
      <c r="M1682" s="47"/>
      <c r="N1682" s="47"/>
    </row>
    <row r="1683" spans="1:14" ht="16.5" customHeight="1" x14ac:dyDescent="0.25">
      <c r="A1683" s="49"/>
      <c r="B1683" s="47"/>
      <c r="C1683" s="47"/>
      <c r="D1683" s="47"/>
      <c r="E1683" s="47"/>
      <c r="F1683" s="47"/>
      <c r="G1683" s="47"/>
      <c r="H1683" s="47"/>
      <c r="I1683" s="47"/>
      <c r="J1683" s="48"/>
      <c r="K1683" s="47"/>
      <c r="L1683" s="47"/>
      <c r="M1683" s="47"/>
      <c r="N1683" s="47"/>
    </row>
    <row r="1684" spans="1:14" ht="16.5" customHeight="1" x14ac:dyDescent="0.25">
      <c r="A1684" s="49"/>
      <c r="B1684" s="47"/>
      <c r="C1684" s="47"/>
      <c r="D1684" s="47"/>
      <c r="E1684" s="47"/>
      <c r="F1684" s="47"/>
      <c r="G1684" s="47"/>
      <c r="H1684" s="47"/>
      <c r="I1684" s="47"/>
      <c r="J1684" s="48"/>
      <c r="K1684" s="47"/>
      <c r="L1684" s="47"/>
      <c r="M1684" s="47"/>
      <c r="N1684" s="47"/>
    </row>
    <row r="1685" spans="1:14" ht="16.5" customHeight="1" x14ac:dyDescent="0.25">
      <c r="A1685" s="49"/>
      <c r="B1685" s="47"/>
      <c r="C1685" s="47"/>
      <c r="D1685" s="47"/>
      <c r="E1685" s="47"/>
      <c r="F1685" s="47"/>
      <c r="G1685" s="47"/>
      <c r="H1685" s="47"/>
      <c r="I1685" s="47"/>
      <c r="J1685" s="48"/>
      <c r="K1685" s="47"/>
      <c r="L1685" s="47"/>
      <c r="M1685" s="47"/>
      <c r="N1685" s="47"/>
    </row>
    <row r="1686" spans="1:14" ht="16.5" customHeight="1" x14ac:dyDescent="0.25">
      <c r="A1686" s="49"/>
      <c r="B1686" s="47"/>
      <c r="C1686" s="47"/>
      <c r="D1686" s="47"/>
      <c r="E1686" s="47"/>
      <c r="F1686" s="47"/>
      <c r="G1686" s="47"/>
      <c r="H1686" s="47"/>
      <c r="I1686" s="47"/>
      <c r="J1686" s="48"/>
      <c r="K1686" s="47"/>
      <c r="L1686" s="47"/>
      <c r="M1686" s="47"/>
      <c r="N1686" s="47"/>
    </row>
    <row r="1687" spans="1:14" ht="16.5" customHeight="1" x14ac:dyDescent="0.25">
      <c r="A1687" s="49"/>
      <c r="B1687" s="47"/>
      <c r="C1687" s="47"/>
      <c r="D1687" s="47"/>
      <c r="E1687" s="47"/>
      <c r="F1687" s="47"/>
      <c r="G1687" s="47"/>
      <c r="H1687" s="47"/>
      <c r="I1687" s="47"/>
      <c r="J1687" s="48"/>
      <c r="K1687" s="47"/>
      <c r="L1687" s="47"/>
      <c r="M1687" s="47"/>
      <c r="N1687" s="47"/>
    </row>
    <row r="1688" spans="1:14" ht="16.5" customHeight="1" x14ac:dyDescent="0.25">
      <c r="A1688" s="49"/>
      <c r="B1688" s="47"/>
      <c r="C1688" s="47"/>
      <c r="D1688" s="47"/>
      <c r="E1688" s="47"/>
      <c r="F1688" s="47"/>
      <c r="G1688" s="47"/>
      <c r="H1688" s="47"/>
      <c r="I1688" s="47"/>
      <c r="J1688" s="48"/>
      <c r="K1688" s="47"/>
      <c r="L1688" s="47"/>
      <c r="M1688" s="47"/>
      <c r="N1688" s="47"/>
    </row>
    <row r="1689" spans="1:14" ht="16.5" customHeight="1" x14ac:dyDescent="0.25">
      <c r="A1689" s="49"/>
      <c r="B1689" s="47"/>
      <c r="C1689" s="47"/>
      <c r="D1689" s="47"/>
      <c r="E1689" s="47"/>
      <c r="F1689" s="47"/>
      <c r="G1689" s="47"/>
      <c r="H1689" s="47"/>
      <c r="I1689" s="47"/>
      <c r="J1689" s="48"/>
      <c r="K1689" s="47"/>
      <c r="L1689" s="47"/>
      <c r="M1689" s="47"/>
      <c r="N1689" s="47"/>
    </row>
    <row r="1690" spans="1:14" ht="16.5" customHeight="1" x14ac:dyDescent="0.25">
      <c r="A1690" s="49"/>
      <c r="B1690" s="47"/>
      <c r="C1690" s="47"/>
      <c r="D1690" s="47"/>
      <c r="E1690" s="47"/>
      <c r="F1690" s="47"/>
      <c r="G1690" s="47"/>
      <c r="H1690" s="47"/>
      <c r="I1690" s="47"/>
      <c r="J1690" s="48"/>
      <c r="K1690" s="47"/>
      <c r="L1690" s="47"/>
      <c r="M1690" s="47"/>
      <c r="N1690" s="47"/>
    </row>
    <row r="1691" spans="1:14" ht="16.5" customHeight="1" x14ac:dyDescent="0.25">
      <c r="A1691" s="49"/>
      <c r="B1691" s="47"/>
      <c r="C1691" s="47"/>
      <c r="D1691" s="47"/>
      <c r="E1691" s="47"/>
      <c r="F1691" s="47"/>
      <c r="G1691" s="47"/>
      <c r="H1691" s="47"/>
      <c r="I1691" s="47"/>
      <c r="J1691" s="48"/>
      <c r="K1691" s="47"/>
      <c r="L1691" s="47"/>
      <c r="M1691" s="47"/>
      <c r="N1691" s="47"/>
    </row>
    <row r="1692" spans="1:14" ht="16.5" customHeight="1" x14ac:dyDescent="0.25">
      <c r="A1692" s="49"/>
      <c r="B1692" s="47"/>
      <c r="C1692" s="47"/>
      <c r="D1692" s="47"/>
      <c r="E1692" s="47"/>
      <c r="F1692" s="47"/>
      <c r="G1692" s="47"/>
      <c r="H1692" s="47"/>
      <c r="I1692" s="47"/>
      <c r="J1692" s="48"/>
      <c r="K1692" s="47"/>
      <c r="L1692" s="47"/>
      <c r="M1692" s="47"/>
      <c r="N1692" s="47"/>
    </row>
    <row r="1693" spans="1:14" ht="16.5" customHeight="1" x14ac:dyDescent="0.25">
      <c r="A1693" s="49"/>
      <c r="B1693" s="47"/>
      <c r="C1693" s="47"/>
      <c r="D1693" s="47"/>
      <c r="E1693" s="47"/>
      <c r="F1693" s="47"/>
      <c r="G1693" s="47"/>
      <c r="H1693" s="47"/>
      <c r="I1693" s="47"/>
      <c r="J1693" s="48"/>
      <c r="K1693" s="47"/>
      <c r="L1693" s="47"/>
      <c r="M1693" s="47"/>
      <c r="N1693" s="47"/>
    </row>
    <row r="1694" spans="1:14" ht="16.5" customHeight="1" x14ac:dyDescent="0.25">
      <c r="A1694" s="49"/>
      <c r="B1694" s="47"/>
      <c r="C1694" s="47"/>
      <c r="D1694" s="47"/>
      <c r="E1694" s="47"/>
      <c r="F1694" s="47"/>
      <c r="G1694" s="47"/>
      <c r="H1694" s="47"/>
      <c r="I1694" s="47"/>
      <c r="J1694" s="48"/>
      <c r="K1694" s="47"/>
      <c r="L1694" s="47"/>
      <c r="M1694" s="47"/>
      <c r="N1694" s="47"/>
    </row>
    <row r="1695" spans="1:14" ht="16.5" customHeight="1" x14ac:dyDescent="0.25">
      <c r="A1695" s="49"/>
      <c r="B1695" s="47"/>
      <c r="C1695" s="47"/>
      <c r="D1695" s="47"/>
      <c r="E1695" s="47"/>
      <c r="F1695" s="47"/>
      <c r="G1695" s="47"/>
      <c r="H1695" s="47"/>
      <c r="I1695" s="47"/>
      <c r="J1695" s="48"/>
      <c r="K1695" s="47"/>
      <c r="L1695" s="47"/>
      <c r="M1695" s="47"/>
      <c r="N1695" s="47"/>
    </row>
    <row r="1696" spans="1:14" ht="16.5" customHeight="1" x14ac:dyDescent="0.25">
      <c r="A1696" s="49"/>
      <c r="B1696" s="47"/>
      <c r="C1696" s="47"/>
      <c r="D1696" s="47"/>
      <c r="E1696" s="47"/>
      <c r="F1696" s="47"/>
      <c r="G1696" s="47"/>
      <c r="H1696" s="47"/>
      <c r="I1696" s="47"/>
      <c r="J1696" s="48"/>
      <c r="K1696" s="47"/>
      <c r="L1696" s="47"/>
      <c r="M1696" s="47"/>
      <c r="N1696" s="47"/>
    </row>
    <row r="1697" spans="1:14" ht="16.5" customHeight="1" x14ac:dyDescent="0.25">
      <c r="A1697" s="49"/>
      <c r="B1697" s="47"/>
      <c r="C1697" s="47"/>
      <c r="D1697" s="47"/>
      <c r="E1697" s="47"/>
      <c r="F1697" s="47"/>
      <c r="G1697" s="47"/>
      <c r="H1697" s="47"/>
      <c r="I1697" s="47"/>
      <c r="J1697" s="48"/>
      <c r="K1697" s="47"/>
      <c r="L1697" s="47"/>
      <c r="M1697" s="47"/>
      <c r="N1697" s="47"/>
    </row>
    <row r="1698" spans="1:14" ht="16.5" customHeight="1" x14ac:dyDescent="0.25">
      <c r="A1698" s="49"/>
      <c r="B1698" s="47"/>
      <c r="C1698" s="47"/>
      <c r="D1698" s="47"/>
      <c r="E1698" s="47"/>
      <c r="F1698" s="47"/>
      <c r="G1698" s="47"/>
      <c r="H1698" s="47"/>
      <c r="I1698" s="47"/>
      <c r="J1698" s="48"/>
      <c r="K1698" s="47"/>
      <c r="L1698" s="47"/>
      <c r="M1698" s="47"/>
      <c r="N1698" s="47"/>
    </row>
    <row r="1699" spans="1:14" ht="16.5" customHeight="1" x14ac:dyDescent="0.25">
      <c r="A1699" s="49"/>
      <c r="B1699" s="47"/>
      <c r="C1699" s="47"/>
      <c r="D1699" s="47"/>
      <c r="E1699" s="47"/>
      <c r="F1699" s="47"/>
      <c r="G1699" s="47"/>
      <c r="H1699" s="47"/>
      <c r="I1699" s="47"/>
      <c r="J1699" s="48"/>
      <c r="K1699" s="47"/>
      <c r="L1699" s="47"/>
      <c r="M1699" s="47"/>
      <c r="N1699" s="47"/>
    </row>
    <row r="1700" spans="1:14" ht="16.5" customHeight="1" x14ac:dyDescent="0.25">
      <c r="A1700" s="49"/>
      <c r="B1700" s="47"/>
      <c r="C1700" s="47"/>
      <c r="D1700" s="47"/>
      <c r="E1700" s="47"/>
      <c r="F1700" s="47"/>
      <c r="G1700" s="47"/>
      <c r="H1700" s="47"/>
      <c r="I1700" s="47"/>
      <c r="J1700" s="48"/>
      <c r="K1700" s="47"/>
      <c r="L1700" s="47"/>
      <c r="M1700" s="47"/>
      <c r="N1700" s="47"/>
    </row>
    <row r="1701" spans="1:14" ht="16.5" customHeight="1" x14ac:dyDescent="0.25">
      <c r="A1701" s="49"/>
      <c r="B1701" s="47"/>
      <c r="C1701" s="47"/>
      <c r="D1701" s="47"/>
      <c r="E1701" s="47"/>
      <c r="F1701" s="47"/>
      <c r="G1701" s="47"/>
      <c r="H1701" s="47"/>
      <c r="I1701" s="47"/>
      <c r="J1701" s="48"/>
      <c r="K1701" s="47"/>
      <c r="L1701" s="47"/>
      <c r="M1701" s="47"/>
      <c r="N1701" s="47"/>
    </row>
    <row r="1702" spans="1:14" ht="16.5" customHeight="1" x14ac:dyDescent="0.25">
      <c r="A1702" s="49"/>
      <c r="B1702" s="47"/>
      <c r="C1702" s="47"/>
      <c r="D1702" s="47"/>
      <c r="E1702" s="47"/>
      <c r="F1702" s="47"/>
      <c r="G1702" s="47"/>
      <c r="H1702" s="47"/>
      <c r="I1702" s="47"/>
      <c r="J1702" s="48"/>
      <c r="K1702" s="47"/>
      <c r="L1702" s="47"/>
      <c r="M1702" s="47"/>
      <c r="N1702" s="47"/>
    </row>
    <row r="1703" spans="1:14" ht="16.5" customHeight="1" x14ac:dyDescent="0.25">
      <c r="A1703" s="49"/>
      <c r="B1703" s="47"/>
      <c r="C1703" s="47"/>
      <c r="D1703" s="47"/>
      <c r="E1703" s="47"/>
      <c r="F1703" s="47"/>
      <c r="G1703" s="47"/>
      <c r="H1703" s="47"/>
      <c r="I1703" s="47"/>
      <c r="J1703" s="48"/>
      <c r="K1703" s="47"/>
      <c r="L1703" s="47"/>
      <c r="M1703" s="47"/>
      <c r="N1703" s="47"/>
    </row>
    <row r="1704" spans="1:14" ht="16.5" customHeight="1" x14ac:dyDescent="0.25">
      <c r="A1704" s="49"/>
      <c r="B1704" s="47"/>
      <c r="C1704" s="47"/>
      <c r="D1704" s="47"/>
      <c r="E1704" s="47"/>
      <c r="F1704" s="47"/>
      <c r="G1704" s="47"/>
      <c r="H1704" s="47"/>
      <c r="I1704" s="47"/>
      <c r="J1704" s="48"/>
      <c r="K1704" s="47"/>
      <c r="L1704" s="47"/>
      <c r="M1704" s="47"/>
      <c r="N1704" s="47"/>
    </row>
    <row r="1705" spans="1:14" ht="16.5" customHeight="1" x14ac:dyDescent="0.25">
      <c r="A1705" s="49"/>
      <c r="B1705" s="47"/>
      <c r="C1705" s="47"/>
      <c r="D1705" s="47"/>
      <c r="E1705" s="47"/>
      <c r="F1705" s="47"/>
      <c r="G1705" s="47"/>
      <c r="H1705" s="47"/>
      <c r="I1705" s="47"/>
      <c r="J1705" s="48"/>
      <c r="K1705" s="47"/>
      <c r="L1705" s="47"/>
      <c r="M1705" s="47"/>
      <c r="N1705" s="47"/>
    </row>
    <row r="1706" spans="1:14" ht="16.5" customHeight="1" x14ac:dyDescent="0.25">
      <c r="A1706" s="49"/>
      <c r="B1706" s="47"/>
      <c r="C1706" s="47"/>
      <c r="D1706" s="47"/>
      <c r="E1706" s="47"/>
      <c r="F1706" s="47"/>
      <c r="G1706" s="47"/>
      <c r="H1706" s="47"/>
      <c r="I1706" s="47"/>
      <c r="J1706" s="48"/>
      <c r="K1706" s="47"/>
      <c r="L1706" s="47"/>
      <c r="M1706" s="47"/>
      <c r="N1706" s="47"/>
    </row>
    <row r="1707" spans="1:14" ht="16.5" customHeight="1" x14ac:dyDescent="0.25">
      <c r="A1707" s="49"/>
      <c r="B1707" s="47"/>
      <c r="C1707" s="47"/>
      <c r="D1707" s="47"/>
      <c r="E1707" s="47"/>
      <c r="F1707" s="47"/>
      <c r="G1707" s="47"/>
      <c r="H1707" s="47"/>
      <c r="I1707" s="47"/>
      <c r="J1707" s="48"/>
      <c r="K1707" s="47"/>
      <c r="L1707" s="47"/>
      <c r="M1707" s="47"/>
      <c r="N1707" s="47"/>
    </row>
    <row r="1708" spans="1:14" ht="16.5" customHeight="1" x14ac:dyDescent="0.25">
      <c r="A1708" s="49"/>
      <c r="B1708" s="47"/>
      <c r="C1708" s="47"/>
      <c r="D1708" s="47"/>
      <c r="E1708" s="47"/>
      <c r="F1708" s="47"/>
      <c r="G1708" s="47"/>
      <c r="H1708" s="47"/>
      <c r="I1708" s="47"/>
      <c r="J1708" s="48"/>
      <c r="K1708" s="47"/>
      <c r="L1708" s="47"/>
      <c r="M1708" s="47"/>
      <c r="N1708" s="47"/>
    </row>
    <row r="1709" spans="1:14" ht="16.5" customHeight="1" x14ac:dyDescent="0.25">
      <c r="A1709" s="49"/>
      <c r="B1709" s="47"/>
      <c r="C1709" s="47"/>
      <c r="D1709" s="47"/>
      <c r="E1709" s="47"/>
      <c r="F1709" s="47"/>
      <c r="G1709" s="47"/>
      <c r="H1709" s="47"/>
      <c r="I1709" s="47"/>
      <c r="J1709" s="48"/>
      <c r="K1709" s="47"/>
      <c r="L1709" s="47"/>
      <c r="M1709" s="47"/>
      <c r="N1709" s="47"/>
    </row>
    <row r="1710" spans="1:14" ht="16.5" customHeight="1" x14ac:dyDescent="0.25">
      <c r="A1710" s="49"/>
      <c r="B1710" s="47"/>
      <c r="C1710" s="47"/>
      <c r="D1710" s="47"/>
      <c r="E1710" s="47"/>
      <c r="F1710" s="47"/>
      <c r="G1710" s="47"/>
      <c r="H1710" s="47"/>
      <c r="I1710" s="47"/>
      <c r="J1710" s="48"/>
      <c r="K1710" s="47"/>
      <c r="L1710" s="47"/>
      <c r="M1710" s="47"/>
      <c r="N1710" s="47"/>
    </row>
    <row r="1711" spans="1:14" ht="16.5" customHeight="1" x14ac:dyDescent="0.25">
      <c r="A1711" s="49"/>
      <c r="B1711" s="47"/>
      <c r="C1711" s="47"/>
      <c r="D1711" s="47"/>
      <c r="E1711" s="47"/>
      <c r="F1711" s="47"/>
      <c r="G1711" s="47"/>
      <c r="H1711" s="47"/>
      <c r="I1711" s="47"/>
      <c r="J1711" s="48"/>
      <c r="K1711" s="47"/>
      <c r="L1711" s="47"/>
      <c r="M1711" s="47"/>
      <c r="N1711" s="47"/>
    </row>
    <row r="1712" spans="1:14" ht="16.5" customHeight="1" x14ac:dyDescent="0.25">
      <c r="A1712" s="49"/>
      <c r="B1712" s="47"/>
      <c r="C1712" s="47"/>
      <c r="D1712" s="47"/>
      <c r="E1712" s="47"/>
      <c r="F1712" s="47"/>
      <c r="G1712" s="47"/>
      <c r="H1712" s="47"/>
      <c r="I1712" s="47"/>
      <c r="J1712" s="48"/>
      <c r="K1712" s="47"/>
      <c r="L1712" s="47"/>
      <c r="M1712" s="47"/>
      <c r="N1712" s="47"/>
    </row>
    <row r="1713" spans="1:14" ht="16.5" customHeight="1" x14ac:dyDescent="0.25">
      <c r="A1713" s="49"/>
      <c r="B1713" s="47"/>
      <c r="C1713" s="47"/>
      <c r="D1713" s="47"/>
      <c r="E1713" s="47"/>
      <c r="F1713" s="47"/>
      <c r="G1713" s="47"/>
      <c r="H1713" s="47"/>
      <c r="I1713" s="47"/>
      <c r="J1713" s="48"/>
      <c r="K1713" s="47"/>
      <c r="L1713" s="47"/>
      <c r="M1713" s="47"/>
      <c r="N1713" s="47"/>
    </row>
    <row r="1714" spans="1:14" ht="16.5" customHeight="1" x14ac:dyDescent="0.25">
      <c r="A1714" s="49"/>
      <c r="B1714" s="47"/>
      <c r="C1714" s="47"/>
      <c r="D1714" s="47"/>
      <c r="E1714" s="47"/>
      <c r="F1714" s="47"/>
      <c r="G1714" s="47"/>
      <c r="H1714" s="47"/>
      <c r="I1714" s="47"/>
      <c r="J1714" s="48"/>
      <c r="K1714" s="47"/>
      <c r="L1714" s="47"/>
      <c r="M1714" s="47"/>
      <c r="N1714" s="47"/>
    </row>
    <row r="1715" spans="1:14" ht="16.5" customHeight="1" x14ac:dyDescent="0.25">
      <c r="A1715" s="49"/>
      <c r="B1715" s="47"/>
      <c r="C1715" s="47"/>
      <c r="D1715" s="47"/>
      <c r="E1715" s="47"/>
      <c r="F1715" s="47"/>
      <c r="G1715" s="47"/>
      <c r="H1715" s="47"/>
      <c r="I1715" s="47"/>
      <c r="J1715" s="48"/>
      <c r="K1715" s="47"/>
      <c r="L1715" s="47"/>
      <c r="M1715" s="47"/>
      <c r="N1715" s="47"/>
    </row>
    <row r="1716" spans="1:14" ht="16.5" customHeight="1" x14ac:dyDescent="0.25">
      <c r="A1716" s="49"/>
      <c r="B1716" s="47"/>
      <c r="C1716" s="47"/>
      <c r="D1716" s="47"/>
      <c r="E1716" s="47"/>
      <c r="F1716" s="47"/>
      <c r="G1716" s="47"/>
      <c r="H1716" s="47"/>
      <c r="I1716" s="47"/>
      <c r="J1716" s="48"/>
      <c r="K1716" s="47"/>
      <c r="L1716" s="47"/>
      <c r="M1716" s="47"/>
      <c r="N1716" s="47"/>
    </row>
    <row r="1717" spans="1:14" ht="16.5" customHeight="1" x14ac:dyDescent="0.25">
      <c r="A1717" s="49"/>
      <c r="B1717" s="47"/>
      <c r="C1717" s="47"/>
      <c r="D1717" s="47"/>
      <c r="E1717" s="47"/>
      <c r="F1717" s="47"/>
      <c r="G1717" s="47"/>
      <c r="H1717" s="47"/>
      <c r="I1717" s="47"/>
      <c r="J1717" s="48"/>
      <c r="K1717" s="47"/>
      <c r="L1717" s="47"/>
      <c r="M1717" s="47"/>
      <c r="N1717" s="47"/>
    </row>
    <row r="1718" spans="1:14" ht="16.5" customHeight="1" x14ac:dyDescent="0.25">
      <c r="A1718" s="49"/>
      <c r="B1718" s="47"/>
      <c r="C1718" s="47"/>
      <c r="D1718" s="47"/>
      <c r="E1718" s="47"/>
      <c r="F1718" s="47"/>
      <c r="G1718" s="47"/>
      <c r="H1718" s="47"/>
      <c r="I1718" s="47"/>
      <c r="J1718" s="48"/>
      <c r="K1718" s="47"/>
      <c r="L1718" s="47"/>
      <c r="M1718" s="47"/>
      <c r="N1718" s="47"/>
    </row>
    <row r="1719" spans="1:14" ht="16.5" customHeight="1" x14ac:dyDescent="0.25">
      <c r="A1719" s="49"/>
      <c r="B1719" s="47"/>
      <c r="C1719" s="47"/>
      <c r="D1719" s="47"/>
      <c r="E1719" s="47"/>
      <c r="F1719" s="47"/>
      <c r="G1719" s="47"/>
      <c r="H1719" s="47"/>
      <c r="I1719" s="47"/>
      <c r="J1719" s="48"/>
      <c r="K1719" s="47"/>
      <c r="L1719" s="47"/>
      <c r="M1719" s="47"/>
      <c r="N1719" s="47"/>
    </row>
    <row r="1720" spans="1:14" ht="16.5" customHeight="1" x14ac:dyDescent="0.25">
      <c r="A1720" s="49"/>
      <c r="B1720" s="47"/>
      <c r="C1720" s="47"/>
      <c r="D1720" s="47"/>
      <c r="E1720" s="47"/>
      <c r="F1720" s="47"/>
      <c r="G1720" s="47"/>
      <c r="H1720" s="47"/>
      <c r="I1720" s="47"/>
      <c r="J1720" s="48"/>
      <c r="K1720" s="47"/>
      <c r="L1720" s="47"/>
      <c r="M1720" s="47"/>
      <c r="N1720" s="47"/>
    </row>
    <row r="1721" spans="1:14" ht="16.5" customHeight="1" x14ac:dyDescent="0.25">
      <c r="A1721" s="49"/>
      <c r="B1721" s="47"/>
      <c r="C1721" s="47"/>
      <c r="D1721" s="47"/>
      <c r="E1721" s="47"/>
      <c r="F1721" s="47"/>
      <c r="G1721" s="47"/>
      <c r="H1721" s="47"/>
      <c r="I1721" s="47"/>
      <c r="J1721" s="48"/>
      <c r="K1721" s="47"/>
      <c r="L1721" s="47"/>
      <c r="M1721" s="47"/>
      <c r="N1721" s="47"/>
    </row>
    <row r="1722" spans="1:14" ht="16.5" customHeight="1" x14ac:dyDescent="0.25">
      <c r="A1722" s="49"/>
      <c r="B1722" s="47"/>
      <c r="C1722" s="47"/>
      <c r="D1722" s="47"/>
      <c r="E1722" s="47"/>
      <c r="F1722" s="47"/>
      <c r="G1722" s="47"/>
      <c r="H1722" s="47"/>
      <c r="I1722" s="47"/>
      <c r="J1722" s="48"/>
      <c r="K1722" s="47"/>
      <c r="L1722" s="47"/>
      <c r="M1722" s="47"/>
      <c r="N1722" s="47"/>
    </row>
    <row r="1723" spans="1:14" ht="16.5" customHeight="1" x14ac:dyDescent="0.25">
      <c r="A1723" s="49"/>
      <c r="B1723" s="47"/>
      <c r="C1723" s="47"/>
      <c r="D1723" s="47"/>
      <c r="E1723" s="47"/>
      <c r="F1723" s="47"/>
      <c r="G1723" s="47"/>
      <c r="H1723" s="47"/>
      <c r="I1723" s="47"/>
      <c r="J1723" s="48"/>
      <c r="K1723" s="47"/>
      <c r="L1723" s="47"/>
      <c r="M1723" s="47"/>
      <c r="N1723" s="47"/>
    </row>
    <row r="1724" spans="1:14" ht="16.5" customHeight="1" x14ac:dyDescent="0.25">
      <c r="A1724" s="49"/>
      <c r="B1724" s="47"/>
      <c r="C1724" s="47"/>
      <c r="D1724" s="47"/>
      <c r="E1724" s="47"/>
      <c r="F1724" s="47"/>
      <c r="G1724" s="47"/>
      <c r="H1724" s="47"/>
      <c r="I1724" s="47"/>
      <c r="J1724" s="48"/>
      <c r="K1724" s="47"/>
      <c r="L1724" s="47"/>
      <c r="M1724" s="47"/>
      <c r="N1724" s="47"/>
    </row>
    <row r="1725" spans="1:14" ht="16.5" customHeight="1" x14ac:dyDescent="0.25">
      <c r="A1725" s="49"/>
      <c r="B1725" s="47"/>
      <c r="C1725" s="47"/>
      <c r="D1725" s="47"/>
      <c r="E1725" s="47"/>
      <c r="F1725" s="47"/>
      <c r="G1725" s="47"/>
      <c r="H1725" s="47"/>
      <c r="I1725" s="47"/>
      <c r="J1725" s="48"/>
      <c r="K1725" s="47"/>
      <c r="L1725" s="47"/>
      <c r="M1725" s="47"/>
      <c r="N1725" s="47"/>
    </row>
    <row r="1726" spans="1:14" ht="16.5" customHeight="1" x14ac:dyDescent="0.25">
      <c r="A1726" s="49"/>
      <c r="B1726" s="47"/>
      <c r="C1726" s="47"/>
      <c r="D1726" s="47"/>
      <c r="E1726" s="47"/>
      <c r="F1726" s="47"/>
      <c r="G1726" s="47"/>
      <c r="H1726" s="47"/>
      <c r="I1726" s="47"/>
      <c r="J1726" s="48"/>
      <c r="K1726" s="47"/>
      <c r="L1726" s="47"/>
      <c r="M1726" s="47"/>
      <c r="N1726" s="47"/>
    </row>
    <row r="1727" spans="1:14" ht="16.5" customHeight="1" x14ac:dyDescent="0.25">
      <c r="A1727" s="49"/>
      <c r="B1727" s="47"/>
      <c r="C1727" s="47"/>
      <c r="D1727" s="47"/>
      <c r="E1727" s="47"/>
      <c r="F1727" s="47"/>
      <c r="G1727" s="47"/>
      <c r="H1727" s="47"/>
      <c r="I1727" s="47"/>
      <c r="J1727" s="48"/>
      <c r="K1727" s="47"/>
      <c r="L1727" s="47"/>
      <c r="M1727" s="47"/>
      <c r="N1727" s="47"/>
    </row>
    <row r="1728" spans="1:14" ht="16.5" customHeight="1" x14ac:dyDescent="0.25">
      <c r="A1728" s="49"/>
      <c r="B1728" s="47"/>
      <c r="C1728" s="47"/>
      <c r="D1728" s="47"/>
      <c r="E1728" s="47"/>
      <c r="F1728" s="47"/>
      <c r="G1728" s="47"/>
      <c r="H1728" s="47"/>
      <c r="I1728" s="47"/>
      <c r="J1728" s="48"/>
      <c r="K1728" s="47"/>
      <c r="L1728" s="47"/>
      <c r="M1728" s="47"/>
      <c r="N1728" s="47"/>
    </row>
    <row r="1729" spans="1:14" ht="16.5" customHeight="1" x14ac:dyDescent="0.25">
      <c r="A1729" s="49"/>
      <c r="B1729" s="47"/>
      <c r="C1729" s="47"/>
      <c r="D1729" s="47"/>
      <c r="E1729" s="47"/>
      <c r="F1729" s="47"/>
      <c r="G1729" s="47"/>
      <c r="H1729" s="47"/>
      <c r="I1729" s="47"/>
      <c r="J1729" s="48"/>
      <c r="K1729" s="47"/>
      <c r="L1729" s="47"/>
      <c r="M1729" s="47"/>
      <c r="N1729" s="47"/>
    </row>
    <row r="1730" spans="1:14" ht="16.5" customHeight="1" x14ac:dyDescent="0.25">
      <c r="A1730" s="49"/>
      <c r="B1730" s="47"/>
      <c r="C1730" s="47"/>
      <c r="D1730" s="47"/>
      <c r="E1730" s="47"/>
      <c r="F1730" s="47"/>
      <c r="G1730" s="47"/>
      <c r="H1730" s="47"/>
      <c r="I1730" s="47"/>
      <c r="J1730" s="48"/>
      <c r="K1730" s="47"/>
      <c r="L1730" s="47"/>
      <c r="M1730" s="47"/>
      <c r="N1730" s="47"/>
    </row>
    <row r="1731" spans="1:14" ht="16.5" customHeight="1" x14ac:dyDescent="0.25">
      <c r="A1731" s="49"/>
      <c r="B1731" s="47"/>
      <c r="C1731" s="47"/>
      <c r="D1731" s="47"/>
      <c r="E1731" s="47"/>
      <c r="F1731" s="47"/>
      <c r="G1731" s="47"/>
      <c r="H1731" s="47"/>
      <c r="I1731" s="47"/>
      <c r="J1731" s="48"/>
      <c r="K1731" s="47"/>
      <c r="L1731" s="47"/>
      <c r="M1731" s="47"/>
      <c r="N1731" s="47"/>
    </row>
    <row r="1732" spans="1:14" ht="16.5" customHeight="1" x14ac:dyDescent="0.25">
      <c r="A1732" s="49"/>
      <c r="B1732" s="47"/>
      <c r="C1732" s="47"/>
      <c r="D1732" s="47"/>
      <c r="E1732" s="47"/>
      <c r="F1732" s="47"/>
      <c r="G1732" s="47"/>
      <c r="H1732" s="47"/>
      <c r="I1732" s="47"/>
      <c r="J1732" s="48"/>
      <c r="K1732" s="47"/>
      <c r="L1732" s="47"/>
      <c r="M1732" s="47"/>
      <c r="N1732" s="47"/>
    </row>
    <row r="1733" spans="1:14" ht="16.5" customHeight="1" x14ac:dyDescent="0.25">
      <c r="A1733" s="49"/>
      <c r="B1733" s="47"/>
      <c r="C1733" s="47"/>
      <c r="D1733" s="47"/>
      <c r="E1733" s="47"/>
      <c r="F1733" s="47"/>
      <c r="G1733" s="47"/>
      <c r="H1733" s="47"/>
      <c r="I1733" s="47"/>
      <c r="J1733" s="48"/>
      <c r="K1733" s="47"/>
      <c r="L1733" s="47"/>
      <c r="M1733" s="47"/>
      <c r="N1733" s="47"/>
    </row>
    <row r="1734" spans="1:14" ht="16.5" customHeight="1" x14ac:dyDescent="0.25">
      <c r="A1734" s="49"/>
      <c r="B1734" s="47"/>
      <c r="C1734" s="47"/>
      <c r="D1734" s="47"/>
      <c r="E1734" s="47"/>
      <c r="F1734" s="47"/>
      <c r="G1734" s="47"/>
      <c r="H1734" s="47"/>
      <c r="I1734" s="47"/>
      <c r="J1734" s="48"/>
      <c r="K1734" s="47"/>
      <c r="L1734" s="47"/>
      <c r="M1734" s="47"/>
      <c r="N1734" s="47"/>
    </row>
    <row r="1735" spans="1:14" ht="16.5" customHeight="1" x14ac:dyDescent="0.25">
      <c r="A1735" s="49"/>
      <c r="B1735" s="47"/>
      <c r="C1735" s="47"/>
      <c r="D1735" s="47"/>
      <c r="E1735" s="47"/>
      <c r="F1735" s="47"/>
      <c r="G1735" s="47"/>
      <c r="H1735" s="47"/>
      <c r="I1735" s="47"/>
      <c r="J1735" s="48"/>
      <c r="K1735" s="47"/>
      <c r="L1735" s="47"/>
      <c r="M1735" s="47"/>
      <c r="N1735" s="47"/>
    </row>
    <row r="1736" spans="1:14" ht="16.5" customHeight="1" x14ac:dyDescent="0.25">
      <c r="A1736" s="49"/>
      <c r="B1736" s="47"/>
      <c r="C1736" s="47"/>
      <c r="D1736" s="47"/>
      <c r="E1736" s="47"/>
      <c r="F1736" s="47"/>
      <c r="G1736" s="47"/>
      <c r="H1736" s="47"/>
      <c r="I1736" s="47"/>
      <c r="J1736" s="48"/>
      <c r="K1736" s="47"/>
      <c r="L1736" s="47"/>
      <c r="M1736" s="47"/>
      <c r="N1736" s="47"/>
    </row>
    <row r="1737" spans="1:14" ht="16.5" customHeight="1" x14ac:dyDescent="0.25">
      <c r="A1737" s="49"/>
      <c r="B1737" s="47"/>
      <c r="C1737" s="47"/>
      <c r="D1737" s="47"/>
      <c r="E1737" s="47"/>
      <c r="F1737" s="47"/>
      <c r="G1737" s="47"/>
      <c r="H1737" s="47"/>
      <c r="I1737" s="47"/>
      <c r="J1737" s="48"/>
      <c r="K1737" s="47"/>
      <c r="L1737" s="47"/>
      <c r="M1737" s="47"/>
      <c r="N1737" s="47"/>
    </row>
    <row r="1738" spans="1:14" ht="16.5" customHeight="1" x14ac:dyDescent="0.25">
      <c r="A1738" s="49"/>
      <c r="B1738" s="47"/>
      <c r="C1738" s="47"/>
      <c r="D1738" s="47"/>
      <c r="E1738" s="47"/>
      <c r="F1738" s="47"/>
      <c r="G1738" s="47"/>
      <c r="H1738" s="47"/>
      <c r="I1738" s="47"/>
      <c r="J1738" s="48"/>
      <c r="K1738" s="47"/>
      <c r="L1738" s="47"/>
      <c r="M1738" s="47"/>
      <c r="N1738" s="47"/>
    </row>
    <row r="1739" spans="1:14" ht="16.5" customHeight="1" x14ac:dyDescent="0.25">
      <c r="A1739" s="49"/>
      <c r="B1739" s="47"/>
      <c r="C1739" s="47"/>
      <c r="D1739" s="47"/>
      <c r="E1739" s="47"/>
      <c r="F1739" s="47"/>
      <c r="G1739" s="47"/>
      <c r="H1739" s="47"/>
      <c r="I1739" s="47"/>
      <c r="J1739" s="48"/>
      <c r="K1739" s="47"/>
      <c r="L1739" s="47"/>
      <c r="M1739" s="47"/>
      <c r="N1739" s="47"/>
    </row>
    <row r="1740" spans="1:14" ht="16.5" customHeight="1" x14ac:dyDescent="0.25">
      <c r="A1740" s="49"/>
      <c r="B1740" s="47"/>
      <c r="C1740" s="47"/>
      <c r="D1740" s="47"/>
      <c r="E1740" s="47"/>
      <c r="F1740" s="47"/>
      <c r="G1740" s="47"/>
      <c r="H1740" s="47"/>
      <c r="I1740" s="47"/>
      <c r="J1740" s="48"/>
      <c r="K1740" s="47"/>
      <c r="L1740" s="47"/>
      <c r="M1740" s="47"/>
      <c r="N1740" s="47"/>
    </row>
    <row r="1741" spans="1:14" ht="16.5" customHeight="1" x14ac:dyDescent="0.25">
      <c r="A1741" s="49"/>
      <c r="B1741" s="47"/>
      <c r="C1741" s="47"/>
      <c r="D1741" s="47"/>
      <c r="E1741" s="47"/>
      <c r="F1741" s="47"/>
      <c r="G1741" s="47"/>
      <c r="H1741" s="47"/>
      <c r="I1741" s="47"/>
      <c r="J1741" s="48"/>
      <c r="K1741" s="47"/>
      <c r="L1741" s="47"/>
      <c r="M1741" s="47"/>
      <c r="N1741" s="47"/>
    </row>
    <row r="1742" spans="1:14" ht="16.5" customHeight="1" x14ac:dyDescent="0.25">
      <c r="A1742" s="49"/>
      <c r="B1742" s="47"/>
      <c r="C1742" s="47"/>
      <c r="D1742" s="47"/>
      <c r="E1742" s="47"/>
      <c r="F1742" s="47"/>
      <c r="G1742" s="47"/>
      <c r="H1742" s="47"/>
      <c r="I1742" s="47"/>
      <c r="J1742" s="48"/>
      <c r="K1742" s="47"/>
      <c r="L1742" s="47"/>
      <c r="M1742" s="47"/>
      <c r="N1742" s="47"/>
    </row>
    <row r="1743" spans="1:14" ht="16.5" customHeight="1" x14ac:dyDescent="0.25">
      <c r="A1743" s="49"/>
      <c r="B1743" s="47"/>
      <c r="C1743" s="47"/>
      <c r="D1743" s="47"/>
      <c r="E1743" s="47"/>
      <c r="F1743" s="47"/>
      <c r="G1743" s="47"/>
      <c r="H1743" s="47"/>
      <c r="I1743" s="47"/>
      <c r="J1743" s="48"/>
      <c r="K1743" s="47"/>
      <c r="L1743" s="47"/>
      <c r="M1743" s="47"/>
      <c r="N1743" s="47"/>
    </row>
    <row r="1744" spans="1:14" ht="16.5" customHeight="1" x14ac:dyDescent="0.25">
      <c r="A1744" s="49"/>
      <c r="B1744" s="47"/>
      <c r="C1744" s="47"/>
      <c r="D1744" s="47"/>
      <c r="E1744" s="47"/>
      <c r="F1744" s="47"/>
      <c r="G1744" s="47"/>
      <c r="H1744" s="47"/>
      <c r="I1744" s="47"/>
      <c r="J1744" s="48"/>
      <c r="K1744" s="47"/>
      <c r="L1744" s="47"/>
      <c r="M1744" s="47"/>
      <c r="N1744" s="47"/>
    </row>
    <row r="1745" spans="1:14" ht="16.5" customHeight="1" x14ac:dyDescent="0.25">
      <c r="A1745" s="49"/>
      <c r="B1745" s="47"/>
      <c r="C1745" s="47"/>
      <c r="D1745" s="47"/>
      <c r="E1745" s="47"/>
      <c r="F1745" s="47"/>
      <c r="G1745" s="47"/>
      <c r="H1745" s="47"/>
      <c r="I1745" s="47"/>
      <c r="J1745" s="48"/>
      <c r="K1745" s="47"/>
      <c r="L1745" s="47"/>
      <c r="M1745" s="47"/>
      <c r="N1745" s="47"/>
    </row>
    <row r="1746" spans="1:14" ht="16.5" customHeight="1" x14ac:dyDescent="0.25">
      <c r="A1746" s="49"/>
      <c r="B1746" s="47"/>
      <c r="C1746" s="47"/>
      <c r="D1746" s="47"/>
      <c r="E1746" s="47"/>
      <c r="F1746" s="47"/>
      <c r="G1746" s="47"/>
      <c r="H1746" s="47"/>
      <c r="I1746" s="47"/>
      <c r="J1746" s="48"/>
      <c r="K1746" s="47"/>
      <c r="L1746" s="47"/>
      <c r="M1746" s="47"/>
      <c r="N1746" s="47"/>
    </row>
    <row r="1747" spans="1:14" ht="16.5" customHeight="1" x14ac:dyDescent="0.25">
      <c r="A1747" s="49"/>
      <c r="B1747" s="47"/>
      <c r="C1747" s="47"/>
      <c r="D1747" s="47"/>
      <c r="E1747" s="47"/>
      <c r="F1747" s="47"/>
      <c r="G1747" s="47"/>
      <c r="H1747" s="47"/>
      <c r="I1747" s="47"/>
      <c r="J1747" s="48"/>
      <c r="K1747" s="47"/>
      <c r="L1747" s="47"/>
      <c r="M1747" s="47"/>
      <c r="N1747" s="47"/>
    </row>
    <row r="1748" spans="1:14" ht="16.5" customHeight="1" x14ac:dyDescent="0.25">
      <c r="A1748" s="49"/>
      <c r="B1748" s="47"/>
      <c r="C1748" s="47"/>
      <c r="D1748" s="47"/>
      <c r="E1748" s="47"/>
      <c r="F1748" s="47"/>
      <c r="G1748" s="47"/>
      <c r="H1748" s="47"/>
      <c r="I1748" s="47"/>
      <c r="J1748" s="48"/>
      <c r="K1748" s="47"/>
      <c r="L1748" s="47"/>
      <c r="M1748" s="47"/>
      <c r="N1748" s="47"/>
    </row>
    <row r="1749" spans="1:14" ht="16.5" customHeight="1" x14ac:dyDescent="0.25">
      <c r="A1749" s="49"/>
      <c r="B1749" s="47"/>
      <c r="C1749" s="47"/>
      <c r="D1749" s="47"/>
      <c r="E1749" s="47"/>
      <c r="F1749" s="47"/>
      <c r="G1749" s="47"/>
      <c r="H1749" s="47"/>
      <c r="I1749" s="47"/>
      <c r="J1749" s="48"/>
      <c r="K1749" s="47"/>
      <c r="L1749" s="47"/>
      <c r="M1749" s="47"/>
      <c r="N1749" s="47"/>
    </row>
    <row r="1750" spans="1:14" ht="16.5" customHeight="1" x14ac:dyDescent="0.25">
      <c r="A1750" s="49"/>
      <c r="B1750" s="47"/>
      <c r="C1750" s="47"/>
      <c r="D1750" s="47"/>
      <c r="E1750" s="47"/>
      <c r="F1750" s="47"/>
      <c r="G1750" s="47"/>
      <c r="H1750" s="47"/>
      <c r="I1750" s="47"/>
      <c r="J1750" s="48"/>
      <c r="K1750" s="47"/>
      <c r="L1750" s="47"/>
      <c r="M1750" s="47"/>
      <c r="N1750" s="47"/>
    </row>
    <row r="1751" spans="1:14" ht="16.5" customHeight="1" x14ac:dyDescent="0.25">
      <c r="A1751" s="49"/>
      <c r="B1751" s="47"/>
      <c r="C1751" s="47"/>
      <c r="D1751" s="47"/>
      <c r="E1751" s="47"/>
      <c r="F1751" s="47"/>
      <c r="G1751" s="47"/>
      <c r="H1751" s="47"/>
      <c r="I1751" s="47"/>
      <c r="J1751" s="48"/>
      <c r="K1751" s="47"/>
      <c r="L1751" s="47"/>
      <c r="M1751" s="47"/>
      <c r="N1751" s="47"/>
    </row>
    <row r="1752" spans="1:14" ht="16.5" customHeight="1" x14ac:dyDescent="0.25">
      <c r="A1752" s="49"/>
      <c r="B1752" s="47"/>
      <c r="C1752" s="47"/>
      <c r="D1752" s="47"/>
      <c r="E1752" s="47"/>
      <c r="F1752" s="47"/>
      <c r="G1752" s="47"/>
      <c r="H1752" s="47"/>
      <c r="I1752" s="47"/>
      <c r="J1752" s="48"/>
      <c r="K1752" s="47"/>
      <c r="L1752" s="47"/>
      <c r="M1752" s="47"/>
      <c r="N1752" s="47"/>
    </row>
    <row r="1753" spans="1:14" ht="16.5" customHeight="1" x14ac:dyDescent="0.25">
      <c r="A1753" s="49"/>
      <c r="B1753" s="47"/>
      <c r="C1753" s="47"/>
      <c r="D1753" s="47"/>
      <c r="E1753" s="47"/>
      <c r="F1753" s="47"/>
      <c r="G1753" s="47"/>
      <c r="H1753" s="47"/>
      <c r="I1753" s="47"/>
      <c r="J1753" s="48"/>
      <c r="K1753" s="47"/>
      <c r="L1753" s="47"/>
      <c r="M1753" s="47"/>
      <c r="N1753" s="47"/>
    </row>
    <row r="1754" spans="1:14" ht="16.5" customHeight="1" x14ac:dyDescent="0.25">
      <c r="A1754" s="49"/>
      <c r="B1754" s="47"/>
      <c r="C1754" s="47"/>
      <c r="D1754" s="47"/>
      <c r="E1754" s="47"/>
      <c r="F1754" s="47"/>
      <c r="G1754" s="47"/>
      <c r="H1754" s="47"/>
      <c r="I1754" s="47"/>
      <c r="J1754" s="48"/>
      <c r="K1754" s="47"/>
      <c r="L1754" s="47"/>
      <c r="M1754" s="47"/>
      <c r="N1754" s="47"/>
    </row>
    <row r="1755" spans="1:14" ht="16.5" customHeight="1" x14ac:dyDescent="0.25">
      <c r="A1755" s="49"/>
      <c r="B1755" s="47"/>
      <c r="C1755" s="47"/>
      <c r="D1755" s="47"/>
      <c r="E1755" s="47"/>
      <c r="F1755" s="47"/>
      <c r="G1755" s="47"/>
      <c r="H1755" s="47"/>
      <c r="I1755" s="47"/>
      <c r="J1755" s="48"/>
      <c r="K1755" s="47"/>
      <c r="L1755" s="47"/>
      <c r="M1755" s="47"/>
      <c r="N1755" s="47"/>
    </row>
    <row r="1756" spans="1:14" ht="16.5" customHeight="1" x14ac:dyDescent="0.25">
      <c r="A1756" s="49"/>
      <c r="B1756" s="47"/>
      <c r="C1756" s="47"/>
      <c r="D1756" s="47"/>
      <c r="E1756" s="47"/>
      <c r="F1756" s="47"/>
      <c r="G1756" s="47"/>
      <c r="H1756" s="47"/>
      <c r="I1756" s="47"/>
      <c r="J1756" s="48"/>
      <c r="K1756" s="47"/>
      <c r="L1756" s="47"/>
      <c r="M1756" s="47"/>
      <c r="N1756" s="47"/>
    </row>
    <row r="1757" spans="1:14" ht="16.5" customHeight="1" x14ac:dyDescent="0.25">
      <c r="A1757" s="49"/>
      <c r="B1757" s="47"/>
      <c r="C1757" s="47"/>
      <c r="D1757" s="47"/>
      <c r="E1757" s="47"/>
      <c r="F1757" s="47"/>
      <c r="G1757" s="47"/>
      <c r="H1757" s="47"/>
      <c r="I1757" s="47"/>
      <c r="J1757" s="48"/>
      <c r="K1757" s="47"/>
      <c r="L1757" s="47"/>
      <c r="M1757" s="47"/>
      <c r="N1757" s="47"/>
    </row>
    <row r="1758" spans="1:14" ht="16.5" customHeight="1" x14ac:dyDescent="0.25">
      <c r="A1758" s="49"/>
      <c r="B1758" s="47"/>
      <c r="C1758" s="47"/>
      <c r="D1758" s="47"/>
      <c r="E1758" s="47"/>
      <c r="F1758" s="47"/>
      <c r="G1758" s="47"/>
      <c r="H1758" s="47"/>
      <c r="I1758" s="47"/>
      <c r="J1758" s="48"/>
      <c r="K1758" s="47"/>
      <c r="L1758" s="47"/>
      <c r="M1758" s="47"/>
      <c r="N1758" s="47"/>
    </row>
    <row r="1759" spans="1:14" ht="16.5" customHeight="1" x14ac:dyDescent="0.25">
      <c r="A1759" s="49"/>
      <c r="B1759" s="47"/>
      <c r="C1759" s="47"/>
      <c r="D1759" s="47"/>
      <c r="E1759" s="47"/>
      <c r="F1759" s="47"/>
      <c r="G1759" s="47"/>
      <c r="H1759" s="47"/>
      <c r="I1759" s="47"/>
      <c r="J1759" s="48"/>
      <c r="K1759" s="47"/>
      <c r="L1759" s="47"/>
      <c r="M1759" s="47"/>
      <c r="N1759" s="47"/>
    </row>
    <row r="1760" spans="1:14" ht="16.5" customHeight="1" x14ac:dyDescent="0.25">
      <c r="A1760" s="49"/>
      <c r="B1760" s="47"/>
      <c r="C1760" s="47"/>
      <c r="D1760" s="47"/>
      <c r="E1760" s="47"/>
      <c r="F1760" s="47"/>
      <c r="G1760" s="47"/>
      <c r="H1760" s="47"/>
      <c r="I1760" s="47"/>
      <c r="J1760" s="48"/>
      <c r="K1760" s="47"/>
      <c r="L1760" s="47"/>
      <c r="M1760" s="47"/>
      <c r="N1760" s="47"/>
    </row>
    <row r="1761" spans="1:14" ht="16.5" customHeight="1" x14ac:dyDescent="0.25">
      <c r="A1761" s="49"/>
      <c r="B1761" s="47"/>
      <c r="C1761" s="47"/>
      <c r="D1761" s="47"/>
      <c r="E1761" s="47"/>
      <c r="F1761" s="47"/>
      <c r="G1761" s="47"/>
      <c r="H1761" s="47"/>
      <c r="I1761" s="47"/>
      <c r="J1761" s="48"/>
      <c r="K1761" s="47"/>
      <c r="L1761" s="47"/>
      <c r="M1761" s="47"/>
      <c r="N1761" s="47"/>
    </row>
    <row r="1762" spans="1:14" ht="16.5" customHeight="1" x14ac:dyDescent="0.25">
      <c r="A1762" s="49"/>
      <c r="B1762" s="47"/>
      <c r="C1762" s="47"/>
      <c r="D1762" s="47"/>
      <c r="E1762" s="47"/>
      <c r="F1762" s="47"/>
      <c r="G1762" s="47"/>
      <c r="H1762" s="47"/>
      <c r="I1762" s="47"/>
      <c r="J1762" s="48"/>
      <c r="K1762" s="47"/>
      <c r="L1762" s="47"/>
      <c r="M1762" s="47"/>
      <c r="N1762" s="47"/>
    </row>
    <row r="1763" spans="1:14" ht="16.5" customHeight="1" x14ac:dyDescent="0.25">
      <c r="A1763" s="49"/>
      <c r="B1763" s="47"/>
      <c r="C1763" s="47"/>
      <c r="D1763" s="47"/>
      <c r="E1763" s="47"/>
      <c r="F1763" s="47"/>
      <c r="G1763" s="47"/>
      <c r="H1763" s="47"/>
      <c r="I1763" s="47"/>
      <c r="J1763" s="48"/>
      <c r="K1763" s="47"/>
      <c r="L1763" s="47"/>
      <c r="M1763" s="47"/>
      <c r="N1763" s="47"/>
    </row>
    <row r="1764" spans="1:14" ht="16.5" customHeight="1" x14ac:dyDescent="0.25">
      <c r="A1764" s="49"/>
      <c r="B1764" s="47"/>
      <c r="C1764" s="47"/>
      <c r="D1764" s="47"/>
      <c r="E1764" s="47"/>
      <c r="F1764" s="47"/>
      <c r="G1764" s="47"/>
      <c r="H1764" s="47"/>
      <c r="I1764" s="47"/>
      <c r="J1764" s="48"/>
      <c r="K1764" s="47"/>
      <c r="L1764" s="47"/>
      <c r="M1764" s="47"/>
      <c r="N1764" s="47"/>
    </row>
    <row r="1765" spans="1:14" ht="16.5" customHeight="1" x14ac:dyDescent="0.25">
      <c r="A1765" s="49"/>
      <c r="B1765" s="47"/>
      <c r="C1765" s="47"/>
      <c r="D1765" s="47"/>
      <c r="E1765" s="47"/>
      <c r="F1765" s="47"/>
      <c r="G1765" s="47"/>
      <c r="H1765" s="47"/>
      <c r="I1765" s="47"/>
      <c r="J1765" s="48"/>
      <c r="K1765" s="47"/>
      <c r="L1765" s="47"/>
      <c r="M1765" s="47"/>
      <c r="N1765" s="47"/>
    </row>
    <row r="1766" spans="1:14" ht="16.5" customHeight="1" x14ac:dyDescent="0.25">
      <c r="A1766" s="49"/>
      <c r="B1766" s="47"/>
      <c r="C1766" s="47"/>
      <c r="D1766" s="47"/>
      <c r="E1766" s="47"/>
      <c r="F1766" s="47"/>
      <c r="G1766" s="47"/>
      <c r="H1766" s="47"/>
      <c r="I1766" s="47"/>
      <c r="J1766" s="48"/>
      <c r="K1766" s="47"/>
      <c r="L1766" s="47"/>
      <c r="M1766" s="47"/>
      <c r="N1766" s="47"/>
    </row>
    <row r="1767" spans="1:14" ht="16.5" customHeight="1" x14ac:dyDescent="0.25">
      <c r="A1767" s="49"/>
      <c r="B1767" s="47"/>
      <c r="C1767" s="47"/>
      <c r="D1767" s="47"/>
      <c r="E1767" s="47"/>
      <c r="F1767" s="47"/>
      <c r="G1767" s="47"/>
      <c r="H1767" s="47"/>
      <c r="I1767" s="47"/>
      <c r="J1767" s="48"/>
      <c r="K1767" s="47"/>
      <c r="L1767" s="47"/>
      <c r="M1767" s="47"/>
      <c r="N1767" s="47"/>
    </row>
    <row r="1768" spans="1:14" ht="16.5" customHeight="1" x14ac:dyDescent="0.25">
      <c r="A1768" s="49"/>
      <c r="B1768" s="47"/>
      <c r="C1768" s="47"/>
      <c r="D1768" s="47"/>
      <c r="E1768" s="47"/>
      <c r="F1768" s="47"/>
      <c r="G1768" s="47"/>
      <c r="H1768" s="47"/>
      <c r="I1768" s="47"/>
      <c r="J1768" s="48"/>
      <c r="K1768" s="47"/>
      <c r="L1768" s="47"/>
      <c r="M1768" s="47"/>
      <c r="N1768" s="47"/>
    </row>
    <row r="1769" spans="1:14" ht="16.5" customHeight="1" x14ac:dyDescent="0.25">
      <c r="A1769" s="49"/>
      <c r="B1769" s="47"/>
      <c r="C1769" s="47"/>
      <c r="D1769" s="47"/>
      <c r="E1769" s="47"/>
      <c r="F1769" s="47"/>
      <c r="G1769" s="47"/>
      <c r="H1769" s="47"/>
      <c r="I1769" s="47"/>
      <c r="J1769" s="48"/>
      <c r="K1769" s="47"/>
      <c r="L1769" s="47"/>
      <c r="M1769" s="47"/>
      <c r="N1769" s="47"/>
    </row>
    <row r="1770" spans="1:14" ht="16.5" customHeight="1" x14ac:dyDescent="0.25">
      <c r="A1770" s="49"/>
      <c r="B1770" s="47"/>
      <c r="C1770" s="47"/>
      <c r="D1770" s="47"/>
      <c r="E1770" s="47"/>
      <c r="F1770" s="47"/>
      <c r="G1770" s="47"/>
      <c r="H1770" s="47"/>
      <c r="I1770" s="47"/>
      <c r="J1770" s="48"/>
      <c r="K1770" s="47"/>
      <c r="L1770" s="47"/>
      <c r="M1770" s="47"/>
      <c r="N1770" s="47"/>
    </row>
    <row r="1771" spans="1:14" ht="16.5" customHeight="1" x14ac:dyDescent="0.25">
      <c r="A1771" s="49"/>
      <c r="B1771" s="47"/>
      <c r="C1771" s="47"/>
      <c r="D1771" s="47"/>
      <c r="E1771" s="47"/>
      <c r="F1771" s="47"/>
      <c r="G1771" s="47"/>
      <c r="H1771" s="47"/>
      <c r="I1771" s="47"/>
      <c r="J1771" s="48"/>
      <c r="K1771" s="47"/>
      <c r="L1771" s="47"/>
      <c r="M1771" s="47"/>
      <c r="N1771" s="47"/>
    </row>
    <row r="1772" spans="1:14" ht="16.5" customHeight="1" x14ac:dyDescent="0.25">
      <c r="A1772" s="49"/>
      <c r="B1772" s="47"/>
      <c r="C1772" s="47"/>
      <c r="D1772" s="47"/>
      <c r="E1772" s="47"/>
      <c r="F1772" s="47"/>
      <c r="G1772" s="47"/>
      <c r="H1772" s="47"/>
      <c r="I1772" s="47"/>
      <c r="J1772" s="48"/>
      <c r="K1772" s="47"/>
      <c r="L1772" s="47"/>
      <c r="M1772" s="47"/>
      <c r="N1772" s="47"/>
    </row>
    <row r="1773" spans="1:14" ht="16.5" customHeight="1" x14ac:dyDescent="0.25">
      <c r="A1773" s="49"/>
      <c r="B1773" s="47"/>
      <c r="C1773" s="47"/>
      <c r="D1773" s="47"/>
      <c r="E1773" s="47"/>
      <c r="F1773" s="47"/>
      <c r="G1773" s="47"/>
      <c r="H1773" s="47"/>
      <c r="I1773" s="47"/>
      <c r="J1773" s="48"/>
      <c r="K1773" s="47"/>
      <c r="L1773" s="47"/>
      <c r="M1773" s="47"/>
      <c r="N1773" s="47"/>
    </row>
    <row r="1774" spans="1:14" ht="16.5" customHeight="1" x14ac:dyDescent="0.25">
      <c r="A1774" s="49"/>
      <c r="B1774" s="47"/>
      <c r="C1774" s="47"/>
      <c r="D1774" s="47"/>
      <c r="E1774" s="47"/>
      <c r="F1774" s="47"/>
      <c r="G1774" s="47"/>
      <c r="H1774" s="47"/>
      <c r="I1774" s="47"/>
      <c r="J1774" s="48"/>
      <c r="K1774" s="47"/>
      <c r="L1774" s="47"/>
      <c r="M1774" s="47"/>
      <c r="N1774" s="47"/>
    </row>
    <row r="1775" spans="1:14" ht="16.5" customHeight="1" x14ac:dyDescent="0.25">
      <c r="A1775" s="49"/>
      <c r="B1775" s="47"/>
      <c r="C1775" s="47"/>
      <c r="D1775" s="47"/>
      <c r="E1775" s="47"/>
      <c r="F1775" s="47"/>
      <c r="G1775" s="47"/>
      <c r="H1775" s="47"/>
      <c r="I1775" s="47"/>
      <c r="J1775" s="48"/>
      <c r="K1775" s="47"/>
      <c r="L1775" s="47"/>
      <c r="M1775" s="47"/>
      <c r="N1775" s="47"/>
    </row>
    <row r="1776" spans="1:14" ht="16.5" customHeight="1" x14ac:dyDescent="0.25">
      <c r="A1776" s="49"/>
      <c r="B1776" s="47"/>
      <c r="C1776" s="47"/>
      <c r="D1776" s="47"/>
      <c r="E1776" s="47"/>
      <c r="F1776" s="47"/>
      <c r="G1776" s="47"/>
      <c r="H1776" s="47"/>
      <c r="I1776" s="47"/>
      <c r="J1776" s="48"/>
      <c r="K1776" s="47"/>
      <c r="L1776" s="47"/>
      <c r="M1776" s="47"/>
      <c r="N1776" s="47"/>
    </row>
    <row r="1777" spans="1:14" ht="16.5" customHeight="1" x14ac:dyDescent="0.25">
      <c r="A1777" s="49"/>
      <c r="B1777" s="47"/>
      <c r="C1777" s="47"/>
      <c r="D1777" s="47"/>
      <c r="E1777" s="47"/>
      <c r="F1777" s="47"/>
      <c r="G1777" s="47"/>
      <c r="H1777" s="47"/>
      <c r="I1777" s="47"/>
      <c r="J1777" s="48"/>
      <c r="K1777" s="47"/>
      <c r="L1777" s="47"/>
      <c r="M1777" s="47"/>
      <c r="N1777" s="47"/>
    </row>
    <row r="1778" spans="1:14" ht="16.5" customHeight="1" x14ac:dyDescent="0.25">
      <c r="A1778" s="49"/>
      <c r="B1778" s="47"/>
      <c r="C1778" s="47"/>
      <c r="D1778" s="47"/>
      <c r="E1778" s="47"/>
      <c r="F1778" s="47"/>
      <c r="G1778" s="47"/>
      <c r="H1778" s="47"/>
      <c r="I1778" s="47"/>
      <c r="J1778" s="48"/>
      <c r="K1778" s="47"/>
      <c r="L1778" s="47"/>
      <c r="M1778" s="47"/>
      <c r="N1778" s="47"/>
    </row>
    <row r="1779" spans="1:14" ht="16.5" customHeight="1" x14ac:dyDescent="0.25">
      <c r="A1779" s="49"/>
      <c r="B1779" s="47"/>
      <c r="C1779" s="47"/>
      <c r="D1779" s="47"/>
      <c r="E1779" s="47"/>
      <c r="F1779" s="47"/>
      <c r="G1779" s="47"/>
      <c r="H1779" s="47"/>
      <c r="I1779" s="47"/>
      <c r="J1779" s="48"/>
      <c r="K1779" s="47"/>
      <c r="L1779" s="47"/>
      <c r="M1779" s="47"/>
      <c r="N1779" s="47"/>
    </row>
    <row r="1780" spans="1:14" ht="16.5" customHeight="1" x14ac:dyDescent="0.25">
      <c r="A1780" s="49"/>
      <c r="B1780" s="47"/>
      <c r="C1780" s="47"/>
      <c r="D1780" s="47"/>
      <c r="E1780" s="47"/>
      <c r="F1780" s="47"/>
      <c r="G1780" s="47"/>
      <c r="H1780" s="47"/>
      <c r="I1780" s="47"/>
      <c r="J1780" s="48"/>
      <c r="K1780" s="47"/>
      <c r="L1780" s="47"/>
      <c r="M1780" s="47"/>
      <c r="N1780" s="47"/>
    </row>
    <row r="1781" spans="1:14" ht="16.5" customHeight="1" x14ac:dyDescent="0.25">
      <c r="A1781" s="49"/>
      <c r="B1781" s="47"/>
      <c r="C1781" s="47"/>
      <c r="D1781" s="47"/>
      <c r="E1781" s="47"/>
      <c r="F1781" s="47"/>
      <c r="G1781" s="47"/>
      <c r="H1781" s="47"/>
      <c r="I1781" s="47"/>
      <c r="J1781" s="48"/>
      <c r="K1781" s="47"/>
      <c r="L1781" s="47"/>
      <c r="M1781" s="47"/>
      <c r="N1781" s="47"/>
    </row>
    <row r="1782" spans="1:14" ht="16.5" customHeight="1" x14ac:dyDescent="0.25">
      <c r="A1782" s="49"/>
      <c r="B1782" s="47"/>
      <c r="C1782" s="47"/>
      <c r="D1782" s="47"/>
      <c r="E1782" s="47"/>
      <c r="F1782" s="47"/>
      <c r="G1782" s="47"/>
      <c r="H1782" s="47"/>
      <c r="I1782" s="47"/>
      <c r="J1782" s="48"/>
      <c r="K1782" s="47"/>
      <c r="L1782" s="47"/>
      <c r="M1782" s="47"/>
      <c r="N1782" s="47"/>
    </row>
    <row r="1783" spans="1:14" ht="16.5" customHeight="1" x14ac:dyDescent="0.25">
      <c r="A1783" s="49"/>
      <c r="B1783" s="47"/>
      <c r="C1783" s="47"/>
      <c r="D1783" s="47"/>
      <c r="E1783" s="47"/>
      <c r="F1783" s="47"/>
      <c r="G1783" s="47"/>
      <c r="H1783" s="47"/>
      <c r="I1783" s="47"/>
      <c r="J1783" s="48"/>
      <c r="K1783" s="47"/>
      <c r="L1783" s="47"/>
      <c r="M1783" s="47"/>
      <c r="N1783" s="47"/>
    </row>
    <row r="1784" spans="1:14" ht="16.5" customHeight="1" x14ac:dyDescent="0.25">
      <c r="A1784" s="49"/>
      <c r="B1784" s="47"/>
      <c r="C1784" s="47"/>
      <c r="D1784" s="47"/>
      <c r="E1784" s="47"/>
      <c r="F1784" s="47"/>
      <c r="G1784" s="47"/>
      <c r="H1784" s="47"/>
      <c r="I1784" s="47"/>
      <c r="J1784" s="48"/>
      <c r="K1784" s="47"/>
      <c r="L1784" s="47"/>
      <c r="M1784" s="47"/>
      <c r="N1784" s="47"/>
    </row>
    <row r="1785" spans="1:14" ht="16.5" customHeight="1" x14ac:dyDescent="0.25">
      <c r="A1785" s="49"/>
      <c r="B1785" s="47"/>
      <c r="C1785" s="47"/>
      <c r="D1785" s="47"/>
      <c r="E1785" s="47"/>
      <c r="F1785" s="47"/>
      <c r="G1785" s="47"/>
      <c r="H1785" s="47"/>
      <c r="I1785" s="47"/>
      <c r="J1785" s="48"/>
      <c r="K1785" s="47"/>
      <c r="L1785" s="47"/>
      <c r="M1785" s="47"/>
      <c r="N1785" s="47"/>
    </row>
    <row r="1786" spans="1:14" ht="16.5" customHeight="1" x14ac:dyDescent="0.25">
      <c r="A1786" s="49"/>
      <c r="B1786" s="47"/>
      <c r="C1786" s="47"/>
      <c r="D1786" s="47"/>
      <c r="E1786" s="47"/>
      <c r="F1786" s="47"/>
      <c r="G1786" s="47"/>
      <c r="H1786" s="47"/>
      <c r="I1786" s="47"/>
      <c r="J1786" s="48"/>
      <c r="K1786" s="47"/>
      <c r="L1786" s="47"/>
      <c r="M1786" s="47"/>
      <c r="N1786" s="47"/>
    </row>
    <row r="1787" spans="1:14" ht="16.5" customHeight="1" x14ac:dyDescent="0.25">
      <c r="A1787" s="49"/>
      <c r="B1787" s="47"/>
      <c r="C1787" s="47"/>
      <c r="D1787" s="47"/>
      <c r="E1787" s="47"/>
      <c r="F1787" s="47"/>
      <c r="G1787" s="47"/>
      <c r="H1787" s="47"/>
      <c r="I1787" s="47"/>
      <c r="J1787" s="48"/>
      <c r="K1787" s="47"/>
      <c r="L1787" s="47"/>
      <c r="M1787" s="47"/>
      <c r="N1787" s="47"/>
    </row>
    <row r="1788" spans="1:14" ht="16.5" customHeight="1" x14ac:dyDescent="0.25">
      <c r="A1788" s="49"/>
      <c r="B1788" s="47"/>
      <c r="C1788" s="47"/>
      <c r="D1788" s="47"/>
      <c r="E1788" s="47"/>
      <c r="F1788" s="47"/>
      <c r="G1788" s="47"/>
      <c r="H1788" s="47"/>
      <c r="I1788" s="47"/>
      <c r="J1788" s="48"/>
      <c r="K1788" s="47"/>
      <c r="L1788" s="47"/>
      <c r="M1788" s="47"/>
      <c r="N1788" s="47"/>
    </row>
    <row r="1789" spans="1:14" ht="16.5" customHeight="1" x14ac:dyDescent="0.25">
      <c r="A1789" s="49"/>
      <c r="B1789" s="47"/>
      <c r="C1789" s="47"/>
      <c r="D1789" s="47"/>
      <c r="E1789" s="47"/>
      <c r="F1789" s="47"/>
      <c r="G1789" s="47"/>
      <c r="H1789" s="47"/>
      <c r="I1789" s="47"/>
      <c r="J1789" s="48"/>
      <c r="K1789" s="47"/>
      <c r="L1789" s="47"/>
      <c r="M1789" s="47"/>
      <c r="N1789" s="47"/>
    </row>
    <row r="1790" spans="1:14" ht="16.5" customHeight="1" x14ac:dyDescent="0.25">
      <c r="A1790" s="49"/>
      <c r="B1790" s="47"/>
      <c r="C1790" s="47"/>
      <c r="D1790" s="47"/>
      <c r="E1790" s="47"/>
      <c r="F1790" s="47"/>
      <c r="G1790" s="47"/>
      <c r="H1790" s="47"/>
      <c r="I1790" s="47"/>
      <c r="J1790" s="48"/>
      <c r="K1790" s="47"/>
      <c r="L1790" s="47"/>
      <c r="M1790" s="47"/>
      <c r="N1790" s="47"/>
    </row>
    <row r="1791" spans="1:14" ht="16.5" customHeight="1" x14ac:dyDescent="0.25">
      <c r="A1791" s="49"/>
      <c r="B1791" s="47"/>
      <c r="C1791" s="47"/>
      <c r="D1791" s="47"/>
      <c r="E1791" s="47"/>
      <c r="F1791" s="47"/>
      <c r="G1791" s="47"/>
      <c r="H1791" s="47"/>
      <c r="I1791" s="47"/>
      <c r="J1791" s="48"/>
      <c r="K1791" s="47"/>
      <c r="L1791" s="47"/>
      <c r="M1791" s="47"/>
      <c r="N1791" s="47"/>
    </row>
    <row r="1792" spans="1:14" ht="16.5" customHeight="1" x14ac:dyDescent="0.25">
      <c r="A1792" s="49"/>
      <c r="B1792" s="47"/>
      <c r="C1792" s="47"/>
      <c r="D1792" s="47"/>
      <c r="E1792" s="47"/>
      <c r="F1792" s="47"/>
      <c r="G1792" s="47"/>
      <c r="H1792" s="47"/>
      <c r="I1792" s="47"/>
      <c r="J1792" s="48"/>
      <c r="K1792" s="47"/>
      <c r="L1792" s="47"/>
      <c r="M1792" s="47"/>
      <c r="N1792" s="47"/>
    </row>
    <row r="1793" spans="1:14" ht="16.5" customHeight="1" x14ac:dyDescent="0.25">
      <c r="A1793" s="49"/>
      <c r="B1793" s="47"/>
      <c r="C1793" s="47"/>
      <c r="D1793" s="47"/>
      <c r="E1793" s="47"/>
      <c r="F1793" s="47"/>
      <c r="G1793" s="47"/>
      <c r="H1793" s="47"/>
      <c r="I1793" s="47"/>
      <c r="J1793" s="48"/>
      <c r="K1793" s="47"/>
      <c r="L1793" s="47"/>
      <c r="M1793" s="47"/>
      <c r="N1793" s="47"/>
    </row>
    <row r="1794" spans="1:14" ht="16.5" customHeight="1" x14ac:dyDescent="0.25">
      <c r="A1794" s="49"/>
      <c r="B1794" s="47"/>
      <c r="C1794" s="47"/>
      <c r="D1794" s="47"/>
      <c r="E1794" s="47"/>
      <c r="F1794" s="47"/>
      <c r="G1794" s="47"/>
      <c r="H1794" s="47"/>
      <c r="I1794" s="47"/>
      <c r="J1794" s="48"/>
      <c r="K1794" s="47"/>
      <c r="L1794" s="47"/>
      <c r="M1794" s="47"/>
      <c r="N1794" s="47"/>
    </row>
    <row r="1795" spans="1:14" ht="16.5" customHeight="1" x14ac:dyDescent="0.25">
      <c r="A1795" s="49"/>
      <c r="B1795" s="47"/>
      <c r="C1795" s="47"/>
      <c r="D1795" s="47"/>
      <c r="E1795" s="47"/>
      <c r="F1795" s="47"/>
      <c r="G1795" s="47"/>
      <c r="H1795" s="47"/>
      <c r="I1795" s="47"/>
      <c r="J1795" s="48"/>
      <c r="K1795" s="47"/>
      <c r="L1795" s="47"/>
      <c r="M1795" s="47"/>
      <c r="N1795" s="47"/>
    </row>
    <row r="1796" spans="1:14" ht="16.5" customHeight="1" x14ac:dyDescent="0.25">
      <c r="A1796" s="49"/>
      <c r="B1796" s="47"/>
      <c r="C1796" s="47"/>
      <c r="D1796" s="47"/>
      <c r="E1796" s="47"/>
      <c r="F1796" s="47"/>
      <c r="G1796" s="47"/>
      <c r="H1796" s="47"/>
      <c r="I1796" s="47"/>
      <c r="J1796" s="48"/>
      <c r="K1796" s="47"/>
      <c r="L1796" s="47"/>
      <c r="M1796" s="47"/>
      <c r="N1796" s="47"/>
    </row>
    <row r="1797" spans="1:14" ht="16.5" customHeight="1" x14ac:dyDescent="0.25">
      <c r="A1797" s="49"/>
      <c r="B1797" s="47"/>
      <c r="C1797" s="47"/>
      <c r="D1797" s="47"/>
      <c r="E1797" s="47"/>
      <c r="F1797" s="47"/>
      <c r="G1797" s="47"/>
      <c r="H1797" s="47"/>
      <c r="I1797" s="47"/>
      <c r="J1797" s="48"/>
      <c r="K1797" s="47"/>
      <c r="L1797" s="47"/>
      <c r="M1797" s="47"/>
      <c r="N1797" s="47"/>
    </row>
    <row r="1798" spans="1:14" ht="16.5" customHeight="1" x14ac:dyDescent="0.25">
      <c r="A1798" s="49"/>
      <c r="B1798" s="47"/>
      <c r="C1798" s="47"/>
      <c r="D1798" s="47"/>
      <c r="E1798" s="47"/>
      <c r="F1798" s="47"/>
      <c r="G1798" s="47"/>
      <c r="H1798" s="47"/>
      <c r="I1798" s="47"/>
      <c r="J1798" s="48"/>
      <c r="K1798" s="47"/>
      <c r="L1798" s="47"/>
      <c r="M1798" s="47"/>
      <c r="N1798" s="47"/>
    </row>
    <row r="1799" spans="1:14" ht="16.5" customHeight="1" x14ac:dyDescent="0.25">
      <c r="A1799" s="49"/>
      <c r="B1799" s="47"/>
      <c r="C1799" s="47"/>
      <c r="D1799" s="47"/>
      <c r="E1799" s="47"/>
      <c r="F1799" s="47"/>
      <c r="G1799" s="47"/>
      <c r="H1799" s="47"/>
      <c r="I1799" s="47"/>
      <c r="J1799" s="48"/>
      <c r="K1799" s="47"/>
      <c r="L1799" s="47"/>
      <c r="M1799" s="47"/>
      <c r="N1799" s="47"/>
    </row>
    <row r="1800" spans="1:14" ht="16.5" customHeight="1" x14ac:dyDescent="0.25">
      <c r="A1800" s="49"/>
      <c r="B1800" s="47"/>
      <c r="C1800" s="47"/>
      <c r="D1800" s="47"/>
      <c r="E1800" s="47"/>
      <c r="F1800" s="47"/>
      <c r="G1800" s="47"/>
      <c r="H1800" s="47"/>
      <c r="I1800" s="47"/>
      <c r="J1800" s="48"/>
      <c r="K1800" s="47"/>
      <c r="L1800" s="47"/>
      <c r="M1800" s="47"/>
      <c r="N1800" s="47"/>
    </row>
    <row r="1801" spans="1:14" ht="16.5" customHeight="1" x14ac:dyDescent="0.25">
      <c r="A1801" s="49"/>
      <c r="B1801" s="47"/>
      <c r="C1801" s="47"/>
      <c r="D1801" s="47"/>
      <c r="E1801" s="47"/>
      <c r="F1801" s="47"/>
      <c r="G1801" s="47"/>
      <c r="H1801" s="47"/>
      <c r="I1801" s="47"/>
      <c r="J1801" s="48"/>
      <c r="K1801" s="47"/>
      <c r="L1801" s="47"/>
      <c r="M1801" s="47"/>
      <c r="N1801" s="47"/>
    </row>
    <row r="1802" spans="1:14" ht="16.5" customHeight="1" x14ac:dyDescent="0.25">
      <c r="A1802" s="49"/>
      <c r="B1802" s="47"/>
      <c r="C1802" s="47"/>
      <c r="D1802" s="47"/>
      <c r="E1802" s="47"/>
      <c r="F1802" s="47"/>
      <c r="G1802" s="47"/>
      <c r="H1802" s="47"/>
      <c r="I1802" s="47"/>
      <c r="J1802" s="48"/>
      <c r="K1802" s="47"/>
      <c r="L1802" s="47"/>
      <c r="M1802" s="47"/>
      <c r="N1802" s="47"/>
    </row>
    <row r="1803" spans="1:14" ht="16.5" customHeight="1" x14ac:dyDescent="0.25">
      <c r="A1803" s="49"/>
      <c r="B1803" s="47"/>
      <c r="C1803" s="47"/>
      <c r="D1803" s="47"/>
      <c r="E1803" s="47"/>
      <c r="F1803" s="47"/>
      <c r="G1803" s="47"/>
      <c r="H1803" s="47"/>
      <c r="I1803" s="47"/>
      <c r="J1803" s="48"/>
      <c r="K1803" s="47"/>
      <c r="L1803" s="47"/>
      <c r="M1803" s="47"/>
      <c r="N1803" s="47"/>
    </row>
    <row r="1804" spans="1:14" ht="16.5" customHeight="1" x14ac:dyDescent="0.25">
      <c r="A1804" s="49"/>
      <c r="B1804" s="47"/>
      <c r="C1804" s="47"/>
      <c r="D1804" s="47"/>
      <c r="E1804" s="47"/>
      <c r="F1804" s="47"/>
      <c r="G1804" s="47"/>
      <c r="H1804" s="47"/>
      <c r="I1804" s="47"/>
      <c r="J1804" s="48"/>
      <c r="K1804" s="47"/>
      <c r="L1804" s="47"/>
      <c r="M1804" s="47"/>
      <c r="N1804" s="47"/>
    </row>
    <row r="1805" spans="1:14" ht="16.5" customHeight="1" x14ac:dyDescent="0.25">
      <c r="A1805" s="49"/>
      <c r="B1805" s="47"/>
      <c r="C1805" s="47"/>
      <c r="D1805" s="47"/>
      <c r="E1805" s="47"/>
      <c r="F1805" s="47"/>
      <c r="G1805" s="47"/>
      <c r="H1805" s="47"/>
      <c r="I1805" s="47"/>
      <c r="J1805" s="48"/>
      <c r="K1805" s="47"/>
      <c r="L1805" s="47"/>
      <c r="M1805" s="47"/>
      <c r="N1805" s="47"/>
    </row>
    <row r="1806" spans="1:14" ht="16.5" customHeight="1" x14ac:dyDescent="0.25">
      <c r="A1806" s="49"/>
      <c r="B1806" s="47"/>
      <c r="C1806" s="47"/>
      <c r="D1806" s="47"/>
      <c r="E1806" s="47"/>
      <c r="F1806" s="47"/>
      <c r="G1806" s="47"/>
      <c r="H1806" s="47"/>
      <c r="I1806" s="47"/>
      <c r="J1806" s="48"/>
      <c r="K1806" s="47"/>
      <c r="L1806" s="47"/>
      <c r="M1806" s="47"/>
      <c r="N1806" s="47"/>
    </row>
    <row r="1807" spans="1:14" ht="16.5" customHeight="1" x14ac:dyDescent="0.25">
      <c r="A1807" s="49"/>
      <c r="B1807" s="47"/>
      <c r="C1807" s="47"/>
      <c r="D1807" s="47"/>
      <c r="E1807" s="47"/>
      <c r="F1807" s="47"/>
      <c r="G1807" s="47"/>
      <c r="H1807" s="47"/>
      <c r="I1807" s="47"/>
      <c r="J1807" s="48"/>
      <c r="K1807" s="47"/>
      <c r="L1807" s="47"/>
      <c r="M1807" s="47"/>
      <c r="N1807" s="47"/>
    </row>
    <row r="1808" spans="1:14" ht="16.5" customHeight="1" x14ac:dyDescent="0.25">
      <c r="A1808" s="49"/>
      <c r="B1808" s="47"/>
      <c r="C1808" s="47"/>
      <c r="D1808" s="47"/>
      <c r="E1808" s="47"/>
      <c r="F1808" s="47"/>
      <c r="G1808" s="47"/>
      <c r="H1808" s="47"/>
      <c r="I1808" s="47"/>
      <c r="J1808" s="48"/>
      <c r="K1808" s="47"/>
      <c r="L1808" s="47"/>
      <c r="M1808" s="47"/>
      <c r="N1808" s="47"/>
    </row>
    <row r="1809" spans="1:14" ht="16.5" customHeight="1" x14ac:dyDescent="0.25">
      <c r="A1809" s="49"/>
      <c r="B1809" s="47"/>
      <c r="C1809" s="47"/>
      <c r="D1809" s="47"/>
      <c r="E1809" s="47"/>
      <c r="F1809" s="47"/>
      <c r="G1809" s="47"/>
      <c r="H1809" s="47"/>
      <c r="I1809" s="47"/>
      <c r="J1809" s="48"/>
      <c r="K1809" s="47"/>
      <c r="L1809" s="47"/>
      <c r="M1809" s="47"/>
      <c r="N1809" s="47"/>
    </row>
    <row r="1810" spans="1:14" ht="16.5" customHeight="1" x14ac:dyDescent="0.25">
      <c r="A1810" s="49"/>
      <c r="B1810" s="47"/>
      <c r="C1810" s="47"/>
      <c r="D1810" s="47"/>
      <c r="E1810" s="47"/>
      <c r="F1810" s="47"/>
      <c r="G1810" s="47"/>
      <c r="H1810" s="47"/>
      <c r="I1810" s="47"/>
      <c r="J1810" s="48"/>
      <c r="K1810" s="47"/>
      <c r="L1810" s="47"/>
      <c r="M1810" s="47"/>
      <c r="N1810" s="47"/>
    </row>
    <row r="1811" spans="1:14" ht="16.5" customHeight="1" x14ac:dyDescent="0.25">
      <c r="A1811" s="49"/>
      <c r="B1811" s="47"/>
      <c r="C1811" s="47"/>
      <c r="D1811" s="47"/>
      <c r="E1811" s="47"/>
      <c r="F1811" s="47"/>
      <c r="G1811" s="47"/>
      <c r="H1811" s="47"/>
      <c r="I1811" s="47"/>
      <c r="J1811" s="48"/>
      <c r="K1811" s="47"/>
      <c r="L1811" s="47"/>
      <c r="M1811" s="47"/>
      <c r="N1811" s="47"/>
    </row>
    <row r="1812" spans="1:14" ht="16.5" customHeight="1" x14ac:dyDescent="0.25">
      <c r="A1812" s="49"/>
      <c r="B1812" s="47"/>
      <c r="C1812" s="47"/>
      <c r="D1812" s="47"/>
      <c r="E1812" s="47"/>
      <c r="F1812" s="47"/>
      <c r="G1812" s="47"/>
      <c r="H1812" s="47"/>
      <c r="I1812" s="47"/>
      <c r="J1812" s="48"/>
      <c r="K1812" s="47"/>
      <c r="L1812" s="47"/>
      <c r="M1812" s="47"/>
      <c r="N1812" s="47"/>
    </row>
    <row r="1813" spans="1:14" ht="16.5" customHeight="1" x14ac:dyDescent="0.25">
      <c r="A1813" s="49"/>
      <c r="B1813" s="47"/>
      <c r="C1813" s="47"/>
      <c r="D1813" s="47"/>
      <c r="E1813" s="47"/>
      <c r="F1813" s="47"/>
      <c r="G1813" s="47"/>
      <c r="H1813" s="47"/>
      <c r="I1813" s="47"/>
      <c r="J1813" s="48"/>
      <c r="K1813" s="47"/>
      <c r="L1813" s="47"/>
      <c r="M1813" s="47"/>
      <c r="N1813" s="47"/>
    </row>
    <row r="1814" spans="1:14" ht="16.5" customHeight="1" x14ac:dyDescent="0.25">
      <c r="A1814" s="49"/>
      <c r="B1814" s="47"/>
      <c r="C1814" s="47"/>
      <c r="D1814" s="47"/>
      <c r="E1814" s="47"/>
      <c r="F1814" s="47"/>
      <c r="G1814" s="47"/>
      <c r="H1814" s="47"/>
      <c r="I1814" s="47"/>
      <c r="J1814" s="48"/>
      <c r="K1814" s="47"/>
      <c r="L1814" s="47"/>
      <c r="M1814" s="47"/>
      <c r="N1814" s="47"/>
    </row>
    <row r="1815" spans="1:14" ht="16.5" customHeight="1" x14ac:dyDescent="0.25">
      <c r="A1815" s="49"/>
      <c r="B1815" s="47"/>
      <c r="C1815" s="47"/>
      <c r="D1815" s="47"/>
      <c r="E1815" s="47"/>
      <c r="F1815" s="47"/>
      <c r="G1815" s="47"/>
      <c r="H1815" s="47"/>
      <c r="I1815" s="47"/>
      <c r="J1815" s="48"/>
      <c r="K1815" s="47"/>
      <c r="L1815" s="47"/>
      <c r="M1815" s="47"/>
      <c r="N1815" s="47"/>
    </row>
    <row r="1816" spans="1:14" ht="16.5" customHeight="1" x14ac:dyDescent="0.25">
      <c r="A1816" s="49"/>
      <c r="B1816" s="47"/>
      <c r="C1816" s="47"/>
      <c r="D1816" s="47"/>
      <c r="E1816" s="47"/>
      <c r="F1816" s="47"/>
      <c r="G1816" s="47"/>
      <c r="H1816" s="47"/>
      <c r="I1816" s="47"/>
      <c r="J1816" s="48"/>
      <c r="K1816" s="47"/>
      <c r="L1816" s="47"/>
      <c r="M1816" s="47"/>
      <c r="N1816" s="47"/>
    </row>
    <row r="1817" spans="1:14" ht="16.5" customHeight="1" x14ac:dyDescent="0.25">
      <c r="A1817" s="49"/>
      <c r="B1817" s="47"/>
      <c r="C1817" s="47"/>
      <c r="D1817" s="47"/>
      <c r="E1817" s="47"/>
      <c r="F1817" s="47"/>
      <c r="G1817" s="47"/>
      <c r="H1817" s="47"/>
      <c r="I1817" s="47"/>
      <c r="J1817" s="48"/>
      <c r="K1817" s="47"/>
      <c r="L1817" s="47"/>
      <c r="M1817" s="47"/>
      <c r="N1817" s="47"/>
    </row>
    <row r="1818" spans="1:14" ht="16.5" customHeight="1" x14ac:dyDescent="0.25">
      <c r="A1818" s="49"/>
      <c r="B1818" s="47"/>
      <c r="C1818" s="47"/>
      <c r="D1818" s="47"/>
      <c r="E1818" s="47"/>
      <c r="F1818" s="47"/>
      <c r="G1818" s="47"/>
      <c r="H1818" s="47"/>
      <c r="I1818" s="47"/>
      <c r="J1818" s="48"/>
      <c r="K1818" s="47"/>
      <c r="L1818" s="47"/>
      <c r="M1818" s="47"/>
      <c r="N1818" s="47"/>
    </row>
    <row r="1819" spans="1:14" ht="16.5" customHeight="1" x14ac:dyDescent="0.25">
      <c r="A1819" s="49"/>
      <c r="B1819" s="47"/>
      <c r="C1819" s="47"/>
      <c r="D1819" s="47"/>
      <c r="E1819" s="47"/>
      <c r="F1819" s="47"/>
      <c r="G1819" s="47"/>
      <c r="H1819" s="47"/>
      <c r="I1819" s="47"/>
      <c r="J1819" s="48"/>
      <c r="K1819" s="47"/>
      <c r="L1819" s="47"/>
      <c r="M1819" s="47"/>
      <c r="N1819" s="47"/>
    </row>
    <row r="1820" spans="1:14" ht="16.5" customHeight="1" x14ac:dyDescent="0.25">
      <c r="A1820" s="49"/>
      <c r="B1820" s="47"/>
      <c r="C1820" s="47"/>
      <c r="D1820" s="47"/>
      <c r="E1820" s="47"/>
      <c r="F1820" s="47"/>
      <c r="G1820" s="47"/>
      <c r="H1820" s="47"/>
      <c r="I1820" s="47"/>
      <c r="J1820" s="48"/>
      <c r="K1820" s="47"/>
      <c r="L1820" s="47"/>
      <c r="M1820" s="47"/>
      <c r="N1820" s="47"/>
    </row>
    <row r="1821" spans="1:14" ht="16.5" customHeight="1" x14ac:dyDescent="0.25">
      <c r="A1821" s="49"/>
      <c r="B1821" s="47"/>
      <c r="C1821" s="47"/>
      <c r="D1821" s="47"/>
      <c r="E1821" s="47"/>
      <c r="F1821" s="47"/>
      <c r="G1821" s="47"/>
      <c r="H1821" s="47"/>
      <c r="I1821" s="47"/>
      <c r="J1821" s="48"/>
      <c r="K1821" s="47"/>
      <c r="L1821" s="47"/>
      <c r="M1821" s="47"/>
      <c r="N1821" s="47"/>
    </row>
    <row r="1822" spans="1:14" ht="16.5" customHeight="1" x14ac:dyDescent="0.25">
      <c r="A1822" s="49"/>
      <c r="B1822" s="47"/>
      <c r="C1822" s="47"/>
      <c r="D1822" s="47"/>
      <c r="E1822" s="47"/>
      <c r="F1822" s="47"/>
      <c r="G1822" s="47"/>
      <c r="H1822" s="47"/>
      <c r="I1822" s="47"/>
      <c r="J1822" s="48"/>
      <c r="K1822" s="47"/>
      <c r="L1822" s="47"/>
      <c r="M1822" s="47"/>
      <c r="N1822" s="47"/>
    </row>
    <row r="1823" spans="1:14" ht="16.5" customHeight="1" x14ac:dyDescent="0.25">
      <c r="A1823" s="49"/>
      <c r="B1823" s="47"/>
      <c r="C1823" s="47"/>
      <c r="D1823" s="47"/>
      <c r="E1823" s="47"/>
      <c r="F1823" s="47"/>
      <c r="G1823" s="47"/>
      <c r="H1823" s="47"/>
      <c r="I1823" s="47"/>
      <c r="J1823" s="48"/>
      <c r="K1823" s="47"/>
      <c r="L1823" s="47"/>
      <c r="M1823" s="47"/>
      <c r="N1823" s="47"/>
    </row>
    <row r="1824" spans="1:14" ht="16.5" customHeight="1" x14ac:dyDescent="0.25">
      <c r="A1824" s="49"/>
      <c r="B1824" s="47"/>
      <c r="C1824" s="47"/>
      <c r="D1824" s="47"/>
      <c r="E1824" s="47"/>
      <c r="F1824" s="47"/>
      <c r="G1824" s="47"/>
      <c r="H1824" s="47"/>
      <c r="I1824" s="47"/>
      <c r="J1824" s="48"/>
      <c r="K1824" s="47"/>
      <c r="L1824" s="47"/>
      <c r="M1824" s="47"/>
      <c r="N1824" s="47"/>
    </row>
    <row r="1825" spans="1:14" ht="16.5" customHeight="1" x14ac:dyDescent="0.25">
      <c r="A1825" s="49"/>
      <c r="B1825" s="47"/>
      <c r="C1825" s="47"/>
      <c r="D1825" s="47"/>
      <c r="E1825" s="47"/>
      <c r="F1825" s="47"/>
      <c r="G1825" s="47"/>
      <c r="H1825" s="47"/>
      <c r="I1825" s="47"/>
      <c r="J1825" s="48"/>
      <c r="K1825" s="47"/>
      <c r="L1825" s="47"/>
      <c r="M1825" s="47"/>
      <c r="N1825" s="47"/>
    </row>
    <row r="1826" spans="1:14" ht="16.5" customHeight="1" x14ac:dyDescent="0.25">
      <c r="A1826" s="49"/>
      <c r="B1826" s="47"/>
      <c r="C1826" s="47"/>
      <c r="D1826" s="47"/>
      <c r="E1826" s="47"/>
      <c r="F1826" s="47"/>
      <c r="G1826" s="47"/>
      <c r="H1826" s="47"/>
      <c r="I1826" s="47"/>
      <c r="J1826" s="48"/>
      <c r="K1826" s="47"/>
      <c r="L1826" s="47"/>
      <c r="M1826" s="47"/>
      <c r="N1826" s="47"/>
    </row>
    <row r="1827" spans="1:14" ht="16.5" customHeight="1" x14ac:dyDescent="0.25">
      <c r="A1827" s="49"/>
      <c r="B1827" s="47"/>
      <c r="C1827" s="47"/>
      <c r="D1827" s="47"/>
      <c r="E1827" s="47"/>
      <c r="F1827" s="47"/>
      <c r="G1827" s="47"/>
      <c r="H1827" s="47"/>
      <c r="I1827" s="47"/>
      <c r="J1827" s="48"/>
      <c r="K1827" s="47"/>
      <c r="L1827" s="47"/>
      <c r="M1827" s="47"/>
      <c r="N1827" s="47"/>
    </row>
    <row r="1828" spans="1:14" ht="16.5" customHeight="1" x14ac:dyDescent="0.25">
      <c r="A1828" s="49"/>
      <c r="B1828" s="47"/>
      <c r="C1828" s="47"/>
      <c r="D1828" s="47"/>
      <c r="E1828" s="47"/>
      <c r="F1828" s="47"/>
      <c r="G1828" s="47"/>
      <c r="H1828" s="47"/>
      <c r="I1828" s="47"/>
      <c r="J1828" s="48"/>
      <c r="K1828" s="47"/>
      <c r="L1828" s="47"/>
      <c r="M1828" s="47"/>
      <c r="N1828" s="47"/>
    </row>
    <row r="1829" spans="1:14" ht="16.5" customHeight="1" x14ac:dyDescent="0.25">
      <c r="A1829" s="49"/>
      <c r="B1829" s="47"/>
      <c r="C1829" s="47"/>
      <c r="D1829" s="47"/>
      <c r="E1829" s="47"/>
      <c r="F1829" s="47"/>
      <c r="G1829" s="47"/>
      <c r="H1829" s="47"/>
      <c r="I1829" s="47"/>
      <c r="J1829" s="48"/>
      <c r="K1829" s="47"/>
      <c r="L1829" s="47"/>
      <c r="M1829" s="47"/>
      <c r="N1829" s="47"/>
    </row>
    <row r="1830" spans="1:14" ht="16.5" customHeight="1" x14ac:dyDescent="0.25">
      <c r="A1830" s="49"/>
      <c r="B1830" s="47"/>
      <c r="C1830" s="47"/>
      <c r="D1830" s="47"/>
      <c r="E1830" s="47"/>
      <c r="F1830" s="47"/>
      <c r="G1830" s="47"/>
      <c r="H1830" s="47"/>
      <c r="I1830" s="47"/>
      <c r="J1830" s="48"/>
      <c r="K1830" s="47"/>
      <c r="L1830" s="47"/>
      <c r="M1830" s="47"/>
      <c r="N1830" s="47"/>
    </row>
    <row r="1831" spans="1:14" ht="16.5" customHeight="1" x14ac:dyDescent="0.25">
      <c r="A1831" s="49"/>
      <c r="B1831" s="47"/>
      <c r="C1831" s="47"/>
      <c r="D1831" s="47"/>
      <c r="E1831" s="47"/>
      <c r="F1831" s="47"/>
      <c r="G1831" s="47"/>
      <c r="H1831" s="47"/>
      <c r="I1831" s="47"/>
      <c r="J1831" s="48"/>
      <c r="K1831" s="47"/>
      <c r="L1831" s="47"/>
      <c r="M1831" s="47"/>
      <c r="N1831" s="47"/>
    </row>
    <row r="1832" spans="1:14" ht="16.5" customHeight="1" x14ac:dyDescent="0.25">
      <c r="A1832" s="49"/>
      <c r="B1832" s="47"/>
      <c r="C1832" s="47"/>
      <c r="D1832" s="47"/>
      <c r="E1832" s="47"/>
      <c r="F1832" s="47"/>
      <c r="G1832" s="47"/>
      <c r="H1832" s="47"/>
      <c r="I1832" s="47"/>
      <c r="J1832" s="48"/>
      <c r="K1832" s="47"/>
      <c r="L1832" s="47"/>
      <c r="M1832" s="47"/>
      <c r="N1832" s="47"/>
    </row>
    <row r="1833" spans="1:14" ht="16.5" customHeight="1" x14ac:dyDescent="0.25">
      <c r="A1833" s="49"/>
      <c r="B1833" s="47"/>
      <c r="C1833" s="47"/>
      <c r="D1833" s="47"/>
      <c r="E1833" s="47"/>
      <c r="F1833" s="47"/>
      <c r="G1833" s="47"/>
      <c r="H1833" s="47"/>
      <c r="I1833" s="47"/>
      <c r="J1833" s="48"/>
      <c r="K1833" s="47"/>
      <c r="L1833" s="47"/>
      <c r="M1833" s="47"/>
      <c r="N1833" s="47"/>
    </row>
    <row r="1834" spans="1:14" ht="16.5" customHeight="1" x14ac:dyDescent="0.25">
      <c r="A1834" s="49"/>
      <c r="B1834" s="47"/>
      <c r="C1834" s="47"/>
      <c r="D1834" s="47"/>
      <c r="E1834" s="47"/>
      <c r="F1834" s="47"/>
      <c r="G1834" s="47"/>
      <c r="H1834" s="47"/>
      <c r="I1834" s="47"/>
      <c r="J1834" s="48"/>
      <c r="K1834" s="47"/>
      <c r="L1834" s="47"/>
      <c r="M1834" s="47"/>
      <c r="N1834" s="47"/>
    </row>
    <row r="1835" spans="1:14" ht="16.5" customHeight="1" x14ac:dyDescent="0.25">
      <c r="A1835" s="49"/>
      <c r="B1835" s="47"/>
      <c r="C1835" s="47"/>
      <c r="D1835" s="47"/>
      <c r="E1835" s="47"/>
      <c r="F1835" s="47"/>
      <c r="G1835" s="47"/>
      <c r="H1835" s="47"/>
      <c r="I1835" s="47"/>
      <c r="J1835" s="48"/>
      <c r="K1835" s="47"/>
      <c r="L1835" s="47"/>
      <c r="M1835" s="47"/>
      <c r="N1835" s="47"/>
    </row>
    <row r="1836" spans="1:14" ht="16.5" customHeight="1" x14ac:dyDescent="0.25">
      <c r="A1836" s="49"/>
      <c r="B1836" s="47"/>
      <c r="C1836" s="47"/>
      <c r="D1836" s="47"/>
      <c r="E1836" s="47"/>
      <c r="F1836" s="47"/>
      <c r="G1836" s="47"/>
      <c r="H1836" s="47"/>
      <c r="I1836" s="47"/>
      <c r="J1836" s="48"/>
      <c r="K1836" s="47"/>
      <c r="L1836" s="47"/>
      <c r="M1836" s="47"/>
      <c r="N1836" s="47"/>
    </row>
    <row r="1837" spans="1:14" ht="16.5" customHeight="1" x14ac:dyDescent="0.25">
      <c r="A1837" s="49"/>
      <c r="B1837" s="47"/>
      <c r="C1837" s="47"/>
      <c r="D1837" s="47"/>
      <c r="E1837" s="47"/>
      <c r="F1837" s="47"/>
      <c r="G1837" s="47"/>
      <c r="H1837" s="47"/>
      <c r="I1837" s="47"/>
      <c r="J1837" s="48"/>
      <c r="K1837" s="47"/>
      <c r="L1837" s="47"/>
      <c r="M1837" s="47"/>
      <c r="N1837" s="47"/>
    </row>
    <row r="1838" spans="1:14" ht="16.5" customHeight="1" x14ac:dyDescent="0.25">
      <c r="A1838" s="49"/>
      <c r="B1838" s="47"/>
      <c r="C1838" s="47"/>
      <c r="D1838" s="47"/>
      <c r="E1838" s="47"/>
      <c r="F1838" s="47"/>
      <c r="G1838" s="47"/>
      <c r="H1838" s="47"/>
      <c r="I1838" s="47"/>
      <c r="J1838" s="48"/>
      <c r="K1838" s="47"/>
      <c r="L1838" s="47"/>
      <c r="M1838" s="47"/>
      <c r="N1838" s="47"/>
    </row>
    <row r="1839" spans="1:14" ht="16.5" customHeight="1" x14ac:dyDescent="0.25">
      <c r="A1839" s="49"/>
      <c r="B1839" s="47"/>
      <c r="C1839" s="47"/>
      <c r="D1839" s="47"/>
      <c r="E1839" s="47"/>
      <c r="F1839" s="47"/>
      <c r="G1839" s="47"/>
      <c r="H1839" s="47"/>
      <c r="I1839" s="47"/>
      <c r="J1839" s="48"/>
      <c r="K1839" s="47"/>
      <c r="L1839" s="47"/>
      <c r="M1839" s="47"/>
      <c r="N1839" s="47"/>
    </row>
    <row r="1840" spans="1:14" ht="16.5" customHeight="1" x14ac:dyDescent="0.25">
      <c r="A1840" s="49"/>
      <c r="B1840" s="47"/>
      <c r="C1840" s="47"/>
      <c r="D1840" s="47"/>
      <c r="E1840" s="47"/>
      <c r="F1840" s="47"/>
      <c r="G1840" s="47"/>
      <c r="H1840" s="47"/>
      <c r="I1840" s="47"/>
      <c r="J1840" s="48"/>
      <c r="K1840" s="47"/>
      <c r="L1840" s="47"/>
      <c r="M1840" s="47"/>
      <c r="N1840" s="47"/>
    </row>
    <row r="1841" spans="1:14" ht="16.5" customHeight="1" x14ac:dyDescent="0.25">
      <c r="A1841" s="49"/>
      <c r="B1841" s="47"/>
      <c r="C1841" s="47"/>
      <c r="D1841" s="47"/>
      <c r="E1841" s="47"/>
      <c r="F1841" s="47"/>
      <c r="G1841" s="47"/>
      <c r="H1841" s="47"/>
      <c r="I1841" s="47"/>
      <c r="J1841" s="48"/>
      <c r="K1841" s="47"/>
      <c r="L1841" s="47"/>
      <c r="M1841" s="47"/>
      <c r="N1841" s="47"/>
    </row>
    <row r="1842" spans="1:14" ht="16.5" customHeight="1" x14ac:dyDescent="0.25">
      <c r="A1842" s="49"/>
      <c r="B1842" s="47"/>
      <c r="C1842" s="47"/>
      <c r="D1842" s="47"/>
      <c r="E1842" s="47"/>
      <c r="F1842" s="47"/>
      <c r="G1842" s="47"/>
      <c r="H1842" s="47"/>
      <c r="I1842" s="47"/>
      <c r="J1842" s="48"/>
      <c r="K1842" s="47"/>
      <c r="L1842" s="47"/>
      <c r="M1842" s="47"/>
      <c r="N1842" s="47"/>
    </row>
    <row r="1843" spans="1:14" ht="16.5" customHeight="1" x14ac:dyDescent="0.25">
      <c r="A1843" s="49"/>
      <c r="B1843" s="47"/>
      <c r="C1843" s="47"/>
      <c r="D1843" s="47"/>
      <c r="E1843" s="47"/>
      <c r="F1843" s="47"/>
      <c r="G1843" s="47"/>
      <c r="H1843" s="47"/>
      <c r="I1843" s="47"/>
      <c r="J1843" s="48"/>
      <c r="K1843" s="47"/>
      <c r="L1843" s="47"/>
      <c r="M1843" s="47"/>
      <c r="N1843" s="47"/>
    </row>
    <row r="1844" spans="1:14" ht="16.5" customHeight="1" x14ac:dyDescent="0.25">
      <c r="A1844" s="49"/>
      <c r="B1844" s="47"/>
      <c r="C1844" s="47"/>
      <c r="D1844" s="47"/>
      <c r="E1844" s="47"/>
      <c r="F1844" s="47"/>
      <c r="G1844" s="47"/>
      <c r="H1844" s="47"/>
      <c r="I1844" s="47"/>
      <c r="J1844" s="48"/>
      <c r="K1844" s="47"/>
      <c r="L1844" s="47"/>
      <c r="M1844" s="47"/>
      <c r="N1844" s="47"/>
    </row>
    <row r="1845" spans="1:14" ht="16.5" customHeight="1" x14ac:dyDescent="0.25">
      <c r="A1845" s="49"/>
      <c r="B1845" s="47"/>
      <c r="C1845" s="47"/>
      <c r="D1845" s="47"/>
      <c r="E1845" s="47"/>
      <c r="F1845" s="47"/>
      <c r="G1845" s="47"/>
      <c r="H1845" s="47"/>
      <c r="I1845" s="47"/>
      <c r="J1845" s="48"/>
      <c r="K1845" s="47"/>
      <c r="L1845" s="47"/>
      <c r="M1845" s="47"/>
      <c r="N1845" s="47"/>
    </row>
    <row r="1846" spans="1:14" ht="16.5" customHeight="1" x14ac:dyDescent="0.25">
      <c r="A1846" s="49"/>
      <c r="B1846" s="47"/>
      <c r="C1846" s="47"/>
      <c r="D1846" s="47"/>
      <c r="E1846" s="47"/>
      <c r="F1846" s="47"/>
      <c r="G1846" s="47"/>
      <c r="H1846" s="47"/>
      <c r="I1846" s="47"/>
      <c r="J1846" s="48"/>
      <c r="K1846" s="47"/>
      <c r="L1846" s="47"/>
      <c r="M1846" s="47"/>
      <c r="N1846" s="47"/>
    </row>
    <row r="1847" spans="1:14" ht="16.5" customHeight="1" x14ac:dyDescent="0.25">
      <c r="A1847" s="49"/>
      <c r="B1847" s="47"/>
      <c r="C1847" s="47"/>
      <c r="D1847" s="47"/>
      <c r="E1847" s="47"/>
      <c r="F1847" s="47"/>
      <c r="G1847" s="47"/>
      <c r="H1847" s="47"/>
      <c r="I1847" s="47"/>
      <c r="J1847" s="48"/>
      <c r="K1847" s="47"/>
      <c r="L1847" s="47"/>
      <c r="M1847" s="47"/>
      <c r="N1847" s="47"/>
    </row>
    <row r="1848" spans="1:14" ht="16.5" customHeight="1" x14ac:dyDescent="0.25">
      <c r="A1848" s="49"/>
      <c r="B1848" s="47"/>
      <c r="C1848" s="47"/>
      <c r="D1848" s="47"/>
      <c r="E1848" s="47"/>
      <c r="F1848" s="47"/>
      <c r="G1848" s="47"/>
      <c r="H1848" s="47"/>
      <c r="I1848" s="47"/>
      <c r="J1848" s="48"/>
      <c r="K1848" s="47"/>
      <c r="L1848" s="47"/>
      <c r="M1848" s="47"/>
      <c r="N1848" s="47"/>
    </row>
    <row r="1849" spans="1:14" ht="16.5" customHeight="1" x14ac:dyDescent="0.25">
      <c r="A1849" s="49"/>
      <c r="B1849" s="47"/>
      <c r="C1849" s="47"/>
      <c r="D1849" s="47"/>
      <c r="E1849" s="47"/>
      <c r="F1849" s="47"/>
      <c r="G1849" s="47"/>
      <c r="H1849" s="47"/>
      <c r="I1849" s="47"/>
      <c r="J1849" s="48"/>
      <c r="K1849" s="47"/>
      <c r="L1849" s="47"/>
      <c r="M1849" s="47"/>
      <c r="N1849" s="47"/>
    </row>
    <row r="1850" spans="1:14" ht="16.5" customHeight="1" x14ac:dyDescent="0.25">
      <c r="A1850" s="49"/>
      <c r="B1850" s="47"/>
      <c r="C1850" s="47"/>
      <c r="D1850" s="47"/>
      <c r="E1850" s="47"/>
      <c r="F1850" s="47"/>
      <c r="G1850" s="47"/>
      <c r="H1850" s="47"/>
      <c r="I1850" s="47"/>
      <c r="J1850" s="48"/>
      <c r="K1850" s="47"/>
      <c r="L1850" s="47"/>
      <c r="M1850" s="47"/>
      <c r="N1850" s="47"/>
    </row>
    <row r="1851" spans="1:14" ht="16.5" customHeight="1" x14ac:dyDescent="0.25">
      <c r="A1851" s="49"/>
      <c r="B1851" s="47"/>
      <c r="C1851" s="47"/>
      <c r="D1851" s="47"/>
      <c r="E1851" s="47"/>
      <c r="F1851" s="47"/>
      <c r="G1851" s="47"/>
      <c r="H1851" s="47"/>
      <c r="I1851" s="47"/>
      <c r="J1851" s="48"/>
      <c r="K1851" s="47"/>
      <c r="L1851" s="47"/>
      <c r="M1851" s="47"/>
      <c r="N1851" s="47"/>
    </row>
    <row r="1852" spans="1:14" ht="16.5" customHeight="1" x14ac:dyDescent="0.25">
      <c r="A1852" s="49"/>
      <c r="B1852" s="47"/>
      <c r="C1852" s="47"/>
      <c r="D1852" s="47"/>
      <c r="E1852" s="47"/>
      <c r="F1852" s="47"/>
      <c r="G1852" s="47"/>
      <c r="H1852" s="47"/>
      <c r="I1852" s="47"/>
      <c r="J1852" s="48"/>
      <c r="K1852" s="47"/>
      <c r="L1852" s="47"/>
      <c r="M1852" s="47"/>
      <c r="N1852" s="47"/>
    </row>
    <row r="1853" spans="1:14" ht="16.5" customHeight="1" x14ac:dyDescent="0.25">
      <c r="A1853" s="49"/>
      <c r="B1853" s="47"/>
      <c r="C1853" s="47"/>
      <c r="D1853" s="47"/>
      <c r="E1853" s="47"/>
      <c r="F1853" s="47"/>
      <c r="G1853" s="47"/>
      <c r="H1853" s="47"/>
      <c r="I1853" s="47"/>
      <c r="J1853" s="48"/>
      <c r="K1853" s="47"/>
      <c r="L1853" s="47"/>
      <c r="M1853" s="47"/>
      <c r="N1853" s="47"/>
    </row>
    <row r="1854" spans="1:14" ht="16.5" customHeight="1" x14ac:dyDescent="0.25">
      <c r="A1854" s="49"/>
      <c r="B1854" s="47"/>
      <c r="C1854" s="47"/>
      <c r="D1854" s="47"/>
      <c r="E1854" s="47"/>
      <c r="F1854" s="47"/>
      <c r="G1854" s="47"/>
      <c r="H1854" s="47"/>
      <c r="I1854" s="47"/>
      <c r="J1854" s="48"/>
      <c r="K1854" s="47"/>
      <c r="L1854" s="47"/>
      <c r="M1854" s="47"/>
      <c r="N1854" s="47"/>
    </row>
    <row r="1855" spans="1:14" ht="16.5" customHeight="1" x14ac:dyDescent="0.25">
      <c r="A1855" s="49"/>
      <c r="B1855" s="47"/>
      <c r="C1855" s="47"/>
      <c r="D1855" s="47"/>
      <c r="E1855" s="47"/>
      <c r="F1855" s="47"/>
      <c r="G1855" s="47"/>
      <c r="H1855" s="47"/>
      <c r="I1855" s="47"/>
      <c r="J1855" s="48"/>
      <c r="K1855" s="47"/>
      <c r="L1855" s="47"/>
      <c r="M1855" s="47"/>
      <c r="N1855" s="47"/>
    </row>
    <row r="1856" spans="1:14" ht="16.5" customHeight="1" x14ac:dyDescent="0.25">
      <c r="A1856" s="49"/>
      <c r="B1856" s="47"/>
      <c r="C1856" s="47"/>
      <c r="D1856" s="47"/>
      <c r="E1856" s="47"/>
      <c r="F1856" s="47"/>
      <c r="G1856" s="47"/>
      <c r="H1856" s="47"/>
      <c r="I1856" s="47"/>
      <c r="J1856" s="48"/>
      <c r="K1856" s="47"/>
      <c r="L1856" s="47"/>
      <c r="M1856" s="47"/>
      <c r="N1856" s="47"/>
    </row>
    <row r="1857" spans="1:14" ht="16.5" customHeight="1" x14ac:dyDescent="0.25">
      <c r="A1857" s="49"/>
      <c r="B1857" s="47"/>
      <c r="C1857" s="47"/>
      <c r="D1857" s="47"/>
      <c r="E1857" s="47"/>
      <c r="F1857" s="47"/>
      <c r="G1857" s="47"/>
      <c r="H1857" s="47"/>
      <c r="I1857" s="47"/>
      <c r="J1857" s="48"/>
      <c r="K1857" s="47"/>
      <c r="L1857" s="47"/>
      <c r="M1857" s="47"/>
      <c r="N1857" s="47"/>
    </row>
    <row r="1858" spans="1:14" ht="16.5" customHeight="1" x14ac:dyDescent="0.25">
      <c r="A1858" s="49"/>
      <c r="B1858" s="47"/>
      <c r="C1858" s="47"/>
      <c r="D1858" s="47"/>
      <c r="E1858" s="47"/>
      <c r="F1858" s="47"/>
      <c r="G1858" s="47"/>
      <c r="H1858" s="47"/>
      <c r="I1858" s="47"/>
      <c r="J1858" s="48"/>
      <c r="K1858" s="47"/>
      <c r="L1858" s="47"/>
      <c r="M1858" s="47"/>
      <c r="N1858" s="47"/>
    </row>
    <row r="1859" spans="1:14" ht="16.5" customHeight="1" x14ac:dyDescent="0.25">
      <c r="A1859" s="49"/>
      <c r="B1859" s="47"/>
      <c r="C1859" s="47"/>
      <c r="D1859" s="47"/>
      <c r="E1859" s="47"/>
      <c r="F1859" s="47"/>
      <c r="G1859" s="47"/>
      <c r="H1859" s="47"/>
      <c r="I1859" s="47"/>
      <c r="J1859" s="48"/>
      <c r="K1859" s="47"/>
      <c r="L1859" s="47"/>
      <c r="M1859" s="47"/>
      <c r="N1859" s="47"/>
    </row>
    <row r="1860" spans="1:14" ht="16.5" customHeight="1" x14ac:dyDescent="0.25">
      <c r="A1860" s="49"/>
      <c r="B1860" s="47"/>
      <c r="C1860" s="47"/>
      <c r="D1860" s="47"/>
      <c r="E1860" s="47"/>
      <c r="F1860" s="47"/>
      <c r="G1860" s="47"/>
      <c r="H1860" s="47"/>
      <c r="I1860" s="47"/>
      <c r="J1860" s="48"/>
      <c r="K1860" s="47"/>
      <c r="L1860" s="47"/>
      <c r="M1860" s="47"/>
      <c r="N1860" s="47"/>
    </row>
    <row r="1861" spans="1:14" ht="16.5" customHeight="1" x14ac:dyDescent="0.25">
      <c r="A1861" s="49"/>
      <c r="B1861" s="47"/>
      <c r="C1861" s="47"/>
      <c r="D1861" s="47"/>
      <c r="E1861" s="47"/>
      <c r="F1861" s="47"/>
      <c r="G1861" s="47"/>
      <c r="H1861" s="47"/>
      <c r="I1861" s="47"/>
      <c r="J1861" s="48"/>
      <c r="K1861" s="47"/>
      <c r="L1861" s="47"/>
      <c r="M1861" s="47"/>
      <c r="N1861" s="47"/>
    </row>
    <row r="1862" spans="1:14" ht="16.5" customHeight="1" x14ac:dyDescent="0.25">
      <c r="A1862" s="49"/>
      <c r="B1862" s="47"/>
      <c r="C1862" s="47"/>
      <c r="D1862" s="47"/>
      <c r="E1862" s="47"/>
      <c r="F1862" s="47"/>
      <c r="G1862" s="47"/>
      <c r="H1862" s="47"/>
      <c r="I1862" s="47"/>
      <c r="J1862" s="48"/>
      <c r="K1862" s="47"/>
      <c r="L1862" s="47"/>
      <c r="M1862" s="47"/>
      <c r="N1862" s="47"/>
    </row>
    <row r="1863" spans="1:14" ht="16.5" customHeight="1" x14ac:dyDescent="0.25">
      <c r="A1863" s="49"/>
      <c r="B1863" s="47"/>
      <c r="C1863" s="47"/>
      <c r="D1863" s="47"/>
      <c r="E1863" s="47"/>
      <c r="F1863" s="47"/>
      <c r="G1863" s="47"/>
      <c r="H1863" s="47"/>
      <c r="I1863" s="47"/>
      <c r="J1863" s="48"/>
      <c r="K1863" s="47"/>
      <c r="L1863" s="47"/>
      <c r="M1863" s="47"/>
      <c r="N1863" s="47"/>
    </row>
    <row r="1864" spans="1:14" ht="16.5" customHeight="1" x14ac:dyDescent="0.25">
      <c r="A1864" s="49"/>
      <c r="B1864" s="47"/>
      <c r="C1864" s="47"/>
      <c r="D1864" s="47"/>
      <c r="E1864" s="47"/>
      <c r="F1864" s="47"/>
      <c r="G1864" s="47"/>
      <c r="H1864" s="47"/>
      <c r="I1864" s="47"/>
      <c r="J1864" s="48"/>
      <c r="K1864" s="47"/>
      <c r="L1864" s="47"/>
      <c r="M1864" s="47"/>
      <c r="N1864" s="47"/>
    </row>
    <row r="1865" spans="1:14" ht="16.5" customHeight="1" x14ac:dyDescent="0.25">
      <c r="A1865" s="49"/>
      <c r="B1865" s="47"/>
      <c r="C1865" s="47"/>
      <c r="D1865" s="47"/>
      <c r="E1865" s="47"/>
      <c r="F1865" s="47"/>
      <c r="G1865" s="47"/>
      <c r="H1865" s="47"/>
      <c r="I1865" s="47"/>
      <c r="J1865" s="48"/>
      <c r="K1865" s="47"/>
      <c r="L1865" s="47"/>
      <c r="M1865" s="47"/>
      <c r="N1865" s="47"/>
    </row>
    <row r="1866" spans="1:14" ht="16.5" customHeight="1" x14ac:dyDescent="0.25">
      <c r="A1866" s="49"/>
      <c r="B1866" s="47"/>
      <c r="C1866" s="47"/>
      <c r="D1866" s="47"/>
      <c r="E1866" s="47"/>
      <c r="F1866" s="47"/>
      <c r="G1866" s="47"/>
      <c r="H1866" s="47"/>
      <c r="I1866" s="47"/>
      <c r="J1866" s="48"/>
      <c r="K1866" s="47"/>
      <c r="L1866" s="47"/>
      <c r="M1866" s="47"/>
      <c r="N1866" s="47"/>
    </row>
    <row r="1867" spans="1:14" ht="16.5" customHeight="1" x14ac:dyDescent="0.25">
      <c r="A1867" s="49"/>
      <c r="B1867" s="47"/>
      <c r="C1867" s="47"/>
      <c r="D1867" s="47"/>
      <c r="E1867" s="47"/>
      <c r="F1867" s="47"/>
      <c r="G1867" s="47"/>
      <c r="H1867" s="47"/>
      <c r="I1867" s="47"/>
      <c r="J1867" s="48"/>
      <c r="K1867" s="47"/>
      <c r="L1867" s="47"/>
      <c r="M1867" s="47"/>
      <c r="N1867" s="47"/>
    </row>
    <row r="1868" spans="1:14" ht="16.5" customHeight="1" x14ac:dyDescent="0.25">
      <c r="A1868" s="49"/>
      <c r="B1868" s="47"/>
      <c r="C1868" s="47"/>
      <c r="D1868" s="47"/>
      <c r="E1868" s="47"/>
      <c r="F1868" s="47"/>
      <c r="G1868" s="47"/>
      <c r="H1868" s="47"/>
      <c r="I1868" s="47"/>
      <c r="J1868" s="48"/>
      <c r="K1868" s="47"/>
      <c r="L1868" s="47"/>
      <c r="M1868" s="47"/>
      <c r="N1868" s="47"/>
    </row>
    <row r="1869" spans="1:14" ht="16.5" customHeight="1" x14ac:dyDescent="0.25">
      <c r="A1869" s="49"/>
      <c r="B1869" s="47"/>
      <c r="C1869" s="47"/>
      <c r="D1869" s="47"/>
      <c r="E1869" s="47"/>
      <c r="F1869" s="47"/>
      <c r="G1869" s="47"/>
      <c r="H1869" s="47"/>
      <c r="I1869" s="47"/>
      <c r="J1869" s="48"/>
      <c r="K1869" s="47"/>
      <c r="L1869" s="47"/>
      <c r="M1869" s="47"/>
      <c r="N1869" s="47"/>
    </row>
    <row r="1870" spans="1:14" ht="16.5" customHeight="1" x14ac:dyDescent="0.25">
      <c r="A1870" s="49"/>
      <c r="B1870" s="47"/>
      <c r="C1870" s="47"/>
      <c r="D1870" s="47"/>
      <c r="E1870" s="47"/>
      <c r="F1870" s="47"/>
      <c r="G1870" s="47"/>
      <c r="H1870" s="47"/>
      <c r="I1870" s="47"/>
      <c r="J1870" s="48"/>
      <c r="K1870" s="47"/>
      <c r="L1870" s="47"/>
      <c r="M1870" s="47"/>
      <c r="N1870" s="47"/>
    </row>
    <row r="1871" spans="1:14" ht="16.5" customHeight="1" x14ac:dyDescent="0.25">
      <c r="A1871" s="49"/>
      <c r="B1871" s="47"/>
      <c r="C1871" s="47"/>
      <c r="D1871" s="47"/>
      <c r="E1871" s="47"/>
      <c r="F1871" s="47"/>
      <c r="G1871" s="47"/>
      <c r="H1871" s="47"/>
      <c r="I1871" s="47"/>
      <c r="J1871" s="48"/>
      <c r="K1871" s="47"/>
      <c r="L1871" s="47"/>
      <c r="M1871" s="47"/>
      <c r="N1871" s="47"/>
    </row>
    <row r="1872" spans="1:14" ht="16.5" customHeight="1" x14ac:dyDescent="0.25">
      <c r="A1872" s="49"/>
      <c r="B1872" s="47"/>
      <c r="C1872" s="47"/>
      <c r="D1872" s="47"/>
      <c r="E1872" s="47"/>
      <c r="F1872" s="47"/>
      <c r="G1872" s="47"/>
      <c r="H1872" s="47"/>
      <c r="I1872" s="47"/>
      <c r="J1872" s="48"/>
      <c r="K1872" s="47"/>
      <c r="L1872" s="47"/>
      <c r="M1872" s="47"/>
      <c r="N1872" s="47"/>
    </row>
    <row r="1873" spans="1:14" ht="16.5" customHeight="1" x14ac:dyDescent="0.25">
      <c r="A1873" s="49"/>
      <c r="B1873" s="47"/>
      <c r="C1873" s="47"/>
      <c r="D1873" s="47"/>
      <c r="E1873" s="47"/>
      <c r="F1873" s="47"/>
      <c r="G1873" s="47"/>
      <c r="H1873" s="47"/>
      <c r="I1873" s="47"/>
      <c r="J1873" s="48"/>
      <c r="K1873" s="47"/>
      <c r="L1873" s="47"/>
      <c r="M1873" s="47"/>
      <c r="N1873" s="47"/>
    </row>
    <row r="1874" spans="1:14" ht="16.5" customHeight="1" x14ac:dyDescent="0.25">
      <c r="A1874" s="49"/>
      <c r="B1874" s="47"/>
      <c r="C1874" s="47"/>
      <c r="D1874" s="47"/>
      <c r="E1874" s="47"/>
      <c r="F1874" s="47"/>
      <c r="G1874" s="47"/>
      <c r="H1874" s="47"/>
      <c r="I1874" s="47"/>
      <c r="J1874" s="48"/>
      <c r="K1874" s="47"/>
      <c r="L1874" s="47"/>
      <c r="M1874" s="47"/>
      <c r="N1874" s="47"/>
    </row>
    <row r="1875" spans="1:14" ht="16.5" customHeight="1" x14ac:dyDescent="0.25">
      <c r="A1875" s="49"/>
      <c r="B1875" s="47"/>
      <c r="C1875" s="47"/>
      <c r="D1875" s="47"/>
      <c r="E1875" s="47"/>
      <c r="F1875" s="47"/>
      <c r="G1875" s="47"/>
      <c r="H1875" s="47"/>
      <c r="I1875" s="47"/>
      <c r="J1875" s="48"/>
      <c r="K1875" s="47"/>
      <c r="L1875" s="47"/>
      <c r="M1875" s="47"/>
      <c r="N1875" s="47"/>
    </row>
    <row r="1876" spans="1:14" ht="16.5" customHeight="1" x14ac:dyDescent="0.25">
      <c r="A1876" s="49"/>
      <c r="B1876" s="47"/>
      <c r="C1876" s="47"/>
      <c r="D1876" s="47"/>
      <c r="E1876" s="47"/>
      <c r="F1876" s="47"/>
      <c r="G1876" s="47"/>
      <c r="H1876" s="47"/>
      <c r="I1876" s="47"/>
      <c r="J1876" s="48"/>
      <c r="K1876" s="47"/>
      <c r="L1876" s="47"/>
      <c r="M1876" s="47"/>
      <c r="N1876" s="47"/>
    </row>
    <row r="1877" spans="1:14" ht="16.5" customHeight="1" x14ac:dyDescent="0.25">
      <c r="A1877" s="49"/>
      <c r="B1877" s="47"/>
      <c r="C1877" s="47"/>
      <c r="D1877" s="47"/>
      <c r="E1877" s="47"/>
      <c r="F1877" s="47"/>
      <c r="G1877" s="47"/>
      <c r="H1877" s="47"/>
      <c r="I1877" s="47"/>
      <c r="J1877" s="48"/>
      <c r="K1877" s="47"/>
      <c r="L1877" s="47"/>
      <c r="M1877" s="47"/>
      <c r="N1877" s="47"/>
    </row>
    <row r="1878" spans="1:14" ht="16.5" customHeight="1" x14ac:dyDescent="0.25">
      <c r="A1878" s="49"/>
      <c r="B1878" s="47"/>
      <c r="C1878" s="47"/>
      <c r="D1878" s="47"/>
      <c r="E1878" s="47"/>
      <c r="F1878" s="47"/>
      <c r="G1878" s="47"/>
      <c r="H1878" s="47"/>
      <c r="I1878" s="47"/>
      <c r="J1878" s="48"/>
      <c r="K1878" s="47"/>
      <c r="L1878" s="47"/>
      <c r="M1878" s="47"/>
      <c r="N1878" s="47"/>
    </row>
    <row r="1879" spans="1:14" ht="16.5" customHeight="1" x14ac:dyDescent="0.25">
      <c r="A1879" s="49"/>
      <c r="B1879" s="47"/>
      <c r="C1879" s="47"/>
      <c r="D1879" s="47"/>
      <c r="E1879" s="47"/>
      <c r="F1879" s="47"/>
      <c r="G1879" s="47"/>
      <c r="H1879" s="47"/>
      <c r="I1879" s="47"/>
      <c r="J1879" s="48"/>
      <c r="K1879" s="47"/>
      <c r="L1879" s="47"/>
      <c r="M1879" s="47"/>
      <c r="N1879" s="47"/>
    </row>
    <row r="1880" spans="1:14" ht="16.5" customHeight="1" x14ac:dyDescent="0.25">
      <c r="A1880" s="49"/>
      <c r="B1880" s="47"/>
      <c r="C1880" s="47"/>
      <c r="D1880" s="47"/>
      <c r="E1880" s="47"/>
      <c r="F1880" s="47"/>
      <c r="G1880" s="47"/>
      <c r="H1880" s="47"/>
      <c r="I1880" s="47"/>
      <c r="J1880" s="48"/>
      <c r="K1880" s="47"/>
      <c r="L1880" s="47"/>
      <c r="M1880" s="47"/>
      <c r="N1880" s="47"/>
    </row>
    <row r="1881" spans="1:14" ht="16.5" customHeight="1" x14ac:dyDescent="0.25">
      <c r="A1881" s="49"/>
      <c r="B1881" s="47"/>
      <c r="C1881" s="47"/>
      <c r="D1881" s="47"/>
      <c r="E1881" s="47"/>
      <c r="F1881" s="47"/>
      <c r="G1881" s="47"/>
      <c r="H1881" s="47"/>
      <c r="I1881" s="47"/>
      <c r="J1881" s="48"/>
      <c r="K1881" s="47"/>
      <c r="L1881" s="47"/>
      <c r="M1881" s="47"/>
      <c r="N1881" s="47"/>
    </row>
    <row r="1882" spans="1:14" ht="16.5" customHeight="1" x14ac:dyDescent="0.25">
      <c r="A1882" s="49"/>
      <c r="B1882" s="47"/>
      <c r="C1882" s="47"/>
      <c r="D1882" s="47"/>
      <c r="E1882" s="47"/>
      <c r="F1882" s="47"/>
      <c r="G1882" s="47"/>
      <c r="H1882" s="47"/>
      <c r="I1882" s="47"/>
      <c r="J1882" s="48"/>
      <c r="K1882" s="47"/>
      <c r="L1882" s="47"/>
      <c r="M1882" s="47"/>
      <c r="N1882" s="47"/>
    </row>
    <row r="1883" spans="1:14" ht="16.5" customHeight="1" x14ac:dyDescent="0.25">
      <c r="A1883" s="49"/>
      <c r="B1883" s="47"/>
      <c r="C1883" s="47"/>
      <c r="D1883" s="47"/>
      <c r="E1883" s="47"/>
      <c r="F1883" s="47"/>
      <c r="G1883" s="47"/>
      <c r="H1883" s="47"/>
      <c r="I1883" s="47"/>
      <c r="J1883" s="48"/>
      <c r="K1883" s="47"/>
      <c r="L1883" s="47"/>
      <c r="M1883" s="47"/>
      <c r="N1883" s="47"/>
    </row>
    <row r="1884" spans="1:14" ht="16.5" customHeight="1" x14ac:dyDescent="0.25">
      <c r="A1884" s="49"/>
      <c r="B1884" s="47"/>
      <c r="C1884" s="47"/>
      <c r="D1884" s="47"/>
      <c r="E1884" s="47"/>
      <c r="F1884" s="47"/>
      <c r="G1884" s="47"/>
      <c r="H1884" s="47"/>
      <c r="I1884" s="47"/>
      <c r="J1884" s="48"/>
      <c r="K1884" s="47"/>
      <c r="L1884" s="47"/>
      <c r="M1884" s="47"/>
      <c r="N1884" s="47"/>
    </row>
    <row r="1885" spans="1:14" ht="16.5" customHeight="1" x14ac:dyDescent="0.25">
      <c r="A1885" s="49"/>
      <c r="B1885" s="47"/>
      <c r="C1885" s="47"/>
      <c r="D1885" s="47"/>
      <c r="E1885" s="47"/>
      <c r="F1885" s="47"/>
      <c r="G1885" s="47"/>
      <c r="H1885" s="47"/>
      <c r="I1885" s="47"/>
      <c r="J1885" s="48"/>
      <c r="K1885" s="47"/>
      <c r="L1885" s="47"/>
      <c r="M1885" s="47"/>
      <c r="N1885" s="47"/>
    </row>
    <row r="1886" spans="1:14" ht="16.5" customHeight="1" x14ac:dyDescent="0.25">
      <c r="A1886" s="49"/>
      <c r="B1886" s="47"/>
      <c r="C1886" s="47"/>
      <c r="D1886" s="47"/>
      <c r="E1886" s="47"/>
      <c r="F1886" s="47"/>
      <c r="G1886" s="47"/>
      <c r="H1886" s="47"/>
      <c r="I1886" s="47"/>
      <c r="J1886" s="48"/>
      <c r="K1886" s="47"/>
      <c r="L1886" s="47"/>
      <c r="M1886" s="47"/>
      <c r="N1886" s="47"/>
    </row>
    <row r="1887" spans="1:14" ht="16.5" customHeight="1" x14ac:dyDescent="0.25">
      <c r="A1887" s="49"/>
      <c r="B1887" s="47"/>
      <c r="C1887" s="47"/>
      <c r="D1887" s="47"/>
      <c r="E1887" s="47"/>
      <c r="F1887" s="47"/>
      <c r="G1887" s="47"/>
      <c r="H1887" s="47"/>
      <c r="I1887" s="47"/>
      <c r="J1887" s="48"/>
      <c r="K1887" s="47"/>
      <c r="L1887" s="47"/>
      <c r="M1887" s="47"/>
      <c r="N1887" s="47"/>
    </row>
    <row r="1888" spans="1:14" ht="16.5" customHeight="1" x14ac:dyDescent="0.25">
      <c r="A1888" s="49"/>
      <c r="B1888" s="47"/>
      <c r="C1888" s="47"/>
      <c r="D1888" s="47"/>
      <c r="E1888" s="47"/>
      <c r="F1888" s="47"/>
      <c r="G1888" s="47"/>
      <c r="H1888" s="47"/>
      <c r="I1888" s="47"/>
      <c r="J1888" s="48"/>
      <c r="K1888" s="47"/>
      <c r="L1888" s="47"/>
      <c r="M1888" s="47"/>
      <c r="N1888" s="47"/>
    </row>
    <row r="1889" spans="1:14" ht="16.5" customHeight="1" x14ac:dyDescent="0.25">
      <c r="A1889" s="49"/>
      <c r="B1889" s="47"/>
      <c r="C1889" s="47"/>
      <c r="D1889" s="47"/>
      <c r="E1889" s="47"/>
      <c r="F1889" s="47"/>
      <c r="G1889" s="47"/>
      <c r="H1889" s="47"/>
      <c r="I1889" s="47"/>
      <c r="J1889" s="48"/>
      <c r="K1889" s="47"/>
      <c r="L1889" s="47"/>
      <c r="M1889" s="47"/>
      <c r="N1889" s="47"/>
    </row>
    <row r="1890" spans="1:14" ht="16.5" customHeight="1" x14ac:dyDescent="0.25">
      <c r="A1890" s="49"/>
      <c r="B1890" s="47"/>
      <c r="C1890" s="47"/>
      <c r="D1890" s="47"/>
      <c r="E1890" s="47"/>
      <c r="F1890" s="47"/>
      <c r="G1890" s="47"/>
      <c r="H1890" s="47"/>
      <c r="I1890" s="47"/>
      <c r="J1890" s="48"/>
      <c r="K1890" s="47"/>
      <c r="L1890" s="47"/>
      <c r="M1890" s="47"/>
      <c r="N1890" s="47"/>
    </row>
    <row r="1891" spans="1:14" ht="16.5" customHeight="1" x14ac:dyDescent="0.25">
      <c r="A1891" s="49"/>
      <c r="B1891" s="47"/>
      <c r="C1891" s="47"/>
      <c r="D1891" s="47"/>
      <c r="E1891" s="47"/>
      <c r="F1891" s="47"/>
      <c r="G1891" s="47"/>
      <c r="H1891" s="47"/>
      <c r="I1891" s="47"/>
      <c r="J1891" s="48"/>
      <c r="K1891" s="47"/>
      <c r="L1891" s="47"/>
      <c r="M1891" s="47"/>
      <c r="N1891" s="47"/>
    </row>
    <row r="1892" spans="1:14" ht="16.5" customHeight="1" x14ac:dyDescent="0.25">
      <c r="A1892" s="49"/>
      <c r="B1892" s="47"/>
      <c r="C1892" s="47"/>
      <c r="D1892" s="47"/>
      <c r="E1892" s="47"/>
      <c r="F1892" s="47"/>
      <c r="G1892" s="47"/>
      <c r="H1892" s="47"/>
      <c r="I1892" s="47"/>
      <c r="J1892" s="48"/>
      <c r="K1892" s="47"/>
      <c r="L1892" s="47"/>
      <c r="M1892" s="47"/>
      <c r="N1892" s="47"/>
    </row>
    <row r="1893" spans="1:14" ht="16.5" customHeight="1" x14ac:dyDescent="0.25">
      <c r="A1893" s="49"/>
      <c r="B1893" s="47"/>
      <c r="C1893" s="47"/>
      <c r="D1893" s="47"/>
      <c r="E1893" s="47"/>
      <c r="F1893" s="47"/>
      <c r="G1893" s="47"/>
      <c r="H1893" s="47"/>
      <c r="I1893" s="47"/>
      <c r="J1893" s="48"/>
      <c r="K1893" s="47"/>
      <c r="L1893" s="47"/>
      <c r="M1893" s="47"/>
      <c r="N1893" s="47"/>
    </row>
    <row r="1894" spans="1:14" ht="16.5" customHeight="1" x14ac:dyDescent="0.25">
      <c r="A1894" s="49"/>
      <c r="B1894" s="47"/>
      <c r="C1894" s="47"/>
      <c r="D1894" s="47"/>
      <c r="E1894" s="47"/>
      <c r="F1894" s="47"/>
      <c r="G1894" s="47"/>
      <c r="H1894" s="47"/>
      <c r="I1894" s="47"/>
      <c r="J1894" s="48"/>
      <c r="K1894" s="47"/>
      <c r="L1894" s="47"/>
      <c r="M1894" s="47"/>
      <c r="N1894" s="47"/>
    </row>
    <row r="1895" spans="1:14" ht="16.5" customHeight="1" x14ac:dyDescent="0.25">
      <c r="A1895" s="49"/>
      <c r="B1895" s="47"/>
      <c r="C1895" s="47"/>
      <c r="D1895" s="47"/>
      <c r="E1895" s="47"/>
      <c r="F1895" s="47"/>
      <c r="G1895" s="47"/>
      <c r="H1895" s="47"/>
      <c r="I1895" s="47"/>
      <c r="J1895" s="48"/>
      <c r="K1895" s="47"/>
      <c r="L1895" s="47"/>
      <c r="M1895" s="47"/>
      <c r="N1895" s="47"/>
    </row>
    <row r="1896" spans="1:14" ht="16.5" customHeight="1" x14ac:dyDescent="0.25">
      <c r="A1896" s="49"/>
      <c r="B1896" s="47"/>
      <c r="C1896" s="47"/>
      <c r="D1896" s="47"/>
      <c r="E1896" s="47"/>
      <c r="F1896" s="47"/>
      <c r="G1896" s="47"/>
      <c r="H1896" s="47"/>
      <c r="I1896" s="47"/>
      <c r="J1896" s="48"/>
      <c r="K1896" s="47"/>
      <c r="L1896" s="47"/>
      <c r="M1896" s="47"/>
      <c r="N1896" s="47"/>
    </row>
    <row r="1897" spans="1:14" ht="16.5" customHeight="1" x14ac:dyDescent="0.25">
      <c r="A1897" s="49"/>
      <c r="B1897" s="47"/>
      <c r="C1897" s="47"/>
      <c r="D1897" s="47"/>
      <c r="E1897" s="47"/>
      <c r="F1897" s="47"/>
      <c r="G1897" s="47"/>
      <c r="H1897" s="47"/>
      <c r="I1897" s="47"/>
      <c r="J1897" s="48"/>
      <c r="K1897" s="47"/>
      <c r="L1897" s="47"/>
      <c r="M1897" s="47"/>
      <c r="N1897" s="47"/>
    </row>
    <row r="1898" spans="1:14" ht="16.5" customHeight="1" x14ac:dyDescent="0.25">
      <c r="A1898" s="49"/>
      <c r="B1898" s="47"/>
      <c r="C1898" s="47"/>
      <c r="D1898" s="47"/>
      <c r="E1898" s="47"/>
      <c r="F1898" s="47"/>
      <c r="G1898" s="47"/>
      <c r="H1898" s="47"/>
      <c r="I1898" s="47"/>
      <c r="J1898" s="48"/>
      <c r="K1898" s="47"/>
      <c r="L1898" s="47"/>
      <c r="M1898" s="47"/>
      <c r="N1898" s="47"/>
    </row>
    <row r="1899" spans="1:14" ht="16.5" customHeight="1" x14ac:dyDescent="0.25">
      <c r="A1899" s="49"/>
      <c r="B1899" s="47"/>
      <c r="C1899" s="47"/>
      <c r="D1899" s="47"/>
      <c r="E1899" s="47"/>
      <c r="F1899" s="47"/>
      <c r="G1899" s="47"/>
      <c r="H1899" s="47"/>
      <c r="I1899" s="47"/>
      <c r="J1899" s="48"/>
      <c r="K1899" s="47"/>
      <c r="L1899" s="47"/>
      <c r="M1899" s="47"/>
      <c r="N1899" s="47"/>
    </row>
    <row r="1900" spans="1:14" ht="16.5" customHeight="1" x14ac:dyDescent="0.25">
      <c r="A1900" s="49"/>
      <c r="B1900" s="47"/>
      <c r="C1900" s="47"/>
      <c r="D1900" s="47"/>
      <c r="E1900" s="47"/>
      <c r="F1900" s="47"/>
      <c r="G1900" s="47"/>
      <c r="H1900" s="47"/>
      <c r="I1900" s="47"/>
      <c r="J1900" s="48"/>
      <c r="K1900" s="47"/>
      <c r="L1900" s="47"/>
      <c r="M1900" s="47"/>
      <c r="N1900" s="47"/>
    </row>
    <row r="1901" spans="1:14" ht="16.5" customHeight="1" x14ac:dyDescent="0.25">
      <c r="A1901" s="49"/>
      <c r="B1901" s="47"/>
      <c r="C1901" s="47"/>
      <c r="D1901" s="47"/>
      <c r="E1901" s="47"/>
      <c r="F1901" s="47"/>
      <c r="G1901" s="47"/>
      <c r="H1901" s="47"/>
      <c r="I1901" s="47"/>
      <c r="J1901" s="48"/>
      <c r="K1901" s="47"/>
      <c r="L1901" s="47"/>
      <c r="M1901" s="47"/>
      <c r="N1901" s="47"/>
    </row>
    <row r="1902" spans="1:14" ht="16.5" customHeight="1" x14ac:dyDescent="0.25">
      <c r="A1902" s="49"/>
      <c r="B1902" s="47"/>
      <c r="C1902" s="47"/>
      <c r="D1902" s="47"/>
      <c r="E1902" s="47"/>
      <c r="F1902" s="47"/>
      <c r="G1902" s="47"/>
      <c r="H1902" s="47"/>
      <c r="I1902" s="47"/>
      <c r="J1902" s="48"/>
      <c r="K1902" s="47"/>
      <c r="L1902" s="47"/>
      <c r="M1902" s="47"/>
      <c r="N1902" s="47"/>
    </row>
    <row r="1903" spans="1:14" ht="16.5" customHeight="1" x14ac:dyDescent="0.25">
      <c r="A1903" s="49"/>
      <c r="B1903" s="47"/>
      <c r="C1903" s="47"/>
      <c r="D1903" s="47"/>
      <c r="E1903" s="47"/>
      <c r="F1903" s="47"/>
      <c r="G1903" s="47"/>
      <c r="H1903" s="47"/>
      <c r="I1903" s="47"/>
      <c r="J1903" s="48"/>
      <c r="K1903" s="47"/>
      <c r="L1903" s="47"/>
      <c r="M1903" s="47"/>
      <c r="N1903" s="47"/>
    </row>
    <row r="1904" spans="1:14" ht="16.5" customHeight="1" x14ac:dyDescent="0.25">
      <c r="A1904" s="49"/>
      <c r="B1904" s="47"/>
      <c r="C1904" s="47"/>
      <c r="D1904" s="47"/>
      <c r="E1904" s="47"/>
      <c r="F1904" s="47"/>
      <c r="G1904" s="47"/>
      <c r="H1904" s="47"/>
      <c r="I1904" s="47"/>
      <c r="J1904" s="48"/>
      <c r="K1904" s="47"/>
      <c r="L1904" s="47"/>
      <c r="M1904" s="47"/>
      <c r="N1904" s="47"/>
    </row>
    <row r="1905" spans="1:14" ht="16.5" customHeight="1" x14ac:dyDescent="0.25">
      <c r="A1905" s="49"/>
      <c r="B1905" s="47"/>
      <c r="C1905" s="47"/>
      <c r="D1905" s="47"/>
      <c r="E1905" s="47"/>
      <c r="F1905" s="47"/>
      <c r="G1905" s="47"/>
      <c r="H1905" s="47"/>
      <c r="I1905" s="47"/>
      <c r="J1905" s="48"/>
      <c r="K1905" s="47"/>
      <c r="L1905" s="47"/>
      <c r="M1905" s="47"/>
      <c r="N1905" s="47"/>
    </row>
    <row r="1906" spans="1:14" ht="16.5" customHeight="1" x14ac:dyDescent="0.25">
      <c r="A1906" s="49"/>
      <c r="B1906" s="47"/>
      <c r="C1906" s="47"/>
      <c r="D1906" s="47"/>
      <c r="E1906" s="47"/>
      <c r="F1906" s="47"/>
      <c r="G1906" s="47"/>
      <c r="H1906" s="47"/>
      <c r="I1906" s="47"/>
      <c r="J1906" s="48"/>
      <c r="K1906" s="47"/>
      <c r="L1906" s="47"/>
      <c r="M1906" s="47"/>
      <c r="N1906" s="47"/>
    </row>
    <row r="1907" spans="1:14" ht="16.5" customHeight="1" x14ac:dyDescent="0.25">
      <c r="A1907" s="49"/>
      <c r="B1907" s="47"/>
      <c r="C1907" s="47"/>
      <c r="D1907" s="47"/>
      <c r="E1907" s="47"/>
      <c r="F1907" s="47"/>
      <c r="G1907" s="47"/>
      <c r="H1907" s="47"/>
      <c r="I1907" s="47"/>
      <c r="J1907" s="48"/>
      <c r="K1907" s="47"/>
      <c r="L1907" s="47"/>
      <c r="M1907" s="47"/>
      <c r="N1907" s="47"/>
    </row>
    <row r="1908" spans="1:14" ht="16.5" customHeight="1" x14ac:dyDescent="0.25">
      <c r="A1908" s="49"/>
      <c r="B1908" s="47"/>
      <c r="C1908" s="47"/>
      <c r="D1908" s="47"/>
      <c r="E1908" s="47"/>
      <c r="F1908" s="47"/>
      <c r="G1908" s="47"/>
      <c r="H1908" s="47"/>
      <c r="I1908" s="47"/>
      <c r="J1908" s="48"/>
      <c r="K1908" s="47"/>
      <c r="L1908" s="47"/>
      <c r="M1908" s="47"/>
      <c r="N1908" s="47"/>
    </row>
    <row r="1909" spans="1:14" ht="16.5" customHeight="1" x14ac:dyDescent="0.25">
      <c r="A1909" s="49"/>
      <c r="B1909" s="47"/>
      <c r="C1909" s="47"/>
      <c r="D1909" s="47"/>
      <c r="E1909" s="47"/>
      <c r="F1909" s="47"/>
      <c r="G1909" s="47"/>
      <c r="H1909" s="47"/>
      <c r="I1909" s="47"/>
      <c r="J1909" s="48"/>
      <c r="K1909" s="47"/>
      <c r="L1909" s="47"/>
      <c r="M1909" s="47"/>
      <c r="N1909" s="47"/>
    </row>
    <row r="1910" spans="1:14" ht="16.5" customHeight="1" x14ac:dyDescent="0.25">
      <c r="A1910" s="49"/>
      <c r="B1910" s="47"/>
      <c r="C1910" s="47"/>
      <c r="D1910" s="47"/>
      <c r="E1910" s="47"/>
      <c r="F1910" s="47"/>
      <c r="G1910" s="47"/>
      <c r="H1910" s="47"/>
      <c r="I1910" s="47"/>
      <c r="J1910" s="48"/>
      <c r="K1910" s="47"/>
      <c r="L1910" s="47"/>
      <c r="M1910" s="47"/>
      <c r="N1910" s="47"/>
    </row>
    <row r="1911" spans="1:14" ht="16.5" customHeight="1" x14ac:dyDescent="0.25">
      <c r="A1911" s="49"/>
      <c r="B1911" s="47"/>
      <c r="C1911" s="47"/>
      <c r="D1911" s="47"/>
      <c r="E1911" s="47"/>
      <c r="F1911" s="47"/>
      <c r="G1911" s="47"/>
      <c r="H1911" s="47"/>
      <c r="I1911" s="47"/>
      <c r="J1911" s="48"/>
      <c r="K1911" s="47"/>
      <c r="L1911" s="47"/>
      <c r="M1911" s="47"/>
      <c r="N1911" s="47"/>
    </row>
    <row r="1912" spans="1:14" ht="16.5" customHeight="1" x14ac:dyDescent="0.25">
      <c r="A1912" s="49"/>
      <c r="B1912" s="47"/>
      <c r="C1912" s="47"/>
      <c r="D1912" s="47"/>
      <c r="E1912" s="47"/>
      <c r="F1912" s="47"/>
      <c r="G1912" s="47"/>
      <c r="H1912" s="47"/>
      <c r="I1912" s="47"/>
      <c r="J1912" s="48"/>
      <c r="K1912" s="47"/>
      <c r="L1912" s="47"/>
      <c r="M1912" s="47"/>
      <c r="N1912" s="47"/>
    </row>
    <row r="1913" spans="1:14" ht="16.5" customHeight="1" x14ac:dyDescent="0.25">
      <c r="A1913" s="49"/>
      <c r="B1913" s="47"/>
      <c r="C1913" s="47"/>
      <c r="D1913" s="47"/>
      <c r="E1913" s="47"/>
      <c r="F1913" s="47"/>
      <c r="G1913" s="47"/>
      <c r="H1913" s="47"/>
      <c r="I1913" s="47"/>
      <c r="J1913" s="48"/>
      <c r="K1913" s="47"/>
      <c r="L1913" s="47"/>
      <c r="M1913" s="47"/>
      <c r="N1913" s="47"/>
    </row>
    <row r="1914" spans="1:14" ht="16.5" customHeight="1" x14ac:dyDescent="0.25">
      <c r="A1914" s="49"/>
      <c r="B1914" s="47"/>
      <c r="C1914" s="47"/>
      <c r="D1914" s="47"/>
      <c r="E1914" s="47"/>
      <c r="F1914" s="47"/>
      <c r="G1914" s="47"/>
      <c r="H1914" s="47"/>
      <c r="I1914" s="47"/>
      <c r="J1914" s="48"/>
      <c r="K1914" s="47"/>
      <c r="L1914" s="47"/>
      <c r="M1914" s="47"/>
      <c r="N1914" s="47"/>
    </row>
    <row r="1915" spans="1:14" ht="16.5" customHeight="1" x14ac:dyDescent="0.25">
      <c r="A1915" s="49"/>
      <c r="B1915" s="47"/>
      <c r="C1915" s="47"/>
      <c r="D1915" s="47"/>
      <c r="E1915" s="47"/>
      <c r="F1915" s="47"/>
      <c r="G1915" s="47"/>
      <c r="H1915" s="47"/>
      <c r="I1915" s="47"/>
      <c r="J1915" s="48"/>
      <c r="K1915" s="47"/>
      <c r="L1915" s="47"/>
      <c r="M1915" s="47"/>
      <c r="N1915" s="47"/>
    </row>
    <row r="1916" spans="1:14" ht="16.5" customHeight="1" x14ac:dyDescent="0.25">
      <c r="A1916" s="49"/>
      <c r="B1916" s="47"/>
      <c r="C1916" s="47"/>
      <c r="D1916" s="47"/>
      <c r="E1916" s="47"/>
      <c r="F1916" s="47"/>
      <c r="G1916" s="47"/>
      <c r="H1916" s="47"/>
      <c r="I1916" s="47"/>
      <c r="J1916" s="48"/>
      <c r="K1916" s="47"/>
      <c r="L1916" s="47"/>
      <c r="M1916" s="47"/>
      <c r="N1916" s="47"/>
    </row>
    <row r="1917" spans="1:14" ht="16.5" customHeight="1" x14ac:dyDescent="0.25">
      <c r="A1917" s="49"/>
      <c r="B1917" s="47"/>
      <c r="C1917" s="47"/>
      <c r="D1917" s="47"/>
      <c r="E1917" s="47"/>
      <c r="F1917" s="47"/>
      <c r="G1917" s="47"/>
      <c r="H1917" s="47"/>
      <c r="I1917" s="47"/>
      <c r="J1917" s="48"/>
      <c r="K1917" s="47"/>
      <c r="L1917" s="47"/>
      <c r="M1917" s="47"/>
      <c r="N1917" s="47"/>
    </row>
    <row r="1918" spans="1:14" ht="16.5" customHeight="1" x14ac:dyDescent="0.25">
      <c r="A1918" s="49"/>
      <c r="B1918" s="47"/>
      <c r="C1918" s="47"/>
      <c r="D1918" s="47"/>
      <c r="E1918" s="47"/>
      <c r="F1918" s="47"/>
      <c r="G1918" s="47"/>
      <c r="H1918" s="47"/>
      <c r="I1918" s="47"/>
      <c r="J1918" s="48"/>
      <c r="K1918" s="47"/>
      <c r="L1918" s="47"/>
      <c r="M1918" s="47"/>
      <c r="N1918" s="47"/>
    </row>
    <row r="1919" spans="1:14" ht="16.5" customHeight="1" x14ac:dyDescent="0.25">
      <c r="A1919" s="49"/>
      <c r="B1919" s="47"/>
      <c r="C1919" s="47"/>
      <c r="D1919" s="47"/>
      <c r="E1919" s="47"/>
      <c r="F1919" s="47"/>
      <c r="G1919" s="47"/>
      <c r="H1919" s="47"/>
      <c r="I1919" s="47"/>
      <c r="J1919" s="48"/>
      <c r="K1919" s="47"/>
      <c r="L1919" s="47"/>
      <c r="M1919" s="47"/>
      <c r="N1919" s="47"/>
    </row>
    <row r="1920" spans="1:14" ht="16.5" customHeight="1" x14ac:dyDescent="0.25">
      <c r="A1920" s="49"/>
      <c r="B1920" s="47"/>
      <c r="C1920" s="47"/>
      <c r="D1920" s="47"/>
      <c r="E1920" s="47"/>
      <c r="F1920" s="47"/>
      <c r="G1920" s="47"/>
      <c r="H1920" s="47"/>
      <c r="I1920" s="47"/>
      <c r="J1920" s="48"/>
      <c r="K1920" s="47"/>
      <c r="L1920" s="47"/>
      <c r="M1920" s="47"/>
      <c r="N1920" s="47"/>
    </row>
    <row r="1921" spans="1:14" ht="16.5" customHeight="1" x14ac:dyDescent="0.25">
      <c r="A1921" s="49"/>
      <c r="B1921" s="47"/>
      <c r="C1921" s="47"/>
      <c r="D1921" s="47"/>
      <c r="E1921" s="47"/>
      <c r="F1921" s="47"/>
      <c r="G1921" s="47"/>
      <c r="H1921" s="47"/>
      <c r="I1921" s="47"/>
      <c r="J1921" s="48"/>
      <c r="K1921" s="47"/>
      <c r="L1921" s="47"/>
      <c r="M1921" s="47"/>
      <c r="N1921" s="47"/>
    </row>
    <row r="1922" spans="1:14" ht="16.5" customHeight="1" x14ac:dyDescent="0.25">
      <c r="A1922" s="49"/>
      <c r="B1922" s="47"/>
      <c r="C1922" s="47"/>
      <c r="D1922" s="47"/>
      <c r="E1922" s="47"/>
      <c r="F1922" s="47"/>
      <c r="G1922" s="47"/>
      <c r="H1922" s="47"/>
      <c r="I1922" s="47"/>
      <c r="J1922" s="48"/>
      <c r="K1922" s="47"/>
      <c r="L1922" s="47"/>
      <c r="M1922" s="47"/>
      <c r="N1922" s="47"/>
    </row>
    <row r="1923" spans="1:14" ht="16.5" customHeight="1" x14ac:dyDescent="0.25">
      <c r="A1923" s="49"/>
      <c r="B1923" s="47"/>
      <c r="C1923" s="47"/>
      <c r="D1923" s="47"/>
      <c r="E1923" s="47"/>
      <c r="F1923" s="47"/>
      <c r="G1923" s="47"/>
      <c r="H1923" s="47"/>
      <c r="I1923" s="47"/>
      <c r="J1923" s="48"/>
      <c r="K1923" s="47"/>
      <c r="L1923" s="47"/>
      <c r="M1923" s="47"/>
      <c r="N1923" s="47"/>
    </row>
    <row r="1924" spans="1:14" ht="16.5" customHeight="1" x14ac:dyDescent="0.25">
      <c r="A1924" s="49"/>
      <c r="B1924" s="47"/>
      <c r="C1924" s="47"/>
      <c r="D1924" s="47"/>
      <c r="E1924" s="47"/>
      <c r="F1924" s="47"/>
      <c r="G1924" s="47"/>
      <c r="H1924" s="47"/>
      <c r="I1924" s="47"/>
      <c r="J1924" s="48"/>
      <c r="K1924" s="47"/>
      <c r="L1924" s="47"/>
      <c r="M1924" s="47"/>
      <c r="N1924" s="47"/>
    </row>
    <row r="1925" spans="1:14" ht="16.5" customHeight="1" x14ac:dyDescent="0.25">
      <c r="A1925" s="49"/>
      <c r="B1925" s="47"/>
      <c r="C1925" s="47"/>
      <c r="D1925" s="47"/>
      <c r="E1925" s="47"/>
      <c r="F1925" s="47"/>
      <c r="G1925" s="47"/>
      <c r="H1925" s="47"/>
      <c r="I1925" s="47"/>
      <c r="J1925" s="48"/>
      <c r="K1925" s="47"/>
      <c r="L1925" s="47"/>
      <c r="M1925" s="47"/>
      <c r="N1925" s="47"/>
    </row>
    <row r="1926" spans="1:14" ht="16.5" customHeight="1" x14ac:dyDescent="0.25">
      <c r="A1926" s="49"/>
      <c r="B1926" s="47"/>
      <c r="C1926" s="47"/>
      <c r="D1926" s="47"/>
      <c r="E1926" s="47"/>
      <c r="F1926" s="47"/>
      <c r="G1926" s="47"/>
      <c r="H1926" s="47"/>
      <c r="I1926" s="47"/>
      <c r="J1926" s="48"/>
      <c r="K1926" s="47"/>
      <c r="L1926" s="47"/>
      <c r="M1926" s="47"/>
      <c r="N1926" s="47"/>
    </row>
    <row r="1927" spans="1:14" ht="16.5" customHeight="1" x14ac:dyDescent="0.25">
      <c r="A1927" s="49"/>
      <c r="B1927" s="47"/>
      <c r="C1927" s="47"/>
      <c r="D1927" s="47"/>
      <c r="E1927" s="47"/>
      <c r="F1927" s="47"/>
      <c r="G1927" s="47"/>
      <c r="H1927" s="47"/>
      <c r="I1927" s="47"/>
      <c r="J1927" s="48"/>
      <c r="K1927" s="47"/>
      <c r="L1927" s="47"/>
      <c r="M1927" s="47"/>
      <c r="N1927" s="47"/>
    </row>
    <row r="1928" spans="1:14" ht="16.5" customHeight="1" x14ac:dyDescent="0.25">
      <c r="A1928" s="49"/>
      <c r="B1928" s="47"/>
      <c r="C1928" s="47"/>
      <c r="D1928" s="47"/>
      <c r="E1928" s="47"/>
      <c r="F1928" s="47"/>
      <c r="G1928" s="47"/>
      <c r="H1928" s="47"/>
      <c r="I1928" s="47"/>
      <c r="J1928" s="48"/>
      <c r="K1928" s="47"/>
      <c r="L1928" s="47"/>
      <c r="M1928" s="47"/>
      <c r="N1928" s="47"/>
    </row>
    <row r="1929" spans="1:14" ht="16.5" customHeight="1" x14ac:dyDescent="0.25">
      <c r="A1929" s="49"/>
      <c r="B1929" s="47"/>
      <c r="C1929" s="47"/>
      <c r="D1929" s="47"/>
      <c r="E1929" s="47"/>
      <c r="F1929" s="47"/>
      <c r="G1929" s="47"/>
      <c r="H1929" s="47"/>
      <c r="I1929" s="47"/>
      <c r="J1929" s="48"/>
      <c r="K1929" s="47"/>
      <c r="L1929" s="47"/>
      <c r="M1929" s="47"/>
      <c r="N1929" s="47"/>
    </row>
    <row r="1930" spans="1:14" ht="16.5" customHeight="1" x14ac:dyDescent="0.25">
      <c r="A1930" s="49"/>
      <c r="B1930" s="47"/>
      <c r="C1930" s="47"/>
      <c r="D1930" s="47"/>
      <c r="E1930" s="47"/>
      <c r="F1930" s="47"/>
      <c r="G1930" s="47"/>
      <c r="H1930" s="47"/>
      <c r="I1930" s="47"/>
      <c r="J1930" s="48"/>
      <c r="K1930" s="47"/>
      <c r="L1930" s="47"/>
      <c r="M1930" s="47"/>
      <c r="N1930" s="47"/>
    </row>
    <row r="1931" spans="1:14" ht="16.5" customHeight="1" x14ac:dyDescent="0.25">
      <c r="A1931" s="49"/>
      <c r="B1931" s="47"/>
      <c r="C1931" s="47"/>
      <c r="D1931" s="47"/>
      <c r="E1931" s="47"/>
      <c r="F1931" s="47"/>
      <c r="G1931" s="47"/>
      <c r="H1931" s="47"/>
      <c r="I1931" s="47"/>
      <c r="J1931" s="48"/>
      <c r="K1931" s="47"/>
      <c r="L1931" s="47"/>
      <c r="M1931" s="47"/>
      <c r="N1931" s="47"/>
    </row>
    <row r="1932" spans="1:14" ht="16.5" customHeight="1" x14ac:dyDescent="0.25">
      <c r="A1932" s="49"/>
      <c r="B1932" s="47"/>
      <c r="C1932" s="47"/>
      <c r="D1932" s="47"/>
      <c r="E1932" s="47"/>
      <c r="F1932" s="47"/>
      <c r="G1932" s="47"/>
      <c r="H1932" s="47"/>
      <c r="I1932" s="47"/>
      <c r="J1932" s="48"/>
      <c r="K1932" s="47"/>
      <c r="L1932" s="47"/>
      <c r="M1932" s="47"/>
      <c r="N1932" s="47"/>
    </row>
    <row r="1933" spans="1:14" ht="16.5" customHeight="1" x14ac:dyDescent="0.25">
      <c r="A1933" s="49"/>
      <c r="B1933" s="47"/>
      <c r="C1933" s="47"/>
      <c r="D1933" s="47"/>
      <c r="E1933" s="47"/>
      <c r="F1933" s="47"/>
      <c r="G1933" s="47"/>
      <c r="H1933" s="47"/>
      <c r="I1933" s="47"/>
      <c r="J1933" s="48"/>
      <c r="K1933" s="47"/>
      <c r="L1933" s="47"/>
      <c r="M1933" s="47"/>
      <c r="N1933" s="47"/>
    </row>
    <row r="1934" spans="1:14" ht="16.5" customHeight="1" x14ac:dyDescent="0.25">
      <c r="A1934" s="49"/>
      <c r="B1934" s="47"/>
      <c r="C1934" s="47"/>
      <c r="D1934" s="47"/>
      <c r="E1934" s="47"/>
      <c r="F1934" s="47"/>
      <c r="G1934" s="47"/>
      <c r="H1934" s="47"/>
      <c r="I1934" s="47"/>
      <c r="J1934" s="48"/>
      <c r="K1934" s="47"/>
      <c r="L1934" s="47"/>
      <c r="M1934" s="47"/>
      <c r="N1934" s="47"/>
    </row>
    <row r="1935" spans="1:14" ht="16.5" customHeight="1" x14ac:dyDescent="0.25">
      <c r="A1935" s="49"/>
      <c r="B1935" s="47"/>
      <c r="C1935" s="47"/>
      <c r="D1935" s="47"/>
      <c r="E1935" s="47"/>
      <c r="F1935" s="47"/>
      <c r="G1935" s="47"/>
      <c r="H1935" s="47"/>
      <c r="I1935" s="47"/>
      <c r="J1935" s="48"/>
      <c r="K1935" s="47"/>
      <c r="L1935" s="47"/>
      <c r="M1935" s="47"/>
      <c r="N1935" s="47"/>
    </row>
    <row r="1936" spans="1:14" ht="16.5" customHeight="1" x14ac:dyDescent="0.25">
      <c r="A1936" s="49"/>
      <c r="B1936" s="47"/>
      <c r="C1936" s="47"/>
      <c r="D1936" s="47"/>
      <c r="E1936" s="47"/>
      <c r="F1936" s="47"/>
      <c r="G1936" s="47"/>
      <c r="H1936" s="47"/>
      <c r="I1936" s="47"/>
      <c r="J1936" s="48"/>
      <c r="K1936" s="47"/>
      <c r="L1936" s="47"/>
      <c r="M1936" s="47"/>
      <c r="N1936" s="47"/>
    </row>
    <row r="1937" spans="1:14" ht="16.5" customHeight="1" x14ac:dyDescent="0.25">
      <c r="A1937" s="49"/>
      <c r="B1937" s="47"/>
      <c r="C1937" s="47"/>
      <c r="D1937" s="47"/>
      <c r="E1937" s="47"/>
      <c r="F1937" s="47"/>
      <c r="G1937" s="47"/>
      <c r="H1937" s="47"/>
      <c r="I1937" s="47"/>
      <c r="J1937" s="48"/>
      <c r="K1937" s="47"/>
      <c r="L1937" s="47"/>
      <c r="M1937" s="47"/>
      <c r="N1937" s="47"/>
    </row>
    <row r="1938" spans="1:14" ht="16.5" customHeight="1" x14ac:dyDescent="0.25">
      <c r="A1938" s="49"/>
      <c r="B1938" s="47"/>
      <c r="C1938" s="47"/>
      <c r="D1938" s="47"/>
      <c r="E1938" s="47"/>
      <c r="F1938" s="47"/>
      <c r="G1938" s="47"/>
      <c r="H1938" s="47"/>
      <c r="I1938" s="47"/>
      <c r="J1938" s="48"/>
      <c r="K1938" s="47"/>
      <c r="L1938" s="47"/>
      <c r="M1938" s="47"/>
      <c r="N1938" s="47"/>
    </row>
    <row r="1939" spans="1:14" ht="16.5" customHeight="1" x14ac:dyDescent="0.25">
      <c r="A1939" s="49"/>
      <c r="B1939" s="47"/>
      <c r="C1939" s="47"/>
      <c r="D1939" s="47"/>
      <c r="E1939" s="47"/>
      <c r="F1939" s="47"/>
      <c r="G1939" s="47"/>
      <c r="H1939" s="47"/>
      <c r="I1939" s="47"/>
      <c r="J1939" s="48"/>
      <c r="K1939" s="47"/>
      <c r="L1939" s="47"/>
      <c r="M1939" s="47"/>
      <c r="N1939" s="47"/>
    </row>
    <row r="1940" spans="1:14" ht="16.5" customHeight="1" x14ac:dyDescent="0.25">
      <c r="A1940" s="49"/>
      <c r="B1940" s="47"/>
      <c r="C1940" s="47"/>
      <c r="D1940" s="47"/>
      <c r="E1940" s="47"/>
      <c r="F1940" s="47"/>
      <c r="G1940" s="47"/>
      <c r="H1940" s="47"/>
      <c r="I1940" s="47"/>
      <c r="J1940" s="48"/>
      <c r="K1940" s="47"/>
      <c r="L1940" s="47"/>
      <c r="M1940" s="47"/>
      <c r="N1940" s="47"/>
    </row>
    <row r="1941" spans="1:14" ht="16.5" customHeight="1" x14ac:dyDescent="0.25">
      <c r="A1941" s="49"/>
      <c r="B1941" s="47"/>
      <c r="C1941" s="47"/>
      <c r="D1941" s="47"/>
      <c r="E1941" s="47"/>
      <c r="F1941" s="47"/>
      <c r="G1941" s="47"/>
      <c r="H1941" s="47"/>
      <c r="I1941" s="47"/>
      <c r="J1941" s="48"/>
      <c r="K1941" s="47"/>
      <c r="L1941" s="47"/>
      <c r="M1941" s="47"/>
      <c r="N1941" s="47"/>
    </row>
    <row r="1942" spans="1:14" ht="16.5" customHeight="1" x14ac:dyDescent="0.25">
      <c r="A1942" s="49"/>
      <c r="B1942" s="47"/>
      <c r="C1942" s="47"/>
      <c r="D1942" s="47"/>
      <c r="E1942" s="47"/>
      <c r="F1942" s="47"/>
      <c r="G1942" s="47"/>
      <c r="H1942" s="47"/>
      <c r="I1942" s="47"/>
      <c r="J1942" s="48"/>
      <c r="K1942" s="47"/>
      <c r="L1942" s="47"/>
      <c r="M1942" s="47"/>
      <c r="N1942" s="47"/>
    </row>
    <row r="1943" spans="1:14" ht="16.5" customHeight="1" x14ac:dyDescent="0.25">
      <c r="A1943" s="49"/>
      <c r="B1943" s="47"/>
      <c r="C1943" s="47"/>
      <c r="D1943" s="47"/>
      <c r="E1943" s="47"/>
      <c r="F1943" s="47"/>
      <c r="G1943" s="47"/>
      <c r="H1943" s="47"/>
      <c r="I1943" s="47"/>
      <c r="J1943" s="48"/>
      <c r="K1943" s="47"/>
      <c r="L1943" s="47"/>
      <c r="M1943" s="47"/>
      <c r="N1943" s="47"/>
    </row>
    <row r="1944" spans="1:14" ht="16.5" customHeight="1" x14ac:dyDescent="0.25">
      <c r="A1944" s="49"/>
      <c r="B1944" s="47"/>
      <c r="C1944" s="47"/>
      <c r="D1944" s="47"/>
      <c r="E1944" s="47"/>
      <c r="F1944" s="47"/>
      <c r="G1944" s="47"/>
      <c r="H1944" s="47"/>
      <c r="I1944" s="47"/>
      <c r="J1944" s="48"/>
      <c r="K1944" s="47"/>
      <c r="L1944" s="47"/>
      <c r="M1944" s="47"/>
      <c r="N1944" s="47"/>
    </row>
    <row r="1945" spans="1:14" ht="16.5" customHeight="1" x14ac:dyDescent="0.25">
      <c r="A1945" s="49"/>
      <c r="B1945" s="47"/>
      <c r="C1945" s="47"/>
      <c r="D1945" s="47"/>
      <c r="E1945" s="47"/>
      <c r="F1945" s="47"/>
      <c r="G1945" s="47"/>
      <c r="H1945" s="47"/>
      <c r="I1945" s="47"/>
      <c r="J1945" s="48"/>
      <c r="K1945" s="47"/>
      <c r="L1945" s="47"/>
      <c r="M1945" s="47"/>
      <c r="N1945" s="47"/>
    </row>
    <row r="1946" spans="1:14" ht="16.5" customHeight="1" x14ac:dyDescent="0.25">
      <c r="A1946" s="49"/>
      <c r="B1946" s="47"/>
      <c r="C1946" s="47"/>
      <c r="D1946" s="47"/>
      <c r="E1946" s="47"/>
      <c r="F1946" s="47"/>
      <c r="G1946" s="47"/>
      <c r="H1946" s="47"/>
      <c r="I1946" s="47"/>
      <c r="J1946" s="48"/>
      <c r="K1946" s="47"/>
      <c r="L1946" s="47"/>
      <c r="M1946" s="47"/>
      <c r="N1946" s="47"/>
    </row>
    <row r="1947" spans="1:14" ht="16.5" customHeight="1" x14ac:dyDescent="0.25">
      <c r="A1947" s="49"/>
      <c r="B1947" s="47"/>
      <c r="C1947" s="47"/>
      <c r="D1947" s="47"/>
      <c r="E1947" s="47"/>
      <c r="F1947" s="47"/>
      <c r="G1947" s="47"/>
      <c r="H1947" s="47"/>
      <c r="I1947" s="47"/>
      <c r="J1947" s="48"/>
      <c r="K1947" s="47"/>
      <c r="L1947" s="47"/>
      <c r="M1947" s="47"/>
      <c r="N1947" s="47"/>
    </row>
    <row r="1948" spans="1:14" ht="16.5" customHeight="1" x14ac:dyDescent="0.25">
      <c r="A1948" s="49"/>
      <c r="B1948" s="47"/>
      <c r="C1948" s="47"/>
      <c r="D1948" s="47"/>
      <c r="E1948" s="47"/>
      <c r="F1948" s="47"/>
      <c r="G1948" s="47"/>
      <c r="H1948" s="47"/>
      <c r="I1948" s="47"/>
      <c r="J1948" s="48"/>
      <c r="K1948" s="47"/>
      <c r="L1948" s="47"/>
      <c r="M1948" s="47"/>
      <c r="N1948" s="47"/>
    </row>
    <row r="1949" spans="1:14" ht="16.5" customHeight="1" x14ac:dyDescent="0.25">
      <c r="A1949" s="49"/>
      <c r="B1949" s="47"/>
      <c r="C1949" s="47"/>
      <c r="D1949" s="47"/>
      <c r="E1949" s="47"/>
      <c r="F1949" s="47"/>
      <c r="G1949" s="47"/>
      <c r="H1949" s="47"/>
      <c r="I1949" s="47"/>
      <c r="J1949" s="48"/>
      <c r="K1949" s="47"/>
      <c r="L1949" s="47"/>
      <c r="M1949" s="47"/>
      <c r="N1949" s="47"/>
    </row>
    <row r="1950" spans="1:14" ht="16.5" customHeight="1" x14ac:dyDescent="0.25">
      <c r="A1950" s="49"/>
      <c r="B1950" s="47"/>
      <c r="C1950" s="47"/>
      <c r="D1950" s="47"/>
      <c r="E1950" s="47"/>
      <c r="F1950" s="47"/>
      <c r="G1950" s="47"/>
      <c r="H1950" s="47"/>
      <c r="I1950" s="47"/>
      <c r="J1950" s="48"/>
      <c r="K1950" s="47"/>
      <c r="L1950" s="47"/>
      <c r="M1950" s="47"/>
      <c r="N1950" s="47"/>
    </row>
    <row r="1951" spans="1:14" ht="16.5" customHeight="1" x14ac:dyDescent="0.25">
      <c r="A1951" s="49"/>
      <c r="B1951" s="47"/>
      <c r="C1951" s="47"/>
      <c r="D1951" s="47"/>
      <c r="E1951" s="47"/>
      <c r="F1951" s="47"/>
      <c r="G1951" s="47"/>
      <c r="H1951" s="47"/>
      <c r="I1951" s="47"/>
      <c r="J1951" s="48"/>
      <c r="K1951" s="47"/>
      <c r="L1951" s="47"/>
      <c r="M1951" s="47"/>
      <c r="N1951" s="47"/>
    </row>
    <row r="1952" spans="1:14" ht="16.5" customHeight="1" x14ac:dyDescent="0.25">
      <c r="A1952" s="49"/>
      <c r="B1952" s="47"/>
      <c r="C1952" s="47"/>
      <c r="D1952" s="47"/>
      <c r="E1952" s="47"/>
      <c r="F1952" s="47"/>
      <c r="G1952" s="47"/>
      <c r="H1952" s="47"/>
      <c r="I1952" s="47"/>
      <c r="J1952" s="48"/>
      <c r="K1952" s="47"/>
      <c r="L1952" s="47"/>
      <c r="M1952" s="47"/>
      <c r="N1952" s="47"/>
    </row>
    <row r="1953" spans="1:14" ht="16.5" customHeight="1" x14ac:dyDescent="0.25">
      <c r="A1953" s="49"/>
      <c r="B1953" s="47"/>
      <c r="C1953" s="47"/>
      <c r="D1953" s="47"/>
      <c r="E1953" s="47"/>
      <c r="F1953" s="47"/>
      <c r="G1953" s="47"/>
      <c r="H1953" s="47"/>
      <c r="I1953" s="47"/>
      <c r="J1953" s="48"/>
      <c r="K1953" s="47"/>
      <c r="L1953" s="47"/>
      <c r="M1953" s="47"/>
      <c r="N1953" s="47"/>
    </row>
    <row r="1954" spans="1:14" ht="16.5" customHeight="1" x14ac:dyDescent="0.25">
      <c r="A1954" s="49"/>
      <c r="B1954" s="47"/>
      <c r="C1954" s="47"/>
      <c r="D1954" s="47"/>
      <c r="E1954" s="47"/>
      <c r="F1954" s="47"/>
      <c r="G1954" s="47"/>
      <c r="H1954" s="47"/>
      <c r="I1954" s="47"/>
      <c r="J1954" s="48"/>
      <c r="K1954" s="47"/>
      <c r="L1954" s="47"/>
      <c r="M1954" s="47"/>
      <c r="N1954" s="47"/>
    </row>
    <row r="1955" spans="1:14" ht="16.5" customHeight="1" x14ac:dyDescent="0.25">
      <c r="A1955" s="49"/>
      <c r="B1955" s="47"/>
      <c r="C1955" s="47"/>
      <c r="D1955" s="47"/>
      <c r="E1955" s="47"/>
      <c r="F1955" s="47"/>
      <c r="G1955" s="47"/>
      <c r="H1955" s="47"/>
      <c r="I1955" s="47"/>
      <c r="J1955" s="48"/>
      <c r="K1955" s="47"/>
      <c r="L1955" s="47"/>
      <c r="M1955" s="47"/>
      <c r="N1955" s="47"/>
    </row>
    <row r="1956" spans="1:14" ht="16.5" customHeight="1" x14ac:dyDescent="0.25">
      <c r="A1956" s="49"/>
      <c r="B1956" s="47"/>
      <c r="C1956" s="47"/>
      <c r="D1956" s="47"/>
      <c r="E1956" s="47"/>
      <c r="F1956" s="47"/>
      <c r="G1956" s="47"/>
      <c r="H1956" s="47"/>
      <c r="I1956" s="47"/>
      <c r="J1956" s="48"/>
      <c r="K1956" s="47"/>
      <c r="L1956" s="47"/>
      <c r="M1956" s="47"/>
      <c r="N1956" s="47"/>
    </row>
    <row r="1957" spans="1:14" ht="16.5" customHeight="1" x14ac:dyDescent="0.25">
      <c r="A1957" s="49"/>
      <c r="B1957" s="47"/>
      <c r="C1957" s="47"/>
      <c r="D1957" s="47"/>
      <c r="E1957" s="47"/>
      <c r="F1957" s="47"/>
      <c r="G1957" s="47"/>
      <c r="H1957" s="47"/>
      <c r="I1957" s="47"/>
      <c r="J1957" s="48"/>
      <c r="K1957" s="47"/>
      <c r="L1957" s="47"/>
      <c r="M1957" s="47"/>
      <c r="N1957" s="47"/>
    </row>
    <row r="1958" spans="1:14" ht="16.5" customHeight="1" x14ac:dyDescent="0.25">
      <c r="A1958" s="49"/>
      <c r="B1958" s="47"/>
      <c r="C1958" s="47"/>
      <c r="D1958" s="47"/>
      <c r="E1958" s="47"/>
      <c r="F1958" s="47"/>
      <c r="G1958" s="47"/>
      <c r="H1958" s="47"/>
      <c r="I1958" s="47"/>
      <c r="J1958" s="48"/>
      <c r="K1958" s="47"/>
      <c r="L1958" s="47"/>
      <c r="M1958" s="47"/>
      <c r="N1958" s="47"/>
    </row>
    <row r="1959" spans="1:14" ht="16.5" customHeight="1" x14ac:dyDescent="0.25">
      <c r="A1959" s="49"/>
      <c r="B1959" s="47"/>
      <c r="C1959" s="47"/>
      <c r="D1959" s="47"/>
      <c r="E1959" s="47"/>
      <c r="F1959" s="47"/>
      <c r="G1959" s="47"/>
      <c r="H1959" s="47"/>
      <c r="I1959" s="47"/>
      <c r="J1959" s="48"/>
      <c r="K1959" s="47"/>
      <c r="L1959" s="47"/>
      <c r="M1959" s="47"/>
      <c r="N1959" s="47"/>
    </row>
    <row r="1960" spans="1:14" ht="16.5" customHeight="1" x14ac:dyDescent="0.25">
      <c r="A1960" s="49"/>
      <c r="B1960" s="47"/>
      <c r="C1960" s="47"/>
      <c r="D1960" s="47"/>
      <c r="E1960" s="47"/>
      <c r="F1960" s="47"/>
      <c r="G1960" s="47"/>
      <c r="H1960" s="47"/>
      <c r="I1960" s="47"/>
      <c r="J1960" s="48"/>
      <c r="K1960" s="47"/>
      <c r="L1960" s="47"/>
      <c r="M1960" s="47"/>
      <c r="N1960" s="47"/>
    </row>
    <row r="1961" spans="1:14" ht="16.5" customHeight="1" x14ac:dyDescent="0.25">
      <c r="A1961" s="49"/>
      <c r="B1961" s="47"/>
      <c r="C1961" s="47"/>
      <c r="D1961" s="47"/>
      <c r="E1961" s="47"/>
      <c r="F1961" s="47"/>
      <c r="G1961" s="47"/>
      <c r="H1961" s="47"/>
      <c r="I1961" s="47"/>
      <c r="J1961" s="48"/>
      <c r="K1961" s="47"/>
      <c r="L1961" s="47"/>
      <c r="M1961" s="47"/>
      <c r="N1961" s="47"/>
    </row>
    <row r="1962" spans="1:14" ht="16.5" customHeight="1" x14ac:dyDescent="0.25">
      <c r="A1962" s="49"/>
      <c r="B1962" s="47"/>
      <c r="C1962" s="47"/>
      <c r="D1962" s="47"/>
      <c r="E1962" s="47"/>
      <c r="F1962" s="47"/>
      <c r="G1962" s="47"/>
      <c r="H1962" s="47"/>
      <c r="I1962" s="47"/>
      <c r="J1962" s="48"/>
      <c r="K1962" s="47"/>
      <c r="L1962" s="47"/>
      <c r="M1962" s="47"/>
      <c r="N1962" s="47"/>
    </row>
    <row r="1963" spans="1:14" ht="16.5" customHeight="1" x14ac:dyDescent="0.25">
      <c r="A1963" s="49"/>
      <c r="B1963" s="47"/>
      <c r="C1963" s="47"/>
      <c r="D1963" s="47"/>
      <c r="E1963" s="47"/>
      <c r="F1963" s="47"/>
      <c r="G1963" s="47"/>
      <c r="H1963" s="47"/>
      <c r="I1963" s="47"/>
      <c r="J1963" s="48"/>
      <c r="K1963" s="47"/>
      <c r="L1963" s="47"/>
      <c r="M1963" s="47"/>
      <c r="N1963" s="47"/>
    </row>
    <row r="1964" spans="1:14" ht="16.5" customHeight="1" x14ac:dyDescent="0.25">
      <c r="A1964" s="49"/>
      <c r="B1964" s="47"/>
      <c r="C1964" s="47"/>
      <c r="D1964" s="47"/>
      <c r="E1964" s="47"/>
      <c r="F1964" s="47"/>
      <c r="G1964" s="47"/>
      <c r="H1964" s="47"/>
      <c r="I1964" s="47"/>
      <c r="J1964" s="48"/>
      <c r="K1964" s="47"/>
      <c r="L1964" s="47"/>
      <c r="M1964" s="47"/>
      <c r="N1964" s="47"/>
    </row>
    <row r="1965" spans="1:14" ht="16.5" customHeight="1" x14ac:dyDescent="0.25">
      <c r="A1965" s="49"/>
      <c r="B1965" s="47"/>
      <c r="C1965" s="47"/>
      <c r="D1965" s="47"/>
      <c r="E1965" s="47"/>
      <c r="F1965" s="47"/>
      <c r="G1965" s="47"/>
      <c r="H1965" s="47"/>
      <c r="I1965" s="47"/>
      <c r="J1965" s="48"/>
      <c r="K1965" s="47"/>
      <c r="L1965" s="47"/>
      <c r="M1965" s="47"/>
      <c r="N1965" s="47"/>
    </row>
    <row r="1966" spans="1:14" ht="16.5" customHeight="1" x14ac:dyDescent="0.25">
      <c r="A1966" s="49"/>
      <c r="B1966" s="47"/>
      <c r="C1966" s="47"/>
      <c r="D1966" s="47"/>
      <c r="E1966" s="47"/>
      <c r="F1966" s="47"/>
      <c r="G1966" s="47"/>
      <c r="H1966" s="47"/>
      <c r="I1966" s="47"/>
      <c r="J1966" s="48"/>
      <c r="K1966" s="47"/>
      <c r="L1966" s="47"/>
      <c r="M1966" s="47"/>
      <c r="N1966" s="47"/>
    </row>
    <row r="1967" spans="1:14" ht="16.5" customHeight="1" x14ac:dyDescent="0.25">
      <c r="A1967" s="49"/>
      <c r="B1967" s="47"/>
      <c r="C1967" s="47"/>
      <c r="D1967" s="47"/>
      <c r="E1967" s="47"/>
      <c r="F1967" s="47"/>
      <c r="G1967" s="47"/>
      <c r="H1967" s="47"/>
      <c r="I1967" s="47"/>
      <c r="J1967" s="48"/>
      <c r="K1967" s="47"/>
      <c r="L1967" s="47"/>
      <c r="M1967" s="47"/>
      <c r="N1967" s="47"/>
    </row>
    <row r="1968" spans="1:14" ht="16.5" customHeight="1" x14ac:dyDescent="0.25">
      <c r="A1968" s="49"/>
      <c r="B1968" s="47"/>
      <c r="C1968" s="47"/>
      <c r="D1968" s="47"/>
      <c r="E1968" s="47"/>
      <c r="F1968" s="47"/>
      <c r="G1968" s="47"/>
      <c r="H1968" s="47"/>
      <c r="I1968" s="47"/>
      <c r="J1968" s="48"/>
      <c r="K1968" s="47"/>
      <c r="L1968" s="47"/>
      <c r="M1968" s="47"/>
      <c r="N1968" s="47"/>
    </row>
    <row r="1969" spans="1:14" ht="16.5" customHeight="1" x14ac:dyDescent="0.25">
      <c r="A1969" s="49"/>
      <c r="B1969" s="47"/>
      <c r="C1969" s="47"/>
      <c r="D1969" s="47"/>
      <c r="E1969" s="47"/>
      <c r="F1969" s="47"/>
      <c r="G1969" s="47"/>
      <c r="H1969" s="47"/>
      <c r="I1969" s="47"/>
      <c r="J1969" s="48"/>
      <c r="K1969" s="47"/>
      <c r="L1969" s="47"/>
      <c r="M1969" s="47"/>
      <c r="N1969" s="47"/>
    </row>
    <row r="1970" spans="1:14" ht="16.5" customHeight="1" x14ac:dyDescent="0.25">
      <c r="A1970" s="49"/>
      <c r="B1970" s="47"/>
      <c r="C1970" s="47"/>
      <c r="D1970" s="47"/>
      <c r="E1970" s="47"/>
      <c r="F1970" s="47"/>
      <c r="G1970" s="47"/>
      <c r="H1970" s="47"/>
      <c r="I1970" s="47"/>
      <c r="J1970" s="48"/>
      <c r="K1970" s="47"/>
      <c r="L1970" s="47"/>
      <c r="M1970" s="47"/>
      <c r="N1970" s="47"/>
    </row>
    <row r="1971" spans="1:14" ht="16.5" customHeight="1" x14ac:dyDescent="0.25">
      <c r="A1971" s="49"/>
      <c r="B1971" s="47"/>
      <c r="C1971" s="47"/>
      <c r="D1971" s="47"/>
      <c r="E1971" s="47"/>
      <c r="F1971" s="47"/>
      <c r="G1971" s="47"/>
      <c r="H1971" s="47"/>
      <c r="I1971" s="47"/>
      <c r="J1971" s="48"/>
      <c r="K1971" s="47"/>
      <c r="L1971" s="47"/>
      <c r="M1971" s="47"/>
      <c r="N1971" s="47"/>
    </row>
    <row r="1972" spans="1:14" ht="16.5" customHeight="1" x14ac:dyDescent="0.25">
      <c r="A1972" s="49"/>
      <c r="B1972" s="47"/>
      <c r="C1972" s="47"/>
      <c r="D1972" s="47"/>
      <c r="E1972" s="47"/>
      <c r="F1972" s="47"/>
      <c r="G1972" s="47"/>
      <c r="H1972" s="47"/>
      <c r="I1972" s="47"/>
      <c r="J1972" s="48"/>
      <c r="K1972" s="47"/>
      <c r="L1972" s="47"/>
      <c r="M1972" s="47"/>
      <c r="N1972" s="47"/>
    </row>
    <row r="1973" spans="1:14" ht="16.5" customHeight="1" x14ac:dyDescent="0.25">
      <c r="A1973" s="49"/>
      <c r="B1973" s="47"/>
      <c r="C1973" s="47"/>
      <c r="D1973" s="47"/>
      <c r="E1973" s="47"/>
      <c r="F1973" s="47"/>
      <c r="G1973" s="47"/>
      <c r="H1973" s="47"/>
      <c r="I1973" s="47"/>
      <c r="J1973" s="48"/>
      <c r="K1973" s="47"/>
      <c r="L1973" s="47"/>
      <c r="M1973" s="47"/>
      <c r="N1973" s="47"/>
    </row>
    <row r="1974" spans="1:14" ht="16.5" customHeight="1" x14ac:dyDescent="0.25">
      <c r="A1974" s="49"/>
      <c r="B1974" s="47"/>
      <c r="C1974" s="47"/>
      <c r="D1974" s="47"/>
      <c r="E1974" s="47"/>
      <c r="F1974" s="47"/>
      <c r="G1974" s="47"/>
      <c r="H1974" s="47"/>
      <c r="I1974" s="47"/>
      <c r="J1974" s="48"/>
      <c r="K1974" s="47"/>
      <c r="L1974" s="47"/>
      <c r="M1974" s="47"/>
      <c r="N1974" s="47"/>
    </row>
    <row r="1975" spans="1:14" ht="16.5" customHeight="1" x14ac:dyDescent="0.25">
      <c r="A1975" s="49"/>
      <c r="B1975" s="47"/>
      <c r="C1975" s="47"/>
      <c r="D1975" s="47"/>
      <c r="E1975" s="47"/>
      <c r="F1975" s="47"/>
      <c r="G1975" s="47"/>
      <c r="H1975" s="47"/>
      <c r="I1975" s="47"/>
      <c r="J1975" s="48"/>
      <c r="K1975" s="47"/>
      <c r="L1975" s="47"/>
      <c r="M1975" s="47"/>
      <c r="N1975" s="47"/>
    </row>
    <row r="1976" spans="1:14" ht="16.5" customHeight="1" x14ac:dyDescent="0.25">
      <c r="A1976" s="49"/>
      <c r="B1976" s="47"/>
      <c r="C1976" s="47"/>
      <c r="D1976" s="47"/>
      <c r="E1976" s="47"/>
      <c r="F1976" s="47"/>
      <c r="G1976" s="47"/>
      <c r="H1976" s="47"/>
      <c r="I1976" s="47"/>
      <c r="J1976" s="48"/>
      <c r="K1976" s="47"/>
      <c r="L1976" s="47"/>
      <c r="M1976" s="47"/>
      <c r="N1976" s="47"/>
    </row>
    <row r="1977" spans="1:14" ht="16.5" customHeight="1" x14ac:dyDescent="0.25">
      <c r="A1977" s="49"/>
      <c r="B1977" s="47"/>
      <c r="C1977" s="47"/>
      <c r="D1977" s="47"/>
      <c r="E1977" s="47"/>
      <c r="F1977" s="47"/>
      <c r="G1977" s="47"/>
      <c r="H1977" s="47"/>
      <c r="I1977" s="47"/>
      <c r="J1977" s="48"/>
      <c r="K1977" s="47"/>
      <c r="L1977" s="47"/>
      <c r="M1977" s="47"/>
      <c r="N1977" s="47"/>
    </row>
    <row r="1978" spans="1:14" ht="16.5" customHeight="1" x14ac:dyDescent="0.25">
      <c r="A1978" s="49"/>
      <c r="B1978" s="47"/>
      <c r="C1978" s="47"/>
      <c r="D1978" s="47"/>
      <c r="E1978" s="47"/>
      <c r="F1978" s="47"/>
      <c r="G1978" s="47"/>
      <c r="H1978" s="47"/>
      <c r="I1978" s="47"/>
      <c r="J1978" s="48"/>
      <c r="K1978" s="47"/>
      <c r="L1978" s="47"/>
      <c r="M1978" s="47"/>
      <c r="N1978" s="47"/>
    </row>
    <row r="1979" spans="1:14" ht="16.5" customHeight="1" x14ac:dyDescent="0.25">
      <c r="A1979" s="49"/>
      <c r="B1979" s="47"/>
      <c r="C1979" s="47"/>
      <c r="D1979" s="47"/>
      <c r="E1979" s="47"/>
      <c r="F1979" s="47"/>
      <c r="G1979" s="47"/>
      <c r="H1979" s="47"/>
      <c r="I1979" s="47"/>
      <c r="J1979" s="48"/>
      <c r="K1979" s="47"/>
      <c r="L1979" s="47"/>
      <c r="M1979" s="47"/>
      <c r="N1979" s="47"/>
    </row>
    <row r="1980" spans="1:14" ht="16.5" customHeight="1" x14ac:dyDescent="0.25">
      <c r="A1980" s="49"/>
      <c r="B1980" s="47"/>
      <c r="C1980" s="47"/>
      <c r="D1980" s="47"/>
      <c r="E1980" s="47"/>
      <c r="F1980" s="47"/>
      <c r="G1980" s="47"/>
      <c r="H1980" s="47"/>
      <c r="I1980" s="47"/>
      <c r="J1980" s="48"/>
      <c r="K1980" s="47"/>
      <c r="L1980" s="47"/>
      <c r="M1980" s="47"/>
      <c r="N1980" s="47"/>
    </row>
    <row r="1981" spans="1:14" ht="16.5" customHeight="1" x14ac:dyDescent="0.25">
      <c r="A1981" s="49"/>
      <c r="B1981" s="47"/>
      <c r="C1981" s="47"/>
      <c r="D1981" s="47"/>
      <c r="E1981" s="47"/>
      <c r="F1981" s="47"/>
      <c r="G1981" s="47"/>
      <c r="H1981" s="47"/>
      <c r="I1981" s="47"/>
      <c r="J1981" s="48"/>
      <c r="K1981" s="47"/>
      <c r="L1981" s="47"/>
      <c r="M1981" s="47"/>
      <c r="N1981" s="47"/>
    </row>
    <row r="1982" spans="1:14" ht="16.5" customHeight="1" x14ac:dyDescent="0.25">
      <c r="A1982" s="49"/>
      <c r="B1982" s="47"/>
      <c r="C1982" s="47"/>
      <c r="D1982" s="47"/>
      <c r="E1982" s="47"/>
      <c r="F1982" s="47"/>
      <c r="G1982" s="47"/>
      <c r="H1982" s="47"/>
      <c r="I1982" s="47"/>
      <c r="J1982" s="48"/>
      <c r="K1982" s="47"/>
      <c r="L1982" s="47"/>
      <c r="M1982" s="47"/>
      <c r="N1982" s="47"/>
    </row>
    <row r="1983" spans="1:14" ht="16.5" customHeight="1" x14ac:dyDescent="0.25">
      <c r="A1983" s="49"/>
      <c r="B1983" s="47"/>
      <c r="C1983" s="47"/>
      <c r="D1983" s="47"/>
      <c r="E1983" s="47"/>
      <c r="F1983" s="47"/>
      <c r="G1983" s="47"/>
      <c r="H1983" s="47"/>
      <c r="I1983" s="47"/>
      <c r="J1983" s="48"/>
      <c r="K1983" s="47"/>
      <c r="L1983" s="47"/>
      <c r="M1983" s="47"/>
      <c r="N1983" s="47"/>
    </row>
    <row r="1984" spans="1:14" ht="16.5" customHeight="1" x14ac:dyDescent="0.25">
      <c r="A1984" s="49"/>
      <c r="B1984" s="47"/>
      <c r="C1984" s="47"/>
      <c r="D1984" s="47"/>
      <c r="E1984" s="47"/>
      <c r="F1984" s="47"/>
      <c r="G1984" s="47"/>
      <c r="H1984" s="47"/>
      <c r="I1984" s="47"/>
      <c r="J1984" s="48"/>
      <c r="K1984" s="47"/>
      <c r="L1984" s="47"/>
      <c r="M1984" s="47"/>
      <c r="N1984" s="47"/>
    </row>
    <row r="1985" spans="1:14" ht="16.5" customHeight="1" x14ac:dyDescent="0.25">
      <c r="A1985" s="49"/>
      <c r="B1985" s="47"/>
      <c r="C1985" s="47"/>
      <c r="D1985" s="47"/>
      <c r="E1985" s="47"/>
      <c r="F1985" s="47"/>
      <c r="G1985" s="47"/>
      <c r="H1985" s="47"/>
      <c r="I1985" s="47"/>
      <c r="J1985" s="48"/>
      <c r="K1985" s="47"/>
      <c r="L1985" s="47"/>
      <c r="M1985" s="47"/>
      <c r="N1985" s="47"/>
    </row>
    <row r="1986" spans="1:14" ht="16.5" customHeight="1" x14ac:dyDescent="0.25">
      <c r="A1986" s="49"/>
      <c r="B1986" s="47"/>
      <c r="C1986" s="47"/>
      <c r="D1986" s="47"/>
      <c r="E1986" s="47"/>
      <c r="F1986" s="47"/>
      <c r="G1986" s="47"/>
      <c r="H1986" s="47"/>
      <c r="I1986" s="47"/>
      <c r="J1986" s="48"/>
      <c r="K1986" s="47"/>
      <c r="L1986" s="47"/>
      <c r="M1986" s="47"/>
      <c r="N1986" s="47"/>
    </row>
    <row r="1987" spans="1:14" ht="16.5" customHeight="1" x14ac:dyDescent="0.25">
      <c r="A1987" s="49"/>
      <c r="B1987" s="47"/>
      <c r="C1987" s="47"/>
      <c r="D1987" s="47"/>
      <c r="E1987" s="47"/>
      <c r="F1987" s="47"/>
      <c r="G1987" s="47"/>
      <c r="H1987" s="47"/>
      <c r="I1987" s="47"/>
      <c r="J1987" s="48"/>
      <c r="K1987" s="47"/>
      <c r="L1987" s="47"/>
      <c r="M1987" s="47"/>
      <c r="N1987" s="47"/>
    </row>
    <row r="1988" spans="1:14" ht="16.5" customHeight="1" x14ac:dyDescent="0.25">
      <c r="A1988" s="49"/>
      <c r="B1988" s="47"/>
      <c r="C1988" s="47"/>
      <c r="D1988" s="47"/>
      <c r="E1988" s="47"/>
      <c r="F1988" s="47"/>
      <c r="G1988" s="47"/>
      <c r="H1988" s="47"/>
      <c r="I1988" s="47"/>
      <c r="J1988" s="48"/>
      <c r="K1988" s="47"/>
      <c r="L1988" s="47"/>
      <c r="M1988" s="47"/>
      <c r="N1988" s="47"/>
    </row>
    <row r="1989" spans="1:14" ht="16.5" customHeight="1" x14ac:dyDescent="0.25">
      <c r="A1989" s="49"/>
      <c r="B1989" s="47"/>
      <c r="C1989" s="47"/>
      <c r="D1989" s="47"/>
      <c r="E1989" s="47"/>
      <c r="F1989" s="47"/>
      <c r="G1989" s="47"/>
      <c r="H1989" s="47"/>
      <c r="I1989" s="47"/>
      <c r="J1989" s="48"/>
      <c r="K1989" s="47"/>
      <c r="L1989" s="47"/>
      <c r="M1989" s="47"/>
      <c r="N1989" s="47"/>
    </row>
    <row r="1990" spans="1:14" ht="16.5" customHeight="1" x14ac:dyDescent="0.25">
      <c r="A1990" s="49"/>
      <c r="B1990" s="47"/>
      <c r="C1990" s="47"/>
      <c r="D1990" s="47"/>
      <c r="E1990" s="47"/>
      <c r="F1990" s="47"/>
      <c r="G1990" s="47"/>
      <c r="H1990" s="47"/>
      <c r="I1990" s="47"/>
      <c r="J1990" s="48"/>
      <c r="K1990" s="47"/>
      <c r="L1990" s="47"/>
      <c r="M1990" s="47"/>
      <c r="N1990" s="47"/>
    </row>
    <row r="1991" spans="1:14" ht="16.5" customHeight="1" x14ac:dyDescent="0.25">
      <c r="A1991" s="49"/>
      <c r="B1991" s="47"/>
      <c r="C1991" s="47"/>
      <c r="D1991" s="47"/>
      <c r="E1991" s="47"/>
      <c r="F1991" s="47"/>
      <c r="G1991" s="47"/>
      <c r="H1991" s="47"/>
      <c r="I1991" s="47"/>
      <c r="J1991" s="48"/>
      <c r="K1991" s="47"/>
      <c r="L1991" s="47"/>
      <c r="M1991" s="47"/>
      <c r="N1991" s="47"/>
    </row>
    <row r="1992" spans="1:14" ht="16.5" customHeight="1" x14ac:dyDescent="0.25">
      <c r="A1992" s="49"/>
      <c r="B1992" s="47"/>
      <c r="C1992" s="47"/>
      <c r="D1992" s="47"/>
      <c r="E1992" s="47"/>
      <c r="F1992" s="47"/>
      <c r="G1992" s="47"/>
      <c r="H1992" s="47"/>
      <c r="I1992" s="47"/>
      <c r="J1992" s="48"/>
      <c r="K1992" s="47"/>
      <c r="L1992" s="47"/>
      <c r="M1992" s="47"/>
      <c r="N1992" s="47"/>
    </row>
    <row r="1993" spans="1:14" ht="16.5" customHeight="1" x14ac:dyDescent="0.25">
      <c r="A1993" s="49"/>
      <c r="B1993" s="47"/>
      <c r="C1993" s="47"/>
      <c r="D1993" s="47"/>
      <c r="E1993" s="47"/>
      <c r="F1993" s="47"/>
      <c r="G1993" s="47"/>
      <c r="H1993" s="47"/>
      <c r="I1993" s="47"/>
      <c r="J1993" s="48"/>
      <c r="K1993" s="47"/>
      <c r="L1993" s="47"/>
      <c r="M1993" s="47"/>
      <c r="N1993" s="47"/>
    </row>
    <row r="1994" spans="1:14" ht="16.5" customHeight="1" x14ac:dyDescent="0.25">
      <c r="A1994" s="49"/>
      <c r="B1994" s="47"/>
      <c r="C1994" s="47"/>
      <c r="D1994" s="47"/>
      <c r="E1994" s="47"/>
      <c r="F1994" s="47"/>
      <c r="G1994" s="47"/>
      <c r="H1994" s="47"/>
      <c r="I1994" s="47"/>
      <c r="J1994" s="48"/>
      <c r="K1994" s="47"/>
      <c r="L1994" s="47"/>
      <c r="M1994" s="47"/>
      <c r="N1994" s="47"/>
    </row>
    <row r="1995" spans="1:14" ht="16.5" customHeight="1" x14ac:dyDescent="0.25">
      <c r="A1995" s="49"/>
      <c r="B1995" s="47"/>
      <c r="C1995" s="47"/>
      <c r="D1995" s="47"/>
      <c r="E1995" s="47"/>
      <c r="F1995" s="47"/>
      <c r="G1995" s="47"/>
      <c r="H1995" s="47"/>
      <c r="I1995" s="47"/>
      <c r="J1995" s="48"/>
      <c r="K1995" s="47"/>
      <c r="L1995" s="47"/>
      <c r="M1995" s="47"/>
      <c r="N1995" s="47"/>
    </row>
    <row r="1996" spans="1:14" ht="16.5" customHeight="1" x14ac:dyDescent="0.25">
      <c r="A1996" s="49"/>
      <c r="B1996" s="47"/>
      <c r="C1996" s="47"/>
      <c r="D1996" s="47"/>
      <c r="E1996" s="47"/>
      <c r="F1996" s="47"/>
      <c r="G1996" s="47"/>
      <c r="H1996" s="47"/>
      <c r="I1996" s="47"/>
      <c r="J1996" s="48"/>
      <c r="K1996" s="47"/>
      <c r="L1996" s="47"/>
      <c r="M1996" s="47"/>
      <c r="N1996" s="47"/>
    </row>
    <row r="1997" spans="1:14" ht="16.5" customHeight="1" x14ac:dyDescent="0.25">
      <c r="A1997" s="49"/>
      <c r="B1997" s="47"/>
      <c r="C1997" s="47"/>
      <c r="D1997" s="47"/>
      <c r="E1997" s="47"/>
      <c r="F1997" s="47"/>
      <c r="G1997" s="47"/>
      <c r="H1997" s="47"/>
      <c r="I1997" s="47"/>
      <c r="J1997" s="48"/>
      <c r="K1997" s="47"/>
      <c r="L1997" s="47"/>
      <c r="M1997" s="47"/>
      <c r="N1997" s="47"/>
    </row>
    <row r="1998" spans="1:14" ht="16.5" customHeight="1" x14ac:dyDescent="0.25">
      <c r="A1998" s="49"/>
      <c r="B1998" s="47"/>
      <c r="C1998" s="47"/>
      <c r="D1998" s="47"/>
      <c r="E1998" s="47"/>
      <c r="F1998" s="47"/>
      <c r="G1998" s="47"/>
      <c r="H1998" s="47"/>
      <c r="I1998" s="47"/>
      <c r="J1998" s="48"/>
      <c r="K1998" s="47"/>
      <c r="L1998" s="47"/>
      <c r="M1998" s="47"/>
      <c r="N1998" s="47"/>
    </row>
    <row r="1999" spans="1:14" ht="16.5" customHeight="1" x14ac:dyDescent="0.25">
      <c r="A1999" s="49"/>
      <c r="B1999" s="47"/>
      <c r="C1999" s="47"/>
      <c r="D1999" s="47"/>
      <c r="E1999" s="47"/>
      <c r="F1999" s="47"/>
      <c r="G1999" s="47"/>
      <c r="H1999" s="47"/>
      <c r="I1999" s="47"/>
      <c r="J1999" s="48"/>
      <c r="K1999" s="47"/>
      <c r="L1999" s="47"/>
      <c r="M1999" s="47"/>
      <c r="N1999" s="47"/>
    </row>
    <row r="2000" spans="1:14" ht="16.5" customHeight="1" x14ac:dyDescent="0.25">
      <c r="A2000" s="49"/>
      <c r="B2000" s="47"/>
      <c r="C2000" s="47"/>
      <c r="D2000" s="47"/>
      <c r="E2000" s="47"/>
      <c r="F2000" s="47"/>
      <c r="G2000" s="47"/>
      <c r="H2000" s="47"/>
      <c r="I2000" s="47"/>
      <c r="J2000" s="48"/>
      <c r="K2000" s="47"/>
      <c r="L2000" s="47"/>
      <c r="M2000" s="47"/>
      <c r="N2000" s="47"/>
    </row>
    <row r="2001" spans="1:14" ht="16.5" customHeight="1" x14ac:dyDescent="0.25">
      <c r="A2001" s="49"/>
      <c r="B2001" s="47"/>
      <c r="C2001" s="47"/>
      <c r="D2001" s="47"/>
      <c r="E2001" s="47"/>
      <c r="F2001" s="47"/>
      <c r="G2001" s="47"/>
      <c r="H2001" s="47"/>
      <c r="I2001" s="47"/>
      <c r="J2001" s="48"/>
      <c r="K2001" s="47"/>
      <c r="L2001" s="47"/>
      <c r="M2001" s="47"/>
      <c r="N2001" s="47"/>
    </row>
    <row r="2002" spans="1:14" ht="16.5" customHeight="1" x14ac:dyDescent="0.25">
      <c r="A2002" s="49"/>
      <c r="B2002" s="47"/>
      <c r="C2002" s="47"/>
      <c r="D2002" s="47"/>
      <c r="E2002" s="47"/>
      <c r="F2002" s="47"/>
      <c r="G2002" s="47"/>
      <c r="H2002" s="47"/>
      <c r="I2002" s="47"/>
      <c r="J2002" s="48"/>
      <c r="K2002" s="47"/>
      <c r="L2002" s="47"/>
      <c r="M2002" s="47"/>
      <c r="N2002" s="47"/>
    </row>
    <row r="2003" spans="1:14" ht="16.5" customHeight="1" x14ac:dyDescent="0.25">
      <c r="A2003" s="49"/>
      <c r="B2003" s="47"/>
      <c r="C2003" s="47"/>
      <c r="D2003" s="47"/>
      <c r="E2003" s="47"/>
      <c r="F2003" s="47"/>
      <c r="G2003" s="47"/>
      <c r="H2003" s="47"/>
      <c r="I2003" s="47"/>
      <c r="J2003" s="48"/>
      <c r="K2003" s="47"/>
      <c r="L2003" s="47"/>
      <c r="M2003" s="47"/>
      <c r="N2003" s="47"/>
    </row>
    <row r="2004" spans="1:14" ht="16.5" customHeight="1" x14ac:dyDescent="0.25">
      <c r="A2004" s="49"/>
      <c r="B2004" s="47"/>
      <c r="C2004" s="47"/>
      <c r="D2004" s="47"/>
      <c r="E2004" s="47"/>
      <c r="F2004" s="47"/>
      <c r="G2004" s="47"/>
      <c r="H2004" s="47"/>
      <c r="I2004" s="47"/>
      <c r="J2004" s="48"/>
      <c r="K2004" s="47"/>
      <c r="L2004" s="47"/>
      <c r="M2004" s="47"/>
      <c r="N2004" s="47"/>
    </row>
    <row r="2005" spans="1:14" ht="16.5" customHeight="1" x14ac:dyDescent="0.25">
      <c r="A2005" s="49"/>
      <c r="B2005" s="47"/>
      <c r="C2005" s="47"/>
      <c r="D2005" s="47"/>
      <c r="E2005" s="47"/>
      <c r="F2005" s="47"/>
      <c r="G2005" s="47"/>
      <c r="H2005" s="47"/>
      <c r="I2005" s="47"/>
      <c r="J2005" s="48"/>
      <c r="K2005" s="47"/>
      <c r="L2005" s="47"/>
      <c r="M2005" s="47"/>
      <c r="N2005" s="47"/>
    </row>
    <row r="2006" spans="1:14" ht="16.5" customHeight="1" x14ac:dyDescent="0.25">
      <c r="A2006" s="49"/>
      <c r="B2006" s="47"/>
      <c r="C2006" s="47"/>
      <c r="D2006" s="47"/>
      <c r="E2006" s="47"/>
      <c r="F2006" s="47"/>
      <c r="G2006" s="47"/>
      <c r="H2006" s="47"/>
      <c r="I2006" s="47"/>
      <c r="J2006" s="48"/>
      <c r="K2006" s="47"/>
      <c r="L2006" s="47"/>
      <c r="M2006" s="47"/>
      <c r="N2006" s="47"/>
    </row>
    <row r="2007" spans="1:14" ht="16.5" customHeight="1" x14ac:dyDescent="0.25">
      <c r="A2007" s="49"/>
      <c r="B2007" s="47"/>
      <c r="C2007" s="47"/>
      <c r="D2007" s="47"/>
      <c r="E2007" s="47"/>
      <c r="F2007" s="47"/>
      <c r="G2007" s="47"/>
      <c r="H2007" s="47"/>
      <c r="I2007" s="47"/>
      <c r="J2007" s="48"/>
      <c r="K2007" s="47"/>
      <c r="L2007" s="47"/>
      <c r="M2007" s="47"/>
      <c r="N2007" s="47"/>
    </row>
    <row r="2008" spans="1:14" ht="16.5" customHeight="1" x14ac:dyDescent="0.25">
      <c r="A2008" s="49"/>
      <c r="B2008" s="47"/>
      <c r="C2008" s="47"/>
      <c r="D2008" s="47"/>
      <c r="E2008" s="47"/>
      <c r="F2008" s="47"/>
      <c r="G2008" s="47"/>
      <c r="H2008" s="47"/>
      <c r="I2008" s="47"/>
      <c r="J2008" s="48"/>
      <c r="K2008" s="47"/>
      <c r="L2008" s="47"/>
      <c r="M2008" s="47"/>
      <c r="N2008" s="47"/>
    </row>
    <row r="2009" spans="1:14" ht="16.5" customHeight="1" x14ac:dyDescent="0.25">
      <c r="A2009" s="49"/>
      <c r="B2009" s="47"/>
      <c r="C2009" s="47"/>
      <c r="D2009" s="47"/>
      <c r="E2009" s="47"/>
      <c r="F2009" s="47"/>
      <c r="G2009" s="47"/>
      <c r="H2009" s="47"/>
      <c r="I2009" s="47"/>
      <c r="J2009" s="48"/>
      <c r="K2009" s="47"/>
      <c r="L2009" s="47"/>
      <c r="M2009" s="47"/>
      <c r="N2009" s="47"/>
    </row>
    <row r="2010" spans="1:14" ht="16.5" customHeight="1" x14ac:dyDescent="0.25">
      <c r="A2010" s="49"/>
      <c r="B2010" s="47"/>
      <c r="C2010" s="47"/>
      <c r="D2010" s="47"/>
      <c r="E2010" s="47"/>
      <c r="F2010" s="47"/>
      <c r="G2010" s="47"/>
      <c r="H2010" s="47"/>
      <c r="I2010" s="47"/>
      <c r="J2010" s="48"/>
      <c r="K2010" s="47"/>
      <c r="L2010" s="47"/>
      <c r="M2010" s="47"/>
      <c r="N2010" s="47"/>
    </row>
    <row r="2011" spans="1:14" ht="16.5" customHeight="1" x14ac:dyDescent="0.25">
      <c r="A2011" s="49"/>
      <c r="B2011" s="47"/>
      <c r="C2011" s="47"/>
      <c r="D2011" s="47"/>
      <c r="E2011" s="47"/>
      <c r="F2011" s="47"/>
      <c r="G2011" s="47"/>
      <c r="H2011" s="47"/>
      <c r="I2011" s="47"/>
      <c r="J2011" s="48"/>
      <c r="K2011" s="47"/>
      <c r="L2011" s="47"/>
      <c r="M2011" s="47"/>
      <c r="N2011" s="47"/>
    </row>
    <row r="2012" spans="1:14" ht="16.5" customHeight="1" x14ac:dyDescent="0.25">
      <c r="A2012" s="49"/>
      <c r="B2012" s="47"/>
      <c r="C2012" s="47"/>
      <c r="D2012" s="47"/>
      <c r="E2012" s="47"/>
      <c r="F2012" s="47"/>
      <c r="G2012" s="47"/>
      <c r="H2012" s="47"/>
      <c r="I2012" s="47"/>
      <c r="J2012" s="48"/>
      <c r="K2012" s="47"/>
      <c r="L2012" s="47"/>
      <c r="M2012" s="47"/>
      <c r="N2012" s="47"/>
    </row>
    <row r="2013" spans="1:14" ht="16.5" customHeight="1" x14ac:dyDescent="0.25">
      <c r="A2013" s="49"/>
      <c r="B2013" s="47"/>
      <c r="C2013" s="47"/>
      <c r="D2013" s="47"/>
      <c r="E2013" s="47"/>
      <c r="F2013" s="47"/>
      <c r="G2013" s="47"/>
      <c r="H2013" s="47"/>
      <c r="I2013" s="47"/>
      <c r="J2013" s="48"/>
      <c r="K2013" s="47"/>
      <c r="L2013" s="47"/>
      <c r="M2013" s="47"/>
      <c r="N2013" s="47"/>
    </row>
    <row r="2014" spans="1:14" ht="16.5" customHeight="1" x14ac:dyDescent="0.25">
      <c r="A2014" s="49"/>
      <c r="B2014" s="47"/>
      <c r="C2014" s="47"/>
      <c r="D2014" s="47"/>
      <c r="E2014" s="47"/>
      <c r="F2014" s="47"/>
      <c r="G2014" s="47"/>
      <c r="H2014" s="47"/>
      <c r="I2014" s="47"/>
      <c r="J2014" s="48"/>
      <c r="K2014" s="47"/>
      <c r="L2014" s="47"/>
      <c r="M2014" s="47"/>
      <c r="N2014" s="47"/>
    </row>
    <row r="2015" spans="1:14" ht="16.5" customHeight="1" x14ac:dyDescent="0.25">
      <c r="A2015" s="49"/>
      <c r="B2015" s="47"/>
      <c r="C2015" s="47"/>
      <c r="D2015" s="47"/>
      <c r="E2015" s="47"/>
      <c r="F2015" s="47"/>
      <c r="G2015" s="47"/>
      <c r="H2015" s="47"/>
      <c r="I2015" s="47"/>
      <c r="J2015" s="48"/>
      <c r="K2015" s="47"/>
      <c r="L2015" s="47"/>
      <c r="M2015" s="47"/>
      <c r="N2015" s="47"/>
    </row>
    <row r="2016" spans="1:14" ht="16.5" customHeight="1" x14ac:dyDescent="0.25">
      <c r="A2016" s="49"/>
      <c r="B2016" s="47"/>
      <c r="C2016" s="47"/>
      <c r="D2016" s="47"/>
      <c r="E2016" s="47"/>
      <c r="F2016" s="47"/>
      <c r="G2016" s="47"/>
      <c r="H2016" s="47"/>
      <c r="I2016" s="47"/>
      <c r="J2016" s="48"/>
      <c r="K2016" s="47"/>
      <c r="L2016" s="47"/>
      <c r="M2016" s="47"/>
      <c r="N2016" s="47"/>
    </row>
    <row r="2017" spans="1:14" ht="16.5" customHeight="1" x14ac:dyDescent="0.25">
      <c r="A2017" s="49"/>
      <c r="B2017" s="47"/>
      <c r="C2017" s="47"/>
      <c r="D2017" s="47"/>
      <c r="E2017" s="47"/>
      <c r="F2017" s="47"/>
      <c r="G2017" s="47"/>
      <c r="H2017" s="47"/>
      <c r="I2017" s="47"/>
      <c r="J2017" s="48"/>
      <c r="K2017" s="47"/>
      <c r="L2017" s="47"/>
      <c r="M2017" s="47"/>
      <c r="N2017" s="47"/>
    </row>
    <row r="2018" spans="1:14" ht="16.5" customHeight="1" x14ac:dyDescent="0.25">
      <c r="A2018" s="49"/>
      <c r="B2018" s="47"/>
      <c r="C2018" s="47"/>
      <c r="D2018" s="47"/>
      <c r="E2018" s="47"/>
      <c r="F2018" s="47"/>
      <c r="G2018" s="47"/>
      <c r="H2018" s="47"/>
      <c r="I2018" s="47"/>
      <c r="J2018" s="48"/>
      <c r="K2018" s="47"/>
      <c r="L2018" s="47"/>
      <c r="M2018" s="47"/>
      <c r="N2018" s="47"/>
    </row>
    <row r="2019" spans="1:14" ht="16.5" customHeight="1" x14ac:dyDescent="0.25">
      <c r="A2019" s="49"/>
      <c r="B2019" s="47"/>
      <c r="C2019" s="47"/>
      <c r="D2019" s="47"/>
      <c r="E2019" s="47"/>
      <c r="F2019" s="47"/>
      <c r="G2019" s="47"/>
      <c r="H2019" s="47"/>
      <c r="I2019" s="47"/>
      <c r="J2019" s="48"/>
      <c r="K2019" s="47"/>
      <c r="L2019" s="47"/>
      <c r="M2019" s="47"/>
      <c r="N2019" s="47"/>
    </row>
    <row r="2020" spans="1:14" ht="16.5" customHeight="1" x14ac:dyDescent="0.25">
      <c r="A2020" s="49"/>
      <c r="B2020" s="47"/>
      <c r="C2020" s="47"/>
      <c r="D2020" s="47"/>
      <c r="E2020" s="47"/>
      <c r="F2020" s="47"/>
      <c r="G2020" s="47"/>
      <c r="H2020" s="47"/>
      <c r="I2020" s="47"/>
      <c r="J2020" s="48"/>
      <c r="K2020" s="47"/>
      <c r="L2020" s="47"/>
      <c r="M2020" s="47"/>
      <c r="N2020" s="47"/>
    </row>
    <row r="2021" spans="1:14" ht="16.5" customHeight="1" x14ac:dyDescent="0.25">
      <c r="A2021" s="49"/>
      <c r="B2021" s="47"/>
      <c r="C2021" s="47"/>
      <c r="D2021" s="47"/>
      <c r="E2021" s="47"/>
      <c r="F2021" s="47"/>
      <c r="G2021" s="47"/>
      <c r="H2021" s="47"/>
      <c r="I2021" s="47"/>
      <c r="J2021" s="48"/>
      <c r="K2021" s="47"/>
      <c r="L2021" s="47"/>
      <c r="M2021" s="47"/>
      <c r="N2021" s="47"/>
    </row>
    <row r="2022" spans="1:14" ht="16.5" customHeight="1" x14ac:dyDescent="0.25">
      <c r="A2022" s="49"/>
      <c r="B2022" s="47"/>
      <c r="C2022" s="47"/>
      <c r="D2022" s="47"/>
      <c r="E2022" s="47"/>
      <c r="F2022" s="47"/>
      <c r="G2022" s="47"/>
      <c r="H2022" s="47"/>
      <c r="I2022" s="47"/>
      <c r="J2022" s="48"/>
      <c r="K2022" s="47"/>
      <c r="L2022" s="47"/>
      <c r="M2022" s="47"/>
      <c r="N2022" s="47"/>
    </row>
    <row r="2023" spans="1:14" ht="16.5" customHeight="1" x14ac:dyDescent="0.25">
      <c r="A2023" s="49"/>
      <c r="B2023" s="47"/>
      <c r="C2023" s="47"/>
      <c r="D2023" s="47"/>
      <c r="E2023" s="47"/>
      <c r="F2023" s="47"/>
      <c r="G2023" s="47"/>
      <c r="H2023" s="47"/>
      <c r="I2023" s="47"/>
      <c r="J2023" s="48"/>
      <c r="K2023" s="47"/>
      <c r="L2023" s="47"/>
      <c r="M2023" s="47"/>
      <c r="N2023" s="47"/>
    </row>
    <row r="2024" spans="1:14" ht="16.5" customHeight="1" x14ac:dyDescent="0.25">
      <c r="A2024" s="49"/>
      <c r="B2024" s="47"/>
      <c r="C2024" s="47"/>
      <c r="D2024" s="47"/>
      <c r="E2024" s="47"/>
      <c r="F2024" s="47"/>
      <c r="G2024" s="47"/>
      <c r="H2024" s="47"/>
      <c r="I2024" s="47"/>
      <c r="J2024" s="48"/>
      <c r="K2024" s="47"/>
      <c r="L2024" s="47"/>
      <c r="M2024" s="47"/>
      <c r="N2024" s="47"/>
    </row>
    <row r="2025" spans="1:14" ht="16.5" customHeight="1" x14ac:dyDescent="0.25">
      <c r="A2025" s="49"/>
      <c r="B2025" s="47"/>
      <c r="C2025" s="47"/>
      <c r="D2025" s="47"/>
      <c r="E2025" s="47"/>
      <c r="F2025" s="47"/>
      <c r="G2025" s="47"/>
      <c r="H2025" s="47"/>
      <c r="I2025" s="47"/>
      <c r="J2025" s="48"/>
      <c r="K2025" s="47"/>
      <c r="L2025" s="47"/>
      <c r="M2025" s="47"/>
      <c r="N2025" s="47"/>
    </row>
    <row r="2026" spans="1:14" ht="16.5" customHeight="1" x14ac:dyDescent="0.25">
      <c r="A2026" s="49"/>
      <c r="B2026" s="47"/>
      <c r="C2026" s="47"/>
      <c r="D2026" s="47"/>
      <c r="E2026" s="47"/>
      <c r="F2026" s="47"/>
      <c r="G2026" s="47"/>
      <c r="H2026" s="47"/>
      <c r="I2026" s="47"/>
      <c r="J2026" s="48"/>
      <c r="K2026" s="47"/>
      <c r="L2026" s="47"/>
      <c r="M2026" s="47"/>
      <c r="N2026" s="47"/>
    </row>
    <row r="2027" spans="1:14" ht="16.5" customHeight="1" x14ac:dyDescent="0.25">
      <c r="A2027" s="49"/>
      <c r="B2027" s="47"/>
      <c r="C2027" s="47"/>
      <c r="D2027" s="47"/>
      <c r="E2027" s="47"/>
      <c r="F2027" s="47"/>
      <c r="G2027" s="47"/>
      <c r="H2027" s="47"/>
      <c r="I2027" s="47"/>
      <c r="J2027" s="48"/>
      <c r="K2027" s="47"/>
      <c r="L2027" s="47"/>
      <c r="M2027" s="47"/>
      <c r="N2027" s="47"/>
    </row>
    <row r="2028" spans="1:14" ht="16.5" customHeight="1" x14ac:dyDescent="0.25">
      <c r="A2028" s="49"/>
      <c r="B2028" s="47"/>
      <c r="C2028" s="47"/>
      <c r="D2028" s="47"/>
      <c r="E2028" s="47"/>
      <c r="F2028" s="47"/>
      <c r="G2028" s="47"/>
      <c r="H2028" s="47"/>
      <c r="I2028" s="47"/>
      <c r="J2028" s="48"/>
      <c r="K2028" s="47"/>
      <c r="L2028" s="47"/>
      <c r="M2028" s="47"/>
      <c r="N2028" s="47"/>
    </row>
    <row r="2029" spans="1:14" ht="16.5" customHeight="1" x14ac:dyDescent="0.25">
      <c r="A2029" s="49"/>
      <c r="B2029" s="47"/>
      <c r="C2029" s="47"/>
      <c r="D2029" s="47"/>
      <c r="E2029" s="47"/>
      <c r="F2029" s="47"/>
      <c r="G2029" s="47"/>
      <c r="H2029" s="47"/>
      <c r="I2029" s="47"/>
      <c r="J2029" s="48"/>
      <c r="K2029" s="47"/>
      <c r="L2029" s="47"/>
      <c r="M2029" s="47"/>
      <c r="N2029" s="47"/>
    </row>
    <row r="2030" spans="1:14" ht="16.5" customHeight="1" x14ac:dyDescent="0.25">
      <c r="A2030" s="49"/>
      <c r="B2030" s="47"/>
      <c r="C2030" s="47"/>
      <c r="D2030" s="47"/>
      <c r="E2030" s="47"/>
      <c r="F2030" s="47"/>
      <c r="G2030" s="47"/>
      <c r="H2030" s="47"/>
      <c r="I2030" s="47"/>
      <c r="J2030" s="48"/>
      <c r="K2030" s="47"/>
      <c r="L2030" s="47"/>
      <c r="M2030" s="47"/>
      <c r="N2030" s="47"/>
    </row>
    <row r="2031" spans="1:14" ht="16.5" customHeight="1" x14ac:dyDescent="0.25">
      <c r="A2031" s="49"/>
      <c r="B2031" s="47"/>
      <c r="C2031" s="47"/>
      <c r="D2031" s="47"/>
      <c r="E2031" s="47"/>
      <c r="F2031" s="47"/>
      <c r="G2031" s="47"/>
      <c r="H2031" s="47"/>
      <c r="I2031" s="47"/>
      <c r="J2031" s="48"/>
      <c r="K2031" s="47"/>
      <c r="L2031" s="47"/>
      <c r="M2031" s="47"/>
      <c r="N2031" s="47"/>
    </row>
    <row r="2032" spans="1:14" ht="16.5" customHeight="1" x14ac:dyDescent="0.25">
      <c r="A2032" s="49"/>
      <c r="B2032" s="47"/>
      <c r="C2032" s="47"/>
      <c r="D2032" s="47"/>
      <c r="E2032" s="47"/>
      <c r="F2032" s="47"/>
      <c r="G2032" s="47"/>
      <c r="H2032" s="47"/>
      <c r="I2032" s="47"/>
      <c r="J2032" s="48"/>
      <c r="K2032" s="47"/>
      <c r="L2032" s="47"/>
      <c r="M2032" s="47"/>
      <c r="N2032" s="47"/>
    </row>
    <row r="2033" spans="1:14" ht="16.5" customHeight="1" x14ac:dyDescent="0.25">
      <c r="A2033" s="49"/>
      <c r="B2033" s="47"/>
      <c r="C2033" s="47"/>
      <c r="D2033" s="47"/>
      <c r="E2033" s="47"/>
      <c r="F2033" s="47"/>
      <c r="G2033" s="47"/>
      <c r="H2033" s="47"/>
      <c r="I2033" s="47"/>
      <c r="J2033" s="48"/>
      <c r="K2033" s="47"/>
      <c r="L2033" s="47"/>
      <c r="M2033" s="47"/>
      <c r="N2033" s="47"/>
    </row>
    <row r="2034" spans="1:14" ht="16.5" customHeight="1" x14ac:dyDescent="0.25">
      <c r="A2034" s="49"/>
      <c r="B2034" s="47"/>
      <c r="C2034" s="47"/>
      <c r="D2034" s="47"/>
      <c r="E2034" s="47"/>
      <c r="F2034" s="47"/>
      <c r="G2034" s="47"/>
      <c r="H2034" s="47"/>
      <c r="I2034" s="47"/>
      <c r="J2034" s="48"/>
      <c r="K2034" s="47"/>
      <c r="L2034" s="47"/>
      <c r="M2034" s="47"/>
      <c r="N2034" s="47"/>
    </row>
    <row r="2035" spans="1:14" ht="16.5" customHeight="1" x14ac:dyDescent="0.25">
      <c r="A2035" s="49"/>
      <c r="B2035" s="47"/>
      <c r="C2035" s="47"/>
      <c r="D2035" s="47"/>
      <c r="E2035" s="47"/>
      <c r="F2035" s="47"/>
      <c r="G2035" s="47"/>
      <c r="H2035" s="47"/>
      <c r="I2035" s="47"/>
      <c r="J2035" s="48"/>
      <c r="K2035" s="47"/>
      <c r="L2035" s="47"/>
      <c r="M2035" s="47"/>
      <c r="N2035" s="47"/>
    </row>
    <row r="2036" spans="1:14" ht="16.5" customHeight="1" x14ac:dyDescent="0.25">
      <c r="A2036" s="49"/>
      <c r="B2036" s="47"/>
      <c r="C2036" s="47"/>
      <c r="D2036" s="47"/>
      <c r="E2036" s="47"/>
      <c r="F2036" s="47"/>
      <c r="G2036" s="47"/>
      <c r="H2036" s="47"/>
      <c r="I2036" s="47"/>
      <c r="J2036" s="48"/>
      <c r="K2036" s="47"/>
      <c r="L2036" s="47"/>
      <c r="M2036" s="47"/>
      <c r="N2036" s="47"/>
    </row>
    <row r="2037" spans="1:14" ht="16.5" customHeight="1" x14ac:dyDescent="0.25">
      <c r="A2037" s="49"/>
      <c r="B2037" s="47"/>
      <c r="C2037" s="47"/>
      <c r="D2037" s="47"/>
      <c r="E2037" s="47"/>
      <c r="F2037" s="47"/>
      <c r="G2037" s="47"/>
      <c r="H2037" s="47"/>
      <c r="I2037" s="47"/>
      <c r="J2037" s="48"/>
      <c r="K2037" s="47"/>
      <c r="L2037" s="47"/>
      <c r="M2037" s="47"/>
      <c r="N2037" s="47"/>
    </row>
    <row r="2038" spans="1:14" ht="16.5" customHeight="1" x14ac:dyDescent="0.25">
      <c r="A2038" s="49"/>
      <c r="B2038" s="47"/>
      <c r="C2038" s="47"/>
      <c r="D2038" s="47"/>
      <c r="E2038" s="47"/>
      <c r="F2038" s="47"/>
      <c r="G2038" s="47"/>
      <c r="H2038" s="47"/>
      <c r="I2038" s="47"/>
      <c r="J2038" s="48"/>
      <c r="K2038" s="47"/>
      <c r="L2038" s="47"/>
      <c r="M2038" s="47"/>
      <c r="N2038" s="47"/>
    </row>
    <row r="2039" spans="1:14" ht="16.5" customHeight="1" x14ac:dyDescent="0.25">
      <c r="A2039" s="49"/>
      <c r="B2039" s="47"/>
      <c r="C2039" s="47"/>
      <c r="D2039" s="47"/>
      <c r="E2039" s="47"/>
      <c r="F2039" s="47"/>
      <c r="G2039" s="47"/>
      <c r="H2039" s="47"/>
      <c r="I2039" s="47"/>
      <c r="J2039" s="48"/>
      <c r="K2039" s="47"/>
      <c r="L2039" s="47"/>
      <c r="M2039" s="47"/>
      <c r="N2039" s="47"/>
    </row>
    <row r="2040" spans="1:14" ht="16.5" customHeight="1" x14ac:dyDescent="0.25">
      <c r="A2040" s="49"/>
      <c r="B2040" s="47"/>
      <c r="C2040" s="47"/>
      <c r="D2040" s="47"/>
      <c r="E2040" s="47"/>
      <c r="F2040" s="47"/>
      <c r="G2040" s="47"/>
      <c r="H2040" s="47"/>
      <c r="I2040" s="47"/>
      <c r="J2040" s="48"/>
      <c r="K2040" s="47"/>
      <c r="L2040" s="47"/>
      <c r="M2040" s="47"/>
      <c r="N2040" s="47"/>
    </row>
    <row r="2041" spans="1:14" ht="16.5" customHeight="1" x14ac:dyDescent="0.25">
      <c r="A2041" s="49"/>
      <c r="B2041" s="47"/>
      <c r="C2041" s="47"/>
      <c r="D2041" s="47"/>
      <c r="E2041" s="47"/>
      <c r="F2041" s="47"/>
      <c r="G2041" s="47"/>
      <c r="H2041" s="47"/>
      <c r="I2041" s="47"/>
      <c r="J2041" s="48"/>
      <c r="K2041" s="47"/>
      <c r="L2041" s="47"/>
      <c r="M2041" s="47"/>
      <c r="N2041" s="47"/>
    </row>
    <row r="2042" spans="1:14" ht="16.5" customHeight="1" x14ac:dyDescent="0.25">
      <c r="A2042" s="49"/>
      <c r="B2042" s="47"/>
      <c r="C2042" s="47"/>
      <c r="D2042" s="47"/>
      <c r="E2042" s="47"/>
      <c r="F2042" s="47"/>
      <c r="G2042" s="47"/>
      <c r="H2042" s="47"/>
      <c r="I2042" s="47"/>
      <c r="J2042" s="48"/>
      <c r="K2042" s="47"/>
      <c r="L2042" s="47"/>
      <c r="M2042" s="47"/>
      <c r="N2042" s="47"/>
    </row>
    <row r="2043" spans="1:14" ht="16.5" customHeight="1" x14ac:dyDescent="0.25">
      <c r="A2043" s="49"/>
      <c r="B2043" s="47"/>
      <c r="C2043" s="47"/>
      <c r="D2043" s="47"/>
      <c r="E2043" s="47"/>
      <c r="F2043" s="47"/>
      <c r="G2043" s="47"/>
      <c r="H2043" s="47"/>
      <c r="I2043" s="47"/>
      <c r="J2043" s="48"/>
      <c r="K2043" s="47"/>
      <c r="L2043" s="47"/>
      <c r="M2043" s="47"/>
      <c r="N2043" s="47"/>
    </row>
    <row r="2044" spans="1:14" ht="16.5" customHeight="1" x14ac:dyDescent="0.25">
      <c r="A2044" s="49"/>
      <c r="B2044" s="47"/>
      <c r="C2044" s="47"/>
      <c r="D2044" s="47"/>
      <c r="E2044" s="47"/>
      <c r="F2044" s="47"/>
      <c r="G2044" s="47"/>
      <c r="H2044" s="47"/>
      <c r="I2044" s="47"/>
      <c r="J2044" s="48"/>
      <c r="K2044" s="47"/>
      <c r="L2044" s="47"/>
      <c r="M2044" s="47"/>
      <c r="N2044" s="47"/>
    </row>
    <row r="2045" spans="1:14" ht="16.5" customHeight="1" x14ac:dyDescent="0.25">
      <c r="A2045" s="49"/>
      <c r="B2045" s="47"/>
      <c r="C2045" s="47"/>
      <c r="D2045" s="47"/>
      <c r="E2045" s="47"/>
      <c r="F2045" s="47"/>
      <c r="G2045" s="47"/>
      <c r="H2045" s="47"/>
      <c r="I2045" s="47"/>
      <c r="J2045" s="48"/>
      <c r="K2045" s="47"/>
      <c r="L2045" s="47"/>
      <c r="M2045" s="47"/>
      <c r="N2045" s="47"/>
    </row>
    <row r="2046" spans="1:14" ht="16.5" customHeight="1" x14ac:dyDescent="0.25">
      <c r="A2046" s="49"/>
      <c r="B2046" s="47"/>
      <c r="C2046" s="47"/>
      <c r="D2046" s="47"/>
      <c r="E2046" s="47"/>
      <c r="F2046" s="47"/>
      <c r="G2046" s="47"/>
      <c r="H2046" s="47"/>
      <c r="I2046" s="47"/>
      <c r="J2046" s="48"/>
      <c r="K2046" s="47"/>
      <c r="L2046" s="47"/>
      <c r="M2046" s="47"/>
      <c r="N2046" s="47"/>
    </row>
    <row r="2047" spans="1:14" ht="16.5" customHeight="1" x14ac:dyDescent="0.25">
      <c r="A2047" s="49"/>
      <c r="B2047" s="47"/>
      <c r="C2047" s="47"/>
      <c r="D2047" s="47"/>
      <c r="E2047" s="47"/>
      <c r="F2047" s="47"/>
      <c r="G2047" s="47"/>
      <c r="H2047" s="47"/>
      <c r="I2047" s="47"/>
      <c r="J2047" s="48"/>
      <c r="K2047" s="47"/>
      <c r="L2047" s="47"/>
      <c r="M2047" s="47"/>
      <c r="N2047" s="47"/>
    </row>
    <row r="2048" spans="1:14" ht="16.5" customHeight="1" x14ac:dyDescent="0.25">
      <c r="A2048" s="49"/>
      <c r="B2048" s="47"/>
      <c r="C2048" s="47"/>
      <c r="D2048" s="47"/>
      <c r="E2048" s="47"/>
      <c r="F2048" s="47"/>
      <c r="G2048" s="47"/>
      <c r="H2048" s="47"/>
      <c r="I2048" s="47"/>
      <c r="J2048" s="48"/>
      <c r="K2048" s="47"/>
      <c r="L2048" s="47"/>
      <c r="M2048" s="47"/>
      <c r="N2048" s="47"/>
    </row>
    <row r="2049" spans="1:14" ht="16.5" customHeight="1" x14ac:dyDescent="0.25">
      <c r="A2049" s="49"/>
      <c r="B2049" s="47"/>
      <c r="C2049" s="47"/>
      <c r="D2049" s="47"/>
      <c r="E2049" s="47"/>
      <c r="F2049" s="47"/>
      <c r="G2049" s="47"/>
      <c r="H2049" s="47"/>
      <c r="I2049" s="47"/>
      <c r="J2049" s="48"/>
      <c r="K2049" s="47"/>
      <c r="L2049" s="47"/>
      <c r="M2049" s="47"/>
      <c r="N2049" s="47"/>
    </row>
    <row r="2050" spans="1:14" ht="16.5" customHeight="1" x14ac:dyDescent="0.25">
      <c r="A2050" s="49"/>
      <c r="B2050" s="47"/>
      <c r="C2050" s="47"/>
      <c r="D2050" s="47"/>
      <c r="E2050" s="47"/>
      <c r="F2050" s="47"/>
      <c r="G2050" s="47"/>
      <c r="H2050" s="47"/>
      <c r="I2050" s="47"/>
      <c r="J2050" s="48"/>
      <c r="K2050" s="47"/>
      <c r="L2050" s="47"/>
      <c r="M2050" s="47"/>
      <c r="N2050" s="47"/>
    </row>
    <row r="2051" spans="1:14" ht="16.5" customHeight="1" x14ac:dyDescent="0.25">
      <c r="A2051" s="49"/>
      <c r="B2051" s="47"/>
      <c r="C2051" s="47"/>
      <c r="D2051" s="47"/>
      <c r="E2051" s="47"/>
      <c r="F2051" s="47"/>
      <c r="G2051" s="47"/>
      <c r="H2051" s="47"/>
      <c r="I2051" s="47"/>
      <c r="J2051" s="48"/>
      <c r="K2051" s="47"/>
      <c r="L2051" s="47"/>
      <c r="M2051" s="47"/>
      <c r="N2051" s="47"/>
    </row>
    <row r="2052" spans="1:14" ht="16.5" customHeight="1" x14ac:dyDescent="0.25">
      <c r="A2052" s="49"/>
      <c r="B2052" s="47"/>
      <c r="C2052" s="47"/>
      <c r="D2052" s="47"/>
      <c r="E2052" s="47"/>
      <c r="F2052" s="47"/>
      <c r="G2052" s="47"/>
      <c r="H2052" s="47"/>
      <c r="I2052" s="47"/>
      <c r="J2052" s="48"/>
      <c r="K2052" s="47"/>
      <c r="L2052" s="47"/>
      <c r="M2052" s="47"/>
      <c r="N2052" s="47"/>
    </row>
    <row r="2053" spans="1:14" ht="16.5" customHeight="1" x14ac:dyDescent="0.25">
      <c r="A2053" s="49"/>
      <c r="B2053" s="47"/>
      <c r="C2053" s="47"/>
      <c r="D2053" s="47"/>
      <c r="E2053" s="47"/>
      <c r="F2053" s="47"/>
      <c r="G2053" s="47"/>
      <c r="H2053" s="47"/>
      <c r="I2053" s="47"/>
      <c r="J2053" s="48"/>
      <c r="K2053" s="47"/>
      <c r="L2053" s="47"/>
      <c r="M2053" s="47"/>
      <c r="N2053" s="47"/>
    </row>
    <row r="2054" spans="1:14" ht="16.5" customHeight="1" x14ac:dyDescent="0.25">
      <c r="A2054" s="49"/>
      <c r="B2054" s="47"/>
      <c r="C2054" s="47"/>
      <c r="D2054" s="47"/>
      <c r="E2054" s="47"/>
      <c r="F2054" s="47"/>
      <c r="G2054" s="47"/>
      <c r="H2054" s="47"/>
      <c r="I2054" s="47"/>
      <c r="J2054" s="48"/>
      <c r="K2054" s="47"/>
      <c r="L2054" s="47"/>
      <c r="M2054" s="47"/>
      <c r="N2054" s="47"/>
    </row>
    <row r="2055" spans="1:14" ht="16.5" customHeight="1" x14ac:dyDescent="0.25">
      <c r="A2055" s="49"/>
      <c r="B2055" s="47"/>
      <c r="C2055" s="47"/>
      <c r="D2055" s="47"/>
      <c r="E2055" s="47"/>
      <c r="F2055" s="47"/>
      <c r="G2055" s="47"/>
      <c r="H2055" s="47"/>
      <c r="I2055" s="47"/>
      <c r="J2055" s="48"/>
      <c r="K2055" s="47"/>
      <c r="L2055" s="47"/>
      <c r="M2055" s="47"/>
      <c r="N2055" s="47"/>
    </row>
    <row r="2056" spans="1:14" ht="16.5" customHeight="1" x14ac:dyDescent="0.25">
      <c r="A2056" s="49"/>
      <c r="B2056" s="47"/>
      <c r="C2056" s="47"/>
      <c r="D2056" s="47"/>
      <c r="E2056" s="47"/>
      <c r="F2056" s="47"/>
      <c r="G2056" s="47"/>
      <c r="H2056" s="47"/>
      <c r="I2056" s="47"/>
      <c r="J2056" s="48"/>
      <c r="K2056" s="47"/>
      <c r="L2056" s="47"/>
      <c r="M2056" s="47"/>
      <c r="N2056" s="47"/>
    </row>
    <row r="2057" spans="1:14" ht="16.5" customHeight="1" x14ac:dyDescent="0.25">
      <c r="A2057" s="49"/>
      <c r="B2057" s="47"/>
      <c r="C2057" s="47"/>
      <c r="D2057" s="47"/>
      <c r="E2057" s="47"/>
      <c r="F2057" s="47"/>
      <c r="G2057" s="47"/>
      <c r="H2057" s="47"/>
      <c r="I2057" s="47"/>
      <c r="J2057" s="48"/>
      <c r="K2057" s="47"/>
      <c r="L2057" s="47"/>
      <c r="M2057" s="47"/>
      <c r="N2057" s="47"/>
    </row>
    <row r="2058" spans="1:14" ht="16.5" customHeight="1" x14ac:dyDescent="0.25">
      <c r="A2058" s="49"/>
      <c r="B2058" s="47"/>
      <c r="C2058" s="47"/>
      <c r="D2058" s="47"/>
      <c r="E2058" s="47"/>
      <c r="F2058" s="47"/>
      <c r="G2058" s="47"/>
      <c r="H2058" s="47"/>
      <c r="I2058" s="47"/>
      <c r="J2058" s="48"/>
      <c r="K2058" s="47"/>
      <c r="L2058" s="47"/>
      <c r="M2058" s="47"/>
      <c r="N2058" s="47"/>
    </row>
    <row r="2059" spans="1:14" ht="16.5" customHeight="1" x14ac:dyDescent="0.25">
      <c r="A2059" s="49"/>
      <c r="B2059" s="47"/>
      <c r="C2059" s="47"/>
      <c r="D2059" s="47"/>
      <c r="E2059" s="47"/>
      <c r="F2059" s="47"/>
      <c r="G2059" s="47"/>
      <c r="H2059" s="47"/>
      <c r="I2059" s="47"/>
      <c r="J2059" s="48"/>
      <c r="K2059" s="47"/>
      <c r="L2059" s="47"/>
      <c r="M2059" s="47"/>
      <c r="N2059" s="47"/>
    </row>
    <row r="2060" spans="1:14" ht="16.5" customHeight="1" x14ac:dyDescent="0.25">
      <c r="A2060" s="49"/>
      <c r="B2060" s="47"/>
      <c r="C2060" s="47"/>
      <c r="D2060" s="47"/>
      <c r="E2060" s="47"/>
      <c r="F2060" s="47"/>
      <c r="G2060" s="47"/>
      <c r="H2060" s="47"/>
      <c r="I2060" s="47"/>
      <c r="J2060" s="48"/>
      <c r="K2060" s="47"/>
      <c r="L2060" s="47"/>
      <c r="M2060" s="47"/>
      <c r="N2060" s="47"/>
    </row>
    <row r="2061" spans="1:14" ht="16.5" customHeight="1" x14ac:dyDescent="0.25">
      <c r="A2061" s="49"/>
      <c r="B2061" s="47"/>
      <c r="C2061" s="47"/>
      <c r="D2061" s="47"/>
      <c r="E2061" s="47"/>
      <c r="F2061" s="47"/>
      <c r="G2061" s="47"/>
      <c r="H2061" s="47"/>
      <c r="I2061" s="47"/>
      <c r="J2061" s="48"/>
      <c r="K2061" s="47"/>
      <c r="L2061" s="47"/>
      <c r="M2061" s="47"/>
      <c r="N2061" s="47"/>
    </row>
    <row r="2062" spans="1:14" ht="16.5" customHeight="1" x14ac:dyDescent="0.25">
      <c r="A2062" s="49"/>
      <c r="B2062" s="47"/>
      <c r="C2062" s="47"/>
      <c r="D2062" s="47"/>
      <c r="E2062" s="47"/>
      <c r="F2062" s="47"/>
      <c r="G2062" s="47"/>
      <c r="H2062" s="47"/>
      <c r="I2062" s="47"/>
      <c r="J2062" s="48"/>
      <c r="K2062" s="47"/>
      <c r="L2062" s="47"/>
      <c r="M2062" s="47"/>
      <c r="N2062" s="47"/>
    </row>
    <row r="2063" spans="1:14" ht="16.5" customHeight="1" x14ac:dyDescent="0.25">
      <c r="A2063" s="49"/>
      <c r="B2063" s="47"/>
      <c r="C2063" s="47"/>
      <c r="D2063" s="47"/>
      <c r="E2063" s="47"/>
      <c r="F2063" s="47"/>
      <c r="G2063" s="47"/>
      <c r="H2063" s="47"/>
      <c r="I2063" s="47"/>
      <c r="J2063" s="48"/>
      <c r="K2063" s="47"/>
      <c r="L2063" s="47"/>
      <c r="M2063" s="47"/>
      <c r="N2063" s="47"/>
    </row>
    <row r="2064" spans="1:14" ht="16.5" customHeight="1" x14ac:dyDescent="0.25">
      <c r="A2064" s="49"/>
      <c r="B2064" s="47"/>
      <c r="C2064" s="47"/>
      <c r="D2064" s="47"/>
      <c r="E2064" s="47"/>
      <c r="F2064" s="47"/>
      <c r="G2064" s="47"/>
      <c r="H2064" s="47"/>
      <c r="I2064" s="47"/>
      <c r="J2064" s="48"/>
      <c r="K2064" s="47"/>
      <c r="L2064" s="47"/>
      <c r="M2064" s="47"/>
      <c r="N2064" s="47"/>
    </row>
    <row r="2065" spans="1:14" ht="16.5" customHeight="1" x14ac:dyDescent="0.25">
      <c r="A2065" s="49"/>
      <c r="B2065" s="47"/>
      <c r="C2065" s="47"/>
      <c r="D2065" s="47"/>
      <c r="E2065" s="47"/>
      <c r="F2065" s="47"/>
      <c r="G2065" s="47"/>
      <c r="H2065" s="47"/>
      <c r="I2065" s="47"/>
      <c r="J2065" s="48"/>
      <c r="K2065" s="47"/>
      <c r="L2065" s="47"/>
      <c r="M2065" s="47"/>
      <c r="N2065" s="47"/>
    </row>
    <row r="2066" spans="1:14" ht="16.5" customHeight="1" x14ac:dyDescent="0.25">
      <c r="A2066" s="49"/>
      <c r="B2066" s="47"/>
      <c r="C2066" s="47"/>
      <c r="D2066" s="47"/>
      <c r="E2066" s="47"/>
      <c r="F2066" s="47"/>
      <c r="G2066" s="47"/>
      <c r="H2066" s="47"/>
      <c r="I2066" s="47"/>
      <c r="J2066" s="48"/>
      <c r="K2066" s="47"/>
      <c r="L2066" s="47"/>
      <c r="M2066" s="47"/>
      <c r="N2066" s="47"/>
    </row>
    <row r="2067" spans="1:14" ht="16.5" customHeight="1" x14ac:dyDescent="0.25">
      <c r="A2067" s="49"/>
      <c r="B2067" s="47"/>
      <c r="C2067" s="47"/>
      <c r="D2067" s="47"/>
      <c r="E2067" s="47"/>
      <c r="F2067" s="47"/>
      <c r="G2067" s="47"/>
      <c r="H2067" s="47"/>
      <c r="I2067" s="47"/>
      <c r="J2067" s="48"/>
      <c r="K2067" s="47"/>
      <c r="L2067" s="47"/>
      <c r="M2067" s="47"/>
      <c r="N2067" s="47"/>
    </row>
    <row r="2068" spans="1:14" ht="16.5" customHeight="1" x14ac:dyDescent="0.25">
      <c r="A2068" s="49"/>
      <c r="B2068" s="47"/>
      <c r="C2068" s="47"/>
      <c r="D2068" s="47"/>
      <c r="E2068" s="47"/>
      <c r="F2068" s="47"/>
      <c r="G2068" s="47"/>
      <c r="H2068" s="47"/>
      <c r="I2068" s="47"/>
      <c r="J2068" s="48"/>
      <c r="K2068" s="47"/>
      <c r="L2068" s="47"/>
      <c r="M2068" s="47"/>
      <c r="N2068" s="47"/>
    </row>
    <row r="2069" spans="1:14" ht="16.5" customHeight="1" x14ac:dyDescent="0.25">
      <c r="A2069" s="49"/>
      <c r="B2069" s="47"/>
      <c r="C2069" s="47"/>
      <c r="D2069" s="47"/>
      <c r="E2069" s="47"/>
      <c r="F2069" s="47"/>
      <c r="G2069" s="47"/>
      <c r="H2069" s="47"/>
      <c r="I2069" s="47"/>
      <c r="J2069" s="48"/>
      <c r="K2069" s="47"/>
      <c r="L2069" s="47"/>
      <c r="M2069" s="47"/>
      <c r="N2069" s="47"/>
    </row>
    <row r="2070" spans="1:14" ht="16.5" customHeight="1" x14ac:dyDescent="0.25">
      <c r="A2070" s="49"/>
      <c r="B2070" s="47"/>
      <c r="C2070" s="47"/>
      <c r="D2070" s="47"/>
      <c r="E2070" s="47"/>
      <c r="F2070" s="47"/>
      <c r="G2070" s="47"/>
      <c r="H2070" s="47"/>
      <c r="I2070" s="47"/>
      <c r="J2070" s="48"/>
      <c r="K2070" s="47"/>
      <c r="L2070" s="47"/>
      <c r="M2070" s="47"/>
      <c r="N2070" s="47"/>
    </row>
    <row r="2071" spans="1:14" ht="16.5" customHeight="1" x14ac:dyDescent="0.25">
      <c r="A2071" s="49"/>
      <c r="B2071" s="47"/>
      <c r="C2071" s="47"/>
      <c r="D2071" s="47"/>
      <c r="E2071" s="47"/>
      <c r="F2071" s="47"/>
      <c r="G2071" s="47"/>
      <c r="H2071" s="47"/>
      <c r="I2071" s="47"/>
      <c r="J2071" s="48"/>
      <c r="K2071" s="47"/>
      <c r="L2071" s="47"/>
      <c r="M2071" s="47"/>
      <c r="N2071" s="47"/>
    </row>
    <row r="2072" spans="1:14" ht="16.5" customHeight="1" x14ac:dyDescent="0.25">
      <c r="A2072" s="49"/>
      <c r="B2072" s="47"/>
      <c r="C2072" s="47"/>
      <c r="D2072" s="47"/>
      <c r="E2072" s="47"/>
      <c r="F2072" s="47"/>
      <c r="G2072" s="47"/>
      <c r="H2072" s="47"/>
      <c r="I2072" s="47"/>
      <c r="J2072" s="48"/>
      <c r="K2072" s="47"/>
      <c r="L2072" s="47"/>
      <c r="M2072" s="47"/>
      <c r="N2072" s="47"/>
    </row>
    <row r="2073" spans="1:14" ht="16.5" customHeight="1" x14ac:dyDescent="0.25">
      <c r="A2073" s="49"/>
      <c r="B2073" s="47"/>
      <c r="C2073" s="47"/>
      <c r="D2073" s="47"/>
      <c r="E2073" s="47"/>
      <c r="F2073" s="47"/>
      <c r="G2073" s="47"/>
      <c r="H2073" s="47"/>
      <c r="I2073" s="47"/>
      <c r="J2073" s="48"/>
      <c r="K2073" s="47"/>
      <c r="L2073" s="47"/>
      <c r="M2073" s="47"/>
      <c r="N2073" s="47"/>
    </row>
    <row r="2074" spans="1:14" ht="16.5" customHeight="1" x14ac:dyDescent="0.25">
      <c r="A2074" s="49"/>
      <c r="B2074" s="47"/>
      <c r="C2074" s="47"/>
      <c r="D2074" s="47"/>
      <c r="E2074" s="47"/>
      <c r="F2074" s="47"/>
      <c r="G2074" s="47"/>
      <c r="H2074" s="47"/>
      <c r="I2074" s="47"/>
      <c r="J2074" s="48"/>
      <c r="K2074" s="47"/>
      <c r="L2074" s="47"/>
      <c r="M2074" s="47"/>
      <c r="N2074" s="47"/>
    </row>
    <row r="2075" spans="1:14" ht="16.5" customHeight="1" x14ac:dyDescent="0.25">
      <c r="A2075" s="49"/>
      <c r="B2075" s="47"/>
      <c r="C2075" s="47"/>
      <c r="D2075" s="47"/>
      <c r="E2075" s="47"/>
      <c r="F2075" s="47"/>
      <c r="G2075" s="47"/>
      <c r="H2075" s="47"/>
      <c r="I2075" s="47"/>
      <c r="J2075" s="48"/>
      <c r="K2075" s="47"/>
      <c r="L2075" s="47"/>
      <c r="M2075" s="47"/>
      <c r="N2075" s="47"/>
    </row>
    <row r="2076" spans="1:14" ht="16.5" customHeight="1" x14ac:dyDescent="0.25">
      <c r="A2076" s="49"/>
      <c r="B2076" s="47"/>
      <c r="C2076" s="47"/>
      <c r="D2076" s="47"/>
      <c r="E2076" s="47"/>
      <c r="F2076" s="47"/>
      <c r="G2076" s="47"/>
      <c r="H2076" s="47"/>
      <c r="I2076" s="47"/>
      <c r="J2076" s="48"/>
      <c r="K2076" s="47"/>
      <c r="L2076" s="47"/>
      <c r="M2076" s="47"/>
      <c r="N2076" s="47"/>
    </row>
    <row r="2077" spans="1:14" ht="16.5" customHeight="1" x14ac:dyDescent="0.25">
      <c r="A2077" s="49"/>
      <c r="B2077" s="47"/>
      <c r="C2077" s="47"/>
      <c r="D2077" s="47"/>
      <c r="E2077" s="47"/>
      <c r="F2077" s="47"/>
      <c r="G2077" s="47"/>
      <c r="H2077" s="47"/>
      <c r="I2077" s="47"/>
      <c r="J2077" s="48"/>
      <c r="K2077" s="47"/>
      <c r="L2077" s="47"/>
      <c r="M2077" s="47"/>
      <c r="N2077" s="47"/>
    </row>
    <row r="2078" spans="1:14" ht="16.5" customHeight="1" x14ac:dyDescent="0.25">
      <c r="A2078" s="49"/>
      <c r="B2078" s="47"/>
      <c r="C2078" s="47"/>
      <c r="D2078" s="47"/>
      <c r="E2078" s="47"/>
      <c r="F2078" s="47"/>
      <c r="G2078" s="47"/>
      <c r="H2078" s="47"/>
      <c r="I2078" s="47"/>
      <c r="J2078" s="48"/>
      <c r="K2078" s="47"/>
      <c r="L2078" s="47"/>
      <c r="M2078" s="47"/>
      <c r="N2078" s="47"/>
    </row>
    <row r="2079" spans="1:14" ht="16.5" customHeight="1" x14ac:dyDescent="0.25">
      <c r="A2079" s="49"/>
      <c r="B2079" s="47"/>
      <c r="C2079" s="47"/>
      <c r="D2079" s="47"/>
      <c r="E2079" s="47"/>
      <c r="F2079" s="47"/>
      <c r="G2079" s="47"/>
      <c r="H2079" s="47"/>
      <c r="I2079" s="47"/>
      <c r="J2079" s="48"/>
      <c r="K2079" s="47"/>
      <c r="L2079" s="47"/>
      <c r="M2079" s="47"/>
      <c r="N2079" s="47"/>
    </row>
    <row r="2080" spans="1:14" ht="16.5" customHeight="1" x14ac:dyDescent="0.25">
      <c r="A2080" s="49"/>
      <c r="B2080" s="47"/>
      <c r="C2080" s="47"/>
      <c r="D2080" s="47"/>
      <c r="E2080" s="47"/>
      <c r="F2080" s="47"/>
      <c r="G2080" s="47"/>
      <c r="H2080" s="47"/>
      <c r="I2080" s="47"/>
      <c r="J2080" s="48"/>
      <c r="K2080" s="47"/>
      <c r="L2080" s="47"/>
      <c r="M2080" s="47"/>
      <c r="N2080" s="47"/>
    </row>
    <row r="2081" spans="1:14" ht="16.5" customHeight="1" x14ac:dyDescent="0.25">
      <c r="A2081" s="49"/>
      <c r="B2081" s="47"/>
      <c r="C2081" s="47"/>
      <c r="D2081" s="47"/>
      <c r="E2081" s="47"/>
      <c r="F2081" s="47"/>
      <c r="G2081" s="47"/>
      <c r="H2081" s="47"/>
      <c r="I2081" s="47"/>
      <c r="J2081" s="48"/>
      <c r="K2081" s="47"/>
      <c r="L2081" s="47"/>
      <c r="M2081" s="47"/>
      <c r="N2081" s="47"/>
    </row>
    <row r="2082" spans="1:14" ht="16.5" customHeight="1" x14ac:dyDescent="0.25">
      <c r="A2082" s="49"/>
      <c r="B2082" s="47"/>
      <c r="C2082" s="47"/>
      <c r="D2082" s="47"/>
      <c r="E2082" s="47"/>
      <c r="F2082" s="47"/>
      <c r="G2082" s="47"/>
      <c r="H2082" s="47"/>
      <c r="I2082" s="47"/>
      <c r="J2082" s="48"/>
      <c r="K2082" s="47"/>
      <c r="L2082" s="47"/>
      <c r="M2082" s="47"/>
      <c r="N2082" s="47"/>
    </row>
    <row r="2083" spans="1:14" ht="16.5" customHeight="1" x14ac:dyDescent="0.25">
      <c r="A2083" s="49"/>
      <c r="B2083" s="47"/>
      <c r="C2083" s="47"/>
      <c r="D2083" s="47"/>
      <c r="E2083" s="47"/>
      <c r="F2083" s="47"/>
      <c r="G2083" s="47"/>
      <c r="H2083" s="47"/>
      <c r="I2083" s="47"/>
      <c r="J2083" s="48"/>
      <c r="K2083" s="47"/>
      <c r="L2083" s="47"/>
      <c r="M2083" s="47"/>
      <c r="N2083" s="47"/>
    </row>
    <row r="2084" spans="1:14" ht="16.5" customHeight="1" x14ac:dyDescent="0.25">
      <c r="A2084" s="49"/>
      <c r="B2084" s="47"/>
      <c r="C2084" s="47"/>
      <c r="D2084" s="47"/>
      <c r="E2084" s="47"/>
      <c r="F2084" s="47"/>
      <c r="G2084" s="47"/>
      <c r="H2084" s="47"/>
      <c r="I2084" s="47"/>
      <c r="J2084" s="48"/>
      <c r="K2084" s="47"/>
      <c r="L2084" s="47"/>
      <c r="M2084" s="47"/>
      <c r="N2084" s="47"/>
    </row>
    <row r="2085" spans="1:14" ht="16.5" customHeight="1" x14ac:dyDescent="0.25">
      <c r="A2085" s="49"/>
      <c r="B2085" s="47"/>
      <c r="C2085" s="47"/>
      <c r="D2085" s="47"/>
      <c r="E2085" s="47"/>
      <c r="F2085" s="47"/>
      <c r="G2085" s="47"/>
      <c r="H2085" s="47"/>
      <c r="I2085" s="47"/>
      <c r="J2085" s="48"/>
      <c r="K2085" s="47"/>
      <c r="L2085" s="47"/>
      <c r="M2085" s="47"/>
      <c r="N2085" s="47"/>
    </row>
    <row r="2086" spans="1:14" ht="16.5" customHeight="1" x14ac:dyDescent="0.25">
      <c r="A2086" s="49"/>
      <c r="B2086" s="47"/>
      <c r="C2086" s="47"/>
      <c r="D2086" s="47"/>
      <c r="E2086" s="47"/>
      <c r="F2086" s="47"/>
      <c r="G2086" s="47"/>
      <c r="H2086" s="47"/>
      <c r="I2086" s="47"/>
      <c r="J2086" s="48"/>
      <c r="K2086" s="47"/>
      <c r="L2086" s="47"/>
      <c r="M2086" s="47"/>
      <c r="N2086" s="47"/>
    </row>
    <row r="2087" spans="1:14" ht="16.5" customHeight="1" x14ac:dyDescent="0.25">
      <c r="A2087" s="49"/>
      <c r="B2087" s="47"/>
      <c r="C2087" s="47"/>
      <c r="D2087" s="47"/>
      <c r="E2087" s="47"/>
      <c r="F2087" s="47"/>
      <c r="G2087" s="47"/>
      <c r="H2087" s="47"/>
      <c r="I2087" s="47"/>
      <c r="J2087" s="48"/>
      <c r="K2087" s="47"/>
      <c r="L2087" s="47"/>
      <c r="M2087" s="47"/>
      <c r="N2087" s="47"/>
    </row>
    <row r="2088" spans="1:14" ht="16.5" customHeight="1" x14ac:dyDescent="0.25">
      <c r="A2088" s="49"/>
      <c r="B2088" s="47"/>
      <c r="C2088" s="47"/>
      <c r="D2088" s="47"/>
      <c r="E2088" s="47"/>
      <c r="F2088" s="47"/>
      <c r="G2088" s="47"/>
      <c r="H2088" s="47"/>
      <c r="I2088" s="47"/>
      <c r="J2088" s="48"/>
      <c r="K2088" s="47"/>
      <c r="L2088" s="47"/>
      <c r="M2088" s="47"/>
      <c r="N2088" s="47"/>
    </row>
    <row r="2089" spans="1:14" ht="16.5" customHeight="1" x14ac:dyDescent="0.25">
      <c r="A2089" s="49"/>
      <c r="B2089" s="47"/>
      <c r="C2089" s="47"/>
      <c r="D2089" s="47"/>
      <c r="E2089" s="47"/>
      <c r="F2089" s="47"/>
      <c r="G2089" s="47"/>
      <c r="H2089" s="47"/>
      <c r="I2089" s="47"/>
      <c r="J2089" s="48"/>
      <c r="K2089" s="47"/>
      <c r="L2089" s="47"/>
      <c r="M2089" s="47"/>
      <c r="N2089" s="47"/>
    </row>
    <row r="2090" spans="1:14" ht="16.5" customHeight="1" x14ac:dyDescent="0.25">
      <c r="A2090" s="49"/>
      <c r="B2090" s="47"/>
      <c r="C2090" s="47"/>
      <c r="D2090" s="47"/>
      <c r="E2090" s="47"/>
      <c r="F2090" s="47"/>
      <c r="G2090" s="47"/>
      <c r="H2090" s="47"/>
      <c r="I2090" s="47"/>
      <c r="J2090" s="48"/>
      <c r="K2090" s="47"/>
      <c r="L2090" s="47"/>
      <c r="M2090" s="47"/>
      <c r="N2090" s="47"/>
    </row>
    <row r="2091" spans="1:14" ht="16.5" customHeight="1" x14ac:dyDescent="0.25">
      <c r="A2091" s="49"/>
      <c r="B2091" s="47"/>
      <c r="C2091" s="47"/>
      <c r="D2091" s="47"/>
      <c r="E2091" s="47"/>
      <c r="F2091" s="47"/>
      <c r="G2091" s="47"/>
      <c r="H2091" s="47"/>
      <c r="I2091" s="47"/>
      <c r="J2091" s="48"/>
      <c r="K2091" s="47"/>
      <c r="L2091" s="47"/>
      <c r="M2091" s="47"/>
      <c r="N2091" s="47"/>
    </row>
    <row r="2092" spans="1:14" ht="16.5" customHeight="1" x14ac:dyDescent="0.25">
      <c r="A2092" s="49"/>
      <c r="B2092" s="47"/>
      <c r="C2092" s="47"/>
      <c r="D2092" s="47"/>
      <c r="E2092" s="47"/>
      <c r="F2092" s="47"/>
      <c r="G2092" s="47"/>
      <c r="H2092" s="47"/>
      <c r="I2092" s="47"/>
      <c r="J2092" s="48"/>
      <c r="K2092" s="47"/>
      <c r="L2092" s="47"/>
      <c r="M2092" s="47"/>
      <c r="N2092" s="47"/>
    </row>
    <row r="2093" spans="1:14" ht="16.5" customHeight="1" x14ac:dyDescent="0.25">
      <c r="A2093" s="49"/>
      <c r="B2093" s="47"/>
      <c r="C2093" s="47"/>
      <c r="D2093" s="47"/>
      <c r="E2093" s="47"/>
      <c r="F2093" s="47"/>
      <c r="G2093" s="47"/>
      <c r="H2093" s="47"/>
      <c r="I2093" s="47"/>
      <c r="J2093" s="48"/>
      <c r="K2093" s="47"/>
      <c r="L2093" s="47"/>
      <c r="M2093" s="47"/>
      <c r="N2093" s="47"/>
    </row>
    <row r="2094" spans="1:14" ht="16.5" customHeight="1" x14ac:dyDescent="0.25">
      <c r="A2094" s="49"/>
      <c r="B2094" s="47"/>
      <c r="C2094" s="47"/>
      <c r="D2094" s="47"/>
      <c r="E2094" s="47"/>
      <c r="F2094" s="47"/>
      <c r="G2094" s="47"/>
      <c r="H2094" s="47"/>
      <c r="I2094" s="47"/>
      <c r="J2094" s="48"/>
      <c r="K2094" s="47"/>
      <c r="L2094" s="47"/>
      <c r="M2094" s="47"/>
      <c r="N2094" s="47"/>
    </row>
    <row r="2095" spans="1:14" ht="16.5" customHeight="1" x14ac:dyDescent="0.25">
      <c r="A2095" s="49"/>
      <c r="B2095" s="47"/>
      <c r="C2095" s="47"/>
      <c r="D2095" s="47"/>
      <c r="E2095" s="47"/>
      <c r="F2095" s="47"/>
      <c r="G2095" s="47"/>
      <c r="H2095" s="47"/>
      <c r="I2095" s="47"/>
      <c r="J2095" s="48"/>
      <c r="K2095" s="47"/>
      <c r="L2095" s="47"/>
      <c r="M2095" s="47"/>
      <c r="N2095" s="47"/>
    </row>
    <row r="2096" spans="1:14" ht="16.5" customHeight="1" x14ac:dyDescent="0.25">
      <c r="A2096" s="49"/>
      <c r="B2096" s="47"/>
      <c r="C2096" s="47"/>
      <c r="D2096" s="47"/>
      <c r="E2096" s="47"/>
      <c r="F2096" s="47"/>
      <c r="G2096" s="47"/>
      <c r="H2096" s="47"/>
      <c r="I2096" s="47"/>
      <c r="J2096" s="48"/>
      <c r="K2096" s="47"/>
      <c r="L2096" s="47"/>
      <c r="M2096" s="47"/>
      <c r="N2096" s="47"/>
    </row>
    <row r="2097" spans="1:14" ht="16.5" customHeight="1" x14ac:dyDescent="0.25">
      <c r="A2097" s="49"/>
      <c r="B2097" s="47"/>
      <c r="C2097" s="47"/>
      <c r="D2097" s="47"/>
      <c r="E2097" s="47"/>
      <c r="F2097" s="47"/>
      <c r="G2097" s="47"/>
      <c r="H2097" s="47"/>
      <c r="I2097" s="47"/>
      <c r="J2097" s="48"/>
      <c r="K2097" s="47"/>
      <c r="L2097" s="47"/>
      <c r="M2097" s="47"/>
      <c r="N2097" s="47"/>
    </row>
    <row r="2098" spans="1:14" ht="16.5" customHeight="1" x14ac:dyDescent="0.25">
      <c r="A2098" s="49"/>
      <c r="B2098" s="47"/>
      <c r="C2098" s="47"/>
      <c r="D2098" s="47"/>
      <c r="E2098" s="47"/>
      <c r="F2098" s="47"/>
      <c r="G2098" s="47"/>
      <c r="H2098" s="47"/>
      <c r="I2098" s="47"/>
      <c r="J2098" s="48"/>
      <c r="K2098" s="47"/>
      <c r="L2098" s="47"/>
      <c r="M2098" s="47"/>
      <c r="N2098" s="47"/>
    </row>
    <row r="2099" spans="1:14" ht="16.5" customHeight="1" x14ac:dyDescent="0.25">
      <c r="A2099" s="49"/>
      <c r="B2099" s="47"/>
      <c r="C2099" s="47"/>
      <c r="D2099" s="47"/>
      <c r="E2099" s="47"/>
      <c r="F2099" s="47"/>
      <c r="G2099" s="47"/>
      <c r="H2099" s="47"/>
      <c r="I2099" s="47"/>
      <c r="J2099" s="48"/>
      <c r="K2099" s="47"/>
      <c r="L2099" s="47"/>
      <c r="M2099" s="47"/>
      <c r="N2099" s="47"/>
    </row>
    <row r="2100" spans="1:14" ht="16.5" customHeight="1" x14ac:dyDescent="0.25">
      <c r="A2100" s="49"/>
      <c r="B2100" s="47"/>
      <c r="C2100" s="47"/>
      <c r="D2100" s="47"/>
      <c r="E2100" s="47"/>
      <c r="F2100" s="47"/>
      <c r="G2100" s="47"/>
      <c r="H2100" s="47"/>
      <c r="I2100" s="47"/>
      <c r="J2100" s="48"/>
      <c r="K2100" s="47"/>
      <c r="L2100" s="47"/>
      <c r="M2100" s="47"/>
      <c r="N2100" s="47"/>
    </row>
    <row r="2101" spans="1:14" ht="16.5" customHeight="1" x14ac:dyDescent="0.25">
      <c r="A2101" s="49"/>
      <c r="B2101" s="47"/>
      <c r="C2101" s="47"/>
      <c r="D2101" s="47"/>
      <c r="E2101" s="47"/>
      <c r="F2101" s="47"/>
      <c r="G2101" s="47"/>
      <c r="H2101" s="47"/>
      <c r="I2101" s="47"/>
      <c r="J2101" s="48"/>
      <c r="K2101" s="47"/>
      <c r="L2101" s="47"/>
      <c r="M2101" s="47"/>
      <c r="N2101" s="47"/>
    </row>
    <row r="2102" spans="1:14" ht="16.5" customHeight="1" x14ac:dyDescent="0.25">
      <c r="A2102" s="49"/>
      <c r="B2102" s="47"/>
      <c r="C2102" s="47"/>
      <c r="D2102" s="47"/>
      <c r="E2102" s="47"/>
      <c r="F2102" s="47"/>
      <c r="G2102" s="47"/>
      <c r="H2102" s="47"/>
      <c r="I2102" s="47"/>
      <c r="J2102" s="48"/>
      <c r="K2102" s="47"/>
      <c r="L2102" s="47"/>
      <c r="M2102" s="47"/>
      <c r="N2102" s="47"/>
    </row>
    <row r="2103" spans="1:14" ht="16.5" customHeight="1" x14ac:dyDescent="0.25">
      <c r="A2103" s="49"/>
      <c r="B2103" s="47"/>
      <c r="C2103" s="47"/>
      <c r="D2103" s="47"/>
      <c r="E2103" s="47"/>
      <c r="F2103" s="47"/>
      <c r="G2103" s="47"/>
      <c r="H2103" s="47"/>
      <c r="I2103" s="47"/>
      <c r="J2103" s="48"/>
      <c r="K2103" s="47"/>
      <c r="L2103" s="47"/>
      <c r="M2103" s="47"/>
      <c r="N2103" s="47"/>
    </row>
    <row r="2104" spans="1:14" ht="16.5" customHeight="1" x14ac:dyDescent="0.25">
      <c r="A2104" s="49"/>
      <c r="B2104" s="47"/>
      <c r="C2104" s="47"/>
      <c r="D2104" s="47"/>
      <c r="E2104" s="47"/>
      <c r="F2104" s="47"/>
      <c r="G2104" s="47"/>
      <c r="H2104" s="47"/>
      <c r="I2104" s="47"/>
      <c r="J2104" s="48"/>
      <c r="K2104" s="47"/>
      <c r="L2104" s="47"/>
      <c r="M2104" s="47"/>
      <c r="N2104" s="47"/>
    </row>
    <row r="2105" spans="1:14" ht="16.5" customHeight="1" x14ac:dyDescent="0.25">
      <c r="A2105" s="49"/>
      <c r="B2105" s="47"/>
      <c r="C2105" s="47"/>
      <c r="D2105" s="47"/>
      <c r="E2105" s="47"/>
      <c r="F2105" s="47"/>
      <c r="G2105" s="47"/>
      <c r="H2105" s="47"/>
      <c r="I2105" s="47"/>
      <c r="J2105" s="48"/>
      <c r="K2105" s="47"/>
      <c r="L2105" s="47"/>
      <c r="M2105" s="47"/>
      <c r="N2105" s="47"/>
    </row>
    <row r="2106" spans="1:14" ht="16.5" customHeight="1" x14ac:dyDescent="0.25">
      <c r="A2106" s="49"/>
      <c r="B2106" s="47"/>
      <c r="C2106" s="47"/>
      <c r="D2106" s="47"/>
      <c r="E2106" s="47"/>
      <c r="F2106" s="47"/>
      <c r="G2106" s="47"/>
      <c r="H2106" s="47"/>
      <c r="I2106" s="47"/>
      <c r="J2106" s="48"/>
      <c r="K2106" s="47"/>
      <c r="L2106" s="47"/>
      <c r="M2106" s="47"/>
      <c r="N2106" s="47"/>
    </row>
    <row r="2107" spans="1:14" ht="16.5" customHeight="1" x14ac:dyDescent="0.25">
      <c r="A2107" s="49"/>
      <c r="B2107" s="47"/>
      <c r="C2107" s="47"/>
      <c r="D2107" s="47"/>
      <c r="E2107" s="47"/>
      <c r="F2107" s="47"/>
      <c r="G2107" s="47"/>
      <c r="H2107" s="47"/>
      <c r="I2107" s="47"/>
      <c r="J2107" s="48"/>
      <c r="K2107" s="47"/>
      <c r="L2107" s="47"/>
      <c r="M2107" s="47"/>
      <c r="N2107" s="47"/>
    </row>
    <row r="2108" spans="1:14" ht="16.5" customHeight="1" x14ac:dyDescent="0.25">
      <c r="A2108" s="49"/>
      <c r="B2108" s="47"/>
      <c r="C2108" s="47"/>
      <c r="D2108" s="47"/>
      <c r="E2108" s="47"/>
      <c r="F2108" s="47"/>
      <c r="G2108" s="47"/>
      <c r="H2108" s="47"/>
      <c r="I2108" s="47"/>
      <c r="J2108" s="48"/>
      <c r="K2108" s="47"/>
      <c r="L2108" s="47"/>
      <c r="M2108" s="47"/>
      <c r="N2108" s="47"/>
    </row>
    <row r="2109" spans="1:14" ht="16.5" customHeight="1" x14ac:dyDescent="0.25">
      <c r="A2109" s="49"/>
      <c r="B2109" s="47"/>
      <c r="C2109" s="47"/>
      <c r="D2109" s="47"/>
      <c r="E2109" s="47"/>
      <c r="F2109" s="47"/>
      <c r="G2109" s="47"/>
      <c r="H2109" s="47"/>
      <c r="I2109" s="47"/>
      <c r="J2109" s="48"/>
      <c r="K2109" s="47"/>
      <c r="L2109" s="47"/>
      <c r="M2109" s="47"/>
      <c r="N2109" s="47"/>
    </row>
    <row r="2110" spans="1:14" ht="16.5" customHeight="1" x14ac:dyDescent="0.25">
      <c r="A2110" s="49"/>
      <c r="B2110" s="47"/>
      <c r="C2110" s="47"/>
      <c r="D2110" s="47"/>
      <c r="E2110" s="47"/>
      <c r="F2110" s="47"/>
      <c r="G2110" s="47"/>
      <c r="H2110" s="47"/>
      <c r="I2110" s="47"/>
      <c r="J2110" s="48"/>
      <c r="K2110" s="47"/>
      <c r="L2110" s="47"/>
      <c r="M2110" s="47"/>
      <c r="N2110" s="47"/>
    </row>
    <row r="2111" spans="1:14" ht="16.5" customHeight="1" x14ac:dyDescent="0.25">
      <c r="A2111" s="49"/>
      <c r="B2111" s="47"/>
      <c r="C2111" s="47"/>
      <c r="D2111" s="47"/>
      <c r="E2111" s="47"/>
      <c r="F2111" s="47"/>
      <c r="G2111" s="47"/>
      <c r="H2111" s="47"/>
      <c r="I2111" s="47"/>
      <c r="J2111" s="48"/>
      <c r="K2111" s="47"/>
      <c r="L2111" s="47"/>
      <c r="M2111" s="47"/>
      <c r="N2111" s="47"/>
    </row>
    <row r="2112" spans="1:14" ht="16.5" customHeight="1" x14ac:dyDescent="0.25">
      <c r="A2112" s="49"/>
      <c r="B2112" s="47"/>
      <c r="C2112" s="47"/>
      <c r="D2112" s="47"/>
      <c r="E2112" s="47"/>
      <c r="F2112" s="47"/>
      <c r="G2112" s="47"/>
      <c r="H2112" s="47"/>
      <c r="I2112" s="47"/>
      <c r="J2112" s="48"/>
      <c r="K2112" s="47"/>
      <c r="L2112" s="47"/>
      <c r="M2112" s="47"/>
      <c r="N2112" s="47"/>
    </row>
    <row r="2113" spans="1:14" ht="16.5" customHeight="1" x14ac:dyDescent="0.25">
      <c r="A2113" s="49"/>
      <c r="B2113" s="47"/>
      <c r="C2113" s="47"/>
      <c r="D2113" s="47"/>
      <c r="E2113" s="47"/>
      <c r="F2113" s="47"/>
      <c r="G2113" s="47"/>
      <c r="H2113" s="47"/>
      <c r="I2113" s="47"/>
      <c r="J2113" s="48"/>
      <c r="K2113" s="47"/>
      <c r="L2113" s="47"/>
      <c r="M2113" s="47"/>
      <c r="N2113" s="47"/>
    </row>
    <row r="2114" spans="1:14" ht="16.5" customHeight="1" x14ac:dyDescent="0.25">
      <c r="A2114" s="49"/>
      <c r="B2114" s="47"/>
      <c r="C2114" s="47"/>
      <c r="D2114" s="47"/>
      <c r="E2114" s="47"/>
      <c r="F2114" s="47"/>
      <c r="G2114" s="47"/>
      <c r="H2114" s="47"/>
      <c r="I2114" s="47"/>
      <c r="J2114" s="48"/>
      <c r="K2114" s="47"/>
      <c r="L2114" s="47"/>
      <c r="M2114" s="47"/>
      <c r="N2114" s="47"/>
    </row>
    <row r="2115" spans="1:14" ht="16.5" customHeight="1" x14ac:dyDescent="0.25">
      <c r="A2115" s="49"/>
      <c r="B2115" s="47"/>
      <c r="C2115" s="47"/>
      <c r="D2115" s="47"/>
      <c r="E2115" s="47"/>
      <c r="F2115" s="47"/>
      <c r="G2115" s="47"/>
      <c r="H2115" s="47"/>
      <c r="I2115" s="47"/>
      <c r="J2115" s="48"/>
      <c r="K2115" s="47"/>
      <c r="L2115" s="47"/>
      <c r="M2115" s="47"/>
      <c r="N2115" s="47"/>
    </row>
    <row r="2116" spans="1:14" ht="16.5" customHeight="1" x14ac:dyDescent="0.25">
      <c r="A2116" s="49"/>
      <c r="B2116" s="47"/>
      <c r="C2116" s="47"/>
      <c r="D2116" s="47"/>
      <c r="E2116" s="47"/>
      <c r="F2116" s="47"/>
      <c r="G2116" s="47"/>
      <c r="H2116" s="47"/>
      <c r="I2116" s="47"/>
      <c r="J2116" s="48"/>
      <c r="K2116" s="47"/>
      <c r="L2116" s="47"/>
      <c r="M2116" s="47"/>
      <c r="N2116" s="47"/>
    </row>
    <row r="2117" spans="1:14" ht="16.5" customHeight="1" x14ac:dyDescent="0.25">
      <c r="A2117" s="49"/>
      <c r="B2117" s="47"/>
      <c r="C2117" s="47"/>
      <c r="D2117" s="47"/>
      <c r="E2117" s="47"/>
      <c r="F2117" s="47"/>
      <c r="G2117" s="47"/>
      <c r="H2117" s="47"/>
      <c r="I2117" s="47"/>
      <c r="J2117" s="48"/>
      <c r="K2117" s="47"/>
      <c r="L2117" s="47"/>
      <c r="M2117" s="47"/>
      <c r="N2117" s="47"/>
    </row>
    <row r="2118" spans="1:14" ht="16.5" customHeight="1" x14ac:dyDescent="0.25">
      <c r="A2118" s="49"/>
      <c r="B2118" s="47"/>
      <c r="C2118" s="47"/>
      <c r="D2118" s="47"/>
      <c r="E2118" s="47"/>
      <c r="F2118" s="47"/>
      <c r="G2118" s="47"/>
      <c r="H2118" s="47"/>
      <c r="I2118" s="47"/>
      <c r="J2118" s="48"/>
      <c r="K2118" s="47"/>
      <c r="L2118" s="47"/>
      <c r="M2118" s="47"/>
      <c r="N2118" s="47"/>
    </row>
    <row r="2119" spans="1:14" ht="16.5" customHeight="1" x14ac:dyDescent="0.25">
      <c r="A2119" s="49"/>
      <c r="B2119" s="47"/>
      <c r="C2119" s="47"/>
      <c r="D2119" s="47"/>
      <c r="E2119" s="47"/>
      <c r="F2119" s="47"/>
      <c r="G2119" s="47"/>
      <c r="H2119" s="47"/>
      <c r="I2119" s="47"/>
      <c r="J2119" s="48"/>
      <c r="K2119" s="47"/>
      <c r="L2119" s="47"/>
      <c r="M2119" s="47"/>
      <c r="N2119" s="47"/>
    </row>
    <row r="2120" spans="1:14" ht="16.5" customHeight="1" x14ac:dyDescent="0.25">
      <c r="A2120" s="49"/>
      <c r="B2120" s="47"/>
      <c r="C2120" s="47"/>
      <c r="D2120" s="47"/>
      <c r="E2120" s="47"/>
      <c r="F2120" s="47"/>
      <c r="G2120" s="47"/>
      <c r="H2120" s="47"/>
      <c r="I2120" s="47"/>
      <c r="J2120" s="48"/>
      <c r="K2120" s="47"/>
      <c r="L2120" s="47"/>
      <c r="M2120" s="47"/>
      <c r="N2120" s="47"/>
    </row>
    <row r="2121" spans="1:14" ht="16.5" customHeight="1" x14ac:dyDescent="0.25">
      <c r="A2121" s="49"/>
      <c r="B2121" s="47"/>
      <c r="C2121" s="47"/>
      <c r="D2121" s="47"/>
      <c r="E2121" s="47"/>
      <c r="F2121" s="47"/>
      <c r="G2121" s="47"/>
      <c r="H2121" s="47"/>
      <c r="I2121" s="47"/>
      <c r="J2121" s="48"/>
      <c r="K2121" s="47"/>
      <c r="L2121" s="47"/>
      <c r="M2121" s="47"/>
      <c r="N2121" s="47"/>
    </row>
    <row r="2122" spans="1:14" ht="16.5" customHeight="1" x14ac:dyDescent="0.25">
      <c r="A2122" s="49"/>
      <c r="B2122" s="47"/>
      <c r="C2122" s="47"/>
      <c r="D2122" s="47"/>
      <c r="E2122" s="47"/>
      <c r="F2122" s="47"/>
      <c r="G2122" s="47"/>
      <c r="H2122" s="47"/>
      <c r="I2122" s="47"/>
      <c r="J2122" s="48"/>
      <c r="K2122" s="47"/>
      <c r="L2122" s="47"/>
      <c r="M2122" s="47"/>
      <c r="N2122" s="47"/>
    </row>
    <row r="2123" spans="1:14" ht="16.5" customHeight="1" x14ac:dyDescent="0.25">
      <c r="A2123" s="49"/>
      <c r="B2123" s="47"/>
      <c r="C2123" s="47"/>
      <c r="D2123" s="47"/>
      <c r="E2123" s="47"/>
      <c r="F2123" s="47"/>
      <c r="G2123" s="47"/>
      <c r="H2123" s="47"/>
      <c r="I2123" s="47"/>
      <c r="J2123" s="48"/>
      <c r="K2123" s="47"/>
      <c r="L2123" s="47"/>
      <c r="M2123" s="47"/>
      <c r="N2123" s="47"/>
    </row>
    <row r="2124" spans="1:14" ht="16.5" customHeight="1" x14ac:dyDescent="0.25">
      <c r="A2124" s="49"/>
      <c r="B2124" s="47"/>
      <c r="C2124" s="47"/>
      <c r="D2124" s="47"/>
      <c r="E2124" s="47"/>
      <c r="F2124" s="47"/>
      <c r="G2124" s="47"/>
      <c r="H2124" s="47"/>
      <c r="I2124" s="47"/>
      <c r="J2124" s="48"/>
      <c r="K2124" s="47"/>
      <c r="L2124" s="47"/>
      <c r="M2124" s="47"/>
      <c r="N2124" s="47"/>
    </row>
    <row r="2125" spans="1:14" ht="16.5" customHeight="1" x14ac:dyDescent="0.25">
      <c r="A2125" s="49"/>
      <c r="B2125" s="47"/>
      <c r="C2125" s="47"/>
      <c r="D2125" s="47"/>
      <c r="E2125" s="47"/>
      <c r="F2125" s="47"/>
      <c r="G2125" s="47"/>
      <c r="H2125" s="47"/>
      <c r="I2125" s="47"/>
      <c r="J2125" s="48"/>
      <c r="K2125" s="47"/>
      <c r="L2125" s="47"/>
      <c r="M2125" s="47"/>
      <c r="N2125" s="47"/>
    </row>
    <row r="2126" spans="1:14" ht="16.5" customHeight="1" x14ac:dyDescent="0.25">
      <c r="A2126" s="49"/>
      <c r="B2126" s="47"/>
      <c r="C2126" s="47"/>
      <c r="D2126" s="47"/>
      <c r="E2126" s="47"/>
      <c r="F2126" s="47"/>
      <c r="G2126" s="47"/>
      <c r="H2126" s="47"/>
      <c r="I2126" s="47"/>
      <c r="J2126" s="48"/>
      <c r="K2126" s="47"/>
      <c r="L2126" s="47"/>
      <c r="M2126" s="47"/>
      <c r="N2126" s="47"/>
    </row>
    <row r="2127" spans="1:14" ht="16.5" customHeight="1" x14ac:dyDescent="0.25">
      <c r="A2127" s="49"/>
      <c r="B2127" s="47"/>
      <c r="C2127" s="47"/>
      <c r="D2127" s="47"/>
      <c r="E2127" s="47"/>
      <c r="F2127" s="47"/>
      <c r="G2127" s="47"/>
      <c r="H2127" s="47"/>
      <c r="I2127" s="47"/>
      <c r="J2127" s="48"/>
      <c r="K2127" s="47"/>
      <c r="L2127" s="47"/>
      <c r="M2127" s="47"/>
      <c r="N2127" s="47"/>
    </row>
    <row r="2128" spans="1:14" ht="16.5" customHeight="1" x14ac:dyDescent="0.25">
      <c r="A2128" s="49"/>
      <c r="B2128" s="47"/>
      <c r="C2128" s="47"/>
      <c r="D2128" s="47"/>
      <c r="E2128" s="47"/>
      <c r="F2128" s="47"/>
      <c r="G2128" s="47"/>
      <c r="H2128" s="47"/>
      <c r="I2128" s="47"/>
      <c r="J2128" s="48"/>
      <c r="K2128" s="47"/>
      <c r="L2128" s="47"/>
      <c r="M2128" s="47"/>
      <c r="N2128" s="47"/>
    </row>
    <row r="2129" spans="1:14" ht="16.5" customHeight="1" x14ac:dyDescent="0.25">
      <c r="A2129" s="49"/>
      <c r="B2129" s="47"/>
      <c r="C2129" s="47"/>
      <c r="D2129" s="47"/>
      <c r="E2129" s="47"/>
      <c r="F2129" s="47"/>
      <c r="G2129" s="47"/>
      <c r="H2129" s="47"/>
      <c r="I2129" s="47"/>
      <c r="J2129" s="48"/>
      <c r="K2129" s="47"/>
      <c r="L2129" s="47"/>
      <c r="M2129" s="47"/>
      <c r="N2129" s="47"/>
    </row>
    <row r="2130" spans="1:14" ht="16.5" customHeight="1" x14ac:dyDescent="0.25">
      <c r="A2130" s="49"/>
      <c r="B2130" s="47"/>
      <c r="C2130" s="47"/>
      <c r="D2130" s="47"/>
      <c r="E2130" s="47"/>
      <c r="F2130" s="47"/>
      <c r="G2130" s="47"/>
      <c r="H2130" s="47"/>
      <c r="I2130" s="47"/>
      <c r="J2130" s="48"/>
      <c r="K2130" s="47"/>
      <c r="L2130" s="47"/>
      <c r="M2130" s="47"/>
      <c r="N2130" s="47"/>
    </row>
    <row r="2131" spans="1:14" ht="16.5" customHeight="1" x14ac:dyDescent="0.25">
      <c r="A2131" s="49"/>
      <c r="B2131" s="47"/>
      <c r="C2131" s="47"/>
      <c r="D2131" s="47"/>
      <c r="E2131" s="47"/>
      <c r="F2131" s="47"/>
      <c r="G2131" s="47"/>
      <c r="H2131" s="47"/>
      <c r="I2131" s="47"/>
      <c r="J2131" s="48"/>
      <c r="K2131" s="47"/>
      <c r="L2131" s="47"/>
      <c r="M2131" s="47"/>
      <c r="N2131" s="47"/>
    </row>
    <row r="2132" spans="1:14" ht="16.5" customHeight="1" x14ac:dyDescent="0.25">
      <c r="A2132" s="49"/>
      <c r="B2132" s="47"/>
      <c r="C2132" s="47"/>
      <c r="D2132" s="47"/>
      <c r="E2132" s="47"/>
      <c r="F2132" s="47"/>
      <c r="G2132" s="47"/>
      <c r="H2132" s="47"/>
      <c r="I2132" s="47"/>
      <c r="J2132" s="48"/>
      <c r="K2132" s="47"/>
      <c r="L2132" s="47"/>
      <c r="M2132" s="47"/>
      <c r="N2132" s="47"/>
    </row>
    <row r="2133" spans="1:14" ht="16.5" customHeight="1" x14ac:dyDescent="0.25">
      <c r="A2133" s="49"/>
      <c r="B2133" s="47"/>
      <c r="C2133" s="47"/>
      <c r="D2133" s="47"/>
      <c r="E2133" s="47"/>
      <c r="F2133" s="47"/>
      <c r="G2133" s="47"/>
      <c r="H2133" s="47"/>
      <c r="I2133" s="47"/>
      <c r="J2133" s="48"/>
      <c r="K2133" s="47"/>
      <c r="L2133" s="47"/>
      <c r="M2133" s="47"/>
      <c r="N2133" s="47"/>
    </row>
    <row r="2134" spans="1:14" ht="16.5" customHeight="1" x14ac:dyDescent="0.25">
      <c r="A2134" s="49"/>
      <c r="B2134" s="47"/>
      <c r="C2134" s="47"/>
      <c r="D2134" s="47"/>
      <c r="E2134" s="47"/>
      <c r="F2134" s="47"/>
      <c r="G2134" s="47"/>
      <c r="H2134" s="47"/>
      <c r="I2134" s="47"/>
      <c r="J2134" s="48"/>
      <c r="K2134" s="47"/>
      <c r="L2134" s="47"/>
      <c r="M2134" s="47"/>
      <c r="N2134" s="47"/>
    </row>
    <row r="2135" spans="1:14" ht="16.5" customHeight="1" x14ac:dyDescent="0.25">
      <c r="A2135" s="49"/>
      <c r="B2135" s="47"/>
      <c r="C2135" s="47"/>
      <c r="D2135" s="47"/>
      <c r="E2135" s="47"/>
      <c r="F2135" s="47"/>
      <c r="G2135" s="47"/>
      <c r="H2135" s="47"/>
      <c r="I2135" s="47"/>
      <c r="J2135" s="48"/>
      <c r="K2135" s="47"/>
      <c r="L2135" s="47"/>
      <c r="M2135" s="47"/>
      <c r="N2135" s="47"/>
    </row>
    <row r="2136" spans="1:14" ht="16.5" customHeight="1" x14ac:dyDescent="0.25">
      <c r="A2136" s="49"/>
      <c r="B2136" s="47"/>
      <c r="C2136" s="47"/>
      <c r="D2136" s="47"/>
      <c r="E2136" s="47"/>
      <c r="F2136" s="47"/>
      <c r="G2136" s="47"/>
      <c r="H2136" s="47"/>
      <c r="I2136" s="47"/>
      <c r="J2136" s="48"/>
      <c r="K2136" s="47"/>
      <c r="L2136" s="47"/>
      <c r="M2136" s="47"/>
      <c r="N2136" s="47"/>
    </row>
    <row r="2137" spans="1:14" ht="16.5" customHeight="1" x14ac:dyDescent="0.25">
      <c r="A2137" s="49"/>
      <c r="B2137" s="47"/>
      <c r="C2137" s="47"/>
      <c r="D2137" s="47"/>
      <c r="E2137" s="47"/>
      <c r="F2137" s="47"/>
      <c r="G2137" s="47"/>
      <c r="H2137" s="47"/>
      <c r="I2137" s="47"/>
      <c r="J2137" s="48"/>
      <c r="K2137" s="47"/>
      <c r="L2137" s="47"/>
      <c r="M2137" s="47"/>
      <c r="N2137" s="47"/>
    </row>
    <row r="2138" spans="1:14" ht="16.5" customHeight="1" x14ac:dyDescent="0.25">
      <c r="A2138" s="49"/>
      <c r="B2138" s="47"/>
      <c r="C2138" s="47"/>
      <c r="D2138" s="47"/>
      <c r="E2138" s="47"/>
      <c r="F2138" s="47"/>
      <c r="G2138" s="47"/>
      <c r="H2138" s="47"/>
      <c r="I2138" s="47"/>
      <c r="J2138" s="48"/>
      <c r="K2138" s="47"/>
      <c r="L2138" s="47"/>
      <c r="M2138" s="47"/>
      <c r="N2138" s="47"/>
    </row>
    <row r="2139" spans="1:14" ht="16.5" customHeight="1" x14ac:dyDescent="0.25">
      <c r="A2139" s="49"/>
      <c r="B2139" s="47"/>
      <c r="C2139" s="47"/>
      <c r="D2139" s="47"/>
      <c r="E2139" s="47"/>
      <c r="F2139" s="47"/>
      <c r="G2139" s="47"/>
      <c r="H2139" s="47"/>
      <c r="I2139" s="47"/>
      <c r="J2139" s="48"/>
      <c r="K2139" s="47"/>
      <c r="L2139" s="47"/>
      <c r="M2139" s="47"/>
      <c r="N2139" s="47"/>
    </row>
    <row r="2140" spans="1:14" ht="16.5" customHeight="1" x14ac:dyDescent="0.25">
      <c r="A2140" s="49"/>
      <c r="B2140" s="47"/>
      <c r="C2140" s="47"/>
      <c r="D2140" s="47"/>
      <c r="E2140" s="47"/>
      <c r="F2140" s="47"/>
      <c r="G2140" s="47"/>
      <c r="H2140" s="47"/>
      <c r="I2140" s="47"/>
      <c r="J2140" s="48"/>
      <c r="K2140" s="47"/>
      <c r="L2140" s="47"/>
      <c r="M2140" s="47"/>
      <c r="N2140" s="47"/>
    </row>
    <row r="2141" spans="1:14" ht="16.5" customHeight="1" x14ac:dyDescent="0.25">
      <c r="A2141" s="49"/>
      <c r="B2141" s="47"/>
      <c r="C2141" s="47"/>
      <c r="D2141" s="47"/>
      <c r="E2141" s="47"/>
      <c r="F2141" s="47"/>
      <c r="G2141" s="47"/>
      <c r="H2141" s="47"/>
      <c r="I2141" s="47"/>
      <c r="J2141" s="48"/>
      <c r="K2141" s="47"/>
      <c r="L2141" s="47"/>
      <c r="M2141" s="47"/>
      <c r="N2141" s="47"/>
    </row>
    <row r="2142" spans="1:14" ht="16.5" customHeight="1" x14ac:dyDescent="0.25">
      <c r="A2142" s="49"/>
      <c r="B2142" s="47"/>
      <c r="C2142" s="47"/>
      <c r="D2142" s="47"/>
      <c r="E2142" s="47"/>
      <c r="F2142" s="47"/>
      <c r="G2142" s="47"/>
      <c r="H2142" s="47"/>
      <c r="I2142" s="47"/>
      <c r="J2142" s="48"/>
      <c r="K2142" s="47"/>
      <c r="L2142" s="47"/>
      <c r="M2142" s="47"/>
      <c r="N2142" s="47"/>
    </row>
    <row r="2143" spans="1:14" ht="16.5" customHeight="1" x14ac:dyDescent="0.25">
      <c r="A2143" s="49"/>
      <c r="B2143" s="47"/>
      <c r="C2143" s="47"/>
      <c r="D2143" s="47"/>
      <c r="E2143" s="47"/>
      <c r="F2143" s="47"/>
      <c r="G2143" s="47"/>
      <c r="H2143" s="47"/>
      <c r="I2143" s="47"/>
      <c r="J2143" s="48"/>
      <c r="K2143" s="47"/>
      <c r="L2143" s="47"/>
      <c r="M2143" s="47"/>
      <c r="N2143" s="47"/>
    </row>
    <row r="2144" spans="1:14" ht="16.5" customHeight="1" x14ac:dyDescent="0.25">
      <c r="A2144" s="49"/>
      <c r="B2144" s="47"/>
      <c r="C2144" s="47"/>
      <c r="D2144" s="47"/>
      <c r="E2144" s="47"/>
      <c r="F2144" s="47"/>
      <c r="G2144" s="47"/>
      <c r="H2144" s="47"/>
      <c r="I2144" s="47"/>
      <c r="J2144" s="48"/>
      <c r="K2144" s="47"/>
      <c r="L2144" s="47"/>
      <c r="M2144" s="47"/>
      <c r="N2144" s="47"/>
    </row>
    <row r="2145" spans="1:14" ht="16.5" customHeight="1" x14ac:dyDescent="0.25">
      <c r="A2145" s="49"/>
      <c r="B2145" s="47"/>
      <c r="C2145" s="47"/>
      <c r="D2145" s="47"/>
      <c r="E2145" s="47"/>
      <c r="F2145" s="47"/>
      <c r="G2145" s="47"/>
      <c r="H2145" s="47"/>
      <c r="I2145" s="47"/>
      <c r="J2145" s="48"/>
      <c r="K2145" s="47"/>
      <c r="L2145" s="47"/>
      <c r="M2145" s="47"/>
      <c r="N2145" s="47"/>
    </row>
    <row r="2146" spans="1:14" ht="16.5" customHeight="1" x14ac:dyDescent="0.25">
      <c r="A2146" s="49"/>
      <c r="B2146" s="47"/>
      <c r="C2146" s="47"/>
      <c r="D2146" s="47"/>
      <c r="E2146" s="47"/>
      <c r="F2146" s="47"/>
      <c r="G2146" s="47"/>
      <c r="H2146" s="47"/>
      <c r="I2146" s="47"/>
      <c r="J2146" s="48"/>
      <c r="K2146" s="47"/>
      <c r="L2146" s="47"/>
      <c r="M2146" s="47"/>
      <c r="N2146" s="47"/>
    </row>
    <row r="2147" spans="1:14" ht="16.5" customHeight="1" x14ac:dyDescent="0.25">
      <c r="A2147" s="49"/>
      <c r="B2147" s="47"/>
      <c r="C2147" s="47"/>
      <c r="D2147" s="47"/>
      <c r="E2147" s="47"/>
      <c r="F2147" s="47"/>
      <c r="G2147" s="47"/>
      <c r="H2147" s="47"/>
      <c r="I2147" s="47"/>
      <c r="J2147" s="48"/>
      <c r="K2147" s="47"/>
      <c r="L2147" s="47"/>
      <c r="M2147" s="47"/>
      <c r="N2147" s="47"/>
    </row>
    <row r="2148" spans="1:14" ht="16.5" customHeight="1" x14ac:dyDescent="0.25">
      <c r="A2148" s="49"/>
      <c r="B2148" s="47"/>
      <c r="C2148" s="47"/>
      <c r="D2148" s="47"/>
      <c r="E2148" s="47"/>
      <c r="F2148" s="47"/>
      <c r="G2148" s="47"/>
      <c r="H2148" s="47"/>
      <c r="I2148" s="47"/>
      <c r="J2148" s="48"/>
      <c r="K2148" s="47"/>
      <c r="L2148" s="47"/>
      <c r="M2148" s="47"/>
      <c r="N2148" s="47"/>
    </row>
    <row r="2149" spans="1:14" ht="16.5" customHeight="1" x14ac:dyDescent="0.25">
      <c r="A2149" s="49"/>
      <c r="B2149" s="47"/>
      <c r="C2149" s="47"/>
      <c r="D2149" s="47"/>
      <c r="E2149" s="47"/>
      <c r="F2149" s="47"/>
      <c r="G2149" s="47"/>
      <c r="H2149" s="47"/>
      <c r="I2149" s="47"/>
      <c r="J2149" s="48"/>
      <c r="K2149" s="47"/>
      <c r="L2149" s="47"/>
      <c r="M2149" s="47"/>
      <c r="N2149" s="47"/>
    </row>
    <row r="2150" spans="1:14" ht="16.5" customHeight="1" x14ac:dyDescent="0.25">
      <c r="A2150" s="49"/>
      <c r="B2150" s="47"/>
      <c r="C2150" s="47"/>
      <c r="D2150" s="47"/>
      <c r="E2150" s="47"/>
      <c r="F2150" s="47"/>
      <c r="G2150" s="47"/>
      <c r="H2150" s="47"/>
      <c r="I2150" s="47"/>
      <c r="J2150" s="48"/>
      <c r="K2150" s="47"/>
      <c r="L2150" s="47"/>
      <c r="M2150" s="47"/>
      <c r="N2150" s="47"/>
    </row>
    <row r="2151" spans="1:14" ht="16.5" customHeight="1" x14ac:dyDescent="0.25">
      <c r="A2151" s="49"/>
      <c r="B2151" s="47"/>
      <c r="C2151" s="47"/>
      <c r="D2151" s="47"/>
      <c r="E2151" s="47"/>
      <c r="F2151" s="47"/>
      <c r="G2151" s="47"/>
      <c r="H2151" s="47"/>
      <c r="I2151" s="47"/>
      <c r="J2151" s="48"/>
      <c r="K2151" s="47"/>
      <c r="L2151" s="47"/>
      <c r="M2151" s="47"/>
      <c r="N2151" s="47"/>
    </row>
    <row r="2152" spans="1:14" ht="16.5" customHeight="1" x14ac:dyDescent="0.25">
      <c r="A2152" s="49"/>
      <c r="B2152" s="47"/>
      <c r="C2152" s="47"/>
      <c r="D2152" s="47"/>
      <c r="E2152" s="47"/>
      <c r="F2152" s="47"/>
      <c r="G2152" s="47"/>
      <c r="H2152" s="47"/>
      <c r="I2152" s="47"/>
      <c r="J2152" s="48"/>
      <c r="K2152" s="47"/>
      <c r="L2152" s="47"/>
      <c r="M2152" s="47"/>
      <c r="N2152" s="47"/>
    </row>
    <row r="2153" spans="1:14" ht="16.5" customHeight="1" x14ac:dyDescent="0.25">
      <c r="A2153" s="49"/>
      <c r="B2153" s="47"/>
      <c r="C2153" s="47"/>
      <c r="D2153" s="47"/>
      <c r="E2153" s="47"/>
      <c r="F2153" s="47"/>
      <c r="G2153" s="47"/>
      <c r="H2153" s="47"/>
      <c r="I2153" s="47"/>
      <c r="J2153" s="48"/>
      <c r="K2153" s="47"/>
      <c r="L2153" s="47"/>
      <c r="M2153" s="47"/>
      <c r="N2153" s="47"/>
    </row>
    <row r="2154" spans="1:14" ht="16.5" customHeight="1" x14ac:dyDescent="0.25">
      <c r="A2154" s="49"/>
      <c r="B2154" s="47"/>
      <c r="C2154" s="47"/>
      <c r="D2154" s="47"/>
      <c r="E2154" s="47"/>
      <c r="F2154" s="47"/>
      <c r="G2154" s="47"/>
      <c r="H2154" s="47"/>
      <c r="I2154" s="47"/>
      <c r="J2154" s="48"/>
      <c r="K2154" s="47"/>
      <c r="L2154" s="47"/>
      <c r="M2154" s="47"/>
      <c r="N2154" s="47"/>
    </row>
    <row r="2155" spans="1:14" ht="16.5" customHeight="1" x14ac:dyDescent="0.25">
      <c r="A2155" s="49"/>
      <c r="B2155" s="47"/>
      <c r="C2155" s="47"/>
      <c r="D2155" s="47"/>
      <c r="E2155" s="47"/>
      <c r="F2155" s="47"/>
      <c r="G2155" s="47"/>
      <c r="H2155" s="47"/>
      <c r="I2155" s="47"/>
      <c r="J2155" s="48"/>
      <c r="K2155" s="47"/>
      <c r="L2155" s="47"/>
      <c r="M2155" s="47"/>
      <c r="N2155" s="47"/>
    </row>
    <row r="2156" spans="1:14" ht="16.5" customHeight="1" x14ac:dyDescent="0.25">
      <c r="A2156" s="49"/>
      <c r="B2156" s="47"/>
      <c r="C2156" s="47"/>
      <c r="D2156" s="47"/>
      <c r="E2156" s="47"/>
      <c r="F2156" s="47"/>
      <c r="G2156" s="47"/>
      <c r="H2156" s="47"/>
      <c r="I2156" s="47"/>
      <c r="J2156" s="48"/>
      <c r="K2156" s="47"/>
      <c r="L2156" s="47"/>
      <c r="M2156" s="47"/>
      <c r="N2156" s="47"/>
    </row>
    <row r="2157" spans="1:14" ht="16.5" customHeight="1" x14ac:dyDescent="0.25">
      <c r="A2157" s="49"/>
      <c r="B2157" s="47"/>
      <c r="C2157" s="47"/>
      <c r="D2157" s="47"/>
      <c r="E2157" s="47"/>
      <c r="F2157" s="47"/>
      <c r="G2157" s="47"/>
      <c r="H2157" s="47"/>
      <c r="I2157" s="47"/>
      <c r="J2157" s="48"/>
      <c r="K2157" s="47"/>
      <c r="L2157" s="47"/>
      <c r="M2157" s="47"/>
      <c r="N2157" s="47"/>
    </row>
    <row r="2158" spans="1:14" ht="16.5" customHeight="1" x14ac:dyDescent="0.25">
      <c r="A2158" s="49"/>
      <c r="B2158" s="47"/>
      <c r="C2158" s="47"/>
      <c r="D2158" s="47"/>
      <c r="E2158" s="47"/>
      <c r="F2158" s="47"/>
      <c r="G2158" s="47"/>
      <c r="H2158" s="47"/>
      <c r="I2158" s="47"/>
      <c r="J2158" s="48"/>
      <c r="K2158" s="47"/>
      <c r="L2158" s="47"/>
      <c r="M2158" s="47"/>
      <c r="N2158" s="47"/>
    </row>
    <row r="2159" spans="1:14" ht="16.5" customHeight="1" x14ac:dyDescent="0.25">
      <c r="A2159" s="49"/>
      <c r="B2159" s="47"/>
      <c r="C2159" s="47"/>
      <c r="D2159" s="47"/>
      <c r="E2159" s="47"/>
      <c r="F2159" s="47"/>
      <c r="G2159" s="47"/>
      <c r="H2159" s="47"/>
      <c r="I2159" s="47"/>
      <c r="J2159" s="48"/>
      <c r="K2159" s="47"/>
      <c r="L2159" s="47"/>
      <c r="M2159" s="47"/>
      <c r="N2159" s="47"/>
    </row>
    <row r="2160" spans="1:14" ht="16.5" customHeight="1" x14ac:dyDescent="0.25">
      <c r="A2160" s="49"/>
      <c r="B2160" s="47"/>
      <c r="C2160" s="47"/>
      <c r="D2160" s="47"/>
      <c r="E2160" s="47"/>
      <c r="F2160" s="47"/>
      <c r="G2160" s="47"/>
      <c r="H2160" s="47"/>
      <c r="I2160" s="47"/>
      <c r="J2160" s="48"/>
      <c r="K2160" s="47"/>
      <c r="L2160" s="47"/>
      <c r="M2160" s="47"/>
      <c r="N2160" s="47"/>
    </row>
    <row r="2161" spans="1:14" ht="16.5" customHeight="1" x14ac:dyDescent="0.25">
      <c r="A2161" s="49"/>
      <c r="B2161" s="47"/>
      <c r="C2161" s="47"/>
      <c r="D2161" s="47"/>
      <c r="E2161" s="47"/>
      <c r="F2161" s="47"/>
      <c r="G2161" s="47"/>
      <c r="H2161" s="47"/>
      <c r="I2161" s="47"/>
      <c r="J2161" s="48"/>
      <c r="K2161" s="47"/>
      <c r="L2161" s="47"/>
      <c r="M2161" s="47"/>
      <c r="N2161" s="47"/>
    </row>
    <row r="2162" spans="1:14" ht="16.5" customHeight="1" x14ac:dyDescent="0.25">
      <c r="A2162" s="49"/>
      <c r="B2162" s="47"/>
      <c r="C2162" s="47"/>
      <c r="D2162" s="47"/>
      <c r="E2162" s="47"/>
      <c r="F2162" s="47"/>
      <c r="G2162" s="47"/>
      <c r="H2162" s="47"/>
      <c r="I2162" s="47"/>
      <c r="J2162" s="48"/>
      <c r="K2162" s="47"/>
      <c r="L2162" s="47"/>
      <c r="M2162" s="47"/>
      <c r="N2162" s="47"/>
    </row>
    <row r="2163" spans="1:14" ht="16.5" customHeight="1" x14ac:dyDescent="0.25">
      <c r="A2163" s="49"/>
      <c r="B2163" s="47"/>
      <c r="C2163" s="47"/>
      <c r="D2163" s="47"/>
      <c r="E2163" s="47"/>
      <c r="F2163" s="47"/>
      <c r="G2163" s="47"/>
      <c r="H2163" s="47"/>
      <c r="I2163" s="47"/>
      <c r="J2163" s="48"/>
      <c r="K2163" s="47"/>
      <c r="L2163" s="47"/>
      <c r="M2163" s="47"/>
      <c r="N2163" s="47"/>
    </row>
    <row r="2164" spans="1:14" ht="16.5" customHeight="1" x14ac:dyDescent="0.25">
      <c r="A2164" s="49"/>
      <c r="B2164" s="47"/>
      <c r="C2164" s="47"/>
      <c r="D2164" s="47"/>
      <c r="E2164" s="47"/>
      <c r="F2164" s="47"/>
      <c r="G2164" s="47"/>
      <c r="H2164" s="47"/>
      <c r="I2164" s="47"/>
      <c r="J2164" s="48"/>
      <c r="K2164" s="47"/>
      <c r="L2164" s="47"/>
      <c r="M2164" s="47"/>
      <c r="N2164" s="47"/>
    </row>
    <row r="2165" spans="1:14" ht="16.5" customHeight="1" x14ac:dyDescent="0.25">
      <c r="A2165" s="49"/>
      <c r="B2165" s="47"/>
      <c r="C2165" s="47"/>
      <c r="D2165" s="47"/>
      <c r="E2165" s="47"/>
      <c r="F2165" s="47"/>
      <c r="G2165" s="47"/>
      <c r="H2165" s="47"/>
      <c r="I2165" s="47"/>
      <c r="J2165" s="48"/>
      <c r="K2165" s="47"/>
      <c r="L2165" s="47"/>
      <c r="M2165" s="47"/>
      <c r="N2165" s="47"/>
    </row>
    <row r="2166" spans="1:14" ht="16.5" customHeight="1" x14ac:dyDescent="0.25">
      <c r="A2166" s="49"/>
      <c r="B2166" s="47"/>
      <c r="C2166" s="47"/>
      <c r="D2166" s="47"/>
      <c r="E2166" s="47"/>
      <c r="F2166" s="47"/>
      <c r="G2166" s="47"/>
      <c r="H2166" s="47"/>
      <c r="I2166" s="47"/>
      <c r="J2166" s="48"/>
      <c r="K2166" s="47"/>
      <c r="L2166" s="47"/>
      <c r="M2166" s="47"/>
      <c r="N2166" s="47"/>
    </row>
    <row r="2167" spans="1:14" ht="16.5" customHeight="1" x14ac:dyDescent="0.25">
      <c r="A2167" s="49"/>
      <c r="B2167" s="47"/>
      <c r="C2167" s="47"/>
      <c r="D2167" s="47"/>
      <c r="E2167" s="47"/>
      <c r="F2167" s="47"/>
      <c r="G2167" s="47"/>
      <c r="H2167" s="47"/>
      <c r="I2167" s="47"/>
      <c r="J2167" s="48"/>
      <c r="K2167" s="47"/>
      <c r="L2167" s="47"/>
      <c r="M2167" s="47"/>
      <c r="N2167" s="47"/>
    </row>
    <row r="2168" spans="1:14" ht="16.5" customHeight="1" x14ac:dyDescent="0.25">
      <c r="A2168" s="49"/>
      <c r="B2168" s="47"/>
      <c r="C2168" s="47"/>
      <c r="D2168" s="47"/>
      <c r="E2168" s="47"/>
      <c r="F2168" s="47"/>
      <c r="G2168" s="47"/>
      <c r="H2168" s="47"/>
      <c r="I2168" s="47"/>
      <c r="J2168" s="48"/>
      <c r="K2168" s="47"/>
      <c r="L2168" s="47"/>
      <c r="M2168" s="47"/>
      <c r="N2168" s="47"/>
    </row>
    <row r="2169" spans="1:14" ht="16.5" customHeight="1" x14ac:dyDescent="0.25">
      <c r="A2169" s="49"/>
      <c r="B2169" s="47"/>
      <c r="C2169" s="47"/>
      <c r="D2169" s="47"/>
      <c r="E2169" s="47"/>
      <c r="F2169" s="47"/>
      <c r="G2169" s="47"/>
      <c r="H2169" s="47"/>
      <c r="I2169" s="47"/>
      <c r="J2169" s="48"/>
      <c r="K2169" s="47"/>
      <c r="L2169" s="47"/>
      <c r="M2169" s="47"/>
      <c r="N2169" s="47"/>
    </row>
    <row r="2170" spans="1:14" ht="16.5" customHeight="1" x14ac:dyDescent="0.25">
      <c r="A2170" s="49"/>
      <c r="B2170" s="47"/>
      <c r="C2170" s="47"/>
      <c r="D2170" s="47"/>
      <c r="E2170" s="47"/>
      <c r="F2170" s="47"/>
      <c r="G2170" s="47"/>
      <c r="H2170" s="47"/>
      <c r="I2170" s="47"/>
      <c r="J2170" s="48"/>
      <c r="K2170" s="47"/>
      <c r="L2170" s="47"/>
      <c r="M2170" s="47"/>
      <c r="N2170" s="47"/>
    </row>
    <row r="2171" spans="1:14" ht="16.5" customHeight="1" x14ac:dyDescent="0.25">
      <c r="A2171" s="49"/>
      <c r="B2171" s="47"/>
      <c r="C2171" s="47"/>
      <c r="D2171" s="47"/>
      <c r="E2171" s="47"/>
      <c r="F2171" s="47"/>
      <c r="G2171" s="47"/>
      <c r="H2171" s="47"/>
      <c r="I2171" s="47"/>
      <c r="J2171" s="48"/>
      <c r="K2171" s="47"/>
      <c r="L2171" s="47"/>
      <c r="M2171" s="47"/>
      <c r="N2171" s="47"/>
    </row>
    <row r="2172" spans="1:14" ht="16.5" customHeight="1" x14ac:dyDescent="0.25">
      <c r="A2172" s="49"/>
      <c r="B2172" s="47"/>
      <c r="C2172" s="47"/>
      <c r="D2172" s="47"/>
      <c r="E2172" s="47"/>
      <c r="F2172" s="47"/>
      <c r="G2172" s="47"/>
      <c r="H2172" s="47"/>
      <c r="I2172" s="47"/>
      <c r="J2172" s="48"/>
      <c r="K2172" s="47"/>
      <c r="L2172" s="47"/>
      <c r="M2172" s="47"/>
      <c r="N2172" s="47"/>
    </row>
    <row r="2173" spans="1:14" ht="16.5" customHeight="1" x14ac:dyDescent="0.25">
      <c r="A2173" s="49"/>
      <c r="B2173" s="47"/>
      <c r="C2173" s="47"/>
      <c r="D2173" s="47"/>
      <c r="E2173" s="47"/>
      <c r="F2173" s="47"/>
      <c r="G2173" s="47"/>
      <c r="H2173" s="47"/>
      <c r="I2173" s="47"/>
      <c r="J2173" s="48"/>
      <c r="K2173" s="47"/>
      <c r="L2173" s="47"/>
      <c r="M2173" s="47"/>
      <c r="N2173" s="47"/>
    </row>
    <row r="2174" spans="1:14" ht="16.5" customHeight="1" x14ac:dyDescent="0.25">
      <c r="A2174" s="49"/>
      <c r="B2174" s="47"/>
      <c r="C2174" s="47"/>
      <c r="D2174" s="47"/>
      <c r="E2174" s="47"/>
      <c r="F2174" s="47"/>
      <c r="G2174" s="47"/>
      <c r="H2174" s="47"/>
      <c r="I2174" s="47"/>
      <c r="J2174" s="48"/>
      <c r="K2174" s="47"/>
      <c r="L2174" s="47"/>
      <c r="M2174" s="47"/>
      <c r="N2174" s="47"/>
    </row>
    <row r="2175" spans="1:14" ht="16.5" customHeight="1" x14ac:dyDescent="0.25">
      <c r="A2175" s="49"/>
      <c r="B2175" s="47"/>
      <c r="C2175" s="47"/>
      <c r="D2175" s="47"/>
      <c r="E2175" s="47"/>
      <c r="F2175" s="47"/>
      <c r="G2175" s="47"/>
      <c r="H2175" s="47"/>
      <c r="I2175" s="47"/>
      <c r="J2175" s="48"/>
      <c r="K2175" s="47"/>
      <c r="L2175" s="47"/>
      <c r="M2175" s="47"/>
      <c r="N2175" s="47"/>
    </row>
    <row r="2176" spans="1:14" ht="16.5" customHeight="1" x14ac:dyDescent="0.25">
      <c r="A2176" s="49"/>
      <c r="B2176" s="47"/>
      <c r="C2176" s="47"/>
      <c r="D2176" s="47"/>
      <c r="E2176" s="47"/>
      <c r="F2176" s="47"/>
      <c r="G2176" s="47"/>
      <c r="H2176" s="47"/>
      <c r="I2176" s="47"/>
      <c r="J2176" s="48"/>
      <c r="K2176" s="47"/>
      <c r="L2176" s="47"/>
      <c r="M2176" s="47"/>
      <c r="N2176" s="47"/>
    </row>
    <row r="2177" spans="1:14" ht="16.5" customHeight="1" x14ac:dyDescent="0.25">
      <c r="A2177" s="49"/>
      <c r="B2177" s="47"/>
      <c r="C2177" s="47"/>
      <c r="D2177" s="47"/>
      <c r="E2177" s="47"/>
      <c r="F2177" s="47"/>
      <c r="G2177" s="47"/>
      <c r="H2177" s="47"/>
      <c r="I2177" s="47"/>
      <c r="J2177" s="48"/>
      <c r="K2177" s="47"/>
      <c r="L2177" s="47"/>
      <c r="M2177" s="47"/>
      <c r="N2177" s="47"/>
    </row>
    <row r="2178" spans="1:14" ht="16.5" customHeight="1" x14ac:dyDescent="0.25">
      <c r="A2178" s="49"/>
      <c r="B2178" s="47"/>
      <c r="C2178" s="47"/>
      <c r="D2178" s="47"/>
      <c r="E2178" s="47"/>
      <c r="F2178" s="47"/>
      <c r="G2178" s="47"/>
      <c r="H2178" s="47"/>
      <c r="I2178" s="47"/>
      <c r="J2178" s="48"/>
      <c r="K2178" s="47"/>
      <c r="L2178" s="47"/>
      <c r="M2178" s="47"/>
      <c r="N2178" s="47"/>
    </row>
    <row r="2179" spans="1:14" ht="16.5" customHeight="1" x14ac:dyDescent="0.25">
      <c r="A2179" s="49"/>
      <c r="B2179" s="47"/>
      <c r="C2179" s="47"/>
      <c r="D2179" s="47"/>
      <c r="E2179" s="47"/>
      <c r="F2179" s="47"/>
      <c r="G2179" s="47"/>
      <c r="H2179" s="47"/>
      <c r="I2179" s="47"/>
      <c r="J2179" s="48"/>
      <c r="K2179" s="47"/>
      <c r="L2179" s="47"/>
      <c r="M2179" s="47"/>
      <c r="N2179" s="47"/>
    </row>
    <row r="2180" spans="1:14" ht="16.5" customHeight="1" x14ac:dyDescent="0.25">
      <c r="A2180" s="49"/>
      <c r="B2180" s="47"/>
      <c r="C2180" s="47"/>
      <c r="D2180" s="47"/>
      <c r="E2180" s="47"/>
      <c r="F2180" s="47"/>
      <c r="G2180" s="47"/>
      <c r="H2180" s="47"/>
      <c r="I2180" s="47"/>
      <c r="J2180" s="48"/>
      <c r="K2180" s="47"/>
      <c r="L2180" s="47"/>
      <c r="M2180" s="47"/>
      <c r="N2180" s="47"/>
    </row>
    <row r="2181" spans="1:14" ht="16.5" customHeight="1" x14ac:dyDescent="0.25">
      <c r="A2181" s="49"/>
      <c r="B2181" s="47"/>
      <c r="C2181" s="47"/>
      <c r="D2181" s="47"/>
      <c r="E2181" s="47"/>
      <c r="F2181" s="47"/>
      <c r="G2181" s="47"/>
      <c r="H2181" s="47"/>
      <c r="I2181" s="47"/>
      <c r="J2181" s="48"/>
      <c r="K2181" s="47"/>
      <c r="L2181" s="47"/>
      <c r="M2181" s="47"/>
      <c r="N2181" s="47"/>
    </row>
    <row r="2182" spans="1:14" ht="16.5" customHeight="1" x14ac:dyDescent="0.25">
      <c r="A2182" s="49"/>
      <c r="B2182" s="47"/>
      <c r="C2182" s="47"/>
      <c r="D2182" s="47"/>
      <c r="E2182" s="47"/>
      <c r="F2182" s="47"/>
      <c r="G2182" s="47"/>
      <c r="H2182" s="47"/>
      <c r="I2182" s="47"/>
      <c r="J2182" s="48"/>
      <c r="K2182" s="47"/>
      <c r="L2182" s="47"/>
      <c r="M2182" s="47"/>
      <c r="N2182" s="47"/>
    </row>
    <row r="2183" spans="1:14" ht="16.5" customHeight="1" x14ac:dyDescent="0.25">
      <c r="A2183" s="49"/>
      <c r="B2183" s="47"/>
      <c r="C2183" s="47"/>
      <c r="D2183" s="47"/>
      <c r="E2183" s="47"/>
      <c r="F2183" s="47"/>
      <c r="G2183" s="47"/>
      <c r="H2183" s="47"/>
      <c r="I2183" s="47"/>
      <c r="J2183" s="48"/>
      <c r="K2183" s="47"/>
      <c r="L2183" s="47"/>
      <c r="M2183" s="47"/>
      <c r="N2183" s="47"/>
    </row>
    <row r="2184" spans="1:14" ht="16.5" customHeight="1" x14ac:dyDescent="0.25">
      <c r="A2184" s="49"/>
      <c r="B2184" s="47"/>
      <c r="C2184" s="47"/>
      <c r="D2184" s="47"/>
      <c r="E2184" s="47"/>
      <c r="F2184" s="47"/>
      <c r="G2184" s="47"/>
      <c r="H2184" s="47"/>
      <c r="I2184" s="47"/>
      <c r="J2184" s="48"/>
      <c r="K2184" s="47"/>
      <c r="L2184" s="47"/>
      <c r="M2184" s="47"/>
      <c r="N2184" s="47"/>
    </row>
    <row r="2185" spans="1:14" ht="16.5" customHeight="1" x14ac:dyDescent="0.25">
      <c r="A2185" s="49"/>
      <c r="B2185" s="47"/>
      <c r="C2185" s="47"/>
      <c r="D2185" s="47"/>
      <c r="E2185" s="47"/>
      <c r="F2185" s="47"/>
      <c r="G2185" s="47"/>
      <c r="H2185" s="47"/>
      <c r="I2185" s="47"/>
      <c r="J2185" s="48"/>
      <c r="K2185" s="47"/>
      <c r="L2185" s="47"/>
      <c r="M2185" s="47"/>
      <c r="N2185" s="47"/>
    </row>
    <row r="2186" spans="1:14" ht="16.5" customHeight="1" x14ac:dyDescent="0.25">
      <c r="A2186" s="49"/>
      <c r="B2186" s="47"/>
      <c r="C2186" s="47"/>
      <c r="D2186" s="47"/>
      <c r="E2186" s="47"/>
      <c r="F2186" s="47"/>
      <c r="G2186" s="47"/>
      <c r="H2186" s="47"/>
      <c r="I2186" s="47"/>
      <c r="J2186" s="48"/>
      <c r="K2186" s="47"/>
      <c r="L2186" s="47"/>
      <c r="M2186" s="47"/>
      <c r="N2186" s="47"/>
    </row>
    <row r="2187" spans="1:14" ht="16.5" customHeight="1" x14ac:dyDescent="0.25">
      <c r="A2187" s="49"/>
      <c r="B2187" s="47"/>
      <c r="C2187" s="47"/>
      <c r="D2187" s="47"/>
      <c r="E2187" s="47"/>
      <c r="F2187" s="47"/>
      <c r="G2187" s="47"/>
      <c r="H2187" s="47"/>
      <c r="I2187" s="47"/>
      <c r="J2187" s="48"/>
      <c r="K2187" s="47"/>
      <c r="L2187" s="47"/>
      <c r="M2187" s="47"/>
      <c r="N2187" s="47"/>
    </row>
    <row r="2188" spans="1:14" ht="16.5" customHeight="1" x14ac:dyDescent="0.25">
      <c r="A2188" s="49"/>
      <c r="B2188" s="47"/>
      <c r="C2188" s="47"/>
      <c r="D2188" s="47"/>
      <c r="E2188" s="47"/>
      <c r="F2188" s="47"/>
      <c r="G2188" s="47"/>
      <c r="H2188" s="47"/>
      <c r="I2188" s="47"/>
      <c r="J2188" s="48"/>
      <c r="K2188" s="47"/>
      <c r="L2188" s="47"/>
      <c r="M2188" s="47"/>
      <c r="N2188" s="47"/>
    </row>
    <row r="2189" spans="1:14" ht="16.5" customHeight="1" x14ac:dyDescent="0.25">
      <c r="A2189" s="49"/>
      <c r="B2189" s="47"/>
      <c r="C2189" s="47"/>
      <c r="D2189" s="47"/>
      <c r="E2189" s="47"/>
      <c r="F2189" s="47"/>
      <c r="G2189" s="47"/>
      <c r="H2189" s="47"/>
      <c r="I2189" s="47"/>
      <c r="J2189" s="48"/>
      <c r="K2189" s="47"/>
      <c r="L2189" s="47"/>
      <c r="M2189" s="47"/>
      <c r="N2189" s="47"/>
    </row>
    <row r="2190" spans="1:14" ht="16.5" customHeight="1" x14ac:dyDescent="0.25">
      <c r="A2190" s="49"/>
      <c r="B2190" s="47"/>
      <c r="C2190" s="47"/>
      <c r="D2190" s="47"/>
      <c r="E2190" s="47"/>
      <c r="F2190" s="47"/>
      <c r="G2190" s="47"/>
      <c r="H2190" s="47"/>
      <c r="I2190" s="47"/>
      <c r="J2190" s="48"/>
      <c r="K2190" s="47"/>
      <c r="L2190" s="47"/>
      <c r="M2190" s="47"/>
      <c r="N2190" s="47"/>
    </row>
    <row r="2191" spans="1:14" ht="16.5" customHeight="1" x14ac:dyDescent="0.25">
      <c r="A2191" s="49"/>
      <c r="B2191" s="47"/>
      <c r="C2191" s="47"/>
      <c r="D2191" s="47"/>
      <c r="E2191" s="47"/>
      <c r="F2191" s="47"/>
      <c r="G2191" s="47"/>
      <c r="H2191" s="47"/>
      <c r="I2191" s="47"/>
      <c r="J2191" s="48"/>
      <c r="K2191" s="47"/>
      <c r="L2191" s="47"/>
      <c r="M2191" s="47"/>
      <c r="N2191" s="47"/>
    </row>
    <row r="2192" spans="1:14" ht="16.5" customHeight="1" x14ac:dyDescent="0.25">
      <c r="A2192" s="49"/>
      <c r="B2192" s="47"/>
      <c r="C2192" s="47"/>
      <c r="D2192" s="47"/>
      <c r="E2192" s="47"/>
      <c r="F2192" s="47"/>
      <c r="G2192" s="47"/>
      <c r="H2192" s="47"/>
      <c r="I2192" s="47"/>
      <c r="J2192" s="48"/>
      <c r="K2192" s="47"/>
      <c r="L2192" s="47"/>
      <c r="M2192" s="47"/>
      <c r="N2192" s="47"/>
    </row>
    <row r="2193" spans="1:14" ht="16.5" customHeight="1" x14ac:dyDescent="0.25">
      <c r="A2193" s="49"/>
      <c r="B2193" s="47"/>
      <c r="C2193" s="47"/>
      <c r="D2193" s="47"/>
      <c r="E2193" s="47"/>
      <c r="F2193" s="47"/>
      <c r="G2193" s="47"/>
      <c r="H2193" s="47"/>
      <c r="I2193" s="47"/>
      <c r="J2193" s="48"/>
      <c r="K2193" s="47"/>
      <c r="L2193" s="47"/>
      <c r="M2193" s="47"/>
      <c r="N2193" s="47"/>
    </row>
    <row r="2194" spans="1:14" ht="16.5" customHeight="1" x14ac:dyDescent="0.25">
      <c r="A2194" s="49"/>
      <c r="B2194" s="47"/>
      <c r="C2194" s="47"/>
      <c r="D2194" s="47"/>
      <c r="E2194" s="47"/>
      <c r="F2194" s="47"/>
      <c r="G2194" s="47"/>
      <c r="H2194" s="47"/>
      <c r="I2194" s="47"/>
      <c r="J2194" s="48"/>
      <c r="K2194" s="47"/>
      <c r="L2194" s="47"/>
      <c r="M2194" s="47"/>
      <c r="N2194" s="47"/>
    </row>
    <row r="2195" spans="1:14" ht="16.5" customHeight="1" x14ac:dyDescent="0.25">
      <c r="A2195" s="49"/>
      <c r="B2195" s="47"/>
      <c r="C2195" s="47"/>
      <c r="D2195" s="47"/>
      <c r="E2195" s="47"/>
      <c r="F2195" s="47"/>
      <c r="G2195" s="47"/>
      <c r="H2195" s="47"/>
      <c r="I2195" s="47"/>
      <c r="J2195" s="48"/>
      <c r="K2195" s="47"/>
      <c r="L2195" s="47"/>
      <c r="M2195" s="47"/>
      <c r="N2195" s="47"/>
    </row>
    <row r="2196" spans="1:14" ht="16.5" customHeight="1" x14ac:dyDescent="0.25">
      <c r="A2196" s="49"/>
      <c r="B2196" s="47"/>
      <c r="C2196" s="47"/>
      <c r="D2196" s="47"/>
      <c r="E2196" s="47"/>
      <c r="F2196" s="47"/>
      <c r="G2196" s="47"/>
      <c r="H2196" s="47"/>
      <c r="I2196" s="47"/>
      <c r="J2196" s="48"/>
      <c r="K2196" s="47"/>
      <c r="L2196" s="47"/>
      <c r="M2196" s="47"/>
      <c r="N2196" s="47"/>
    </row>
    <row r="2197" spans="1:14" ht="16.5" customHeight="1" x14ac:dyDescent="0.25">
      <c r="A2197" s="49"/>
      <c r="B2197" s="47"/>
      <c r="C2197" s="47"/>
      <c r="D2197" s="47"/>
      <c r="E2197" s="47"/>
      <c r="F2197" s="47"/>
      <c r="G2197" s="47"/>
      <c r="H2197" s="47"/>
      <c r="I2197" s="47"/>
      <c r="J2197" s="48"/>
      <c r="K2197" s="47"/>
      <c r="L2197" s="47"/>
      <c r="M2197" s="47"/>
      <c r="N2197" s="47"/>
    </row>
    <row r="2198" spans="1:14" ht="16.5" customHeight="1" x14ac:dyDescent="0.25">
      <c r="A2198" s="49"/>
      <c r="B2198" s="47"/>
      <c r="C2198" s="47"/>
      <c r="D2198" s="47"/>
      <c r="E2198" s="47"/>
      <c r="F2198" s="47"/>
      <c r="G2198" s="47"/>
      <c r="H2198" s="47"/>
      <c r="I2198" s="47"/>
      <c r="J2198" s="48"/>
      <c r="K2198" s="47"/>
      <c r="L2198" s="47"/>
      <c r="M2198" s="47"/>
      <c r="N2198" s="47"/>
    </row>
    <row r="2199" spans="1:14" ht="16.5" customHeight="1" x14ac:dyDescent="0.25">
      <c r="A2199" s="49"/>
      <c r="B2199" s="47"/>
      <c r="C2199" s="47"/>
      <c r="D2199" s="47"/>
      <c r="E2199" s="47"/>
      <c r="F2199" s="47"/>
      <c r="G2199" s="47"/>
      <c r="H2199" s="47"/>
      <c r="I2199" s="47"/>
      <c r="J2199" s="48"/>
      <c r="K2199" s="47"/>
      <c r="L2199" s="47"/>
      <c r="M2199" s="47"/>
      <c r="N2199" s="47"/>
    </row>
    <row r="2200" spans="1:14" ht="16.5" customHeight="1" x14ac:dyDescent="0.25">
      <c r="A2200" s="49"/>
      <c r="B2200" s="47"/>
      <c r="C2200" s="47"/>
      <c r="D2200" s="47"/>
      <c r="E2200" s="47"/>
      <c r="F2200" s="47"/>
      <c r="G2200" s="47"/>
      <c r="H2200" s="47"/>
      <c r="I2200" s="47"/>
      <c r="J2200" s="48"/>
      <c r="K2200" s="47"/>
      <c r="L2200" s="47"/>
      <c r="M2200" s="47"/>
      <c r="N2200" s="47"/>
    </row>
    <row r="2201" spans="1:14" ht="16.5" customHeight="1" x14ac:dyDescent="0.25">
      <c r="A2201" s="49"/>
      <c r="B2201" s="47"/>
      <c r="C2201" s="47"/>
      <c r="D2201" s="47"/>
      <c r="E2201" s="47"/>
      <c r="F2201" s="47"/>
      <c r="G2201" s="47"/>
      <c r="H2201" s="47"/>
      <c r="I2201" s="47"/>
      <c r="J2201" s="48"/>
      <c r="K2201" s="47"/>
      <c r="L2201" s="47"/>
      <c r="M2201" s="47"/>
      <c r="N2201" s="47"/>
    </row>
    <row r="2202" spans="1:14" ht="16.5" customHeight="1" x14ac:dyDescent="0.25">
      <c r="A2202" s="49"/>
      <c r="B2202" s="47"/>
      <c r="C2202" s="47"/>
      <c r="D2202" s="47"/>
      <c r="E2202" s="47"/>
      <c r="F2202" s="47"/>
      <c r="G2202" s="47"/>
      <c r="H2202" s="47"/>
      <c r="I2202" s="47"/>
      <c r="J2202" s="48"/>
      <c r="K2202" s="47"/>
      <c r="L2202" s="47"/>
      <c r="M2202" s="47"/>
      <c r="N2202" s="47"/>
    </row>
    <row r="2203" spans="1:14" ht="16.5" customHeight="1" x14ac:dyDescent="0.25">
      <c r="A2203" s="49"/>
      <c r="B2203" s="47"/>
      <c r="C2203" s="47"/>
      <c r="D2203" s="47"/>
      <c r="E2203" s="47"/>
      <c r="F2203" s="47"/>
      <c r="G2203" s="47"/>
      <c r="H2203" s="47"/>
      <c r="I2203" s="47"/>
      <c r="J2203" s="48"/>
      <c r="K2203" s="47"/>
      <c r="L2203" s="47"/>
      <c r="M2203" s="47"/>
      <c r="N2203" s="47"/>
    </row>
    <row r="2204" spans="1:14" ht="16.5" customHeight="1" x14ac:dyDescent="0.25">
      <c r="A2204" s="49"/>
      <c r="B2204" s="47"/>
      <c r="C2204" s="47"/>
      <c r="D2204" s="47"/>
      <c r="E2204" s="47"/>
      <c r="F2204" s="47"/>
      <c r="G2204" s="47"/>
      <c r="H2204" s="47"/>
      <c r="I2204" s="47"/>
      <c r="J2204" s="48"/>
      <c r="K2204" s="47"/>
      <c r="L2204" s="47"/>
      <c r="M2204" s="47"/>
      <c r="N2204" s="47"/>
    </row>
    <row r="2205" spans="1:14" ht="16.5" customHeight="1" x14ac:dyDescent="0.25">
      <c r="A2205" s="49"/>
      <c r="B2205" s="47"/>
      <c r="C2205" s="47"/>
      <c r="D2205" s="47"/>
      <c r="E2205" s="47"/>
      <c r="F2205" s="47"/>
      <c r="G2205" s="47"/>
      <c r="H2205" s="47"/>
      <c r="I2205" s="47"/>
      <c r="J2205" s="48"/>
      <c r="K2205" s="47"/>
      <c r="L2205" s="47"/>
      <c r="M2205" s="47"/>
      <c r="N2205" s="47"/>
    </row>
    <row r="2206" spans="1:14" ht="16.5" customHeight="1" x14ac:dyDescent="0.25">
      <c r="A2206" s="49"/>
      <c r="B2206" s="47"/>
      <c r="C2206" s="47"/>
      <c r="D2206" s="47"/>
      <c r="E2206" s="47"/>
      <c r="F2206" s="47"/>
      <c r="G2206" s="47"/>
      <c r="H2206" s="47"/>
      <c r="I2206" s="47"/>
      <c r="J2206" s="48"/>
      <c r="K2206" s="47"/>
      <c r="L2206" s="47"/>
      <c r="M2206" s="47"/>
      <c r="N2206" s="47"/>
    </row>
    <row r="2207" spans="1:14" ht="16.5" customHeight="1" x14ac:dyDescent="0.25">
      <c r="A2207" s="49"/>
      <c r="B2207" s="47"/>
      <c r="C2207" s="47"/>
      <c r="D2207" s="47"/>
      <c r="E2207" s="47"/>
      <c r="F2207" s="47"/>
      <c r="G2207" s="47"/>
      <c r="H2207" s="47"/>
      <c r="I2207" s="47"/>
      <c r="J2207" s="48"/>
      <c r="K2207" s="47"/>
      <c r="L2207" s="47"/>
      <c r="M2207" s="47"/>
      <c r="N2207" s="47"/>
    </row>
    <row r="2208" spans="1:14" ht="16.5" customHeight="1" x14ac:dyDescent="0.25">
      <c r="A2208" s="49"/>
      <c r="B2208" s="47"/>
      <c r="C2208" s="47"/>
      <c r="D2208" s="47"/>
      <c r="E2208" s="47"/>
      <c r="F2208" s="47"/>
      <c r="G2208" s="47"/>
      <c r="H2208" s="47"/>
      <c r="I2208" s="47"/>
      <c r="J2208" s="48"/>
      <c r="K2208" s="47"/>
      <c r="L2208" s="47"/>
      <c r="M2208" s="47"/>
      <c r="N2208" s="47"/>
    </row>
    <row r="2209" spans="1:14" ht="16.5" customHeight="1" x14ac:dyDescent="0.25">
      <c r="A2209" s="49"/>
      <c r="B2209" s="47"/>
      <c r="C2209" s="47"/>
      <c r="D2209" s="47"/>
      <c r="E2209" s="47"/>
      <c r="F2209" s="47"/>
      <c r="G2209" s="47"/>
      <c r="H2209" s="47"/>
      <c r="I2209" s="47"/>
      <c r="J2209" s="48"/>
      <c r="K2209" s="47"/>
      <c r="L2209" s="47"/>
      <c r="M2209" s="47"/>
      <c r="N2209" s="47"/>
    </row>
    <row r="2210" spans="1:14" ht="16.5" customHeight="1" x14ac:dyDescent="0.25">
      <c r="A2210" s="49"/>
      <c r="B2210" s="47"/>
      <c r="C2210" s="47"/>
      <c r="D2210" s="47"/>
      <c r="E2210" s="47"/>
      <c r="F2210" s="47"/>
      <c r="G2210" s="47"/>
      <c r="H2210" s="47"/>
      <c r="I2210" s="47"/>
      <c r="J2210" s="48"/>
      <c r="K2210" s="47"/>
      <c r="L2210" s="47"/>
      <c r="M2210" s="47"/>
      <c r="N2210" s="47"/>
    </row>
    <row r="2211" spans="1:14" ht="16.5" customHeight="1" x14ac:dyDescent="0.25">
      <c r="A2211" s="49"/>
      <c r="B2211" s="47"/>
      <c r="C2211" s="47"/>
      <c r="D2211" s="47"/>
      <c r="E2211" s="47"/>
      <c r="F2211" s="47"/>
      <c r="G2211" s="47"/>
      <c r="H2211" s="47"/>
      <c r="I2211" s="47"/>
      <c r="J2211" s="48"/>
      <c r="K2211" s="47"/>
      <c r="L2211" s="47"/>
      <c r="M2211" s="47"/>
      <c r="N2211" s="47"/>
    </row>
    <row r="2212" spans="1:14" ht="16.5" customHeight="1" x14ac:dyDescent="0.25">
      <c r="A2212" s="49"/>
      <c r="B2212" s="47"/>
      <c r="C2212" s="47"/>
      <c r="D2212" s="47"/>
      <c r="E2212" s="47"/>
      <c r="F2212" s="47"/>
      <c r="G2212" s="47"/>
      <c r="H2212" s="47"/>
      <c r="I2212" s="47"/>
      <c r="J2212" s="48"/>
      <c r="K2212" s="47"/>
      <c r="L2212" s="47"/>
      <c r="M2212" s="47"/>
      <c r="N2212" s="47"/>
    </row>
    <row r="2213" spans="1:14" ht="16.5" customHeight="1" x14ac:dyDescent="0.25">
      <c r="A2213" s="49"/>
      <c r="B2213" s="47"/>
      <c r="C2213" s="47"/>
      <c r="D2213" s="47"/>
      <c r="E2213" s="47"/>
      <c r="F2213" s="47"/>
      <c r="G2213" s="47"/>
      <c r="H2213" s="47"/>
      <c r="I2213" s="47"/>
      <c r="J2213" s="48"/>
      <c r="K2213" s="47"/>
      <c r="L2213" s="47"/>
      <c r="M2213" s="47"/>
      <c r="N2213" s="47"/>
    </row>
    <row r="2214" spans="1:14" ht="16.5" customHeight="1" x14ac:dyDescent="0.25">
      <c r="A2214" s="49"/>
      <c r="B2214" s="47"/>
      <c r="C2214" s="47"/>
      <c r="D2214" s="47"/>
      <c r="E2214" s="47"/>
      <c r="F2214" s="47"/>
      <c r="G2214" s="47"/>
      <c r="H2214" s="47"/>
      <c r="I2214" s="47"/>
      <c r="J2214" s="48"/>
      <c r="K2214" s="47"/>
      <c r="L2214" s="47"/>
      <c r="M2214" s="47"/>
      <c r="N2214" s="47"/>
    </row>
    <row r="2215" spans="1:14" ht="16.5" customHeight="1" x14ac:dyDescent="0.25">
      <c r="A2215" s="49"/>
      <c r="B2215" s="47"/>
      <c r="C2215" s="47"/>
      <c r="D2215" s="47"/>
      <c r="E2215" s="47"/>
      <c r="F2215" s="47"/>
      <c r="G2215" s="47"/>
      <c r="H2215" s="47"/>
      <c r="I2215" s="47"/>
      <c r="J2215" s="48"/>
      <c r="K2215" s="47"/>
      <c r="L2215" s="47"/>
      <c r="M2215" s="47"/>
      <c r="N2215" s="47"/>
    </row>
    <row r="2216" spans="1:14" ht="16.5" customHeight="1" x14ac:dyDescent="0.25">
      <c r="A2216" s="49"/>
      <c r="B2216" s="47"/>
      <c r="C2216" s="47"/>
      <c r="D2216" s="47"/>
      <c r="E2216" s="47"/>
      <c r="F2216" s="47"/>
      <c r="G2216" s="47"/>
      <c r="H2216" s="47"/>
      <c r="I2216" s="47"/>
      <c r="J2216" s="48"/>
      <c r="K2216" s="47"/>
      <c r="L2216" s="47"/>
      <c r="M2216" s="47"/>
      <c r="N2216" s="47"/>
    </row>
    <row r="2217" spans="1:14" ht="16.5" customHeight="1" x14ac:dyDescent="0.25">
      <c r="A2217" s="49"/>
      <c r="B2217" s="47"/>
      <c r="C2217" s="47"/>
      <c r="D2217" s="47"/>
      <c r="E2217" s="47"/>
      <c r="F2217" s="47"/>
      <c r="G2217" s="47"/>
      <c r="H2217" s="47"/>
      <c r="I2217" s="47"/>
      <c r="J2217" s="48"/>
      <c r="K2217" s="47"/>
      <c r="L2217" s="47"/>
      <c r="M2217" s="47"/>
      <c r="N2217" s="47"/>
    </row>
    <row r="2218" spans="1:14" ht="16.5" customHeight="1" x14ac:dyDescent="0.25">
      <c r="A2218" s="49"/>
      <c r="B2218" s="47"/>
      <c r="C2218" s="47"/>
      <c r="D2218" s="47"/>
      <c r="E2218" s="47"/>
      <c r="F2218" s="47"/>
      <c r="G2218" s="47"/>
      <c r="H2218" s="47"/>
      <c r="I2218" s="47"/>
      <c r="J2218" s="48"/>
      <c r="K2218" s="47"/>
      <c r="L2218" s="47"/>
      <c r="M2218" s="47"/>
      <c r="N2218" s="47"/>
    </row>
    <row r="2219" spans="1:14" ht="16.5" customHeight="1" x14ac:dyDescent="0.25">
      <c r="A2219" s="49"/>
      <c r="B2219" s="47"/>
      <c r="C2219" s="47"/>
      <c r="D2219" s="47"/>
      <c r="E2219" s="47"/>
      <c r="F2219" s="47"/>
      <c r="G2219" s="47"/>
      <c r="H2219" s="47"/>
      <c r="I2219" s="47"/>
      <c r="J2219" s="48"/>
      <c r="K2219" s="47"/>
      <c r="L2219" s="47"/>
      <c r="M2219" s="47"/>
      <c r="N2219" s="47"/>
    </row>
    <row r="2220" spans="1:14" ht="16.5" customHeight="1" x14ac:dyDescent="0.25">
      <c r="A2220" s="49"/>
      <c r="B2220" s="47"/>
      <c r="C2220" s="47"/>
      <c r="D2220" s="47"/>
      <c r="E2220" s="47"/>
      <c r="F2220" s="47"/>
      <c r="G2220" s="47"/>
      <c r="H2220" s="47"/>
      <c r="I2220" s="47"/>
      <c r="J2220" s="48"/>
      <c r="K2220" s="47"/>
      <c r="L2220" s="47"/>
      <c r="M2220" s="47"/>
      <c r="N2220" s="47"/>
    </row>
    <row r="2221" spans="1:14" ht="16.5" customHeight="1" x14ac:dyDescent="0.25">
      <c r="A2221" s="49"/>
      <c r="B2221" s="47"/>
      <c r="C2221" s="47"/>
      <c r="D2221" s="47"/>
      <c r="E2221" s="47"/>
      <c r="F2221" s="47"/>
      <c r="G2221" s="47"/>
      <c r="H2221" s="47"/>
      <c r="I2221" s="47"/>
      <c r="J2221" s="48"/>
      <c r="K2221" s="47"/>
      <c r="L2221" s="47"/>
      <c r="M2221" s="47"/>
      <c r="N2221" s="47"/>
    </row>
    <row r="2222" spans="1:14" ht="16.5" customHeight="1" x14ac:dyDescent="0.25">
      <c r="A2222" s="49"/>
      <c r="B2222" s="47"/>
      <c r="C2222" s="47"/>
      <c r="D2222" s="47"/>
      <c r="E2222" s="47"/>
      <c r="F2222" s="47"/>
      <c r="G2222" s="47"/>
      <c r="H2222" s="47"/>
      <c r="I2222" s="47"/>
      <c r="J2222" s="48"/>
      <c r="K2222" s="47"/>
      <c r="L2222" s="47"/>
      <c r="M2222" s="47"/>
      <c r="N2222" s="47"/>
    </row>
    <row r="2223" spans="1:14" ht="16.5" customHeight="1" x14ac:dyDescent="0.25">
      <c r="A2223" s="49"/>
      <c r="B2223" s="47"/>
      <c r="C2223" s="47"/>
      <c r="D2223" s="47"/>
      <c r="E2223" s="47"/>
      <c r="F2223" s="47"/>
      <c r="G2223" s="47"/>
      <c r="H2223" s="47"/>
      <c r="I2223" s="47"/>
      <c r="J2223" s="48"/>
      <c r="K2223" s="47"/>
      <c r="L2223" s="47"/>
      <c r="M2223" s="47"/>
      <c r="N2223" s="47"/>
    </row>
    <row r="2224" spans="1:14" ht="16.5" customHeight="1" x14ac:dyDescent="0.25">
      <c r="A2224" s="49"/>
      <c r="B2224" s="47"/>
      <c r="C2224" s="47"/>
      <c r="D2224" s="47"/>
      <c r="E2224" s="47"/>
      <c r="F2224" s="47"/>
      <c r="G2224" s="47"/>
      <c r="H2224" s="47"/>
      <c r="I2224" s="47"/>
      <c r="J2224" s="48"/>
      <c r="K2224" s="47"/>
      <c r="L2224" s="47"/>
      <c r="M2224" s="47"/>
      <c r="N2224" s="47"/>
    </row>
    <row r="2225" spans="1:14" ht="16.5" customHeight="1" x14ac:dyDescent="0.25">
      <c r="A2225" s="49"/>
      <c r="B2225" s="47"/>
      <c r="C2225" s="47"/>
      <c r="D2225" s="47"/>
      <c r="E2225" s="47"/>
      <c r="F2225" s="47"/>
      <c r="G2225" s="47"/>
      <c r="H2225" s="47"/>
      <c r="I2225" s="47"/>
      <c r="J2225" s="48"/>
      <c r="K2225" s="47"/>
      <c r="L2225" s="47"/>
      <c r="M2225" s="47"/>
      <c r="N2225" s="47"/>
    </row>
    <row r="2226" spans="1:14" ht="16.5" customHeight="1" x14ac:dyDescent="0.25">
      <c r="A2226" s="49"/>
      <c r="B2226" s="47"/>
      <c r="C2226" s="47"/>
      <c r="D2226" s="47"/>
      <c r="E2226" s="47"/>
      <c r="F2226" s="47"/>
      <c r="G2226" s="47"/>
      <c r="H2226" s="47"/>
      <c r="I2226" s="47"/>
      <c r="J2226" s="48"/>
      <c r="K2226" s="47"/>
      <c r="L2226" s="47"/>
      <c r="M2226" s="47"/>
      <c r="N2226" s="47"/>
    </row>
    <row r="2227" spans="1:14" ht="16.5" customHeight="1" x14ac:dyDescent="0.25">
      <c r="A2227" s="49"/>
      <c r="B2227" s="47"/>
      <c r="C2227" s="47"/>
      <c r="D2227" s="47"/>
      <c r="E2227" s="47"/>
      <c r="F2227" s="47"/>
      <c r="G2227" s="47"/>
      <c r="H2227" s="47"/>
      <c r="I2227" s="47"/>
      <c r="J2227" s="48"/>
      <c r="K2227" s="47"/>
      <c r="L2227" s="47"/>
      <c r="M2227" s="47"/>
      <c r="N2227" s="47"/>
    </row>
    <row r="2228" spans="1:14" ht="16.5" customHeight="1" x14ac:dyDescent="0.25">
      <c r="A2228" s="49"/>
      <c r="B2228" s="47"/>
      <c r="C2228" s="47"/>
      <c r="D2228" s="47"/>
      <c r="E2228" s="47"/>
      <c r="F2228" s="47"/>
      <c r="G2228" s="47"/>
      <c r="H2228" s="47"/>
      <c r="I2228" s="47"/>
      <c r="J2228" s="48"/>
      <c r="K2228" s="47"/>
      <c r="L2228" s="47"/>
      <c r="M2228" s="47"/>
      <c r="N2228" s="47"/>
    </row>
    <row r="2229" spans="1:14" ht="16.5" customHeight="1" x14ac:dyDescent="0.25">
      <c r="A2229" s="49"/>
      <c r="B2229" s="47"/>
      <c r="C2229" s="47"/>
      <c r="D2229" s="47"/>
      <c r="E2229" s="47"/>
      <c r="F2229" s="47"/>
      <c r="G2229" s="47"/>
      <c r="H2229" s="47"/>
      <c r="I2229" s="47"/>
      <c r="J2229" s="48"/>
      <c r="K2229" s="47"/>
      <c r="L2229" s="47"/>
      <c r="M2229" s="47"/>
      <c r="N2229" s="47"/>
    </row>
    <row r="2230" spans="1:14" ht="16.5" customHeight="1" x14ac:dyDescent="0.25">
      <c r="A2230" s="49"/>
      <c r="B2230" s="47"/>
      <c r="C2230" s="47"/>
      <c r="D2230" s="47"/>
      <c r="E2230" s="47"/>
      <c r="F2230" s="47"/>
      <c r="G2230" s="47"/>
      <c r="H2230" s="47"/>
      <c r="I2230" s="47"/>
      <c r="J2230" s="48"/>
      <c r="K2230" s="47"/>
      <c r="L2230" s="47"/>
      <c r="M2230" s="47"/>
      <c r="N2230" s="47"/>
    </row>
    <row r="2231" spans="1:14" ht="16.5" customHeight="1" x14ac:dyDescent="0.25">
      <c r="A2231" s="49"/>
      <c r="B2231" s="47"/>
      <c r="C2231" s="47"/>
      <c r="D2231" s="47"/>
      <c r="E2231" s="47"/>
      <c r="F2231" s="47"/>
      <c r="G2231" s="47"/>
      <c r="H2231" s="47"/>
      <c r="I2231" s="47"/>
      <c r="J2231" s="48"/>
      <c r="K2231" s="47"/>
      <c r="L2231" s="47"/>
      <c r="M2231" s="47"/>
      <c r="N2231" s="47"/>
    </row>
    <row r="2232" spans="1:14" ht="16.5" customHeight="1" x14ac:dyDescent="0.25">
      <c r="A2232" s="49"/>
      <c r="B2232" s="47"/>
      <c r="C2232" s="47"/>
      <c r="D2232" s="47"/>
      <c r="E2232" s="47"/>
      <c r="F2232" s="47"/>
      <c r="G2232" s="47"/>
      <c r="H2232" s="47"/>
      <c r="I2232" s="47"/>
      <c r="J2232" s="48"/>
      <c r="K2232" s="47"/>
      <c r="L2232" s="47"/>
      <c r="M2232" s="47"/>
      <c r="N2232" s="47"/>
    </row>
    <row r="2233" spans="1:14" ht="16.5" customHeight="1" x14ac:dyDescent="0.25">
      <c r="A2233" s="49"/>
      <c r="B2233" s="47"/>
      <c r="C2233" s="47"/>
      <c r="D2233" s="47"/>
      <c r="E2233" s="47"/>
      <c r="F2233" s="47"/>
      <c r="G2233" s="47"/>
      <c r="H2233" s="47"/>
      <c r="I2233" s="47"/>
      <c r="J2233" s="48"/>
      <c r="K2233" s="47"/>
      <c r="L2233" s="47"/>
      <c r="M2233" s="47"/>
      <c r="N2233" s="47"/>
    </row>
    <row r="2234" spans="1:14" ht="16.5" customHeight="1" x14ac:dyDescent="0.25">
      <c r="A2234" s="49"/>
      <c r="B2234" s="47"/>
      <c r="C2234" s="47"/>
      <c r="D2234" s="47"/>
      <c r="E2234" s="47"/>
      <c r="F2234" s="47"/>
      <c r="G2234" s="47"/>
      <c r="H2234" s="47"/>
      <c r="I2234" s="47"/>
      <c r="J2234" s="48"/>
      <c r="K2234" s="47"/>
      <c r="L2234" s="47"/>
      <c r="M2234" s="47"/>
      <c r="N2234" s="47"/>
    </row>
    <row r="2235" spans="1:14" ht="16.5" customHeight="1" x14ac:dyDescent="0.25">
      <c r="A2235" s="49"/>
      <c r="B2235" s="47"/>
      <c r="C2235" s="47"/>
      <c r="D2235" s="47"/>
      <c r="E2235" s="47"/>
      <c r="F2235" s="47"/>
      <c r="G2235" s="47"/>
      <c r="H2235" s="47"/>
      <c r="I2235" s="47"/>
      <c r="J2235" s="48"/>
      <c r="K2235" s="47"/>
      <c r="L2235" s="47"/>
      <c r="M2235" s="47"/>
      <c r="N2235" s="47"/>
    </row>
    <row r="2236" spans="1:14" ht="16.5" customHeight="1" x14ac:dyDescent="0.25">
      <c r="A2236" s="49"/>
      <c r="B2236" s="47"/>
      <c r="C2236" s="47"/>
      <c r="D2236" s="47"/>
      <c r="E2236" s="47"/>
      <c r="F2236" s="47"/>
      <c r="G2236" s="47"/>
      <c r="H2236" s="47"/>
      <c r="I2236" s="47"/>
      <c r="J2236" s="48"/>
      <c r="K2236" s="47"/>
      <c r="L2236" s="47"/>
      <c r="M2236" s="47"/>
      <c r="N2236" s="47"/>
    </row>
    <row r="2237" spans="1:14" ht="16.5" customHeight="1" x14ac:dyDescent="0.25">
      <c r="A2237" s="49"/>
      <c r="B2237" s="47"/>
      <c r="C2237" s="47"/>
      <c r="D2237" s="47"/>
      <c r="E2237" s="47"/>
      <c r="F2237" s="47"/>
      <c r="G2237" s="47"/>
      <c r="H2237" s="47"/>
      <c r="I2237" s="47"/>
      <c r="J2237" s="48"/>
      <c r="K2237" s="47"/>
      <c r="L2237" s="47"/>
      <c r="M2237" s="47"/>
      <c r="N2237" s="47"/>
    </row>
    <row r="2238" spans="1:14" ht="16.5" customHeight="1" x14ac:dyDescent="0.25">
      <c r="A2238" s="49"/>
      <c r="B2238" s="47"/>
      <c r="C2238" s="47"/>
      <c r="D2238" s="47"/>
      <c r="E2238" s="47"/>
      <c r="F2238" s="47"/>
      <c r="G2238" s="47"/>
      <c r="H2238" s="47"/>
      <c r="I2238" s="47"/>
      <c r="J2238" s="48"/>
      <c r="K2238" s="47"/>
      <c r="L2238" s="47"/>
      <c r="M2238" s="47"/>
      <c r="N2238" s="47"/>
    </row>
    <row r="2239" spans="1:14" ht="16.5" customHeight="1" x14ac:dyDescent="0.25">
      <c r="A2239" s="49"/>
      <c r="B2239" s="47"/>
      <c r="C2239" s="47"/>
      <c r="D2239" s="47"/>
      <c r="E2239" s="47"/>
      <c r="F2239" s="47"/>
      <c r="G2239" s="47"/>
      <c r="H2239" s="47"/>
      <c r="I2239" s="47"/>
      <c r="J2239" s="48"/>
      <c r="K2239" s="47"/>
      <c r="L2239" s="47"/>
      <c r="M2239" s="47"/>
      <c r="N2239" s="47"/>
    </row>
    <row r="2240" spans="1:14" ht="16.5" customHeight="1" x14ac:dyDescent="0.25">
      <c r="A2240" s="49"/>
      <c r="B2240" s="47"/>
      <c r="C2240" s="47"/>
      <c r="D2240" s="47"/>
      <c r="E2240" s="47"/>
      <c r="F2240" s="47"/>
      <c r="G2240" s="47"/>
      <c r="H2240" s="47"/>
      <c r="I2240" s="47"/>
      <c r="J2240" s="48"/>
      <c r="K2240" s="47"/>
      <c r="L2240" s="47"/>
      <c r="M2240" s="47"/>
      <c r="N2240" s="47"/>
    </row>
    <row r="2241" spans="1:14" ht="16.5" customHeight="1" x14ac:dyDescent="0.25">
      <c r="A2241" s="49"/>
      <c r="B2241" s="47"/>
      <c r="C2241" s="47"/>
      <c r="D2241" s="47"/>
      <c r="E2241" s="47"/>
      <c r="F2241" s="47"/>
      <c r="G2241" s="47"/>
      <c r="H2241" s="47"/>
      <c r="I2241" s="47"/>
      <c r="J2241" s="48"/>
      <c r="K2241" s="47"/>
      <c r="L2241" s="47"/>
      <c r="M2241" s="47"/>
      <c r="N2241" s="47"/>
    </row>
    <row r="2242" spans="1:14" ht="16.5" customHeight="1" x14ac:dyDescent="0.25">
      <c r="A2242" s="49"/>
      <c r="B2242" s="47"/>
      <c r="C2242" s="47"/>
      <c r="D2242" s="47"/>
      <c r="E2242" s="47"/>
      <c r="F2242" s="47"/>
      <c r="G2242" s="47"/>
      <c r="H2242" s="47"/>
      <c r="I2242" s="47"/>
      <c r="J2242" s="48"/>
      <c r="K2242" s="47"/>
      <c r="L2242" s="47"/>
      <c r="M2242" s="47"/>
      <c r="N2242" s="47"/>
    </row>
    <row r="2243" spans="1:14" ht="16.5" customHeight="1" x14ac:dyDescent="0.25">
      <c r="A2243" s="49"/>
      <c r="B2243" s="47"/>
      <c r="C2243" s="47"/>
      <c r="D2243" s="47"/>
      <c r="E2243" s="47"/>
      <c r="F2243" s="47"/>
      <c r="G2243" s="47"/>
      <c r="H2243" s="47"/>
      <c r="I2243" s="47"/>
      <c r="J2243" s="48"/>
      <c r="K2243" s="47"/>
      <c r="L2243" s="47"/>
      <c r="M2243" s="47"/>
      <c r="N2243" s="47"/>
    </row>
    <row r="2244" spans="1:14" ht="16.5" customHeight="1" x14ac:dyDescent="0.25">
      <c r="A2244" s="49"/>
      <c r="B2244" s="47"/>
      <c r="C2244" s="47"/>
      <c r="D2244" s="47"/>
      <c r="E2244" s="47"/>
      <c r="F2244" s="47"/>
      <c r="G2244" s="47"/>
      <c r="H2244" s="47"/>
      <c r="I2244" s="47"/>
      <c r="J2244" s="48"/>
      <c r="K2244" s="47"/>
      <c r="L2244" s="47"/>
      <c r="M2244" s="47"/>
      <c r="N2244" s="47"/>
    </row>
    <row r="2245" spans="1:14" ht="16.5" customHeight="1" x14ac:dyDescent="0.25">
      <c r="A2245" s="49"/>
      <c r="B2245" s="47"/>
      <c r="C2245" s="47"/>
      <c r="D2245" s="47"/>
      <c r="E2245" s="47"/>
      <c r="F2245" s="47"/>
      <c r="G2245" s="47"/>
      <c r="H2245" s="47"/>
      <c r="I2245" s="47"/>
      <c r="J2245" s="48"/>
      <c r="K2245" s="47"/>
      <c r="L2245" s="47"/>
      <c r="M2245" s="47"/>
      <c r="N2245" s="47"/>
    </row>
    <row r="2246" spans="1:14" ht="16.5" customHeight="1" x14ac:dyDescent="0.25">
      <c r="A2246" s="49"/>
      <c r="B2246" s="47"/>
      <c r="C2246" s="47"/>
      <c r="D2246" s="47"/>
      <c r="E2246" s="47"/>
      <c r="F2246" s="47"/>
      <c r="G2246" s="47"/>
      <c r="H2246" s="47"/>
      <c r="I2246" s="47"/>
      <c r="J2246" s="48"/>
      <c r="K2246" s="47"/>
      <c r="L2246" s="47"/>
      <c r="M2246" s="47"/>
      <c r="N2246" s="47"/>
    </row>
    <row r="2247" spans="1:14" ht="16.5" customHeight="1" x14ac:dyDescent="0.25">
      <c r="A2247" s="49"/>
      <c r="B2247" s="47"/>
      <c r="C2247" s="47"/>
      <c r="D2247" s="47"/>
      <c r="E2247" s="47"/>
      <c r="F2247" s="47"/>
      <c r="G2247" s="47"/>
      <c r="H2247" s="47"/>
      <c r="I2247" s="47"/>
      <c r="J2247" s="48"/>
      <c r="K2247" s="47"/>
      <c r="L2247" s="47"/>
      <c r="M2247" s="47"/>
      <c r="N2247" s="47"/>
    </row>
    <row r="2248" spans="1:14" ht="16.5" customHeight="1" x14ac:dyDescent="0.25">
      <c r="A2248" s="49"/>
      <c r="B2248" s="47"/>
      <c r="C2248" s="47"/>
      <c r="D2248" s="47"/>
      <c r="E2248" s="47"/>
      <c r="F2248" s="47"/>
      <c r="G2248" s="47"/>
      <c r="H2248" s="47"/>
      <c r="I2248" s="47"/>
      <c r="J2248" s="48"/>
      <c r="K2248" s="47"/>
      <c r="L2248" s="47"/>
      <c r="M2248" s="47"/>
      <c r="N2248" s="47"/>
    </row>
    <row r="2249" spans="1:14" ht="16.5" customHeight="1" x14ac:dyDescent="0.25">
      <c r="A2249" s="49"/>
      <c r="B2249" s="47"/>
      <c r="C2249" s="47"/>
      <c r="D2249" s="47"/>
      <c r="E2249" s="47"/>
      <c r="F2249" s="47"/>
      <c r="G2249" s="47"/>
      <c r="H2249" s="47"/>
      <c r="I2249" s="47"/>
      <c r="J2249" s="48"/>
      <c r="K2249" s="47"/>
      <c r="L2249" s="47"/>
      <c r="M2249" s="47"/>
      <c r="N2249" s="47"/>
    </row>
    <row r="2250" spans="1:14" ht="16.5" customHeight="1" x14ac:dyDescent="0.25">
      <c r="A2250" s="49"/>
      <c r="B2250" s="47"/>
      <c r="C2250" s="47"/>
      <c r="D2250" s="47"/>
      <c r="E2250" s="47"/>
      <c r="F2250" s="47"/>
      <c r="G2250" s="47"/>
      <c r="H2250" s="47"/>
      <c r="I2250" s="47"/>
      <c r="J2250" s="48"/>
      <c r="K2250" s="47"/>
      <c r="L2250" s="47"/>
      <c r="M2250" s="47"/>
      <c r="N2250" s="47"/>
    </row>
    <row r="2251" spans="1:14" ht="16.5" customHeight="1" x14ac:dyDescent="0.25">
      <c r="A2251" s="49"/>
      <c r="B2251" s="47"/>
      <c r="C2251" s="47"/>
      <c r="D2251" s="47"/>
      <c r="E2251" s="47"/>
      <c r="F2251" s="47"/>
      <c r="G2251" s="47"/>
      <c r="H2251" s="47"/>
      <c r="I2251" s="47"/>
      <c r="J2251" s="48"/>
      <c r="K2251" s="47"/>
      <c r="L2251" s="47"/>
      <c r="M2251" s="47"/>
      <c r="N2251" s="47"/>
    </row>
    <row r="2252" spans="1:14" ht="16.5" customHeight="1" x14ac:dyDescent="0.25">
      <c r="A2252" s="49"/>
      <c r="B2252" s="47"/>
      <c r="C2252" s="47"/>
      <c r="D2252" s="47"/>
      <c r="E2252" s="47"/>
      <c r="F2252" s="47"/>
      <c r="G2252" s="47"/>
      <c r="H2252" s="47"/>
      <c r="I2252" s="47"/>
      <c r="J2252" s="48"/>
      <c r="K2252" s="47"/>
      <c r="L2252" s="47"/>
      <c r="M2252" s="47"/>
      <c r="N2252" s="47"/>
    </row>
    <row r="2253" spans="1:14" ht="16.5" customHeight="1" x14ac:dyDescent="0.25">
      <c r="A2253" s="49"/>
      <c r="B2253" s="47"/>
      <c r="C2253" s="47"/>
      <c r="D2253" s="47"/>
      <c r="E2253" s="47"/>
      <c r="F2253" s="47"/>
      <c r="G2253" s="47"/>
      <c r="H2253" s="47"/>
      <c r="I2253" s="47"/>
      <c r="J2253" s="48"/>
      <c r="K2253" s="47"/>
      <c r="L2253" s="47"/>
      <c r="M2253" s="47"/>
      <c r="N2253" s="47"/>
    </row>
    <row r="2254" spans="1:14" ht="16.5" customHeight="1" x14ac:dyDescent="0.25">
      <c r="A2254" s="49"/>
      <c r="B2254" s="47"/>
      <c r="C2254" s="47"/>
      <c r="D2254" s="47"/>
      <c r="E2254" s="47"/>
      <c r="F2254" s="47"/>
      <c r="G2254" s="47"/>
      <c r="H2254" s="47"/>
      <c r="I2254" s="47"/>
      <c r="J2254" s="48"/>
      <c r="K2254" s="47"/>
      <c r="L2254" s="47"/>
      <c r="M2254" s="47"/>
      <c r="N2254" s="47"/>
    </row>
    <row r="2255" spans="1:14" ht="16.5" customHeight="1" x14ac:dyDescent="0.25">
      <c r="A2255" s="49"/>
      <c r="B2255" s="47"/>
      <c r="C2255" s="47"/>
      <c r="D2255" s="47"/>
      <c r="E2255" s="47"/>
      <c r="F2255" s="47"/>
      <c r="G2255" s="47"/>
      <c r="H2255" s="47"/>
      <c r="I2255" s="47"/>
      <c r="J2255" s="48"/>
      <c r="K2255" s="47"/>
      <c r="L2255" s="47"/>
      <c r="M2255" s="47"/>
      <c r="N2255" s="47"/>
    </row>
    <row r="2256" spans="1:14" ht="16.5" customHeight="1" x14ac:dyDescent="0.25">
      <c r="A2256" s="49"/>
      <c r="B2256" s="47"/>
      <c r="C2256" s="47"/>
      <c r="D2256" s="47"/>
      <c r="E2256" s="47"/>
      <c r="F2256" s="47"/>
      <c r="G2256" s="47"/>
      <c r="H2256" s="47"/>
      <c r="I2256" s="47"/>
      <c r="J2256" s="48"/>
      <c r="K2256" s="47"/>
      <c r="L2256" s="47"/>
      <c r="M2256" s="47"/>
      <c r="N2256" s="47"/>
    </row>
    <row r="2257" spans="1:14" ht="16.5" customHeight="1" x14ac:dyDescent="0.25">
      <c r="A2257" s="49"/>
      <c r="B2257" s="47"/>
      <c r="C2257" s="47"/>
      <c r="D2257" s="47"/>
      <c r="E2257" s="47"/>
      <c r="F2257" s="47"/>
      <c r="G2257" s="47"/>
      <c r="H2257" s="47"/>
      <c r="I2257" s="47"/>
      <c r="J2257" s="48"/>
      <c r="K2257" s="47"/>
      <c r="L2257" s="47"/>
      <c r="M2257" s="47"/>
      <c r="N2257" s="47"/>
    </row>
    <row r="2258" spans="1:14" ht="16.5" customHeight="1" x14ac:dyDescent="0.25">
      <c r="A2258" s="49"/>
      <c r="B2258" s="47"/>
      <c r="C2258" s="47"/>
      <c r="D2258" s="47"/>
      <c r="E2258" s="47"/>
      <c r="F2258" s="47"/>
      <c r="G2258" s="47"/>
      <c r="H2258" s="47"/>
      <c r="I2258" s="47"/>
      <c r="J2258" s="48"/>
      <c r="K2258" s="47"/>
      <c r="L2258" s="47"/>
      <c r="M2258" s="47"/>
      <c r="N2258" s="47"/>
    </row>
    <row r="2259" spans="1:14" ht="16.5" customHeight="1" x14ac:dyDescent="0.25">
      <c r="A2259" s="49"/>
      <c r="B2259" s="47"/>
      <c r="C2259" s="47"/>
      <c r="D2259" s="47"/>
      <c r="E2259" s="47"/>
      <c r="F2259" s="47"/>
      <c r="G2259" s="47"/>
      <c r="H2259" s="47"/>
      <c r="I2259" s="47"/>
      <c r="J2259" s="48"/>
      <c r="K2259" s="47"/>
      <c r="L2259" s="47"/>
      <c r="M2259" s="47"/>
      <c r="N2259" s="47"/>
    </row>
    <row r="2260" spans="1:14" ht="16.5" customHeight="1" x14ac:dyDescent="0.25">
      <c r="A2260" s="49"/>
      <c r="B2260" s="47"/>
      <c r="C2260" s="47"/>
      <c r="D2260" s="47"/>
      <c r="E2260" s="47"/>
      <c r="F2260" s="47"/>
      <c r="G2260" s="47"/>
      <c r="H2260" s="47"/>
      <c r="I2260" s="47"/>
      <c r="J2260" s="48"/>
      <c r="K2260" s="47"/>
      <c r="L2260" s="47"/>
      <c r="M2260" s="47"/>
      <c r="N2260" s="47"/>
    </row>
    <row r="2261" spans="1:14" ht="16.5" customHeight="1" x14ac:dyDescent="0.25">
      <c r="A2261" s="49"/>
      <c r="B2261" s="47"/>
      <c r="C2261" s="47"/>
      <c r="D2261" s="47"/>
      <c r="E2261" s="47"/>
      <c r="F2261" s="47"/>
      <c r="G2261" s="47"/>
      <c r="H2261" s="47"/>
      <c r="I2261" s="47"/>
      <c r="J2261" s="48"/>
      <c r="K2261" s="47"/>
      <c r="L2261" s="47"/>
      <c r="M2261" s="47"/>
      <c r="N2261" s="47"/>
    </row>
    <row r="2262" spans="1:14" ht="16.5" customHeight="1" x14ac:dyDescent="0.25">
      <c r="A2262" s="49"/>
      <c r="B2262" s="47"/>
      <c r="C2262" s="47"/>
      <c r="D2262" s="47"/>
      <c r="E2262" s="47"/>
      <c r="F2262" s="47"/>
      <c r="G2262" s="47"/>
      <c r="H2262" s="47"/>
      <c r="I2262" s="47"/>
      <c r="J2262" s="48"/>
      <c r="K2262" s="47"/>
      <c r="L2262" s="47"/>
      <c r="M2262" s="47"/>
      <c r="N2262" s="47"/>
    </row>
    <row r="2263" spans="1:14" ht="16.5" customHeight="1" x14ac:dyDescent="0.25">
      <c r="A2263" s="49"/>
      <c r="B2263" s="47"/>
      <c r="C2263" s="47"/>
      <c r="D2263" s="47"/>
      <c r="E2263" s="47"/>
      <c r="F2263" s="47"/>
      <c r="G2263" s="47"/>
      <c r="H2263" s="47"/>
      <c r="I2263" s="47"/>
      <c r="J2263" s="48"/>
      <c r="K2263" s="47"/>
      <c r="L2263" s="47"/>
      <c r="M2263" s="47"/>
      <c r="N2263" s="47"/>
    </row>
    <row r="2264" spans="1:14" ht="16.5" customHeight="1" x14ac:dyDescent="0.25">
      <c r="A2264" s="49"/>
      <c r="B2264" s="47"/>
      <c r="C2264" s="47"/>
      <c r="D2264" s="47"/>
      <c r="E2264" s="47"/>
      <c r="F2264" s="47"/>
      <c r="G2264" s="47"/>
      <c r="H2264" s="47"/>
      <c r="I2264" s="47"/>
      <c r="J2264" s="48"/>
      <c r="K2264" s="47"/>
      <c r="L2264" s="47"/>
      <c r="M2264" s="47"/>
      <c r="N2264" s="47"/>
    </row>
    <row r="2265" spans="1:14" ht="16.5" customHeight="1" x14ac:dyDescent="0.25">
      <c r="A2265" s="49"/>
      <c r="B2265" s="47"/>
      <c r="C2265" s="47"/>
      <c r="D2265" s="47"/>
      <c r="E2265" s="47"/>
      <c r="F2265" s="47"/>
      <c r="G2265" s="47"/>
      <c r="H2265" s="47"/>
      <c r="I2265" s="47"/>
      <c r="J2265" s="48"/>
      <c r="K2265" s="47"/>
      <c r="L2265" s="47"/>
      <c r="M2265" s="47"/>
      <c r="N2265" s="47"/>
    </row>
    <row r="2266" spans="1:14" ht="16.5" customHeight="1" x14ac:dyDescent="0.25">
      <c r="A2266" s="49"/>
      <c r="B2266" s="47"/>
      <c r="C2266" s="47"/>
      <c r="D2266" s="47"/>
      <c r="E2266" s="47"/>
      <c r="F2266" s="47"/>
      <c r="G2266" s="47"/>
      <c r="H2266" s="47"/>
      <c r="I2266" s="47"/>
      <c r="J2266" s="48"/>
      <c r="K2266" s="47"/>
      <c r="L2266" s="47"/>
      <c r="M2266" s="47"/>
      <c r="N2266" s="47"/>
    </row>
    <row r="2267" spans="1:14" ht="16.5" customHeight="1" x14ac:dyDescent="0.25">
      <c r="A2267" s="49"/>
      <c r="B2267" s="47"/>
      <c r="C2267" s="47"/>
      <c r="D2267" s="47"/>
      <c r="E2267" s="47"/>
      <c r="F2267" s="47"/>
      <c r="G2267" s="47"/>
      <c r="H2267" s="47"/>
      <c r="I2267" s="47"/>
      <c r="J2267" s="48"/>
      <c r="K2267" s="47"/>
      <c r="L2267" s="47"/>
      <c r="M2267" s="47"/>
      <c r="N2267" s="47"/>
    </row>
    <row r="2268" spans="1:14" ht="16.5" customHeight="1" x14ac:dyDescent="0.25">
      <c r="A2268" s="49"/>
      <c r="B2268" s="47"/>
      <c r="C2268" s="47"/>
      <c r="D2268" s="47"/>
      <c r="E2268" s="47"/>
      <c r="F2268" s="47"/>
      <c r="G2268" s="47"/>
      <c r="H2268" s="47"/>
      <c r="I2268" s="47"/>
      <c r="J2268" s="48"/>
      <c r="K2268" s="47"/>
      <c r="L2268" s="47"/>
      <c r="M2268" s="47"/>
      <c r="N2268" s="47"/>
    </row>
    <row r="2269" spans="1:14" ht="16.5" customHeight="1" x14ac:dyDescent="0.25">
      <c r="A2269" s="49"/>
      <c r="B2269" s="47"/>
      <c r="C2269" s="47"/>
      <c r="D2269" s="47"/>
      <c r="E2269" s="47"/>
      <c r="F2269" s="47"/>
      <c r="G2269" s="47"/>
      <c r="H2269" s="47"/>
      <c r="I2269" s="47"/>
      <c r="J2269" s="48"/>
      <c r="K2269" s="47"/>
      <c r="L2269" s="47"/>
      <c r="M2269" s="47"/>
      <c r="N2269" s="47"/>
    </row>
    <row r="2270" spans="1:14" ht="16.5" customHeight="1" x14ac:dyDescent="0.25">
      <c r="A2270" s="49"/>
      <c r="B2270" s="47"/>
      <c r="C2270" s="47"/>
      <c r="D2270" s="47"/>
      <c r="E2270" s="47"/>
      <c r="F2270" s="47"/>
      <c r="G2270" s="47"/>
      <c r="H2270" s="47"/>
      <c r="I2270" s="47"/>
      <c r="J2270" s="48"/>
      <c r="K2270" s="47"/>
      <c r="L2270" s="47"/>
      <c r="M2270" s="47"/>
      <c r="N2270" s="47"/>
    </row>
    <row r="2271" spans="1:14" ht="16.5" customHeight="1" x14ac:dyDescent="0.25">
      <c r="A2271" s="49"/>
      <c r="B2271" s="47"/>
      <c r="C2271" s="47"/>
      <c r="D2271" s="47"/>
      <c r="E2271" s="47"/>
      <c r="F2271" s="47"/>
      <c r="G2271" s="47"/>
      <c r="H2271" s="47"/>
      <c r="I2271" s="47"/>
      <c r="J2271" s="48"/>
      <c r="K2271" s="47"/>
      <c r="L2271" s="47"/>
      <c r="M2271" s="47"/>
      <c r="N2271" s="47"/>
    </row>
    <row r="2272" spans="1:14" ht="16.5" customHeight="1" x14ac:dyDescent="0.25">
      <c r="A2272" s="49"/>
      <c r="B2272" s="47"/>
      <c r="C2272" s="47"/>
      <c r="D2272" s="47"/>
      <c r="E2272" s="47"/>
      <c r="F2272" s="47"/>
      <c r="G2272" s="47"/>
      <c r="H2272" s="47"/>
      <c r="I2272" s="47"/>
      <c r="J2272" s="48"/>
      <c r="K2272" s="47"/>
      <c r="L2272" s="47"/>
      <c r="M2272" s="47"/>
      <c r="N2272" s="47"/>
    </row>
    <row r="2273" spans="1:14" ht="16.5" customHeight="1" x14ac:dyDescent="0.25">
      <c r="A2273" s="49"/>
      <c r="B2273" s="47"/>
      <c r="C2273" s="47"/>
      <c r="D2273" s="47"/>
      <c r="E2273" s="47"/>
      <c r="F2273" s="47"/>
      <c r="G2273" s="47"/>
      <c r="H2273" s="47"/>
      <c r="I2273" s="47"/>
      <c r="J2273" s="48"/>
      <c r="K2273" s="47"/>
      <c r="L2273" s="47"/>
      <c r="M2273" s="47"/>
      <c r="N2273" s="47"/>
    </row>
    <row r="2274" spans="1:14" ht="16.5" customHeight="1" x14ac:dyDescent="0.25">
      <c r="A2274" s="49"/>
      <c r="B2274" s="47"/>
      <c r="C2274" s="47"/>
      <c r="D2274" s="47"/>
      <c r="E2274" s="47"/>
      <c r="F2274" s="47"/>
      <c r="G2274" s="47"/>
      <c r="H2274" s="47"/>
      <c r="I2274" s="47"/>
      <c r="J2274" s="48"/>
      <c r="K2274" s="47"/>
      <c r="L2274" s="47"/>
      <c r="M2274" s="47"/>
      <c r="N2274" s="47"/>
    </row>
    <row r="2275" spans="1:14" ht="16.5" customHeight="1" x14ac:dyDescent="0.25">
      <c r="A2275" s="49"/>
      <c r="B2275" s="47"/>
      <c r="C2275" s="47"/>
      <c r="D2275" s="47"/>
      <c r="E2275" s="47"/>
      <c r="F2275" s="47"/>
      <c r="G2275" s="47"/>
      <c r="H2275" s="47"/>
      <c r="I2275" s="47"/>
      <c r="J2275" s="48"/>
      <c r="K2275" s="47"/>
      <c r="L2275" s="47"/>
      <c r="M2275" s="47"/>
      <c r="N2275" s="47"/>
    </row>
    <row r="2276" spans="1:14" ht="16.5" customHeight="1" x14ac:dyDescent="0.25">
      <c r="A2276" s="49"/>
      <c r="B2276" s="47"/>
      <c r="C2276" s="47"/>
      <c r="D2276" s="47"/>
      <c r="E2276" s="47"/>
      <c r="F2276" s="47"/>
      <c r="G2276" s="47"/>
      <c r="H2276" s="47"/>
      <c r="I2276" s="47"/>
      <c r="J2276" s="48"/>
      <c r="K2276" s="47"/>
      <c r="L2276" s="47"/>
      <c r="M2276" s="47"/>
      <c r="N2276" s="47"/>
    </row>
    <row r="2277" spans="1:14" ht="16.5" customHeight="1" x14ac:dyDescent="0.25">
      <c r="A2277" s="49"/>
      <c r="B2277" s="47"/>
      <c r="C2277" s="47"/>
      <c r="D2277" s="47"/>
      <c r="E2277" s="47"/>
      <c r="F2277" s="47"/>
      <c r="G2277" s="47"/>
      <c r="H2277" s="47"/>
      <c r="I2277" s="47"/>
      <c r="J2277" s="48"/>
      <c r="K2277" s="47"/>
      <c r="L2277" s="47"/>
      <c r="M2277" s="47"/>
      <c r="N2277" s="47"/>
    </row>
    <row r="2278" spans="1:14" ht="16.5" customHeight="1" x14ac:dyDescent="0.25">
      <c r="A2278" s="49"/>
      <c r="B2278" s="47"/>
      <c r="C2278" s="47"/>
      <c r="D2278" s="47"/>
      <c r="E2278" s="47"/>
      <c r="F2278" s="47"/>
      <c r="G2278" s="47"/>
      <c r="H2278" s="47"/>
      <c r="I2278" s="47"/>
      <c r="J2278" s="48"/>
      <c r="K2278" s="47"/>
      <c r="L2278" s="47"/>
      <c r="M2278" s="47"/>
      <c r="N2278" s="47"/>
    </row>
    <row r="2279" spans="1:14" ht="16.5" customHeight="1" x14ac:dyDescent="0.25">
      <c r="A2279" s="49"/>
      <c r="B2279" s="47"/>
      <c r="C2279" s="47"/>
      <c r="D2279" s="47"/>
      <c r="E2279" s="47"/>
      <c r="F2279" s="47"/>
      <c r="G2279" s="47"/>
      <c r="H2279" s="47"/>
      <c r="I2279" s="47"/>
      <c r="J2279" s="48"/>
      <c r="K2279" s="47"/>
      <c r="L2279" s="47"/>
      <c r="M2279" s="47"/>
      <c r="N2279" s="47"/>
    </row>
    <row r="2280" spans="1:14" ht="16.5" customHeight="1" x14ac:dyDescent="0.25">
      <c r="A2280" s="49"/>
      <c r="B2280" s="47"/>
      <c r="C2280" s="47"/>
      <c r="D2280" s="47"/>
      <c r="E2280" s="47"/>
      <c r="F2280" s="47"/>
      <c r="G2280" s="47"/>
      <c r="H2280" s="47"/>
      <c r="I2280" s="47"/>
      <c r="J2280" s="48"/>
      <c r="K2280" s="47"/>
      <c r="L2280" s="47"/>
      <c r="M2280" s="47"/>
      <c r="N2280" s="47"/>
    </row>
    <row r="2281" spans="1:14" ht="16.5" customHeight="1" x14ac:dyDescent="0.25">
      <c r="A2281" s="49"/>
      <c r="B2281" s="47"/>
      <c r="C2281" s="47"/>
      <c r="D2281" s="47"/>
      <c r="E2281" s="47"/>
      <c r="F2281" s="47"/>
      <c r="G2281" s="47"/>
      <c r="H2281" s="47"/>
      <c r="I2281" s="47"/>
      <c r="J2281" s="48"/>
      <c r="K2281" s="47"/>
      <c r="L2281" s="47"/>
      <c r="M2281" s="47"/>
      <c r="N2281" s="47"/>
    </row>
    <row r="2282" spans="1:14" ht="16.5" customHeight="1" x14ac:dyDescent="0.25">
      <c r="A2282" s="49"/>
      <c r="B2282" s="47"/>
      <c r="C2282" s="47"/>
      <c r="D2282" s="47"/>
      <c r="E2282" s="47"/>
      <c r="F2282" s="47"/>
      <c r="G2282" s="47"/>
      <c r="H2282" s="47"/>
      <c r="I2282" s="47"/>
      <c r="J2282" s="48"/>
      <c r="K2282" s="47"/>
      <c r="L2282" s="47"/>
      <c r="M2282" s="47"/>
      <c r="N2282" s="47"/>
    </row>
    <row r="2283" spans="1:14" ht="16.5" customHeight="1" x14ac:dyDescent="0.25">
      <c r="A2283" s="49"/>
      <c r="B2283" s="47"/>
      <c r="C2283" s="47"/>
      <c r="D2283" s="47"/>
      <c r="E2283" s="47"/>
      <c r="F2283" s="47"/>
      <c r="G2283" s="47"/>
      <c r="H2283" s="47"/>
      <c r="I2283" s="47"/>
      <c r="J2283" s="48"/>
      <c r="K2283" s="47"/>
      <c r="L2283" s="47"/>
      <c r="M2283" s="47"/>
      <c r="N2283" s="47"/>
    </row>
    <row r="2284" spans="1:14" ht="16.5" customHeight="1" x14ac:dyDescent="0.25">
      <c r="A2284" s="49"/>
      <c r="B2284" s="47"/>
      <c r="C2284" s="47"/>
      <c r="D2284" s="47"/>
      <c r="E2284" s="47"/>
      <c r="F2284" s="47"/>
      <c r="G2284" s="47"/>
      <c r="H2284" s="47"/>
      <c r="I2284" s="47"/>
      <c r="J2284" s="48"/>
      <c r="K2284" s="47"/>
      <c r="L2284" s="47"/>
      <c r="M2284" s="47"/>
      <c r="N2284" s="47"/>
    </row>
    <row r="2285" spans="1:14" ht="16.5" customHeight="1" x14ac:dyDescent="0.25">
      <c r="A2285" s="49"/>
      <c r="B2285" s="47"/>
      <c r="C2285" s="47"/>
      <c r="D2285" s="47"/>
      <c r="E2285" s="47"/>
      <c r="F2285" s="47"/>
      <c r="G2285" s="47"/>
      <c r="H2285" s="47"/>
      <c r="I2285" s="47"/>
      <c r="J2285" s="48"/>
      <c r="K2285" s="47"/>
      <c r="L2285" s="47"/>
      <c r="M2285" s="47"/>
      <c r="N2285" s="47"/>
    </row>
    <row r="2286" spans="1:14" ht="16.5" customHeight="1" x14ac:dyDescent="0.25">
      <c r="A2286" s="49"/>
      <c r="B2286" s="47"/>
      <c r="C2286" s="47"/>
      <c r="D2286" s="47"/>
      <c r="E2286" s="47"/>
      <c r="F2286" s="47"/>
      <c r="G2286" s="47"/>
      <c r="H2286" s="47"/>
      <c r="I2286" s="47"/>
      <c r="J2286" s="48"/>
      <c r="K2286" s="47"/>
      <c r="L2286" s="47"/>
      <c r="M2286" s="47"/>
      <c r="N2286" s="47"/>
    </row>
    <row r="2287" spans="1:14" ht="16.5" customHeight="1" x14ac:dyDescent="0.25">
      <c r="A2287" s="49"/>
      <c r="B2287" s="47"/>
      <c r="C2287" s="47"/>
      <c r="D2287" s="47"/>
      <c r="E2287" s="47"/>
      <c r="F2287" s="47"/>
      <c r="G2287" s="47"/>
      <c r="H2287" s="47"/>
      <c r="I2287" s="47"/>
      <c r="J2287" s="48"/>
      <c r="K2287" s="47"/>
      <c r="L2287" s="47"/>
      <c r="M2287" s="47"/>
      <c r="N2287" s="47"/>
    </row>
    <row r="2288" spans="1:14" ht="16.5" customHeight="1" x14ac:dyDescent="0.25">
      <c r="A2288" s="49"/>
      <c r="B2288" s="47"/>
      <c r="C2288" s="47"/>
      <c r="D2288" s="47"/>
      <c r="E2288" s="47"/>
      <c r="F2288" s="47"/>
      <c r="G2288" s="47"/>
      <c r="H2288" s="47"/>
      <c r="I2288" s="47"/>
      <c r="J2288" s="48"/>
      <c r="K2288" s="47"/>
      <c r="L2288" s="47"/>
      <c r="M2288" s="47"/>
      <c r="N2288" s="47"/>
    </row>
    <row r="2289" spans="1:14" ht="16.5" customHeight="1" x14ac:dyDescent="0.25">
      <c r="A2289" s="49"/>
      <c r="B2289" s="47"/>
      <c r="C2289" s="47"/>
      <c r="D2289" s="47"/>
      <c r="E2289" s="47"/>
      <c r="F2289" s="47"/>
      <c r="G2289" s="47"/>
      <c r="H2289" s="47"/>
      <c r="I2289" s="47"/>
      <c r="J2289" s="48"/>
      <c r="K2289" s="47"/>
      <c r="L2289" s="47"/>
      <c r="M2289" s="47"/>
      <c r="N2289" s="47"/>
    </row>
    <row r="2290" spans="1:14" ht="16.5" customHeight="1" x14ac:dyDescent="0.25">
      <c r="A2290" s="49"/>
      <c r="B2290" s="47"/>
      <c r="C2290" s="47"/>
      <c r="D2290" s="47"/>
      <c r="E2290" s="47"/>
      <c r="F2290" s="47"/>
      <c r="G2290" s="47"/>
      <c r="H2290" s="47"/>
      <c r="I2290" s="47"/>
      <c r="J2290" s="48"/>
      <c r="K2290" s="47"/>
      <c r="L2290" s="47"/>
      <c r="M2290" s="47"/>
      <c r="N2290" s="47"/>
    </row>
    <row r="2291" spans="1:14" ht="16.5" customHeight="1" x14ac:dyDescent="0.25">
      <c r="A2291" s="49"/>
      <c r="B2291" s="47"/>
      <c r="C2291" s="47"/>
      <c r="D2291" s="47"/>
      <c r="E2291" s="47"/>
      <c r="F2291" s="47"/>
      <c r="G2291" s="47"/>
      <c r="H2291" s="47"/>
      <c r="I2291" s="47"/>
      <c r="J2291" s="48"/>
      <c r="K2291" s="47"/>
      <c r="L2291" s="47"/>
      <c r="M2291" s="47"/>
      <c r="N2291" s="47"/>
    </row>
    <row r="2292" spans="1:14" ht="16.5" customHeight="1" x14ac:dyDescent="0.25">
      <c r="A2292" s="49"/>
      <c r="B2292" s="47"/>
      <c r="C2292" s="47"/>
      <c r="D2292" s="47"/>
      <c r="E2292" s="47"/>
      <c r="F2292" s="47"/>
      <c r="G2292" s="47"/>
      <c r="H2292" s="47"/>
      <c r="I2292" s="47"/>
      <c r="J2292" s="48"/>
      <c r="K2292" s="47"/>
      <c r="L2292" s="47"/>
      <c r="M2292" s="47"/>
      <c r="N2292" s="47"/>
    </row>
    <row r="2293" spans="1:14" ht="16.5" customHeight="1" x14ac:dyDescent="0.25">
      <c r="A2293" s="49"/>
      <c r="B2293" s="47"/>
      <c r="C2293" s="47"/>
      <c r="D2293" s="47"/>
      <c r="E2293" s="47"/>
      <c r="F2293" s="47"/>
      <c r="G2293" s="47"/>
      <c r="H2293" s="47"/>
      <c r="I2293" s="47"/>
      <c r="J2293" s="48"/>
      <c r="K2293" s="47"/>
      <c r="L2293" s="47"/>
      <c r="M2293" s="47"/>
      <c r="N2293" s="47"/>
    </row>
    <row r="2294" spans="1:14" ht="16.5" customHeight="1" x14ac:dyDescent="0.25">
      <c r="A2294" s="49"/>
      <c r="B2294" s="47"/>
      <c r="C2294" s="47"/>
      <c r="D2294" s="47"/>
      <c r="E2294" s="47"/>
      <c r="F2294" s="47"/>
      <c r="G2294" s="47"/>
      <c r="H2294" s="47"/>
      <c r="I2294" s="47"/>
      <c r="J2294" s="48"/>
      <c r="K2294" s="47"/>
      <c r="L2294" s="47"/>
      <c r="M2294" s="47"/>
      <c r="N2294" s="47"/>
    </row>
    <row r="2295" spans="1:14" ht="16.5" customHeight="1" x14ac:dyDescent="0.25">
      <c r="A2295" s="49"/>
      <c r="B2295" s="47"/>
      <c r="C2295" s="47"/>
      <c r="D2295" s="47"/>
      <c r="E2295" s="47"/>
      <c r="F2295" s="47"/>
      <c r="G2295" s="47"/>
      <c r="H2295" s="47"/>
      <c r="I2295" s="47"/>
      <c r="J2295" s="48"/>
      <c r="K2295" s="47"/>
      <c r="L2295" s="47"/>
      <c r="M2295" s="47"/>
      <c r="N2295" s="47"/>
    </row>
    <row r="2296" spans="1:14" ht="16.5" customHeight="1" x14ac:dyDescent="0.25">
      <c r="A2296" s="49"/>
      <c r="B2296" s="47"/>
      <c r="C2296" s="47"/>
      <c r="D2296" s="47"/>
      <c r="E2296" s="47"/>
      <c r="F2296" s="47"/>
      <c r="G2296" s="47"/>
      <c r="H2296" s="47"/>
      <c r="I2296" s="47"/>
      <c r="J2296" s="48"/>
      <c r="K2296" s="47"/>
      <c r="L2296" s="47"/>
      <c r="M2296" s="47"/>
      <c r="N2296" s="47"/>
    </row>
    <row r="2297" spans="1:14" ht="16.5" customHeight="1" x14ac:dyDescent="0.25">
      <c r="A2297" s="49"/>
      <c r="B2297" s="47"/>
      <c r="C2297" s="47"/>
      <c r="D2297" s="47"/>
      <c r="E2297" s="47"/>
      <c r="F2297" s="47"/>
      <c r="G2297" s="47"/>
      <c r="H2297" s="47"/>
      <c r="I2297" s="47"/>
      <c r="J2297" s="48"/>
      <c r="K2297" s="47"/>
      <c r="L2297" s="47"/>
      <c r="M2297" s="47"/>
      <c r="N2297" s="47"/>
    </row>
    <row r="2298" spans="1:14" ht="16.5" customHeight="1" x14ac:dyDescent="0.25">
      <c r="A2298" s="49"/>
      <c r="B2298" s="47"/>
      <c r="C2298" s="47"/>
      <c r="D2298" s="47"/>
      <c r="E2298" s="47"/>
      <c r="F2298" s="47"/>
      <c r="G2298" s="47"/>
      <c r="H2298" s="47"/>
      <c r="I2298" s="47"/>
      <c r="J2298" s="48"/>
      <c r="K2298" s="47"/>
      <c r="L2298" s="47"/>
      <c r="M2298" s="47"/>
      <c r="N2298" s="47"/>
    </row>
    <row r="2299" spans="1:14" ht="16.5" customHeight="1" x14ac:dyDescent="0.25">
      <c r="A2299" s="49"/>
      <c r="B2299" s="47"/>
      <c r="C2299" s="47"/>
      <c r="D2299" s="47"/>
      <c r="E2299" s="47"/>
      <c r="F2299" s="47"/>
      <c r="G2299" s="47"/>
      <c r="H2299" s="47"/>
      <c r="I2299" s="47"/>
      <c r="J2299" s="48"/>
      <c r="K2299" s="47"/>
      <c r="L2299" s="47"/>
      <c r="M2299" s="47"/>
      <c r="N2299" s="47"/>
    </row>
    <row r="2300" spans="1:14" ht="16.5" customHeight="1" x14ac:dyDescent="0.25">
      <c r="A2300" s="49"/>
      <c r="B2300" s="47"/>
      <c r="C2300" s="47"/>
      <c r="D2300" s="47"/>
      <c r="E2300" s="47"/>
      <c r="F2300" s="47"/>
      <c r="G2300" s="47"/>
      <c r="H2300" s="47"/>
      <c r="I2300" s="47"/>
      <c r="J2300" s="48"/>
      <c r="K2300" s="47"/>
      <c r="L2300" s="47"/>
      <c r="M2300" s="47"/>
      <c r="N2300" s="47"/>
    </row>
    <row r="2301" spans="1:14" ht="16.5" customHeight="1" x14ac:dyDescent="0.25">
      <c r="A2301" s="49"/>
      <c r="B2301" s="47"/>
      <c r="C2301" s="47"/>
      <c r="D2301" s="47"/>
      <c r="E2301" s="47"/>
      <c r="F2301" s="47"/>
      <c r="G2301" s="47"/>
      <c r="H2301" s="47"/>
      <c r="I2301" s="47"/>
      <c r="J2301" s="48"/>
      <c r="K2301" s="47"/>
      <c r="L2301" s="47"/>
      <c r="M2301" s="47"/>
      <c r="N2301" s="47"/>
    </row>
    <row r="2302" spans="1:14" ht="16.5" customHeight="1" x14ac:dyDescent="0.25">
      <c r="A2302" s="49"/>
      <c r="B2302" s="47"/>
      <c r="C2302" s="47"/>
      <c r="D2302" s="47"/>
      <c r="E2302" s="47"/>
      <c r="F2302" s="47"/>
      <c r="G2302" s="47"/>
      <c r="H2302" s="47"/>
      <c r="I2302" s="47"/>
      <c r="J2302" s="48"/>
      <c r="K2302" s="47"/>
      <c r="L2302" s="47"/>
      <c r="M2302" s="47"/>
      <c r="N2302" s="47"/>
    </row>
    <row r="2303" spans="1:14" ht="16.5" customHeight="1" x14ac:dyDescent="0.25">
      <c r="A2303" s="49"/>
      <c r="B2303" s="47"/>
      <c r="C2303" s="47"/>
      <c r="D2303" s="47"/>
      <c r="E2303" s="47"/>
      <c r="F2303" s="47"/>
      <c r="G2303" s="47"/>
      <c r="H2303" s="47"/>
      <c r="I2303" s="47"/>
      <c r="J2303" s="48"/>
      <c r="K2303" s="47"/>
      <c r="L2303" s="47"/>
      <c r="M2303" s="47"/>
      <c r="N2303" s="47"/>
    </row>
    <row r="2304" spans="1:14" ht="16.5" customHeight="1" x14ac:dyDescent="0.25">
      <c r="A2304" s="49"/>
      <c r="B2304" s="47"/>
      <c r="C2304" s="47"/>
      <c r="D2304" s="47"/>
      <c r="E2304" s="47"/>
      <c r="F2304" s="47"/>
      <c r="G2304" s="47"/>
      <c r="H2304" s="47"/>
      <c r="I2304" s="47"/>
      <c r="J2304" s="48"/>
      <c r="K2304" s="47"/>
      <c r="L2304" s="47"/>
      <c r="M2304" s="47"/>
      <c r="N2304" s="47"/>
    </row>
    <row r="2305" spans="1:14" ht="16.5" customHeight="1" x14ac:dyDescent="0.25">
      <c r="A2305" s="49"/>
      <c r="B2305" s="47"/>
      <c r="C2305" s="47"/>
      <c r="D2305" s="47"/>
      <c r="E2305" s="47"/>
      <c r="F2305" s="47"/>
      <c r="G2305" s="47"/>
      <c r="H2305" s="47"/>
      <c r="I2305" s="47"/>
      <c r="J2305" s="48"/>
      <c r="K2305" s="47"/>
      <c r="L2305" s="47"/>
      <c r="M2305" s="47"/>
      <c r="N2305" s="47"/>
    </row>
    <row r="2306" spans="1:14" ht="16.5" customHeight="1" x14ac:dyDescent="0.25">
      <c r="A2306" s="49"/>
      <c r="B2306" s="47"/>
      <c r="C2306" s="47"/>
      <c r="D2306" s="47"/>
      <c r="E2306" s="47"/>
      <c r="F2306" s="47"/>
      <c r="G2306" s="47"/>
      <c r="H2306" s="47"/>
      <c r="I2306" s="47"/>
      <c r="J2306" s="48"/>
      <c r="K2306" s="47"/>
      <c r="L2306" s="47"/>
      <c r="M2306" s="47"/>
      <c r="N2306" s="47"/>
    </row>
  </sheetData>
  <autoFilter ref="A1:N1307" xr:uid="{E7A52FA8-158E-4005-8B80-78B97EF4D923}"/>
  <conditionalFormatting sqref="A1:A1048576">
    <cfRule type="duplicateValues" dxfId="21" priority="3"/>
    <cfRule type="duplicateValues" dxfId="20" priority="5"/>
  </conditionalFormatting>
  <conditionalFormatting sqref="A2:A1290">
    <cfRule type="duplicateValues" dxfId="19" priority="1"/>
  </conditionalFormatting>
  <conditionalFormatting sqref="A135:A939">
    <cfRule type="expression" dxfId="18" priority="7">
      <formula>#REF!="EM OPERAÇÃO"</formula>
    </cfRule>
    <cfRule type="expression" dxfId="17" priority="8">
      <formula>#REF!="EM OPERAÇÃO COM ANOMALIA"</formula>
    </cfRule>
    <cfRule type="expression" dxfId="16" priority="9">
      <formula>#REF!="FORA DE OPERAÇÃO"</formula>
    </cfRule>
  </conditionalFormatting>
  <conditionalFormatting sqref="A1:N2 A3:K83 L3:N1294 F84:K101 A84:E106 F102:G106 H102:K351 A107:G107 A108:D134 E108:G153 B135:D153 B154:G351 B352:K352 B353:G407 H353:K411 F408:G411 B408:E418 F412:K418 B419:K910 F911:K911 B911:E912 G912:K912 B913:K914 F915:K918 B915:E921 F919:G921 H919:K1099 B922:G939 A940:G1098 F1099:G1099 A1099:E1117 F1100:K1117 A1118:K1292 J1293:K1295 A1293:I1299 L1295 N1295 J1296:N1299 A1300:N1307 A1308:D1308 F1308:N1308 A1309:N2306">
    <cfRule type="expression" dxfId="15" priority="16">
      <formula>#REF!="EM OPERAÇÃO COM ANOMALIA"</formula>
    </cfRule>
    <cfRule type="expression" dxfId="14" priority="17">
      <formula>#REF!="FORA DE OPERAÇÃO"</formula>
    </cfRule>
  </conditionalFormatting>
  <conditionalFormatting sqref="B419:K910 A1:N2 A3:K83 A84:E106 A107:G107 A108:D134 A940:G1098 A1099:E1117 A1118:K1292 A1293:I1299 A1300:N1307 A1308:D1308 A1309:N2306 L3:N1294 F84:K101 F102:G106 H102:K351 E108:G153 B135:D153 B154:G351 B352:K352 B353:G407 H353:K411 F408:G411 B408:E418 F412:K418 F911:K911 B911:E912 G912:K912 B913:K914 F915:K918 B915:E921 F919:G921 H919:K1099 B922:G939 F1099:G1099 F1100:K1117 J1293:K1295 L1295 N1295 J1296:N1299 F1308:N1308">
    <cfRule type="expression" dxfId="13" priority="15">
      <formula>#REF!="EM OPERAÇÃO"</formula>
    </cfRule>
  </conditionalFormatting>
  <conditionalFormatting sqref="C737:C738">
    <cfRule type="expression" dxfId="12" priority="2">
      <formula>#REF!="EM OPERAÇÃO"</formula>
    </cfRule>
  </conditionalFormatting>
  <conditionalFormatting sqref="C690:H690">
    <cfRule type="expression" dxfId="11" priority="10">
      <formula>#REF!="EM OPERAÇÃO"</formula>
    </cfRule>
  </conditionalFormatting>
  <conditionalFormatting sqref="C704:H704">
    <cfRule type="expression" dxfId="10" priority="11">
      <formula>#REF!="EM OPERAÇÃO"</formula>
    </cfRule>
  </conditionalFormatting>
  <conditionalFormatting sqref="C715:H715">
    <cfRule type="expression" dxfId="9" priority="12">
      <formula>#REF!="EM OPERAÇÃO"</formula>
    </cfRule>
    <cfRule type="expression" dxfId="8" priority="13">
      <formula>#REF!="EM OPERAÇÃO COM ANOMALIA"</formula>
    </cfRule>
    <cfRule type="expression" dxfId="7" priority="14">
      <formula>#REF!="FORA DE OPERAÇÃO"</formula>
    </cfRule>
  </conditionalFormatting>
  <conditionalFormatting sqref="C743:H743">
    <cfRule type="expression" dxfId="6" priority="6">
      <formula>#REF!="EM OPERAÇÃO"</formula>
    </cfRule>
  </conditionalFormatting>
  <conditionalFormatting sqref="C630:I631 K630:K631">
    <cfRule type="expression" dxfId="5" priority="19">
      <formula>#REF!="EM OPERAÇÃO COM ANOMALIA"</formula>
    </cfRule>
    <cfRule type="expression" dxfId="4" priority="20">
      <formula>#REF!="FORA DE OPERAÇÃO"</formula>
    </cfRule>
  </conditionalFormatting>
  <conditionalFormatting sqref="D764:H764">
    <cfRule type="expression" dxfId="3" priority="4">
      <formula>#REF!="EM OPERAÇÃO"</formula>
    </cfRule>
  </conditionalFormatting>
  <conditionalFormatting sqref="I638 I658 I663 I672 I676:I678 I719 I732:I733 I735 I737 I739:I740 I742 I744:I747 I749 I751 I754:I756 I758:I759 I763:I765 I767:I769 I776 I806 I815 I862">
    <cfRule type="expression" dxfId="2" priority="18">
      <formula>#REF!="EM OPERAÇÃO"</formula>
    </cfRule>
  </conditionalFormatting>
  <pageMargins left="0.511811024" right="0.511811024" top="0.78740157499999996" bottom="0.78740157499999996" header="0" footer="0"/>
  <pageSetup paperSize="9"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5F5B9-601C-4273-B821-B1E35EF738C2}">
  <dimension ref="A1:DC426"/>
  <sheetViews>
    <sheetView showGridLines="0" tabSelected="1" topLeftCell="H1" zoomScale="88" zoomScaleNormal="100" workbookViewId="0">
      <pane ySplit="1" topLeftCell="A2" activePane="bottomLeft" state="frozen"/>
      <selection pane="bottomLeft" activeCell="C1" sqref="C1:C1048576"/>
    </sheetView>
  </sheetViews>
  <sheetFormatPr defaultColWidth="9.140625" defaultRowHeight="15" x14ac:dyDescent="0.25"/>
  <cols>
    <col min="1" max="1" width="19.140625" style="57" bestFit="1" customWidth="1"/>
    <col min="2" max="2" width="22.85546875" style="57" hidden="1" customWidth="1"/>
    <col min="3" max="3" width="19.28515625" style="27" bestFit="1" customWidth="1"/>
    <col min="4" max="4" width="32.42578125" style="27" customWidth="1"/>
    <col min="5" max="5" width="18" style="57" bestFit="1" customWidth="1"/>
    <col min="6" max="6" width="32.140625" style="57" customWidth="1"/>
    <col min="7" max="7" width="26.140625" style="57" bestFit="1" customWidth="1"/>
    <col min="8" max="8" width="26.140625" style="57" customWidth="1"/>
    <col min="9" max="9" width="26.5703125" style="57" bestFit="1" customWidth="1"/>
    <col min="10" max="10" width="23.42578125" style="58" bestFit="1" customWidth="1"/>
    <col min="11" max="11" width="47.85546875" style="57" bestFit="1" customWidth="1"/>
    <col min="12" max="12" width="18.140625" style="57" bestFit="1" customWidth="1"/>
    <col min="13" max="13" width="27.28515625" style="57" customWidth="1"/>
    <col min="14" max="14" width="12.42578125" style="57" bestFit="1" customWidth="1"/>
    <col min="15" max="15" width="29.140625" style="57" bestFit="1" customWidth="1"/>
    <col min="16" max="16384" width="9.140625" style="57"/>
  </cols>
  <sheetData>
    <row r="1" spans="1:15" ht="15.75" thickTop="1" x14ac:dyDescent="0.25">
      <c r="A1" s="100" t="s">
        <v>1233</v>
      </c>
      <c r="B1" s="100" t="s">
        <v>1000</v>
      </c>
      <c r="C1" s="104" t="s">
        <v>1234</v>
      </c>
      <c r="D1" s="104" t="s">
        <v>1235</v>
      </c>
      <c r="E1" s="100" t="s">
        <v>1236</v>
      </c>
      <c r="F1" s="104" t="s">
        <v>1237</v>
      </c>
      <c r="G1" s="100" t="s">
        <v>1238</v>
      </c>
      <c r="H1" s="100" t="s">
        <v>311</v>
      </c>
      <c r="I1" s="100" t="s">
        <v>1239</v>
      </c>
      <c r="J1" s="103" t="s">
        <v>1240</v>
      </c>
      <c r="K1" s="103" t="s">
        <v>787</v>
      </c>
      <c r="L1" s="102" t="s">
        <v>1241</v>
      </c>
      <c r="M1" s="101" t="s">
        <v>1242</v>
      </c>
      <c r="N1" s="100" t="s">
        <v>1243</v>
      </c>
      <c r="O1" s="100" t="s">
        <v>322</v>
      </c>
    </row>
    <row r="2" spans="1:15" x14ac:dyDescent="0.25">
      <c r="A2" s="60">
        <v>5868303009</v>
      </c>
      <c r="B2" s="83" t="str">
        <f t="shared" ref="B2:B33" si="0">CONCATENATE(A2,".pdf")</f>
        <v>5868303009.pdf</v>
      </c>
      <c r="C2" s="60" t="s">
        <v>1244</v>
      </c>
      <c r="D2" s="60" t="s">
        <v>1245</v>
      </c>
      <c r="E2" s="60">
        <v>400</v>
      </c>
      <c r="F2" s="60">
        <v>201</v>
      </c>
      <c r="G2" s="60">
        <v>124.5</v>
      </c>
      <c r="H2" s="60" t="s">
        <v>1047</v>
      </c>
      <c r="I2" s="99">
        <v>34500</v>
      </c>
      <c r="J2" s="60" t="s">
        <v>1011</v>
      </c>
      <c r="K2" s="60" t="s">
        <v>1246</v>
      </c>
      <c r="L2" s="60" t="s">
        <v>1247</v>
      </c>
      <c r="M2" s="63">
        <v>46167</v>
      </c>
      <c r="N2" s="60" t="str">
        <f>IF(A2&lt;&gt;"",VLOOKUP(RIGHT(A2,3)*1,[1]SEGMENTAÇÃO!A:H,8,0),"")</f>
        <v>NORTE</v>
      </c>
      <c r="O2" s="59" t="str">
        <f>IF(A2&lt;&gt;"",VLOOKUP(RIGHT(A2,3)*1,[1]SEGMENTAÇÃO!A:I,9,0),"")</f>
        <v>GUARAI</v>
      </c>
    </row>
    <row r="3" spans="1:15" x14ac:dyDescent="0.25">
      <c r="A3" s="60">
        <v>5863512038</v>
      </c>
      <c r="B3" s="83" t="str">
        <f t="shared" si="0"/>
        <v>5863512038.pdf</v>
      </c>
      <c r="C3" s="60" t="s">
        <v>1248</v>
      </c>
      <c r="D3" s="60" t="s">
        <v>1245</v>
      </c>
      <c r="E3" s="60">
        <v>667</v>
      </c>
      <c r="F3" s="60">
        <v>335</v>
      </c>
      <c r="G3" s="60">
        <v>124.5</v>
      </c>
      <c r="H3" s="82" t="s">
        <v>1094</v>
      </c>
      <c r="I3" s="60" t="str">
        <f>IF(L2&lt;&gt;"",IF(LEFT(L2,2)="AL","13.800","34.500"),"")</f>
        <v>34.500</v>
      </c>
      <c r="J3" s="60" t="s">
        <v>1011</v>
      </c>
      <c r="K3" s="60" t="s">
        <v>1249</v>
      </c>
      <c r="L3" s="60" t="s">
        <v>1247</v>
      </c>
      <c r="M3" s="63">
        <v>46161</v>
      </c>
      <c r="N3" s="60" t="str">
        <f>IF(A3&lt;&gt;"",VLOOKUP(RIGHT(A3,3)*1,[1]SEGMENTAÇÃO!A:H,8,0),"")</f>
        <v>SUL</v>
      </c>
      <c r="O3" s="59" t="str">
        <f>IF(A3&lt;&gt;"",VLOOKUP(RIGHT(A3,3)*1,[1]SEGMENTAÇÃO!A:I,9,0),"")</f>
        <v>TAGUATINGA</v>
      </c>
    </row>
    <row r="4" spans="1:15" x14ac:dyDescent="0.25">
      <c r="A4" s="60">
        <v>5863050038</v>
      </c>
      <c r="B4" s="83" t="str">
        <f t="shared" si="0"/>
        <v>5863050038.pdf</v>
      </c>
      <c r="C4" s="60" t="s">
        <v>1248</v>
      </c>
      <c r="D4" s="60" t="s">
        <v>1245</v>
      </c>
      <c r="E4" s="60">
        <v>398</v>
      </c>
      <c r="F4" s="60">
        <v>200</v>
      </c>
      <c r="G4" s="60">
        <v>124.5</v>
      </c>
      <c r="H4" s="82" t="s">
        <v>1094</v>
      </c>
      <c r="I4" s="60" t="str">
        <f t="shared" ref="I4:I39" si="1">IF(H4&lt;&gt;"",IF(LEFT(H4,2)="AL","13.800","34.500"),"")</f>
        <v>34.500</v>
      </c>
      <c r="J4" s="60" t="s">
        <v>1011</v>
      </c>
      <c r="K4" s="60" t="s">
        <v>1250</v>
      </c>
      <c r="L4" s="60" t="s">
        <v>1247</v>
      </c>
      <c r="M4" s="63">
        <v>46161</v>
      </c>
      <c r="N4" s="60" t="str">
        <f>IF(A4&lt;&gt;"",VLOOKUP(RIGHT(A4,3)*1,[1]SEGMENTAÇÃO!A:H,8,0),"")</f>
        <v>SUL</v>
      </c>
      <c r="O4" s="59" t="str">
        <f>IF(A4&lt;&gt;"",VLOOKUP(RIGHT(A4,3)*1,[1]SEGMENTAÇÃO!A:I,9,0),"")</f>
        <v>TAGUATINGA</v>
      </c>
    </row>
    <row r="5" spans="1:15" x14ac:dyDescent="0.25">
      <c r="A5" s="60">
        <v>5863049038</v>
      </c>
      <c r="B5" s="83" t="str">
        <f t="shared" si="0"/>
        <v>5863049038.pdf</v>
      </c>
      <c r="C5" s="60" t="s">
        <v>1248</v>
      </c>
      <c r="D5" s="60" t="s">
        <v>1245</v>
      </c>
      <c r="E5" s="60">
        <v>400</v>
      </c>
      <c r="F5" s="60">
        <v>201</v>
      </c>
      <c r="G5" s="60">
        <v>124.5</v>
      </c>
      <c r="H5" s="60" t="s">
        <v>1094</v>
      </c>
      <c r="I5" s="60" t="str">
        <f t="shared" si="1"/>
        <v>34.500</v>
      </c>
      <c r="J5" s="60" t="s">
        <v>1011</v>
      </c>
      <c r="K5" s="60" t="s">
        <v>1251</v>
      </c>
      <c r="L5" s="60" t="s">
        <v>1247</v>
      </c>
      <c r="M5" s="63">
        <v>46161</v>
      </c>
      <c r="N5" s="60" t="str">
        <f>IF(A5&lt;&gt;"",VLOOKUP(RIGHT(A5,3)*1,[1]SEGMENTAÇÃO!A:H,8,0),"")</f>
        <v>SUL</v>
      </c>
      <c r="O5" s="59" t="str">
        <f>IF(A5&lt;&gt;"",VLOOKUP(RIGHT(A5,3)*1,[1]SEGMENTAÇÃO!A:I,9,0),"")</f>
        <v>TAGUATINGA</v>
      </c>
    </row>
    <row r="6" spans="1:15" x14ac:dyDescent="0.25">
      <c r="A6" s="60">
        <v>5862247038</v>
      </c>
      <c r="B6" s="83" t="str">
        <f t="shared" si="0"/>
        <v>5862247038.pdf</v>
      </c>
      <c r="C6" s="60" t="s">
        <v>1248</v>
      </c>
      <c r="D6" s="60" t="s">
        <v>1245</v>
      </c>
      <c r="E6" s="60">
        <v>667</v>
      </c>
      <c r="F6" s="60">
        <v>335</v>
      </c>
      <c r="G6" s="60">
        <v>124.5</v>
      </c>
      <c r="H6" s="82" t="s">
        <v>1094</v>
      </c>
      <c r="I6" s="60" t="str">
        <f t="shared" si="1"/>
        <v>34.500</v>
      </c>
      <c r="J6" s="60" t="s">
        <v>1011</v>
      </c>
      <c r="K6" s="60" t="s">
        <v>1252</v>
      </c>
      <c r="L6" s="60" t="s">
        <v>1247</v>
      </c>
      <c r="M6" s="63">
        <v>46161</v>
      </c>
      <c r="N6" s="60" t="str">
        <f>IF(A6&lt;&gt;"",VLOOKUP(RIGHT(A6,3)*1,[1]SEGMENTAÇÃO!A:H,8,0),"")</f>
        <v>SUL</v>
      </c>
      <c r="O6" s="59" t="str">
        <f>IF(A6&lt;&gt;"",VLOOKUP(RIGHT(A6,3)*1,[1]SEGMENTAÇÃO!A:I,9,0),"")</f>
        <v>TAGUATINGA</v>
      </c>
    </row>
    <row r="7" spans="1:15" x14ac:dyDescent="0.25">
      <c r="A7" s="60">
        <v>5867939086</v>
      </c>
      <c r="B7" s="83" t="str">
        <f t="shared" si="0"/>
        <v>5867939086.pdf</v>
      </c>
      <c r="C7" s="60" t="s">
        <v>1248</v>
      </c>
      <c r="D7" s="60" t="s">
        <v>1253</v>
      </c>
      <c r="E7" s="60">
        <v>400</v>
      </c>
      <c r="F7" s="60">
        <v>201</v>
      </c>
      <c r="G7" s="60">
        <v>124.5</v>
      </c>
      <c r="H7" s="21" t="s">
        <v>1042</v>
      </c>
      <c r="I7" s="60" t="str">
        <f t="shared" si="1"/>
        <v>34.500</v>
      </c>
      <c r="J7" s="60" t="s">
        <v>1011</v>
      </c>
      <c r="K7" s="60" t="s">
        <v>1254</v>
      </c>
      <c r="L7" s="81" t="s">
        <v>1255</v>
      </c>
      <c r="M7" s="63">
        <v>46150</v>
      </c>
      <c r="N7" s="60" t="str">
        <f>IF(A7&lt;&gt;"",VLOOKUP(RIGHT(A7,3)*1,[1]SEGMENTAÇÃO!A:H,8,0),"")</f>
        <v>CENTRO</v>
      </c>
      <c r="O7" s="59" t="str">
        <f>IF(A7&lt;&gt;"",VLOOKUP(RIGHT(A7,3)*1,[1]SEGMENTAÇÃO!A:I,9,0),"")</f>
        <v>MARIANOPOLIS</v>
      </c>
    </row>
    <row r="8" spans="1:15" x14ac:dyDescent="0.25">
      <c r="A8" s="60">
        <v>5867938149</v>
      </c>
      <c r="B8" s="83" t="str">
        <f t="shared" si="0"/>
        <v>5867938149.pdf</v>
      </c>
      <c r="C8" s="60" t="s">
        <v>1248</v>
      </c>
      <c r="D8" s="60" t="s">
        <v>1256</v>
      </c>
      <c r="E8" s="60">
        <v>400</v>
      </c>
      <c r="F8" s="60">
        <v>201</v>
      </c>
      <c r="G8" s="60">
        <v>124.5</v>
      </c>
      <c r="H8" s="60" t="s">
        <v>1042</v>
      </c>
      <c r="I8" s="60" t="str">
        <f t="shared" si="1"/>
        <v>34.500</v>
      </c>
      <c r="J8" s="60" t="s">
        <v>1011</v>
      </c>
      <c r="K8" s="60" t="s">
        <v>1257</v>
      </c>
      <c r="L8" s="81" t="s">
        <v>1255</v>
      </c>
      <c r="M8" s="63">
        <v>46150</v>
      </c>
      <c r="N8" s="60" t="str">
        <f>IF(A8&lt;&gt;"",VLOOKUP(RIGHT(A8,3)*1,[1]SEGMENTAÇÃO!A:H,8,0),"")</f>
        <v>CENTRO</v>
      </c>
      <c r="O8" s="59" t="str">
        <f>IF(A8&lt;&gt;"",VLOOKUP(RIGHT(A8,3)*1,[1]SEGMENTAÇÃO!A:I,9,0),"")</f>
        <v>CASEARA</v>
      </c>
    </row>
    <row r="9" spans="1:15" x14ac:dyDescent="0.25">
      <c r="A9" s="60">
        <v>5843614038</v>
      </c>
      <c r="B9" s="83" t="str">
        <f t="shared" si="0"/>
        <v>5843614038.pdf</v>
      </c>
      <c r="C9" s="60" t="s">
        <v>1248</v>
      </c>
      <c r="D9" s="60" t="s">
        <v>1245</v>
      </c>
      <c r="E9" s="60">
        <v>400</v>
      </c>
      <c r="F9" s="60">
        <v>201</v>
      </c>
      <c r="G9" s="60">
        <v>124.5</v>
      </c>
      <c r="H9" s="82" t="s">
        <v>1094</v>
      </c>
      <c r="I9" s="60" t="str">
        <f t="shared" si="1"/>
        <v>34.500</v>
      </c>
      <c r="J9" s="60" t="s">
        <v>1011</v>
      </c>
      <c r="K9" s="60" t="s">
        <v>1258</v>
      </c>
      <c r="L9" s="81" t="s">
        <v>1247</v>
      </c>
      <c r="M9" s="63">
        <v>46112</v>
      </c>
      <c r="N9" s="60" t="str">
        <f>IF(A9&lt;&gt;"",VLOOKUP(RIGHT(A9,3)*1,[1]SEGMENTAÇÃO!A:H,8,0),"")</f>
        <v>SUL</v>
      </c>
      <c r="O9" s="59" t="str">
        <f>IF(A9&lt;&gt;"",VLOOKUP(RIGHT(A9,3)*1,[1]SEGMENTAÇÃO!A:I,9,0),"")</f>
        <v>TAGUATINGA</v>
      </c>
    </row>
    <row r="10" spans="1:15" x14ac:dyDescent="0.25">
      <c r="A10" s="60">
        <v>5838622038</v>
      </c>
      <c r="B10" s="83" t="str">
        <f t="shared" si="0"/>
        <v>5838622038.pdf</v>
      </c>
      <c r="C10" s="60" t="s">
        <v>1248</v>
      </c>
      <c r="D10" s="60" t="s">
        <v>1245</v>
      </c>
      <c r="E10" s="60">
        <v>398</v>
      </c>
      <c r="F10" s="60">
        <v>200</v>
      </c>
      <c r="G10" s="60">
        <v>124</v>
      </c>
      <c r="H10" s="82" t="s">
        <v>1094</v>
      </c>
      <c r="I10" s="60" t="str">
        <f t="shared" si="1"/>
        <v>34.500</v>
      </c>
      <c r="J10" s="60" t="s">
        <v>1011</v>
      </c>
      <c r="K10" s="60" t="s">
        <v>1259</v>
      </c>
      <c r="L10" s="81" t="s">
        <v>1247</v>
      </c>
      <c r="M10" s="63">
        <v>46112</v>
      </c>
      <c r="N10" s="60" t="str">
        <f>IF(A10&lt;&gt;"",VLOOKUP(RIGHT(A10,3)*1,[1]SEGMENTAÇÃO!A:H,8,0),"")</f>
        <v>SUL</v>
      </c>
      <c r="O10" s="59" t="str">
        <f>IF(A10&lt;&gt;"",VLOOKUP(RIGHT(A10,3)*1,[1]SEGMENTAÇÃO!A:I,9,0),"")</f>
        <v>TAGUATINGA</v>
      </c>
    </row>
    <row r="11" spans="1:15" x14ac:dyDescent="0.25">
      <c r="A11" s="20">
        <v>5866894016</v>
      </c>
      <c r="B11" s="83" t="str">
        <f t="shared" si="0"/>
        <v>5866894016.pdf</v>
      </c>
      <c r="C11" s="60" t="s">
        <v>1244</v>
      </c>
      <c r="D11" s="60" t="s">
        <v>1245</v>
      </c>
      <c r="E11" s="60">
        <v>400</v>
      </c>
      <c r="F11" s="60">
        <v>201</v>
      </c>
      <c r="G11" s="60">
        <v>124.5</v>
      </c>
      <c r="H11" s="60" t="s">
        <v>497</v>
      </c>
      <c r="I11" s="60" t="str">
        <f t="shared" si="1"/>
        <v>34.500</v>
      </c>
      <c r="J11" s="60" t="s">
        <v>1011</v>
      </c>
      <c r="K11" s="60" t="s">
        <v>1260</v>
      </c>
      <c r="L11" s="81" t="s">
        <v>1247</v>
      </c>
      <c r="M11" s="63">
        <v>46106</v>
      </c>
      <c r="N11" s="60" t="str">
        <f>IF(A11&lt;&gt;"",VLOOKUP(RIGHT(A11,3)*1,[1]SEGMENTAÇÃO!A:H,8,0),"")</f>
        <v>NORTE</v>
      </c>
      <c r="O11" s="59" t="str">
        <f>IF(A11&lt;&gt;"",VLOOKUP(RIGHT(A11,3)*1,[1]SEGMENTAÇÃO!A:I,9,0),"")</f>
        <v>WANDERLANDIA</v>
      </c>
    </row>
    <row r="12" spans="1:15" x14ac:dyDescent="0.25">
      <c r="A12" s="20">
        <v>5863659055</v>
      </c>
      <c r="B12" s="83" t="str">
        <f t="shared" si="0"/>
        <v>5863659055.pdf</v>
      </c>
      <c r="C12" s="60" t="s">
        <v>1248</v>
      </c>
      <c r="D12" s="60" t="s">
        <v>1245</v>
      </c>
      <c r="E12" s="60">
        <v>400</v>
      </c>
      <c r="F12" s="60">
        <v>201</v>
      </c>
      <c r="G12" s="60">
        <v>124.5</v>
      </c>
      <c r="H12" s="60" t="s">
        <v>749</v>
      </c>
      <c r="I12" s="60" t="str">
        <f t="shared" si="1"/>
        <v>34.500</v>
      </c>
      <c r="J12" s="60" t="s">
        <v>1011</v>
      </c>
      <c r="K12" s="60" t="s">
        <v>1261</v>
      </c>
      <c r="L12" s="81" t="s">
        <v>1247</v>
      </c>
      <c r="M12" s="63">
        <v>46106</v>
      </c>
      <c r="N12" s="60" t="str">
        <f>IF(A12&lt;&gt;"",VLOOKUP(RIGHT(A12,3)*1,[1]SEGMENTAÇÃO!A:H,8,0),"")</f>
        <v>CENTRO</v>
      </c>
      <c r="O12" s="59" t="str">
        <f>IF(A12&lt;&gt;"",VLOOKUP(RIGHT(A12,3)*1,[1]SEGMENTAÇÃO!A:I,9,0),"")</f>
        <v>ARAGUACEMA</v>
      </c>
    </row>
    <row r="13" spans="1:15" x14ac:dyDescent="0.25">
      <c r="A13" s="20">
        <v>5863000094</v>
      </c>
      <c r="B13" s="83" t="str">
        <f t="shared" si="0"/>
        <v>5863000094.pdf</v>
      </c>
      <c r="C13" s="60" t="s">
        <v>1248</v>
      </c>
      <c r="D13" s="60" t="s">
        <v>1245</v>
      </c>
      <c r="E13" s="60">
        <v>400</v>
      </c>
      <c r="F13" s="60">
        <v>201</v>
      </c>
      <c r="G13" s="60">
        <v>124.5</v>
      </c>
      <c r="H13" s="60" t="s">
        <v>1103</v>
      </c>
      <c r="I13" s="60" t="str">
        <f t="shared" si="1"/>
        <v>34.500</v>
      </c>
      <c r="J13" s="60" t="s">
        <v>1011</v>
      </c>
      <c r="K13" s="60" t="s">
        <v>1262</v>
      </c>
      <c r="L13" s="81" t="s">
        <v>1247</v>
      </c>
      <c r="M13" s="63">
        <v>46106</v>
      </c>
      <c r="N13" s="60" t="str">
        <f>IF(A13&lt;&gt;"",VLOOKUP(RIGHT(A13,3)*1,[1]SEGMENTAÇÃO!A:H,8,0),"")</f>
        <v>SUL</v>
      </c>
      <c r="O13" s="59" t="str">
        <f>IF(A13&lt;&gt;"",VLOOKUP(RIGHT(A13,3)*1,[1]SEGMENTAÇÃO!A:I,9,0),"")</f>
        <v>PEIXE</v>
      </c>
    </row>
    <row r="14" spans="1:15" x14ac:dyDescent="0.25">
      <c r="A14" s="60">
        <v>5863384078</v>
      </c>
      <c r="B14" s="83" t="str">
        <f t="shared" si="0"/>
        <v>5863384078.pdf</v>
      </c>
      <c r="C14" s="60" t="s">
        <v>1244</v>
      </c>
      <c r="D14" s="60" t="s">
        <v>1245</v>
      </c>
      <c r="E14" s="60">
        <v>400</v>
      </c>
      <c r="F14" s="60">
        <v>201</v>
      </c>
      <c r="G14" s="60">
        <v>124.5</v>
      </c>
      <c r="H14" s="60" t="s">
        <v>470</v>
      </c>
      <c r="I14" s="60" t="str">
        <f t="shared" si="1"/>
        <v>34.500</v>
      </c>
      <c r="J14" s="60" t="s">
        <v>1011</v>
      </c>
      <c r="K14" s="20" t="s">
        <v>1263</v>
      </c>
      <c r="L14" s="81" t="s">
        <v>1247</v>
      </c>
      <c r="M14" s="63">
        <v>46080</v>
      </c>
      <c r="N14" s="60" t="str">
        <f>IF(A14&lt;&gt;"",VLOOKUP(RIGHT(A14,3)*1,[1]SEGMENTAÇÃO!A:H,8,0),"")</f>
        <v>NORTE</v>
      </c>
      <c r="O14" s="59" t="str">
        <f>IF(A14&lt;&gt;"",VLOOKUP(RIGHT(A14,3)*1,[1]SEGMENTAÇÃO!A:I,9,0),"")</f>
        <v>ITACAJA</v>
      </c>
    </row>
    <row r="15" spans="1:15" x14ac:dyDescent="0.25">
      <c r="A15" s="60">
        <v>5860477104</v>
      </c>
      <c r="B15" s="83" t="str">
        <f t="shared" si="0"/>
        <v>5860477104.pdf</v>
      </c>
      <c r="C15" s="60" t="s">
        <v>1248</v>
      </c>
      <c r="D15" s="60" t="s">
        <v>1245</v>
      </c>
      <c r="E15" s="60">
        <v>200</v>
      </c>
      <c r="F15" s="60">
        <v>100</v>
      </c>
      <c r="G15" s="98">
        <v>124</v>
      </c>
      <c r="H15" s="60" t="s">
        <v>470</v>
      </c>
      <c r="I15" s="60" t="str">
        <f t="shared" si="1"/>
        <v>34.500</v>
      </c>
      <c r="J15" s="60" t="s">
        <v>1011</v>
      </c>
      <c r="K15" s="60" t="s">
        <v>1264</v>
      </c>
      <c r="L15" s="81" t="s">
        <v>1247</v>
      </c>
      <c r="M15" s="63">
        <v>46080</v>
      </c>
      <c r="N15" s="60" t="str">
        <f>IF(A15&lt;&gt;"",VLOOKUP(RIGHT(A15,3)*1,[1]SEGMENTAÇÃO!A:H,8,0),"")</f>
        <v>NORTE</v>
      </c>
      <c r="O15" s="59" t="str">
        <f>IF(A15&lt;&gt;"",VLOOKUP(RIGHT(A15,3)*1,[1]SEGMENTAÇÃO!A:I,9,0),"")</f>
        <v>SANTA MARIA DO TOCANTINS</v>
      </c>
    </row>
    <row r="16" spans="1:15" x14ac:dyDescent="0.25">
      <c r="A16" s="60">
        <v>5865120195</v>
      </c>
      <c r="B16" s="83" t="str">
        <f t="shared" si="0"/>
        <v>5865120195.pdf</v>
      </c>
      <c r="C16" s="60" t="s">
        <v>1248</v>
      </c>
      <c r="D16" s="60" t="s">
        <v>1245</v>
      </c>
      <c r="E16" s="60">
        <v>400</v>
      </c>
      <c r="F16" s="60">
        <v>100</v>
      </c>
      <c r="G16" s="60">
        <v>124.5</v>
      </c>
      <c r="H16" s="60" t="s">
        <v>470</v>
      </c>
      <c r="I16" s="60" t="str">
        <f t="shared" si="1"/>
        <v>34.500</v>
      </c>
      <c r="J16" s="60" t="s">
        <v>1011</v>
      </c>
      <c r="K16" s="97" t="s">
        <v>1265</v>
      </c>
      <c r="L16" s="81" t="s">
        <v>1247</v>
      </c>
      <c r="M16" s="63">
        <v>46080</v>
      </c>
      <c r="N16" s="60" t="str">
        <f>IF(A16&lt;&gt;"",VLOOKUP(RIGHT(A16,3)*1,[1]SEGMENTAÇÃO!A:H,8,0),"")</f>
        <v>NORTE</v>
      </c>
      <c r="O16" s="59" t="str">
        <f>IF(A16&lt;&gt;"",VLOOKUP(RIGHT(A16,3)*1,[1]SEGMENTAÇÃO!A:I,9,0),"")</f>
        <v>CENTENARIO</v>
      </c>
    </row>
    <row r="17" spans="1:15" x14ac:dyDescent="0.25">
      <c r="A17" s="84">
        <v>5840261097</v>
      </c>
      <c r="B17" s="83" t="str">
        <f t="shared" si="0"/>
        <v>5840261097.pdf</v>
      </c>
      <c r="C17" s="60" t="s">
        <v>1248</v>
      </c>
      <c r="D17" s="60" t="s">
        <v>1245</v>
      </c>
      <c r="E17" s="60" t="s">
        <v>1266</v>
      </c>
      <c r="F17" s="60" t="s">
        <v>1267</v>
      </c>
      <c r="G17" s="60" t="s">
        <v>1268</v>
      </c>
      <c r="H17" s="60" t="s">
        <v>1026</v>
      </c>
      <c r="I17" s="60" t="str">
        <f t="shared" si="1"/>
        <v>13.800</v>
      </c>
      <c r="J17" s="60" t="s">
        <v>1011</v>
      </c>
      <c r="K17" s="60" t="s">
        <v>1269</v>
      </c>
      <c r="L17" s="81" t="s">
        <v>1270</v>
      </c>
      <c r="M17" s="63">
        <v>45959</v>
      </c>
      <c r="N17" s="60" t="str">
        <f>IF(A17&lt;&gt;"",VLOOKUP(RIGHT(A17,3)*1,[1]SEGMENTAÇÃO!A:H,8,0),"")</f>
        <v>SUL</v>
      </c>
      <c r="O17" s="59" t="str">
        <f>IF(A17&lt;&gt;"",VLOOKUP(RIGHT(A17,3)*1,[1]SEGMENTAÇÃO!A:I,9,0),"")</f>
        <v>TALISMA</v>
      </c>
    </row>
    <row r="18" spans="1:15" x14ac:dyDescent="0.25">
      <c r="A18" s="60">
        <v>5856661091</v>
      </c>
      <c r="B18" s="83" t="str">
        <f t="shared" si="0"/>
        <v>5856661091.pdf</v>
      </c>
      <c r="C18" s="60" t="s">
        <v>1248</v>
      </c>
      <c r="D18" s="60" t="s">
        <v>1245</v>
      </c>
      <c r="E18" s="60">
        <v>400</v>
      </c>
      <c r="F18" s="60">
        <v>201</v>
      </c>
      <c r="G18" s="60">
        <v>124.5</v>
      </c>
      <c r="H18" s="60" t="s">
        <v>464</v>
      </c>
      <c r="I18" s="60" t="str">
        <f t="shared" si="1"/>
        <v>34.500</v>
      </c>
      <c r="J18" s="60" t="s">
        <v>1011</v>
      </c>
      <c r="K18" s="60" t="s">
        <v>1271</v>
      </c>
      <c r="L18" s="81" t="s">
        <v>1272</v>
      </c>
      <c r="M18" s="63">
        <v>45959</v>
      </c>
      <c r="N18" s="60" t="str">
        <f>IF(A18&lt;&gt;"",VLOOKUP(RIGHT(A18,3)*1,[1]SEGMENTAÇÃO!A:H,8,0),"")</f>
        <v>SUL</v>
      </c>
      <c r="O18" s="59" t="str">
        <f>IF(A18&lt;&gt;"",VLOOKUP(RIGHT(A18,3)*1,[1]SEGMENTAÇÃO!A:I,9,0),"")</f>
        <v>ALMAS</v>
      </c>
    </row>
    <row r="19" spans="1:15" x14ac:dyDescent="0.25">
      <c r="A19" s="60">
        <v>5862464001</v>
      </c>
      <c r="B19" s="83" t="str">
        <f t="shared" si="0"/>
        <v>5862464001.pdf</v>
      </c>
      <c r="C19" s="60" t="s">
        <v>1248</v>
      </c>
      <c r="D19" s="60" t="s">
        <v>1245</v>
      </c>
      <c r="E19" s="60">
        <v>239</v>
      </c>
      <c r="F19" s="60">
        <v>300</v>
      </c>
      <c r="G19" s="60">
        <v>124.5</v>
      </c>
      <c r="H19" s="60" t="s">
        <v>392</v>
      </c>
      <c r="I19" s="60" t="str">
        <f t="shared" si="1"/>
        <v>13.800</v>
      </c>
      <c r="J19" s="60" t="s">
        <v>1011</v>
      </c>
      <c r="K19" s="60" t="s">
        <v>1273</v>
      </c>
      <c r="L19" s="81" t="s">
        <v>1272</v>
      </c>
      <c r="M19" s="63">
        <v>45958</v>
      </c>
      <c r="N19" s="60" t="str">
        <f>IF(A19&lt;&gt;"",VLOOKUP(RIGHT(A19,3)*1,[1]SEGMENTAÇÃO!A:H,8,0),"")</f>
        <v>CENTRO</v>
      </c>
      <c r="O19" s="59" t="str">
        <f>IF(A19&lt;&gt;"",VLOOKUP(RIGHT(A19,3)*1,[1]SEGMENTAÇÃO!A:I,9,0),"")</f>
        <v>PORTO NACIONAL</v>
      </c>
    </row>
    <row r="20" spans="1:15" x14ac:dyDescent="0.25">
      <c r="A20" s="60">
        <v>5862050086</v>
      </c>
      <c r="B20" s="83" t="str">
        <f t="shared" si="0"/>
        <v>5862050086.pdf</v>
      </c>
      <c r="C20" s="60" t="s">
        <v>1248</v>
      </c>
      <c r="D20" s="60" t="s">
        <v>1245</v>
      </c>
      <c r="E20" s="60">
        <v>400</v>
      </c>
      <c r="F20" s="60">
        <v>201</v>
      </c>
      <c r="G20" s="60">
        <v>124.5</v>
      </c>
      <c r="H20" s="60" t="s">
        <v>1042</v>
      </c>
      <c r="I20" s="60" t="str">
        <f t="shared" si="1"/>
        <v>34.500</v>
      </c>
      <c r="J20" s="60" t="s">
        <v>1011</v>
      </c>
      <c r="K20" s="60" t="s">
        <v>1274</v>
      </c>
      <c r="L20" s="81" t="s">
        <v>1272</v>
      </c>
      <c r="M20" s="63">
        <v>45957</v>
      </c>
      <c r="N20" s="60" t="str">
        <f>IF(A20&lt;&gt;"",VLOOKUP(RIGHT(A20,3)*1,[1]SEGMENTAÇÃO!A:H,8,0),"")</f>
        <v>CENTRO</v>
      </c>
      <c r="O20" s="59" t="str">
        <f>IF(A20&lt;&gt;"",VLOOKUP(RIGHT(A20,3)*1,[1]SEGMENTAÇÃO!A:I,9,0),"")</f>
        <v>MARIANOPOLIS</v>
      </c>
    </row>
    <row r="21" spans="1:15" x14ac:dyDescent="0.25">
      <c r="A21" s="84">
        <v>5820044123</v>
      </c>
      <c r="B21" s="83" t="str">
        <f t="shared" si="0"/>
        <v>5820044123.pdf</v>
      </c>
      <c r="C21" s="60" t="s">
        <v>1248</v>
      </c>
      <c r="D21" s="60" t="s">
        <v>1245</v>
      </c>
      <c r="E21" s="60">
        <v>239</v>
      </c>
      <c r="F21" s="60">
        <v>300</v>
      </c>
      <c r="G21" s="60" t="s">
        <v>1275</v>
      </c>
      <c r="H21" s="60" t="s">
        <v>1276</v>
      </c>
      <c r="I21" s="60" t="str">
        <f t="shared" si="1"/>
        <v>13.800</v>
      </c>
      <c r="J21" s="60" t="s">
        <v>1011</v>
      </c>
      <c r="K21" s="60" t="s">
        <v>1277</v>
      </c>
      <c r="L21" s="81" t="s">
        <v>1255</v>
      </c>
      <c r="M21" s="63">
        <v>45954</v>
      </c>
      <c r="N21" s="60" t="str">
        <f>IF(A21&lt;&gt;"",VLOOKUP(RIGHT(A21,3)*1,[1]SEGMENTAÇÃO!A:H,8,0),"")</f>
        <v>NORTE</v>
      </c>
      <c r="O21" s="59" t="str">
        <f>IF(A21&lt;&gt;"",VLOOKUP(RIGHT(A21,3)*1,[1]SEGMENTAÇÃO!A:I,9,0),"")</f>
        <v>AGUIARNOPOLIS</v>
      </c>
    </row>
    <row r="22" spans="1:15" x14ac:dyDescent="0.25">
      <c r="A22" s="60">
        <v>5862523111</v>
      </c>
      <c r="B22" s="83" t="str">
        <f t="shared" si="0"/>
        <v>5862523111.pdf</v>
      </c>
      <c r="C22" s="60" t="s">
        <v>1248</v>
      </c>
      <c r="D22" s="60" t="s">
        <v>1245</v>
      </c>
      <c r="E22" s="60">
        <v>400</v>
      </c>
      <c r="F22" s="60">
        <v>201</v>
      </c>
      <c r="G22" s="60">
        <v>124.5</v>
      </c>
      <c r="H22" s="60" t="s">
        <v>1083</v>
      </c>
      <c r="I22" s="60" t="str">
        <f t="shared" si="1"/>
        <v>34.500</v>
      </c>
      <c r="J22" s="60" t="s">
        <v>1011</v>
      </c>
      <c r="K22" s="60" t="s">
        <v>1278</v>
      </c>
      <c r="L22" s="81" t="s">
        <v>1272</v>
      </c>
      <c r="M22" s="63">
        <v>45946</v>
      </c>
      <c r="N22" s="60" t="str">
        <f>IF(A22&lt;&gt;"",VLOOKUP(RIGHT(A22,3)*1,[1]SEGMENTAÇÃO!A:H,8,0),"")</f>
        <v>NORTE</v>
      </c>
      <c r="O22" s="59" t="str">
        <f>IF(A22&lt;&gt;"",VLOOKUP(RIGHT(A22,3)*1,[1]SEGMENTAÇÃO!A:I,9,0),"")</f>
        <v>PEQUIZEIRO</v>
      </c>
    </row>
    <row r="23" spans="1:15" x14ac:dyDescent="0.25">
      <c r="A23" s="60">
        <v>5863887001</v>
      </c>
      <c r="B23" s="83" t="str">
        <f t="shared" si="0"/>
        <v>5863887001.pdf</v>
      </c>
      <c r="C23" s="60" t="s">
        <v>1248</v>
      </c>
      <c r="D23" s="60" t="s">
        <v>1253</v>
      </c>
      <c r="E23" s="60">
        <v>250</v>
      </c>
      <c r="F23" s="60">
        <v>328</v>
      </c>
      <c r="G23" s="60">
        <v>124.5</v>
      </c>
      <c r="H23" s="60" t="s">
        <v>1193</v>
      </c>
      <c r="I23" s="60" t="str">
        <f t="shared" si="1"/>
        <v>13.800</v>
      </c>
      <c r="J23" s="60" t="s">
        <v>1011</v>
      </c>
      <c r="K23" s="60" t="s">
        <v>1279</v>
      </c>
      <c r="L23" s="81" t="s">
        <v>1255</v>
      </c>
      <c r="M23" s="63">
        <v>45922</v>
      </c>
      <c r="N23" s="60" t="str">
        <f>IF(A23&lt;&gt;"",VLOOKUP(RIGHT(A23,3)*1,[1]SEGMENTAÇÃO!A:H,8,0),"")</f>
        <v>CENTRO</v>
      </c>
      <c r="O23" s="59" t="str">
        <f>IF(A23&lt;&gt;"",VLOOKUP(RIGHT(A23,3)*1,[1]SEGMENTAÇÃO!A:I,9,0),"")</f>
        <v>PORTO NACIONAL</v>
      </c>
    </row>
    <row r="24" spans="1:15" x14ac:dyDescent="0.25">
      <c r="A24" s="84">
        <v>5835587001</v>
      </c>
      <c r="B24" s="83" t="str">
        <f t="shared" si="0"/>
        <v>5835587001.pdf</v>
      </c>
      <c r="C24" s="60" t="s">
        <v>1248</v>
      </c>
      <c r="D24" s="60" t="s">
        <v>1280</v>
      </c>
      <c r="E24" s="60">
        <v>167</v>
      </c>
      <c r="F24" s="60">
        <v>219</v>
      </c>
      <c r="G24" s="60">
        <v>124.5</v>
      </c>
      <c r="H24" s="60" t="s">
        <v>1190</v>
      </c>
      <c r="I24" s="60" t="str">
        <f t="shared" si="1"/>
        <v>13.800</v>
      </c>
      <c r="J24" s="60" t="s">
        <v>1011</v>
      </c>
      <c r="K24" s="60" t="s">
        <v>1281</v>
      </c>
      <c r="L24" s="81" t="s">
        <v>1272</v>
      </c>
      <c r="M24" s="63">
        <v>45917</v>
      </c>
      <c r="N24" s="60" t="str">
        <f>IF(A24&lt;&gt;"",VLOOKUP(RIGHT(A24,3)*1,[1]SEGMENTAÇÃO!A:H,8,0),"")</f>
        <v>CENTRO</v>
      </c>
      <c r="O24" s="59" t="str">
        <f>IF(A24&lt;&gt;"",VLOOKUP(RIGHT(A24,3)*1,[1]SEGMENTAÇÃO!A:I,9,0),"")</f>
        <v>PORTO NACIONAL</v>
      </c>
    </row>
    <row r="25" spans="1:15" x14ac:dyDescent="0.25">
      <c r="A25" s="84">
        <v>5862546023</v>
      </c>
      <c r="B25" s="83" t="str">
        <f t="shared" si="0"/>
        <v>5862546023.pdf</v>
      </c>
      <c r="C25" s="60" t="s">
        <v>1248</v>
      </c>
      <c r="D25" s="60" t="s">
        <v>1245</v>
      </c>
      <c r="E25" s="60">
        <v>239</v>
      </c>
      <c r="F25" s="60">
        <v>300</v>
      </c>
      <c r="G25" s="60">
        <v>124.5</v>
      </c>
      <c r="H25" s="60" t="s">
        <v>1132</v>
      </c>
      <c r="I25" s="60" t="str">
        <f t="shared" si="1"/>
        <v>13.800</v>
      </c>
      <c r="J25" s="60" t="s">
        <v>1011</v>
      </c>
      <c r="K25" s="60" t="s">
        <v>1282</v>
      </c>
      <c r="L25" s="81" t="s">
        <v>1272</v>
      </c>
      <c r="M25" s="63">
        <v>45917</v>
      </c>
      <c r="N25" s="60" t="str">
        <f>IF(A25&lt;&gt;"",VLOOKUP(RIGHT(A25,3)*1,[1]SEGMENTAÇÃO!A:H,8,0),"")</f>
        <v>NORTE</v>
      </c>
      <c r="O25" s="59" t="str">
        <f>IF(A25&lt;&gt;"",VLOOKUP(RIGHT(A25,3)*1,[1]SEGMENTAÇÃO!A:I,9,0),"")</f>
        <v>COLINAS DO TOCANTINS</v>
      </c>
    </row>
    <row r="26" spans="1:15" x14ac:dyDescent="0.25">
      <c r="A26" s="60">
        <v>5861324076</v>
      </c>
      <c r="B26" s="83" t="str">
        <f t="shared" si="0"/>
        <v>5861324076.pdf</v>
      </c>
      <c r="C26" s="60" t="s">
        <v>1248</v>
      </c>
      <c r="D26" s="60" t="s">
        <v>1245</v>
      </c>
      <c r="E26" s="60">
        <v>400</v>
      </c>
      <c r="F26" s="60">
        <v>201</v>
      </c>
      <c r="G26" s="60">
        <v>124.5</v>
      </c>
      <c r="H26" s="60" t="s">
        <v>1075</v>
      </c>
      <c r="I26" s="60" t="str">
        <f t="shared" si="1"/>
        <v>34.500</v>
      </c>
      <c r="J26" s="60" t="s">
        <v>1011</v>
      </c>
      <c r="K26" s="60" t="s">
        <v>1283</v>
      </c>
      <c r="L26" s="81" t="s">
        <v>1272</v>
      </c>
      <c r="M26" s="63">
        <v>45916</v>
      </c>
      <c r="N26" s="60" t="str">
        <f>IF(A26&lt;&gt;"",VLOOKUP(RIGHT(A26,3)*1,[1]SEGMENTAÇÃO!A:H,8,0),"")</f>
        <v>SUL</v>
      </c>
      <c r="O26" s="59" t="str">
        <f>IF(A26&lt;&gt;"",VLOOKUP(RIGHT(A26,3)*1,[1]SEGMENTAÇÃO!A:I,9,0),"")</f>
        <v>DUERE</v>
      </c>
    </row>
    <row r="27" spans="1:15" x14ac:dyDescent="0.25">
      <c r="A27" s="60">
        <v>5862236091</v>
      </c>
      <c r="B27" s="83" t="str">
        <f t="shared" si="0"/>
        <v>5862236091.pdf</v>
      </c>
      <c r="C27" s="60" t="s">
        <v>1248</v>
      </c>
      <c r="D27" s="60" t="s">
        <v>1245</v>
      </c>
      <c r="E27" s="60">
        <v>400</v>
      </c>
      <c r="F27" s="60">
        <v>210</v>
      </c>
      <c r="G27" s="60">
        <v>124.5</v>
      </c>
      <c r="H27" s="60" t="s">
        <v>464</v>
      </c>
      <c r="I27" s="60" t="str">
        <f t="shared" si="1"/>
        <v>34.500</v>
      </c>
      <c r="J27" s="60" t="s">
        <v>1011</v>
      </c>
      <c r="K27" s="60" t="s">
        <v>1271</v>
      </c>
      <c r="L27" s="81" t="s">
        <v>1272</v>
      </c>
      <c r="M27" s="63">
        <v>45916</v>
      </c>
      <c r="N27" s="60" t="str">
        <f>IF(A27&lt;&gt;"",VLOOKUP(RIGHT(A27,3)*1,[1]SEGMENTAÇÃO!A:H,8,0),"")</f>
        <v>SUL</v>
      </c>
      <c r="O27" s="59" t="str">
        <f>IF(A27&lt;&gt;"",VLOOKUP(RIGHT(A27,3)*1,[1]SEGMENTAÇÃO!A:I,9,0),"")</f>
        <v>ALMAS</v>
      </c>
    </row>
    <row r="28" spans="1:15" x14ac:dyDescent="0.25">
      <c r="A28" s="84">
        <v>5841308190</v>
      </c>
      <c r="B28" s="83" t="str">
        <f t="shared" si="0"/>
        <v>5841308190.pdf</v>
      </c>
      <c r="C28" s="60" t="s">
        <v>1248</v>
      </c>
      <c r="D28" s="60" t="s">
        <v>1245</v>
      </c>
      <c r="E28" s="60">
        <v>400</v>
      </c>
      <c r="F28" s="60">
        <v>201</v>
      </c>
      <c r="G28" s="60">
        <v>124.5</v>
      </c>
      <c r="H28" s="60" t="s">
        <v>1136</v>
      </c>
      <c r="I28" s="60" t="str">
        <f t="shared" si="1"/>
        <v>34.500</v>
      </c>
      <c r="J28" s="60" t="s">
        <v>1011</v>
      </c>
      <c r="K28" s="59" t="s">
        <v>1284</v>
      </c>
      <c r="L28" s="85" t="s">
        <v>1255</v>
      </c>
      <c r="M28" s="63">
        <v>45894</v>
      </c>
      <c r="N28" s="60" t="str">
        <f>IF(A28&lt;&gt;"",VLOOKUP(RIGHT(A28,3)*1,[1]SEGMENTAÇÃO!A:H,8,0),"")</f>
        <v>SUL</v>
      </c>
      <c r="O28" s="59" t="str">
        <f>IF(A28&lt;&gt;"",VLOOKUP(RIGHT(A28,3)*1,[1]SEGMENTAÇÃO!A:I,9,0),"")</f>
        <v>NOVO JARDIM</v>
      </c>
    </row>
    <row r="29" spans="1:15" x14ac:dyDescent="0.25">
      <c r="A29" s="60">
        <v>5861382036</v>
      </c>
      <c r="B29" s="83" t="str">
        <f t="shared" si="0"/>
        <v>5861382036.pdf</v>
      </c>
      <c r="C29" s="60" t="s">
        <v>1248</v>
      </c>
      <c r="D29" s="60" t="s">
        <v>1245</v>
      </c>
      <c r="E29" s="60">
        <v>239</v>
      </c>
      <c r="F29" s="60">
        <v>300</v>
      </c>
      <c r="G29" s="60">
        <v>124.5</v>
      </c>
      <c r="H29" s="60" t="s">
        <v>1039</v>
      </c>
      <c r="I29" s="60" t="str">
        <f t="shared" si="1"/>
        <v>13.800</v>
      </c>
      <c r="J29" s="60" t="s">
        <v>1011</v>
      </c>
      <c r="K29" s="60" t="s">
        <v>1285</v>
      </c>
      <c r="L29" s="81" t="s">
        <v>1272</v>
      </c>
      <c r="M29" s="63">
        <v>45870</v>
      </c>
      <c r="N29" s="60" t="str">
        <f>IF(A29&lt;&gt;"",VLOOKUP(RIGHT(A29,3)*1,[1]SEGMENTAÇÃO!A:H,8,0),"")</f>
        <v>SUL</v>
      </c>
      <c r="O29" s="59" t="str">
        <f>IF(A29&lt;&gt;"",VLOOKUP(RIGHT(A29,3)*1,[1]SEGMENTAÇÃO!A:I,9,0),"")</f>
        <v>ALVORADA</v>
      </c>
    </row>
    <row r="30" spans="1:15" ht="15.95" customHeight="1" x14ac:dyDescent="0.25">
      <c r="A30" s="60">
        <v>5860500009</v>
      </c>
      <c r="B30" s="83" t="str">
        <f t="shared" si="0"/>
        <v>5860500009.pdf</v>
      </c>
      <c r="C30" s="60" t="s">
        <v>1248</v>
      </c>
      <c r="D30" s="60" t="s">
        <v>1245</v>
      </c>
      <c r="E30" s="60">
        <v>400</v>
      </c>
      <c r="F30" s="60">
        <v>201</v>
      </c>
      <c r="G30" s="60">
        <v>124.5</v>
      </c>
      <c r="H30" s="60" t="s">
        <v>1126</v>
      </c>
      <c r="I30" s="60" t="str">
        <f t="shared" si="1"/>
        <v>34.500</v>
      </c>
      <c r="J30" s="60" t="s">
        <v>1011</v>
      </c>
      <c r="K30" s="20" t="s">
        <v>1286</v>
      </c>
      <c r="L30" s="81" t="s">
        <v>1272</v>
      </c>
      <c r="M30" s="63">
        <v>45869</v>
      </c>
      <c r="N30" s="60" t="str">
        <f>IF(A30&lt;&gt;"",VLOOKUP(RIGHT(A30,3)*1,[1]SEGMENTAÇÃO!A:H,8,0),"")</f>
        <v>NORTE</v>
      </c>
      <c r="O30" s="59" t="str">
        <f>IF(A30&lt;&gt;"",VLOOKUP(RIGHT(A30,3)*1,[1]SEGMENTAÇÃO!A:I,9,0),"")</f>
        <v>GUARAI</v>
      </c>
    </row>
    <row r="31" spans="1:15" x14ac:dyDescent="0.25">
      <c r="A31" s="60">
        <v>5861366005</v>
      </c>
      <c r="B31" s="83" t="str">
        <f t="shared" si="0"/>
        <v>5861366005.pdf</v>
      </c>
      <c r="C31" s="60" t="s">
        <v>1248</v>
      </c>
      <c r="D31" s="60" t="s">
        <v>1245</v>
      </c>
      <c r="E31" s="60">
        <v>400</v>
      </c>
      <c r="F31" s="60">
        <v>201</v>
      </c>
      <c r="G31" s="60">
        <v>124.5</v>
      </c>
      <c r="H31" s="60" t="s">
        <v>1078</v>
      </c>
      <c r="I31" s="60" t="str">
        <f t="shared" si="1"/>
        <v>34.500</v>
      </c>
      <c r="J31" s="60" t="s">
        <v>1011</v>
      </c>
      <c r="K31" s="60" t="s">
        <v>1287</v>
      </c>
      <c r="L31" s="81" t="s">
        <v>1272</v>
      </c>
      <c r="M31" s="63">
        <v>45869</v>
      </c>
      <c r="N31" s="60" t="str">
        <f>IF(A31&lt;&gt;"",VLOOKUP(RIGHT(A31,3)*1,[1]SEGMENTAÇÃO!A:H,8,0),"")</f>
        <v>SUL</v>
      </c>
      <c r="O31" s="59" t="str">
        <f>IF(A31&lt;&gt;"",VLOOKUP(RIGHT(A31,3)*1,[1]SEGMENTAÇÃO!A:I,9,0),"")</f>
        <v>ARRAIAS</v>
      </c>
    </row>
    <row r="32" spans="1:15" x14ac:dyDescent="0.25">
      <c r="A32" s="84">
        <v>5826303015</v>
      </c>
      <c r="B32" s="83" t="str">
        <f t="shared" si="0"/>
        <v>5826303015.pdf</v>
      </c>
      <c r="C32" s="60" t="s">
        <v>1248</v>
      </c>
      <c r="D32" s="60" t="s">
        <v>1245</v>
      </c>
      <c r="E32" s="60">
        <v>200</v>
      </c>
      <c r="F32" s="60">
        <v>100</v>
      </c>
      <c r="G32" s="60" t="s">
        <v>1288</v>
      </c>
      <c r="H32" s="60" t="s">
        <v>754</v>
      </c>
      <c r="I32" s="60" t="str">
        <f t="shared" si="1"/>
        <v>34.500</v>
      </c>
      <c r="J32" s="60" t="s">
        <v>1011</v>
      </c>
      <c r="K32" s="60" t="s">
        <v>1289</v>
      </c>
      <c r="L32" s="96" t="s">
        <v>1272</v>
      </c>
      <c r="M32" s="63">
        <v>45868</v>
      </c>
      <c r="N32" s="60" t="str">
        <f>IF(A32&lt;&gt;"",VLOOKUP(RIGHT(A32,3)*1,[1]SEGMENTAÇÃO!A:H,8,0),"")</f>
        <v>NORTE</v>
      </c>
      <c r="O32" s="59" t="str">
        <f>IF(A32&lt;&gt;"",VLOOKUP(RIGHT(A32,3)*1,[1]SEGMENTAÇÃO!A:I,9,0),"")</f>
        <v>PEDRO AFONSO</v>
      </c>
    </row>
    <row r="33" spans="1:107" x14ac:dyDescent="0.25">
      <c r="A33" s="60">
        <v>5860621001</v>
      </c>
      <c r="B33" s="83" t="str">
        <f t="shared" si="0"/>
        <v>5860621001.pdf</v>
      </c>
      <c r="C33" s="60" t="s">
        <v>1248</v>
      </c>
      <c r="D33" s="60" t="s">
        <v>1245</v>
      </c>
      <c r="E33" s="60">
        <v>239</v>
      </c>
      <c r="F33" s="60">
        <v>310</v>
      </c>
      <c r="G33" s="60">
        <v>124.5</v>
      </c>
      <c r="H33" s="60" t="s">
        <v>392</v>
      </c>
      <c r="I33" s="60" t="str">
        <f t="shared" si="1"/>
        <v>13.800</v>
      </c>
      <c r="J33" s="60" t="s">
        <v>1011</v>
      </c>
      <c r="K33" s="60" t="s">
        <v>1290</v>
      </c>
      <c r="L33" s="81" t="s">
        <v>1272</v>
      </c>
      <c r="M33" s="63">
        <v>45868</v>
      </c>
      <c r="N33" s="60" t="str">
        <f>IF(A33&lt;&gt;"",VLOOKUP(RIGHT(A33,3)*1,[1]SEGMENTAÇÃO!A:H,8,0),"")</f>
        <v>CENTRO</v>
      </c>
      <c r="O33" s="59" t="str">
        <f>IF(A33&lt;&gt;"",VLOOKUP(RIGHT(A33,3)*1,[1]SEGMENTAÇÃO!A:I,9,0),"")</f>
        <v>PORTO NACIONAL</v>
      </c>
    </row>
    <row r="34" spans="1:107" ht="15" customHeight="1" x14ac:dyDescent="0.25">
      <c r="A34" s="84">
        <v>5809431091</v>
      </c>
      <c r="B34" s="83" t="str">
        <f t="shared" ref="B34:B65" si="2">CONCATENATE(A34,".pdf")</f>
        <v>5809431091.pdf</v>
      </c>
      <c r="C34" s="60" t="s">
        <v>1248</v>
      </c>
      <c r="D34" s="60" t="s">
        <v>1245</v>
      </c>
      <c r="E34" s="60">
        <v>400</v>
      </c>
      <c r="F34" s="60">
        <v>201</v>
      </c>
      <c r="G34" s="60">
        <v>124.5</v>
      </c>
      <c r="H34" s="60" t="s">
        <v>1183</v>
      </c>
      <c r="I34" s="60" t="str">
        <f t="shared" si="1"/>
        <v>34.500</v>
      </c>
      <c r="J34" s="60" t="s">
        <v>1011</v>
      </c>
      <c r="K34" s="60" t="s">
        <v>1291</v>
      </c>
      <c r="L34" s="81" t="s">
        <v>1272</v>
      </c>
      <c r="M34" s="63">
        <v>45867</v>
      </c>
      <c r="N34" s="60" t="str">
        <f>IF(A34&lt;&gt;"",VLOOKUP(RIGHT(A34,3)*1,[1]SEGMENTAÇÃO!A:H,8,0),"")</f>
        <v>SUL</v>
      </c>
      <c r="O34" s="59" t="str">
        <f>IF(A34&lt;&gt;"",VLOOKUP(RIGHT(A34,3)*1,[1]SEGMENTAÇÃO!A:I,9,0),"")</f>
        <v>ALMAS</v>
      </c>
    </row>
    <row r="35" spans="1:107" x14ac:dyDescent="0.25">
      <c r="A35" s="60">
        <v>5863381155</v>
      </c>
      <c r="B35" s="83" t="str">
        <f t="shared" si="2"/>
        <v>5863381155.pdf</v>
      </c>
      <c r="C35" s="60" t="s">
        <v>1248</v>
      </c>
      <c r="D35" s="60" t="s">
        <v>1245</v>
      </c>
      <c r="E35" s="60">
        <v>400</v>
      </c>
      <c r="F35" s="60">
        <v>201</v>
      </c>
      <c r="G35" s="60">
        <v>124.5</v>
      </c>
      <c r="H35" s="60" t="s">
        <v>1150</v>
      </c>
      <c r="I35" s="60" t="str">
        <f t="shared" si="1"/>
        <v>34.500</v>
      </c>
      <c r="J35" s="60" t="s">
        <v>1011</v>
      </c>
      <c r="K35" s="60" t="s">
        <v>1292</v>
      </c>
      <c r="L35" s="81" t="s">
        <v>1272</v>
      </c>
      <c r="M35" s="63">
        <v>45867</v>
      </c>
      <c r="N35" s="60" t="str">
        <f>IF(A35&lt;&gt;"",VLOOKUP(RIGHT(A35,3)*1,[1]SEGMENTAÇÃO!A:H,8,0),"")</f>
        <v>NORTE</v>
      </c>
      <c r="O35" s="59" t="str">
        <f>IF(A35&lt;&gt;"",VLOOKUP(RIGHT(A35,3)*1,[1]SEGMENTAÇÃO!A:I,9,0),"")</f>
        <v>PALMEIRANTE</v>
      </c>
    </row>
    <row r="36" spans="1:107" x14ac:dyDescent="0.25">
      <c r="A36" s="60">
        <v>5863382155</v>
      </c>
      <c r="B36" s="83" t="str">
        <f t="shared" si="2"/>
        <v>5863382155.pdf</v>
      </c>
      <c r="C36" s="60" t="s">
        <v>1248</v>
      </c>
      <c r="D36" s="60" t="s">
        <v>1245</v>
      </c>
      <c r="E36" s="60">
        <v>400</v>
      </c>
      <c r="F36" s="60">
        <v>201</v>
      </c>
      <c r="G36" s="60">
        <v>124.5</v>
      </c>
      <c r="H36" s="60" t="s">
        <v>1150</v>
      </c>
      <c r="I36" s="60" t="str">
        <f t="shared" si="1"/>
        <v>34.500</v>
      </c>
      <c r="J36" s="60" t="s">
        <v>1011</v>
      </c>
      <c r="K36" s="60" t="s">
        <v>1292</v>
      </c>
      <c r="L36" s="81" t="s">
        <v>1272</v>
      </c>
      <c r="M36" s="63">
        <v>45866</v>
      </c>
      <c r="N36" s="60" t="s">
        <v>24</v>
      </c>
      <c r="O36" s="59" t="str">
        <f>IF(A36&lt;&gt;"",VLOOKUP(RIGHT(A36,3)*1,[1]SEGMENTAÇÃO!A:I,9,0),"")</f>
        <v>PALMEIRANTE</v>
      </c>
    </row>
    <row r="37" spans="1:107" ht="15.95" customHeight="1" x14ac:dyDescent="0.25">
      <c r="A37" s="84">
        <v>5856661005</v>
      </c>
      <c r="B37" s="83" t="str">
        <f t="shared" si="2"/>
        <v>5856661005.pdf</v>
      </c>
      <c r="C37" s="60" t="s">
        <v>1248</v>
      </c>
      <c r="D37" s="60" t="s">
        <v>1245</v>
      </c>
      <c r="E37" s="60">
        <v>400</v>
      </c>
      <c r="F37" s="60">
        <v>201</v>
      </c>
      <c r="G37" s="60">
        <v>124.5</v>
      </c>
      <c r="H37" s="60" t="s">
        <v>1038</v>
      </c>
      <c r="I37" s="60" t="str">
        <f t="shared" si="1"/>
        <v>34.500</v>
      </c>
      <c r="J37" s="60" t="s">
        <v>1011</v>
      </c>
      <c r="K37" s="59" t="s">
        <v>1293</v>
      </c>
      <c r="L37" s="85" t="s">
        <v>1272</v>
      </c>
      <c r="M37" s="63">
        <v>45845</v>
      </c>
      <c r="N37" s="60" t="str">
        <f>IF(A37&lt;&gt;"",VLOOKUP(RIGHT(A37,3)*1,[1]SEGMENTAÇÃO!A:H,8,0),"")</f>
        <v>SUL</v>
      </c>
      <c r="O37" s="59" t="str">
        <f>IF(A37&lt;&gt;"",VLOOKUP(RIGHT(A37,3)*1,[1]SEGMENTAÇÃO!A:I,9,0),"")</f>
        <v>ARRAIAS</v>
      </c>
    </row>
    <row r="38" spans="1:107" x14ac:dyDescent="0.25">
      <c r="A38" s="60">
        <v>5856156091</v>
      </c>
      <c r="B38" s="83" t="str">
        <f t="shared" si="2"/>
        <v>5856156091.pdf</v>
      </c>
      <c r="C38" s="60" t="s">
        <v>1248</v>
      </c>
      <c r="D38" s="60" t="s">
        <v>1245</v>
      </c>
      <c r="E38" s="60">
        <v>400</v>
      </c>
      <c r="F38" s="60">
        <v>201</v>
      </c>
      <c r="G38" s="60">
        <v>124.5</v>
      </c>
      <c r="H38" s="60" t="s">
        <v>361</v>
      </c>
      <c r="I38" s="60" t="str">
        <f t="shared" si="1"/>
        <v>34.500</v>
      </c>
      <c r="J38" s="60" t="s">
        <v>1011</v>
      </c>
      <c r="K38" s="60" t="s">
        <v>1294</v>
      </c>
      <c r="L38" s="81" t="s">
        <v>1272</v>
      </c>
      <c r="M38" s="63">
        <v>45845</v>
      </c>
      <c r="N38" s="60" t="str">
        <f>IF(A38&lt;&gt;"",VLOOKUP(RIGHT(A38,3)*1,[1]SEGMENTAÇÃO!A:H,8,0),"")</f>
        <v>SUL</v>
      </c>
      <c r="O38" s="59" t="str">
        <f>IF(A38&lt;&gt;"",VLOOKUP(RIGHT(A38,3)*1,[1]SEGMENTAÇÃO!A:I,9,0),"")</f>
        <v>ALMAS</v>
      </c>
    </row>
    <row r="39" spans="1:107" x14ac:dyDescent="0.25">
      <c r="A39" s="84">
        <v>5800880014</v>
      </c>
      <c r="B39" s="83" t="str">
        <f t="shared" si="2"/>
        <v>5800880014.pdf</v>
      </c>
      <c r="C39" s="76" t="s">
        <v>1248</v>
      </c>
      <c r="D39" s="76" t="s">
        <v>1245</v>
      </c>
      <c r="E39" s="76">
        <v>200</v>
      </c>
      <c r="F39" s="76">
        <v>100</v>
      </c>
      <c r="G39" s="76">
        <v>124</v>
      </c>
      <c r="H39" s="60" t="s">
        <v>639</v>
      </c>
      <c r="I39" s="60" t="str">
        <f t="shared" si="1"/>
        <v>34.500</v>
      </c>
      <c r="J39" s="60" t="s">
        <v>1011</v>
      </c>
      <c r="K39" s="60" t="s">
        <v>1295</v>
      </c>
      <c r="L39" s="81" t="s">
        <v>1272</v>
      </c>
      <c r="M39" s="77">
        <v>45800</v>
      </c>
      <c r="N39" s="60" t="str">
        <f>IF(A39&lt;&gt;"",VLOOKUP(RIGHT(A39,3)*1,[1]SEGMENTAÇÃO!A:H,8,0),"")</f>
        <v>CENTRO</v>
      </c>
      <c r="O39" s="59" t="str">
        <f>IF(A39&lt;&gt;"",VLOOKUP(RIGHT(A39,3)*1,[1]SEGMENTAÇÃO!A:I,9,0),"")</f>
        <v>PIUM</v>
      </c>
    </row>
    <row r="40" spans="1:107" x14ac:dyDescent="0.25">
      <c r="A40" s="84">
        <v>5861441026</v>
      </c>
      <c r="B40" s="83" t="str">
        <f t="shared" si="2"/>
        <v>5861441026.pdf</v>
      </c>
      <c r="C40" s="60" t="s">
        <v>1248</v>
      </c>
      <c r="D40" s="60" t="s">
        <v>1245</v>
      </c>
      <c r="E40" s="76">
        <v>400</v>
      </c>
      <c r="F40" s="76">
        <v>201</v>
      </c>
      <c r="G40" s="76">
        <v>124.5</v>
      </c>
      <c r="H40" s="60" t="s">
        <v>518</v>
      </c>
      <c r="I40" s="60" t="str">
        <f>IF(L2&lt;&gt;"",IF(LEFT(L2,2)="AL","13.800","34.500"),"")</f>
        <v>34.500</v>
      </c>
      <c r="J40" s="60" t="s">
        <v>1011</v>
      </c>
      <c r="K40" s="60" t="s">
        <v>1296</v>
      </c>
      <c r="L40" s="81" t="s">
        <v>1272</v>
      </c>
      <c r="M40" s="63">
        <v>45796</v>
      </c>
      <c r="N40" s="60" t="str">
        <f>IF(A40&lt;&gt;"",VLOOKUP(RIGHT(A40,3)*1,[1]SEGMENTAÇÃO!A:H,8,0),"")</f>
        <v>CENTRO</v>
      </c>
      <c r="O40" s="59" t="str">
        <f>IF(A40&lt;&gt;"",VLOOKUP(RIGHT(A40,3)*1,[1]SEGMENTAÇÃO!A:I,9,0),"")</f>
        <v>PONTE ALTA TOCANTINS</v>
      </c>
    </row>
    <row r="41" spans="1:107" x14ac:dyDescent="0.25">
      <c r="A41" s="84">
        <v>5841467200</v>
      </c>
      <c r="B41" s="83" t="str">
        <f t="shared" si="2"/>
        <v>5841467200.pdf</v>
      </c>
      <c r="C41" s="76" t="s">
        <v>1248</v>
      </c>
      <c r="D41" s="76" t="s">
        <v>1297</v>
      </c>
      <c r="E41" s="76">
        <v>200</v>
      </c>
      <c r="F41" s="76">
        <v>100</v>
      </c>
      <c r="G41" s="76">
        <v>124.5</v>
      </c>
      <c r="H41" s="60" t="s">
        <v>1032</v>
      </c>
      <c r="I41" s="60" t="str">
        <f t="shared" ref="I41:I104" si="3">IF(H41&lt;&gt;"",IF(LEFT(H41,2)="AL","13.800","34.500"),"")</f>
        <v>34.500</v>
      </c>
      <c r="J41" s="60" t="s">
        <v>1005</v>
      </c>
      <c r="K41" s="60" t="s">
        <v>1298</v>
      </c>
      <c r="L41" s="81" t="s">
        <v>1270</v>
      </c>
      <c r="M41" s="77">
        <v>45769</v>
      </c>
      <c r="N41" s="60" t="str">
        <f>IF(A41&lt;&gt;"",VLOOKUP(RIGHT(A41,3)*1,[1]SEGMENTAÇÃO!A:H,8,0),"")</f>
        <v>SUL</v>
      </c>
      <c r="O41" s="59" t="str">
        <f>IF(A41&lt;&gt;"",VLOOKUP(RIGHT(A41,3)*1,[1]SEGMENTAÇÃO!A:I,9,0),"")</f>
        <v>SAO SALVADOR DO TOCANTINS</v>
      </c>
    </row>
    <row r="42" spans="1:107" x14ac:dyDescent="0.25">
      <c r="A42" s="60">
        <v>5853769152</v>
      </c>
      <c r="B42" s="83" t="str">
        <f t="shared" si="2"/>
        <v>5853769152.pdf</v>
      </c>
      <c r="C42" s="60" t="s">
        <v>1248</v>
      </c>
      <c r="D42" s="60" t="s">
        <v>1245</v>
      </c>
      <c r="E42" s="60">
        <v>400</v>
      </c>
      <c r="F42" s="60">
        <v>201</v>
      </c>
      <c r="G42" s="60">
        <v>124.5</v>
      </c>
      <c r="H42" s="60" t="s">
        <v>430</v>
      </c>
      <c r="I42" s="60" t="str">
        <f t="shared" si="3"/>
        <v>34.500</v>
      </c>
      <c r="J42" s="60" t="s">
        <v>1011</v>
      </c>
      <c r="K42" s="60" t="s">
        <v>1299</v>
      </c>
      <c r="L42" s="81" t="s">
        <v>1270</v>
      </c>
      <c r="M42" s="63">
        <v>45763</v>
      </c>
      <c r="N42" s="60" t="str">
        <f>IF(A42&lt;&gt;"",VLOOKUP(RIGHT(A42,3)*1,[1]SEGMENTAÇÃO!A:H,8,0),"")</f>
        <v>CENTRO</v>
      </c>
      <c r="O42" s="59" t="str">
        <f>IF(A42&lt;&gt;"",VLOOKUP(RIGHT(A42,3)*1,[1]SEGMENTAÇÃO!A:I,9,0),"")</f>
        <v>SANTA ROSA DO TOCANTINS</v>
      </c>
    </row>
    <row r="43" spans="1:107" x14ac:dyDescent="0.25">
      <c r="A43" s="60">
        <v>5854771001</v>
      </c>
      <c r="B43" s="83" t="str">
        <f t="shared" si="2"/>
        <v>5854771001.pdf</v>
      </c>
      <c r="C43" s="60" t="s">
        <v>1248</v>
      </c>
      <c r="D43" s="60" t="s">
        <v>1245</v>
      </c>
      <c r="E43" s="60">
        <v>400</v>
      </c>
      <c r="F43" s="60">
        <v>201</v>
      </c>
      <c r="G43" s="60">
        <v>124.5</v>
      </c>
      <c r="H43" s="60" t="s">
        <v>430</v>
      </c>
      <c r="I43" s="60" t="str">
        <f t="shared" si="3"/>
        <v>34.500</v>
      </c>
      <c r="J43" s="60" t="s">
        <v>1011</v>
      </c>
      <c r="K43" s="60" t="s">
        <v>1300</v>
      </c>
      <c r="L43" s="81" t="s">
        <v>1270</v>
      </c>
      <c r="M43" s="63">
        <v>45763</v>
      </c>
      <c r="N43" s="60" t="str">
        <f>IF(A43&lt;&gt;"",VLOOKUP(RIGHT(A43,3)*1,[1]SEGMENTAÇÃO!A:H,8,0),"")</f>
        <v>CENTRO</v>
      </c>
      <c r="O43" s="59" t="str">
        <f>IF(A43&lt;&gt;"",VLOOKUP(RIGHT(A43,3)*1,[1]SEGMENTAÇÃO!A:I,9,0),"")</f>
        <v>PORTO NACIONAL</v>
      </c>
    </row>
    <row r="44" spans="1:107" x14ac:dyDescent="0.25">
      <c r="A44" s="60">
        <v>5856825025</v>
      </c>
      <c r="B44" s="83" t="str">
        <f t="shared" si="2"/>
        <v>5856825025.pdf</v>
      </c>
      <c r="C44" s="60" t="s">
        <v>1248</v>
      </c>
      <c r="D44" s="60" t="s">
        <v>1245</v>
      </c>
      <c r="E44" s="60">
        <v>400</v>
      </c>
      <c r="F44" s="60">
        <v>201</v>
      </c>
      <c r="G44" s="60">
        <v>124.5</v>
      </c>
      <c r="H44" s="60" t="s">
        <v>353</v>
      </c>
      <c r="I44" s="60" t="str">
        <f t="shared" si="3"/>
        <v>34.500</v>
      </c>
      <c r="J44" s="60" t="s">
        <v>1011</v>
      </c>
      <c r="K44" s="60" t="s">
        <v>1301</v>
      </c>
      <c r="L44" s="81" t="s">
        <v>1272</v>
      </c>
      <c r="M44" s="63">
        <v>45756</v>
      </c>
      <c r="N44" s="60" t="str">
        <f>IF(A44&lt;&gt;"",VLOOKUP(RIGHT(A44,3)*1,[1]SEGMENTAÇÃO!A:H,8,0),"")</f>
        <v>NORTE</v>
      </c>
      <c r="O44" s="59" t="str">
        <f>IF(A44&lt;&gt;"",VLOOKUP(RIGHT(A44,3)*1,[1]SEGMENTAÇÃO!A:I,9,0),"")</f>
        <v>ARAPOEMA</v>
      </c>
    </row>
    <row r="45" spans="1:107" x14ac:dyDescent="0.25">
      <c r="A45" s="60">
        <v>5857855025</v>
      </c>
      <c r="B45" s="83" t="str">
        <f t="shared" si="2"/>
        <v>5857855025.pdf</v>
      </c>
      <c r="C45" s="60" t="s">
        <v>1248</v>
      </c>
      <c r="D45" s="60" t="s">
        <v>1245</v>
      </c>
      <c r="E45" s="60">
        <v>400</v>
      </c>
      <c r="F45" s="60">
        <v>201</v>
      </c>
      <c r="G45" s="60">
        <v>124.5</v>
      </c>
      <c r="H45" s="60" t="s">
        <v>353</v>
      </c>
      <c r="I45" s="60" t="str">
        <f t="shared" si="3"/>
        <v>34.500</v>
      </c>
      <c r="J45" s="60" t="s">
        <v>1011</v>
      </c>
      <c r="K45" s="60" t="s">
        <v>1301</v>
      </c>
      <c r="L45" s="81" t="s">
        <v>1272</v>
      </c>
      <c r="M45" s="63">
        <v>45756</v>
      </c>
      <c r="N45" s="60" t="str">
        <f>IF(A45&lt;&gt;"",VLOOKUP(RIGHT(A45,3)*1,[1]SEGMENTAÇÃO!A:H,8,0),"")</f>
        <v>NORTE</v>
      </c>
      <c r="O45" s="59" t="str">
        <f>IF(A45&lt;&gt;"",VLOOKUP(RIGHT(A45,3)*1,[1]SEGMENTAÇÃO!A:I,9,0),"")</f>
        <v>ARAPOEMA</v>
      </c>
    </row>
    <row r="46" spans="1:107" s="95" customFormat="1" x14ac:dyDescent="0.25">
      <c r="A46" s="60">
        <v>5855606027</v>
      </c>
      <c r="B46" s="83" t="str">
        <f t="shared" si="2"/>
        <v>5855606027.pdf</v>
      </c>
      <c r="C46" s="60" t="s">
        <v>1248</v>
      </c>
      <c r="D46" s="60" t="s">
        <v>1245</v>
      </c>
      <c r="E46" s="60">
        <v>400</v>
      </c>
      <c r="F46" s="60">
        <v>201</v>
      </c>
      <c r="G46" s="60">
        <v>124.5</v>
      </c>
      <c r="H46" s="60" t="s">
        <v>1094</v>
      </c>
      <c r="I46" s="60" t="str">
        <f t="shared" si="3"/>
        <v>34.500</v>
      </c>
      <c r="J46" s="60" t="s">
        <v>1011</v>
      </c>
      <c r="K46" s="60" t="s">
        <v>1302</v>
      </c>
      <c r="L46" s="81" t="s">
        <v>1272</v>
      </c>
      <c r="M46" s="63">
        <v>45756</v>
      </c>
      <c r="N46" s="60" t="str">
        <f>IF(A46&lt;&gt;"",VLOOKUP(RIGHT(A46,3)*1,[1]SEGMENTAÇÃO!A:H,8,0),"")</f>
        <v>SUL</v>
      </c>
      <c r="O46" s="59" t="str">
        <f>IF(A46&lt;&gt;"",VLOOKUP(RIGHT(A46,3)*1,[1]SEGMENTAÇÃO!A:I,9,0),"")</f>
        <v>PONTE ALTA BOM JESUS</v>
      </c>
      <c r="P46" s="57"/>
      <c r="Q46" s="57"/>
      <c r="R46" s="57"/>
      <c r="S46" s="57"/>
      <c r="T46" s="57"/>
      <c r="U46" s="57"/>
      <c r="V46" s="57"/>
      <c r="W46" s="57"/>
      <c r="X46" s="57"/>
      <c r="Y46" s="57"/>
      <c r="Z46" s="57"/>
      <c r="AA46" s="57"/>
      <c r="AB46" s="57"/>
      <c r="AC46" s="57"/>
      <c r="AD46" s="57"/>
      <c r="AE46" s="57"/>
      <c r="AF46" s="57"/>
      <c r="AG46" s="57"/>
      <c r="AH46" s="57"/>
      <c r="AI46" s="57"/>
      <c r="AJ46" s="57"/>
      <c r="AK46" s="57"/>
      <c r="AL46" s="57"/>
      <c r="AM46" s="57"/>
      <c r="AN46" s="57"/>
      <c r="AO46" s="57"/>
      <c r="AP46" s="57"/>
      <c r="AQ46" s="57"/>
      <c r="AR46" s="57"/>
      <c r="AS46" s="57"/>
      <c r="AT46" s="57"/>
      <c r="AU46" s="57"/>
      <c r="AV46" s="57"/>
      <c r="AW46" s="57"/>
      <c r="AX46" s="57"/>
      <c r="AY46" s="57"/>
      <c r="AZ46" s="57"/>
      <c r="BA46" s="57"/>
      <c r="BB46" s="57"/>
      <c r="BC46" s="57"/>
      <c r="BD46" s="57"/>
      <c r="BE46" s="57"/>
      <c r="BF46" s="57"/>
      <c r="BG46" s="57"/>
      <c r="BH46" s="57"/>
      <c r="BI46" s="57"/>
      <c r="BJ46" s="57"/>
      <c r="BK46" s="57"/>
      <c r="BL46" s="57"/>
      <c r="BM46" s="57"/>
      <c r="BN46" s="57"/>
      <c r="BO46" s="57"/>
      <c r="BP46" s="57"/>
      <c r="BQ46" s="57"/>
      <c r="BR46" s="57"/>
      <c r="BS46" s="57"/>
      <c r="BT46" s="57"/>
      <c r="BU46" s="57"/>
      <c r="BV46" s="57"/>
      <c r="BW46" s="57"/>
      <c r="BX46" s="57"/>
      <c r="BY46" s="57"/>
      <c r="BZ46" s="57"/>
      <c r="CA46" s="57"/>
      <c r="CB46" s="57"/>
      <c r="CC46" s="57"/>
      <c r="CD46" s="57"/>
      <c r="CE46" s="57"/>
      <c r="CF46" s="57"/>
      <c r="CG46" s="57"/>
      <c r="CH46" s="57"/>
      <c r="CI46" s="57"/>
      <c r="CJ46" s="57"/>
      <c r="CK46" s="57"/>
      <c r="CL46" s="57"/>
      <c r="CM46" s="57"/>
      <c r="CN46" s="57"/>
      <c r="CO46" s="57"/>
      <c r="CP46" s="57"/>
      <c r="CQ46" s="57"/>
      <c r="CR46" s="57"/>
      <c r="CS46" s="57"/>
      <c r="CT46" s="57"/>
      <c r="CU46" s="57"/>
      <c r="CV46" s="57"/>
      <c r="CW46" s="57"/>
      <c r="CX46" s="57"/>
      <c r="CY46" s="57"/>
      <c r="CZ46" s="57"/>
      <c r="DA46" s="57"/>
      <c r="DB46" s="57"/>
      <c r="DC46" s="57"/>
    </row>
    <row r="47" spans="1:107" x14ac:dyDescent="0.25">
      <c r="A47" s="60">
        <v>5858783119</v>
      </c>
      <c r="B47" s="83" t="str">
        <f t="shared" si="2"/>
        <v>5858783119.pdf</v>
      </c>
      <c r="C47" s="60" t="s">
        <v>1248</v>
      </c>
      <c r="D47" s="60" t="s">
        <v>1245</v>
      </c>
      <c r="E47" s="60">
        <v>400</v>
      </c>
      <c r="F47" s="60">
        <v>201</v>
      </c>
      <c r="G47" s="60">
        <v>124.5</v>
      </c>
      <c r="H47" s="60" t="s">
        <v>453</v>
      </c>
      <c r="I47" s="60" t="str">
        <f t="shared" si="3"/>
        <v>34.500</v>
      </c>
      <c r="J47" s="60" t="s">
        <v>1011</v>
      </c>
      <c r="K47" s="60" t="s">
        <v>1303</v>
      </c>
      <c r="L47" s="81" t="s">
        <v>1272</v>
      </c>
      <c r="M47" s="63">
        <v>45755</v>
      </c>
      <c r="N47" s="60" t="str">
        <f>IF(A47&lt;&gt;"",VLOOKUP(RIGHT(A47,3)*1,[1]SEGMENTAÇÃO!A:H,8,0),"")</f>
        <v>NORTE</v>
      </c>
      <c r="O47" s="59" t="str">
        <f>IF(A47&lt;&gt;"",VLOOKUP(RIGHT(A47,3)*1,[1]SEGMENTAÇÃO!A:I,9,0),"")</f>
        <v>SAO BENTO DO TOCANTINS</v>
      </c>
    </row>
    <row r="48" spans="1:107" x14ac:dyDescent="0.25">
      <c r="A48" s="60">
        <v>5857409073</v>
      </c>
      <c r="B48" s="83" t="str">
        <f t="shared" si="2"/>
        <v>5857409073.pdf</v>
      </c>
      <c r="C48" s="60" t="s">
        <v>1248</v>
      </c>
      <c r="D48" s="60" t="s">
        <v>1245</v>
      </c>
      <c r="E48" s="60">
        <v>400</v>
      </c>
      <c r="F48" s="60">
        <v>201</v>
      </c>
      <c r="G48" s="60">
        <v>124.5</v>
      </c>
      <c r="H48" s="60" t="s">
        <v>588</v>
      </c>
      <c r="I48" s="60" t="str">
        <f t="shared" si="3"/>
        <v>34.500</v>
      </c>
      <c r="J48" s="60" t="s">
        <v>1011</v>
      </c>
      <c r="K48" s="60" t="s">
        <v>1304</v>
      </c>
      <c r="L48" s="81" t="s">
        <v>1272</v>
      </c>
      <c r="M48" s="63">
        <v>45755</v>
      </c>
      <c r="N48" s="60" t="str">
        <f>IF(A48&lt;&gt;"",VLOOKUP(RIGHT(A48,3)*1,[1]SEGMENTAÇÃO!A:H,8,0),"")</f>
        <v>CENTRO</v>
      </c>
      <c r="O48" s="59" t="str">
        <f>IF(A48&lt;&gt;"",VLOOKUP(RIGHT(A48,3)*1,[1]SEGMENTAÇÃO!A:I,9,0),"")</f>
        <v>LAGOA DA CONFUSAO</v>
      </c>
    </row>
    <row r="49" spans="1:15" x14ac:dyDescent="0.25">
      <c r="A49" s="84">
        <v>5836786094</v>
      </c>
      <c r="B49" s="83" t="str">
        <f t="shared" si="2"/>
        <v>5836786094.pdf</v>
      </c>
      <c r="C49" s="60" t="s">
        <v>1248</v>
      </c>
      <c r="D49" s="60" t="s">
        <v>1245</v>
      </c>
      <c r="E49" s="60">
        <v>398</v>
      </c>
      <c r="F49" s="60">
        <v>200</v>
      </c>
      <c r="G49" s="60">
        <v>124</v>
      </c>
      <c r="H49" s="60" t="s">
        <v>406</v>
      </c>
      <c r="I49" s="60" t="str">
        <f t="shared" si="3"/>
        <v>34.500</v>
      </c>
      <c r="J49" s="60" t="s">
        <v>1005</v>
      </c>
      <c r="K49" s="60" t="s">
        <v>1305</v>
      </c>
      <c r="L49" s="81" t="s">
        <v>1272</v>
      </c>
      <c r="M49" s="63">
        <v>45754</v>
      </c>
      <c r="N49" s="60" t="str">
        <f>IF(A49&lt;&gt;"",VLOOKUP(RIGHT(A49,3)*1,[1]SEGMENTAÇÃO!A:H,8,0),"")</f>
        <v>SUL</v>
      </c>
      <c r="O49" s="59" t="str">
        <f>IF(A49&lt;&gt;"",VLOOKUP(RIGHT(A49,3)*1,[1]SEGMENTAÇÃO!A:I,9,0),"")</f>
        <v>PEIXE</v>
      </c>
    </row>
    <row r="50" spans="1:15" x14ac:dyDescent="0.25">
      <c r="A50" s="60">
        <v>5851801003</v>
      </c>
      <c r="B50" s="83" t="str">
        <f t="shared" si="2"/>
        <v>5851801003.pdf</v>
      </c>
      <c r="C50" s="60" t="s">
        <v>1248</v>
      </c>
      <c r="D50" s="60" t="s">
        <v>1245</v>
      </c>
      <c r="E50" s="60">
        <v>400</v>
      </c>
      <c r="F50" s="60">
        <v>201</v>
      </c>
      <c r="G50" s="60">
        <v>124.5</v>
      </c>
      <c r="H50" s="60" t="s">
        <v>1080</v>
      </c>
      <c r="I50" s="60" t="str">
        <f t="shared" si="3"/>
        <v>34.500</v>
      </c>
      <c r="J50" s="60" t="s">
        <v>1011</v>
      </c>
      <c r="K50" s="60" t="s">
        <v>1306</v>
      </c>
      <c r="L50" s="81" t="s">
        <v>1272</v>
      </c>
      <c r="M50" s="63">
        <v>45754</v>
      </c>
      <c r="N50" s="60" t="str">
        <f>IF(A50&lt;&gt;"",VLOOKUP(RIGHT(A50,3)*1,[1]SEGMENTAÇÃO!A:H,8,0),"")</f>
        <v>SUL</v>
      </c>
      <c r="O50" s="59" t="str">
        <f>IF(A50&lt;&gt;"",VLOOKUP(RIGHT(A50,3)*1,[1]SEGMENTAÇÃO!A:I,9,0),"")</f>
        <v>GURUPI</v>
      </c>
    </row>
    <row r="51" spans="1:15" x14ac:dyDescent="0.25">
      <c r="A51" s="60">
        <v>5846328094</v>
      </c>
      <c r="B51" s="83" t="str">
        <f t="shared" si="2"/>
        <v>5846328094.pdf</v>
      </c>
      <c r="C51" s="60" t="s">
        <v>1248</v>
      </c>
      <c r="D51" s="60" t="s">
        <v>1245</v>
      </c>
      <c r="E51" s="60">
        <v>400</v>
      </c>
      <c r="F51" s="60">
        <v>201</v>
      </c>
      <c r="G51" s="60">
        <v>124.5</v>
      </c>
      <c r="H51" s="60" t="s">
        <v>1080</v>
      </c>
      <c r="I51" s="60" t="str">
        <f t="shared" si="3"/>
        <v>34.500</v>
      </c>
      <c r="J51" s="60" t="s">
        <v>1011</v>
      </c>
      <c r="K51" s="60" t="s">
        <v>1306</v>
      </c>
      <c r="L51" s="81" t="s">
        <v>1272</v>
      </c>
      <c r="M51" s="63">
        <v>45754</v>
      </c>
      <c r="N51" s="60" t="str">
        <f>IF(A51&lt;&gt;"",VLOOKUP(RIGHT(A51,3)*1,[1]SEGMENTAÇÃO!A:H,8,0),"")</f>
        <v>SUL</v>
      </c>
      <c r="O51" s="59" t="str">
        <f>IF(A51&lt;&gt;"",VLOOKUP(RIGHT(A51,3)*1,[1]SEGMENTAÇÃO!A:I,9,0),"")</f>
        <v>PEIXE</v>
      </c>
    </row>
    <row r="52" spans="1:15" x14ac:dyDescent="0.25">
      <c r="A52" s="84">
        <v>5804170122</v>
      </c>
      <c r="B52" s="83" t="str">
        <f t="shared" si="2"/>
        <v>5804170122.pdf</v>
      </c>
      <c r="C52" s="60" t="s">
        <v>1248</v>
      </c>
      <c r="D52" s="60" t="s">
        <v>1307</v>
      </c>
      <c r="E52" s="60">
        <v>200</v>
      </c>
      <c r="F52" s="60">
        <v>100</v>
      </c>
      <c r="G52" s="60">
        <v>124.5</v>
      </c>
      <c r="H52" s="60" t="s">
        <v>571</v>
      </c>
      <c r="I52" s="60" t="str">
        <f t="shared" si="3"/>
        <v>34.500</v>
      </c>
      <c r="J52" s="60" t="s">
        <v>1011</v>
      </c>
      <c r="K52" s="60" t="s">
        <v>1308</v>
      </c>
      <c r="L52" s="81" t="s">
        <v>1272</v>
      </c>
      <c r="M52" s="63">
        <v>45729</v>
      </c>
      <c r="N52" s="60" t="str">
        <f>IF(A52&lt;&gt;"",VLOOKUP(RIGHT(A52,3)*1,[1]SEGMENTAÇÃO!A:H,8,0),"")</f>
        <v>CENTRO</v>
      </c>
      <c r="O52" s="59" t="str">
        <f>IF(A52&lt;&gt;"",VLOOKUP(RIGHT(A52,3)*1,[1]SEGMENTAÇÃO!A:I,9,0),"")</f>
        <v>PALMAS</v>
      </c>
    </row>
    <row r="53" spans="1:15" x14ac:dyDescent="0.25">
      <c r="A53" s="84">
        <v>5856529073</v>
      </c>
      <c r="B53" s="83" t="str">
        <f t="shared" si="2"/>
        <v>5856529073.pdf</v>
      </c>
      <c r="C53" s="60" t="s">
        <v>1248</v>
      </c>
      <c r="D53" s="60" t="s">
        <v>1245</v>
      </c>
      <c r="E53" s="60">
        <v>200</v>
      </c>
      <c r="F53" s="60">
        <v>100</v>
      </c>
      <c r="G53" s="60">
        <v>120</v>
      </c>
      <c r="H53" s="60" t="s">
        <v>1030</v>
      </c>
      <c r="I53" s="60" t="str">
        <f t="shared" si="3"/>
        <v>34.500</v>
      </c>
      <c r="J53" s="60" t="s">
        <v>1005</v>
      </c>
      <c r="K53" s="82" t="s">
        <v>1309</v>
      </c>
      <c r="L53" s="81" t="s">
        <v>1272</v>
      </c>
      <c r="M53" s="63">
        <v>45728</v>
      </c>
      <c r="N53" s="60" t="str">
        <f>IF(A53&lt;&gt;"",VLOOKUP(RIGHT(A53,3)*1,[1]SEGMENTAÇÃO!A:H,8,0),"")</f>
        <v>CENTRO</v>
      </c>
      <c r="O53" s="59" t="str">
        <f>IF(A53&lt;&gt;"",VLOOKUP(RIGHT(A53,3)*1,[1]SEGMENTAÇÃO!A:I,9,0),"")</f>
        <v>LAGOA DA CONFUSAO</v>
      </c>
    </row>
    <row r="54" spans="1:15" x14ac:dyDescent="0.25">
      <c r="A54" s="84">
        <v>5800299073</v>
      </c>
      <c r="B54" s="83" t="str">
        <f t="shared" si="2"/>
        <v>5800299073.pdf</v>
      </c>
      <c r="C54" s="60" t="s">
        <v>1248</v>
      </c>
      <c r="D54" s="60" t="s">
        <v>1245</v>
      </c>
      <c r="E54" s="60">
        <v>400</v>
      </c>
      <c r="F54" s="60">
        <v>201</v>
      </c>
      <c r="G54" s="60">
        <v>124.5</v>
      </c>
      <c r="H54" s="60" t="s">
        <v>588</v>
      </c>
      <c r="I54" s="60" t="str">
        <f t="shared" si="3"/>
        <v>34.500</v>
      </c>
      <c r="J54" s="60" t="s">
        <v>1011</v>
      </c>
      <c r="K54" s="59" t="s">
        <v>1310</v>
      </c>
      <c r="L54" s="85" t="s">
        <v>1272</v>
      </c>
      <c r="M54" s="63">
        <v>45700</v>
      </c>
      <c r="N54" s="60" t="str">
        <f>IF(A54&lt;&gt;"",VLOOKUP(RIGHT(A54,3)*1,[1]SEGMENTAÇÃO!A:H,8,0),"")</f>
        <v>CENTRO</v>
      </c>
      <c r="O54" s="59" t="str">
        <f>IF(A54&lt;&gt;"",VLOOKUP(RIGHT(A54,3)*1,[1]SEGMENTAÇÃO!A:I,9,0),"")</f>
        <v>LAGOA DA CONFUSAO</v>
      </c>
    </row>
    <row r="55" spans="1:15" x14ac:dyDescent="0.25">
      <c r="A55" s="60">
        <v>5857855056</v>
      </c>
      <c r="B55" s="83" t="str">
        <f t="shared" si="2"/>
        <v>5857855056.pdf</v>
      </c>
      <c r="C55" s="60" t="s">
        <v>1244</v>
      </c>
      <c r="D55" s="60" t="s">
        <v>1245</v>
      </c>
      <c r="E55" s="60">
        <v>400</v>
      </c>
      <c r="F55" s="60">
        <v>201</v>
      </c>
      <c r="G55" s="60">
        <v>124.5</v>
      </c>
      <c r="H55" s="60" t="s">
        <v>1114</v>
      </c>
      <c r="I55" s="60" t="str">
        <f t="shared" si="3"/>
        <v>34.500</v>
      </c>
      <c r="J55" s="60" t="s">
        <v>1011</v>
      </c>
      <c r="K55" s="60" t="s">
        <v>1311</v>
      </c>
      <c r="L55" s="81" t="s">
        <v>1247</v>
      </c>
      <c r="M55" s="63">
        <v>45690</v>
      </c>
      <c r="N55" s="60" t="str">
        <f>IF(A55&lt;&gt;"",VLOOKUP(RIGHT(A55,3)*1,[1]SEGMENTAÇÃO!A:H,8,0),"")</f>
        <v>NORTE</v>
      </c>
      <c r="O55" s="59" t="str">
        <f>IF(A55&lt;&gt;"",VLOOKUP(RIGHT(A55,3)*1,[1]SEGMENTAÇÃO!A:I,9,0),"")</f>
        <v>CARMOLANDIA</v>
      </c>
    </row>
    <row r="56" spans="1:15" x14ac:dyDescent="0.25">
      <c r="A56" s="84">
        <v>5837995077</v>
      </c>
      <c r="B56" s="83" t="str">
        <f t="shared" si="2"/>
        <v>5837995077.pdf</v>
      </c>
      <c r="C56" s="60" t="s">
        <v>1248</v>
      </c>
      <c r="D56" s="60" t="s">
        <v>1245</v>
      </c>
      <c r="E56" s="60">
        <v>167</v>
      </c>
      <c r="F56" s="60" t="s">
        <v>1312</v>
      </c>
      <c r="G56" s="60">
        <v>124</v>
      </c>
      <c r="H56" s="60" t="s">
        <v>1085</v>
      </c>
      <c r="I56" s="60" t="str">
        <f t="shared" si="3"/>
        <v>13.800</v>
      </c>
      <c r="J56" s="60" t="s">
        <v>1011</v>
      </c>
      <c r="K56" s="60" t="s">
        <v>1313</v>
      </c>
      <c r="L56" s="81" t="s">
        <v>1272</v>
      </c>
      <c r="M56" s="63">
        <v>45688</v>
      </c>
      <c r="N56" s="60" t="str">
        <f>IF(A56&lt;&gt;"",VLOOKUP(RIGHT(A56,3)*1,[1]SEGMENTAÇÃO!A:H,8,0),"")</f>
        <v>NORTE</v>
      </c>
      <c r="O56" s="59" t="str">
        <f>IF(A56&lt;&gt;"",VLOOKUP(RIGHT(A56,3)*1,[1]SEGMENTAÇÃO!A:I,9,0),"")</f>
        <v>GOIATINS</v>
      </c>
    </row>
    <row r="57" spans="1:15" x14ac:dyDescent="0.25">
      <c r="A57" s="60">
        <v>5856070091</v>
      </c>
      <c r="B57" s="83" t="str">
        <f t="shared" si="2"/>
        <v>5856070091.pdf</v>
      </c>
      <c r="C57" s="60" t="s">
        <v>1248</v>
      </c>
      <c r="D57" s="60" t="s">
        <v>1245</v>
      </c>
      <c r="E57" s="60">
        <v>400</v>
      </c>
      <c r="F57" s="60">
        <v>201</v>
      </c>
      <c r="G57" s="60">
        <v>124.5</v>
      </c>
      <c r="H57" s="60" t="s">
        <v>361</v>
      </c>
      <c r="I57" s="60" t="str">
        <f t="shared" si="3"/>
        <v>34.500</v>
      </c>
      <c r="J57" s="60" t="s">
        <v>1011</v>
      </c>
      <c r="K57" s="60" t="s">
        <v>1314</v>
      </c>
      <c r="L57" s="81" t="s">
        <v>1272</v>
      </c>
      <c r="M57" s="63">
        <v>45674</v>
      </c>
      <c r="N57" s="60" t="str">
        <f>IF(A57&lt;&gt;"",VLOOKUP(RIGHT(A57,3)*1,[1]SEGMENTAÇÃO!A:H,8,0),"")</f>
        <v>SUL</v>
      </c>
      <c r="O57" s="59" t="str">
        <f>IF(A57&lt;&gt;"",VLOOKUP(RIGHT(A57,3)*1,[1]SEGMENTAÇÃO!A:I,9,0),"")</f>
        <v>ALMAS</v>
      </c>
    </row>
    <row r="58" spans="1:15" x14ac:dyDescent="0.25">
      <c r="A58" s="60">
        <v>5855776094</v>
      </c>
      <c r="B58" s="83" t="str">
        <f t="shared" si="2"/>
        <v>5855776094.pdf</v>
      </c>
      <c r="C58" s="60" t="s">
        <v>1248</v>
      </c>
      <c r="D58" s="60" t="s">
        <v>1245</v>
      </c>
      <c r="E58" s="60">
        <v>400</v>
      </c>
      <c r="F58" s="60">
        <v>201</v>
      </c>
      <c r="G58" s="60">
        <v>124.5</v>
      </c>
      <c r="H58" s="60" t="s">
        <v>672</v>
      </c>
      <c r="I58" s="60" t="str">
        <f t="shared" si="3"/>
        <v>34.500</v>
      </c>
      <c r="J58" s="60" t="s">
        <v>1011</v>
      </c>
      <c r="K58" s="60" t="s">
        <v>1315</v>
      </c>
      <c r="L58" s="81" t="s">
        <v>1272</v>
      </c>
      <c r="M58" s="63">
        <v>45674</v>
      </c>
      <c r="N58" s="60" t="str">
        <f>IF(A58&lt;&gt;"",VLOOKUP(RIGHT(A58,3)*1,[1]SEGMENTAÇÃO!A:H,8,0),"")</f>
        <v>SUL</v>
      </c>
      <c r="O58" s="59" t="str">
        <f>IF(A58&lt;&gt;"",VLOOKUP(RIGHT(A58,3)*1,[1]SEGMENTAÇÃO!A:I,9,0),"")</f>
        <v>PEIXE</v>
      </c>
    </row>
    <row r="59" spans="1:15" x14ac:dyDescent="0.25">
      <c r="A59" s="84">
        <v>5800778005</v>
      </c>
      <c r="B59" s="83" t="str">
        <f t="shared" si="2"/>
        <v>5800778005.pdf</v>
      </c>
      <c r="C59" s="76" t="s">
        <v>1248</v>
      </c>
      <c r="D59" s="76" t="s">
        <v>1316</v>
      </c>
      <c r="E59" s="76" t="s">
        <v>1317</v>
      </c>
      <c r="F59" s="76" t="s">
        <v>1318</v>
      </c>
      <c r="G59" s="76" t="s">
        <v>1319</v>
      </c>
      <c r="H59" s="60" t="s">
        <v>1224</v>
      </c>
      <c r="I59" s="60" t="str">
        <f t="shared" si="3"/>
        <v>13.800</v>
      </c>
      <c r="J59" s="60" t="s">
        <v>1005</v>
      </c>
      <c r="K59" s="60" t="s">
        <v>1320</v>
      </c>
      <c r="L59" s="81" t="s">
        <v>1272</v>
      </c>
      <c r="M59" s="77">
        <v>45666</v>
      </c>
      <c r="N59" s="60" t="str">
        <f>IF(A59&lt;&gt;"",VLOOKUP(RIGHT(A59,3)*1,[1]SEGMENTAÇÃO!A:H,8,0),"")</f>
        <v>SUL</v>
      </c>
      <c r="O59" s="59" t="str">
        <f>IF(A59&lt;&gt;"",VLOOKUP(RIGHT(A59,3)*1,[1]SEGMENTAÇÃO!A:I,9,0),"")</f>
        <v>ARRAIAS</v>
      </c>
    </row>
    <row r="60" spans="1:15" x14ac:dyDescent="0.25">
      <c r="A60" s="84">
        <v>5854566043</v>
      </c>
      <c r="B60" s="83" t="str">
        <f t="shared" si="2"/>
        <v>5854566043.pdf</v>
      </c>
      <c r="C60" s="60" t="s">
        <v>1248</v>
      </c>
      <c r="D60" s="60" t="s">
        <v>1245</v>
      </c>
      <c r="E60" s="60">
        <v>400</v>
      </c>
      <c r="F60" s="60">
        <v>201</v>
      </c>
      <c r="G60" s="60">
        <v>124.5</v>
      </c>
      <c r="H60" s="60" t="s">
        <v>430</v>
      </c>
      <c r="I60" s="60" t="str">
        <f t="shared" si="3"/>
        <v>34.500</v>
      </c>
      <c r="J60" s="60" t="s">
        <v>1011</v>
      </c>
      <c r="K60" s="60" t="s">
        <v>1321</v>
      </c>
      <c r="L60" s="81" t="s">
        <v>1322</v>
      </c>
      <c r="M60" s="63">
        <v>45663</v>
      </c>
      <c r="N60" s="60" t="str">
        <f>IF(A60&lt;&gt;"",VLOOKUP(RIGHT(A60,3)*1,[1]SEGMENTAÇÃO!A:H,8,0),"")</f>
        <v>CENTRO</v>
      </c>
      <c r="O60" s="59" t="str">
        <f>IF(A60&lt;&gt;"",VLOOKUP(RIGHT(A60,3)*1,[1]SEGMENTAÇÃO!A:I,9,0),"")</f>
        <v>SILVANOPOLIS</v>
      </c>
    </row>
    <row r="61" spans="1:15" x14ac:dyDescent="0.25">
      <c r="A61" s="60">
        <v>5858227036</v>
      </c>
      <c r="B61" s="83" t="str">
        <f t="shared" si="2"/>
        <v>5858227036.pdf</v>
      </c>
      <c r="C61" s="60" t="s">
        <v>1248</v>
      </c>
      <c r="D61" s="60" t="s">
        <v>1307</v>
      </c>
      <c r="E61" s="60">
        <v>167</v>
      </c>
      <c r="F61" s="60">
        <v>219</v>
      </c>
      <c r="G61" s="60">
        <v>124</v>
      </c>
      <c r="H61" s="60" t="s">
        <v>1026</v>
      </c>
      <c r="I61" s="60" t="str">
        <f t="shared" si="3"/>
        <v>13.800</v>
      </c>
      <c r="J61" s="60" t="s">
        <v>1011</v>
      </c>
      <c r="K61" s="60" t="s">
        <v>1323</v>
      </c>
      <c r="L61" s="81" t="s">
        <v>1272</v>
      </c>
      <c r="M61" s="63">
        <v>45650</v>
      </c>
      <c r="N61" s="60" t="str">
        <f>IF(A61&lt;&gt;"",VLOOKUP(RIGHT(A61,3)*1,[1]SEGMENTAÇÃO!A:H,8,0),"")</f>
        <v>SUL</v>
      </c>
      <c r="O61" s="59" t="str">
        <f>IF(A61&lt;&gt;"",VLOOKUP(RIGHT(A61,3)*1,[1]SEGMENTAÇÃO!A:I,9,0),"")</f>
        <v>ALVORADA</v>
      </c>
    </row>
    <row r="62" spans="1:15" x14ac:dyDescent="0.25">
      <c r="A62" s="60">
        <v>5855634038</v>
      </c>
      <c r="B62" s="83" t="str">
        <f t="shared" si="2"/>
        <v>5855634038.pdf</v>
      </c>
      <c r="C62" s="60" t="s">
        <v>1248</v>
      </c>
      <c r="D62" s="60" t="s">
        <v>1245</v>
      </c>
      <c r="E62" s="60">
        <v>400</v>
      </c>
      <c r="F62" s="60">
        <v>201</v>
      </c>
      <c r="G62" s="60">
        <v>124.5</v>
      </c>
      <c r="H62" s="60" t="s">
        <v>1094</v>
      </c>
      <c r="I62" s="60" t="str">
        <f t="shared" si="3"/>
        <v>34.500</v>
      </c>
      <c r="J62" s="60" t="s">
        <v>1011</v>
      </c>
      <c r="K62" s="60" t="s">
        <v>1302</v>
      </c>
      <c r="L62" s="81" t="s">
        <v>1272</v>
      </c>
      <c r="M62" s="63">
        <v>45649</v>
      </c>
      <c r="N62" s="60" t="str">
        <f>IF(A62&lt;&gt;"",VLOOKUP(RIGHT(A62,3)*1,[1]SEGMENTAÇÃO!A:H,8,0),"")</f>
        <v>SUL</v>
      </c>
      <c r="O62" s="59" t="str">
        <f>IF(A62&lt;&gt;"",VLOOKUP(RIGHT(A62,3)*1,[1]SEGMENTAÇÃO!A:I,9,0),"")</f>
        <v>TAGUATINGA</v>
      </c>
    </row>
    <row r="63" spans="1:15" x14ac:dyDescent="0.25">
      <c r="A63" s="60">
        <v>5851752014</v>
      </c>
      <c r="B63" s="83" t="str">
        <f t="shared" si="2"/>
        <v>5851752014.pdf</v>
      </c>
      <c r="C63" s="60" t="s">
        <v>1248</v>
      </c>
      <c r="D63" s="60" t="s">
        <v>1245</v>
      </c>
      <c r="E63" s="60">
        <v>400</v>
      </c>
      <c r="F63" s="60">
        <v>201</v>
      </c>
      <c r="G63" s="60">
        <v>124.5</v>
      </c>
      <c r="H63" s="60" t="s">
        <v>1023</v>
      </c>
      <c r="I63" s="60" t="str">
        <f t="shared" si="3"/>
        <v>34.500</v>
      </c>
      <c r="J63" s="60" t="s">
        <v>1011</v>
      </c>
      <c r="K63" s="60" t="s">
        <v>1324</v>
      </c>
      <c r="L63" s="81" t="s">
        <v>1255</v>
      </c>
      <c r="M63" s="63">
        <v>45639</v>
      </c>
      <c r="N63" s="60" t="str">
        <f>IF(A63&lt;&gt;"",VLOOKUP(RIGHT(A63,3)*1,[1]SEGMENTAÇÃO!A:H,8,0),"")</f>
        <v>CENTRO</v>
      </c>
      <c r="O63" s="59" t="str">
        <f>IF(A63&lt;&gt;"",VLOOKUP(RIGHT(A63,3)*1,[1]SEGMENTAÇÃO!A:I,9,0),"")</f>
        <v>PIUM</v>
      </c>
    </row>
    <row r="64" spans="1:15" x14ac:dyDescent="0.25">
      <c r="A64" s="60">
        <v>5854681071</v>
      </c>
      <c r="B64" s="83" t="str">
        <f t="shared" si="2"/>
        <v>5854681071.pdf</v>
      </c>
      <c r="C64" s="60" t="s">
        <v>1248</v>
      </c>
      <c r="D64" s="60" t="s">
        <v>1245</v>
      </c>
      <c r="E64" s="60">
        <v>167</v>
      </c>
      <c r="F64" s="60">
        <v>219</v>
      </c>
      <c r="G64" s="60">
        <v>124.5</v>
      </c>
      <c r="H64" s="60" t="s">
        <v>1071</v>
      </c>
      <c r="I64" s="60" t="str">
        <f t="shared" si="3"/>
        <v>13.800</v>
      </c>
      <c r="J64" s="60" t="s">
        <v>1011</v>
      </c>
      <c r="K64" s="60" t="s">
        <v>1325</v>
      </c>
      <c r="L64" s="81" t="s">
        <v>1322</v>
      </c>
      <c r="M64" s="63">
        <v>45623</v>
      </c>
      <c r="N64" s="60" t="str">
        <f>IF(A64&lt;&gt;"",VLOOKUP(RIGHT(A64,3)*1,[1]SEGMENTAÇÃO!A:H,8,0),"")</f>
        <v>CENTRO</v>
      </c>
      <c r="O64" s="59" t="str">
        <f>IF(A64&lt;&gt;"",VLOOKUP(RIGHT(A64,3)*1,[1]SEGMENTAÇÃO!A:I,9,0),"")</f>
        <v>BREJINHO DE NAZARE</v>
      </c>
    </row>
    <row r="65" spans="1:15" x14ac:dyDescent="0.25">
      <c r="A65" s="60">
        <v>5854906080</v>
      </c>
      <c r="B65" s="83" t="str">
        <f t="shared" si="2"/>
        <v>5854906080.pdf</v>
      </c>
      <c r="C65" s="60" t="s">
        <v>1248</v>
      </c>
      <c r="D65" s="60" t="s">
        <v>1245</v>
      </c>
      <c r="E65" s="60">
        <v>400</v>
      </c>
      <c r="F65" s="60">
        <v>201</v>
      </c>
      <c r="G65" s="60">
        <v>124.5</v>
      </c>
      <c r="H65" s="60" t="s">
        <v>594</v>
      </c>
      <c r="I65" s="60" t="str">
        <f t="shared" si="3"/>
        <v>34.500</v>
      </c>
      <c r="J65" s="60" t="s">
        <v>1011</v>
      </c>
      <c r="K65" s="59" t="s">
        <v>1326</v>
      </c>
      <c r="L65" s="81" t="s">
        <v>1322</v>
      </c>
      <c r="M65" s="63">
        <v>45622</v>
      </c>
      <c r="N65" s="60" t="str">
        <f>IF(A65&lt;&gt;"",VLOOKUP(RIGHT(A65,3)*1,[1]SEGMENTAÇÃO!A:H,8,0),"")</f>
        <v>NORTE</v>
      </c>
      <c r="O65" s="59" t="str">
        <f>IF(A65&lt;&gt;"",VLOOKUP(RIGHT(A65,3)*1,[1]SEGMENTAÇÃO!A:I,9,0),"")</f>
        <v>DARCINOPOLIS</v>
      </c>
    </row>
    <row r="66" spans="1:15" x14ac:dyDescent="0.25">
      <c r="A66" s="60">
        <v>5855643052</v>
      </c>
      <c r="B66" s="83" t="str">
        <f t="shared" ref="B66:B97" si="4">CONCATENATE(A66,".pdf")</f>
        <v>5855643052.pdf</v>
      </c>
      <c r="C66" s="60" t="s">
        <v>1248</v>
      </c>
      <c r="D66" s="60" t="s">
        <v>1245</v>
      </c>
      <c r="E66" s="60">
        <v>400</v>
      </c>
      <c r="F66" s="60">
        <v>201</v>
      </c>
      <c r="G66" s="60">
        <v>124.5</v>
      </c>
      <c r="H66" s="60" t="s">
        <v>1076</v>
      </c>
      <c r="I66" s="60" t="str">
        <f t="shared" si="3"/>
        <v>34.500</v>
      </c>
      <c r="J66" s="60" t="s">
        <v>1011</v>
      </c>
      <c r="K66" s="59" t="s">
        <v>1327</v>
      </c>
      <c r="L66" s="81" t="s">
        <v>1322</v>
      </c>
      <c r="M66" s="63">
        <v>45589</v>
      </c>
      <c r="N66" s="60" t="str">
        <f>IF(A66&lt;&gt;"",VLOOKUP(RIGHT(A66,3)*1,[1]SEGMENTAÇÃO!A:H,8,0),"")</f>
        <v>SUL</v>
      </c>
      <c r="O66" s="59" t="str">
        <f>IF(A66&lt;&gt;"",VLOOKUP(RIGHT(A66,3)*1,[1]SEGMENTAÇÃO!A:I,9,0),"")</f>
        <v>FORMOSO DO ARAGUAIA</v>
      </c>
    </row>
    <row r="67" spans="1:15" x14ac:dyDescent="0.25">
      <c r="A67" s="60">
        <v>5857506193</v>
      </c>
      <c r="B67" s="83" t="str">
        <f t="shared" si="4"/>
        <v>5857506193.pdf</v>
      </c>
      <c r="C67" s="60" t="s">
        <v>1248</v>
      </c>
      <c r="D67" s="60" t="s">
        <v>1245</v>
      </c>
      <c r="E67" s="60">
        <v>400</v>
      </c>
      <c r="F67" s="60">
        <v>201</v>
      </c>
      <c r="G67" s="60">
        <v>124.5</v>
      </c>
      <c r="H67" s="60" t="s">
        <v>1036</v>
      </c>
      <c r="I67" s="60" t="str">
        <f t="shared" si="3"/>
        <v>34.500</v>
      </c>
      <c r="J67" s="60" t="s">
        <v>1011</v>
      </c>
      <c r="K67" s="59" t="s">
        <v>1328</v>
      </c>
      <c r="L67" s="81" t="s">
        <v>1322</v>
      </c>
      <c r="M67" s="63">
        <v>45583</v>
      </c>
      <c r="N67" s="60" t="str">
        <f>IF(A67&lt;&gt;"",VLOOKUP(RIGHT(A67,3)*1,[1]SEGMENTAÇÃO!A:H,8,0),"")</f>
        <v>NORTE</v>
      </c>
      <c r="O67" s="59" t="str">
        <f>IF(A67&lt;&gt;"",VLOOKUP(RIGHT(A67,3)*1,[1]SEGMENTAÇÃO!A:I,9,0),"")</f>
        <v>CAMPOS LINDOS</v>
      </c>
    </row>
    <row r="68" spans="1:15" x14ac:dyDescent="0.25">
      <c r="A68" s="84">
        <v>5854782001</v>
      </c>
      <c r="B68" s="83" t="str">
        <f t="shared" si="4"/>
        <v>5854782001.pdf</v>
      </c>
      <c r="C68" s="60" t="s">
        <v>1248</v>
      </c>
      <c r="D68" s="60" t="s">
        <v>1245</v>
      </c>
      <c r="E68" s="60">
        <v>239</v>
      </c>
      <c r="F68" s="60">
        <v>300</v>
      </c>
      <c r="G68" s="60">
        <v>124.5</v>
      </c>
      <c r="H68" s="60" t="s">
        <v>1193</v>
      </c>
      <c r="I68" s="60" t="str">
        <f t="shared" si="3"/>
        <v>13.800</v>
      </c>
      <c r="J68" s="60" t="s">
        <v>1011</v>
      </c>
      <c r="K68" s="59" t="s">
        <v>1279</v>
      </c>
      <c r="L68" s="81" t="s">
        <v>1322</v>
      </c>
      <c r="M68" s="63">
        <v>45581</v>
      </c>
      <c r="N68" s="60" t="str">
        <f>IF(A68&lt;&gt;"",VLOOKUP(RIGHT(A68,3)*1,[1]SEGMENTAÇÃO!A:H,8,0),"")</f>
        <v>CENTRO</v>
      </c>
      <c r="O68" s="59" t="str">
        <f>IF(A68&lt;&gt;"",VLOOKUP(RIGHT(A68,3)*1,[1]SEGMENTAÇÃO!A:I,9,0),"")</f>
        <v>PORTO NACIONAL</v>
      </c>
    </row>
    <row r="69" spans="1:15" x14ac:dyDescent="0.25">
      <c r="A69" s="60">
        <v>5849248030</v>
      </c>
      <c r="B69" s="83" t="str">
        <f t="shared" si="4"/>
        <v>5849248030.pdf</v>
      </c>
      <c r="C69" s="60" t="s">
        <v>1248</v>
      </c>
      <c r="D69" s="60" t="s">
        <v>1245</v>
      </c>
      <c r="E69" s="60">
        <v>400</v>
      </c>
      <c r="F69" s="60">
        <v>201</v>
      </c>
      <c r="G69" s="60">
        <v>124.5</v>
      </c>
      <c r="H69" s="60" t="s">
        <v>1144</v>
      </c>
      <c r="I69" s="60" t="str">
        <f t="shared" si="3"/>
        <v>34.500</v>
      </c>
      <c r="J69" s="60" t="s">
        <v>1011</v>
      </c>
      <c r="K69" s="60" t="s">
        <v>1329</v>
      </c>
      <c r="L69" s="81" t="s">
        <v>1322</v>
      </c>
      <c r="M69" s="63">
        <v>45569</v>
      </c>
      <c r="N69" s="60" t="str">
        <f>IF(A69&lt;&gt;"",VLOOKUP(RIGHT(A69,3)*1,[1]SEGMENTAÇÃO!A:H,8,0),"")</f>
        <v>NORTE</v>
      </c>
      <c r="O69" s="59" t="str">
        <f>IF(A69&lt;&gt;"",VLOOKUP(RIGHT(A69,3)*1,[1]SEGMENTAÇÃO!A:I,9,0),"")</f>
        <v>XAMBIOA</v>
      </c>
    </row>
    <row r="70" spans="1:15" x14ac:dyDescent="0.25">
      <c r="A70" s="60">
        <v>5855411017</v>
      </c>
      <c r="B70" s="83" t="str">
        <f t="shared" si="4"/>
        <v>5855411017.pdf</v>
      </c>
      <c r="C70" s="60" t="s">
        <v>1248</v>
      </c>
      <c r="D70" s="60" t="s">
        <v>1253</v>
      </c>
      <c r="E70" s="60">
        <v>250</v>
      </c>
      <c r="F70" s="60">
        <v>328</v>
      </c>
      <c r="G70" s="60">
        <v>124.5</v>
      </c>
      <c r="H70" s="60" t="s">
        <v>436</v>
      </c>
      <c r="I70" s="60" t="str">
        <f t="shared" si="3"/>
        <v>13.800</v>
      </c>
      <c r="J70" s="60" t="s">
        <v>1011</v>
      </c>
      <c r="K70" s="60" t="s">
        <v>1330</v>
      </c>
      <c r="L70" s="81" t="s">
        <v>1322</v>
      </c>
      <c r="M70" s="63">
        <v>45554</v>
      </c>
      <c r="N70" s="60" t="str">
        <f>IF(A70&lt;&gt;"",VLOOKUP(RIGHT(A70,3)*1,[1]SEGMENTAÇÃO!A:H,8,0),"")</f>
        <v>CENTRO</v>
      </c>
      <c r="O70" s="59" t="str">
        <f>IF(A70&lt;&gt;"",VLOOKUP(RIGHT(A70,3)*1,[1]SEGMENTAÇÃO!A:I,9,0),"")</f>
        <v>BARROLANDIA</v>
      </c>
    </row>
    <row r="71" spans="1:15" x14ac:dyDescent="0.25">
      <c r="A71" s="60">
        <v>5849019063</v>
      </c>
      <c r="B71" s="83" t="str">
        <f t="shared" si="4"/>
        <v>5849019063.pdf</v>
      </c>
      <c r="C71" s="60" t="s">
        <v>1248</v>
      </c>
      <c r="D71" s="60" t="s">
        <v>1245</v>
      </c>
      <c r="E71" s="60">
        <v>400</v>
      </c>
      <c r="F71" s="60">
        <v>201</v>
      </c>
      <c r="G71" s="60">
        <v>124.5</v>
      </c>
      <c r="H71" s="60" t="s">
        <v>1331</v>
      </c>
      <c r="I71" s="60" t="str">
        <f t="shared" si="3"/>
        <v>34.500</v>
      </c>
      <c r="J71" s="60" t="s">
        <v>1011</v>
      </c>
      <c r="K71" s="60" t="s">
        <v>1332</v>
      </c>
      <c r="L71" s="81" t="s">
        <v>1322</v>
      </c>
      <c r="M71" s="63">
        <v>45551</v>
      </c>
      <c r="N71" s="60" t="str">
        <f>IF(A71&lt;&gt;"",VLOOKUP(RIGHT(A71,3)*1,[1]SEGMENTAÇÃO!A:H,8,0),"")</f>
        <v>NORTE</v>
      </c>
      <c r="O71" s="59" t="str">
        <f>IF(A71&lt;&gt;"",VLOOKUP(RIGHT(A71,3)*1,[1]SEGMENTAÇÃO!A:I,9,0),"")</f>
        <v>BANDEIRANTES DO TOCANTINS</v>
      </c>
    </row>
    <row r="72" spans="1:15" x14ac:dyDescent="0.25">
      <c r="A72" s="60">
        <v>5855962013</v>
      </c>
      <c r="B72" s="83" t="str">
        <f t="shared" si="4"/>
        <v>5855962013.pdf</v>
      </c>
      <c r="C72" s="60" t="s">
        <v>1248</v>
      </c>
      <c r="D72" s="60" t="s">
        <v>1245</v>
      </c>
      <c r="E72" s="60">
        <v>400</v>
      </c>
      <c r="F72" s="60">
        <v>201</v>
      </c>
      <c r="G72" s="60">
        <v>124.5</v>
      </c>
      <c r="H72" s="60" t="s">
        <v>1333</v>
      </c>
      <c r="I72" s="60" t="str">
        <f t="shared" si="3"/>
        <v>34.500</v>
      </c>
      <c r="J72" s="60" t="s">
        <v>1011</v>
      </c>
      <c r="K72" s="60" t="s">
        <v>1334</v>
      </c>
      <c r="L72" s="81" t="s">
        <v>1322</v>
      </c>
      <c r="M72" s="63">
        <v>45527</v>
      </c>
      <c r="N72" s="60" t="str">
        <f>IF(A72&lt;&gt;"",VLOOKUP(RIGHT(A72,3)*1,[1]SEGMENTAÇÃO!A:H,8,0),"")</f>
        <v>CENTRO</v>
      </c>
      <c r="O72" s="59" t="str">
        <f>IF(A72&lt;&gt;"",VLOOKUP(RIGHT(A72,3)*1,[1]SEGMENTAÇÃO!A:I,9,0),"")</f>
        <v>PARAISO DO TOCANTINS</v>
      </c>
    </row>
    <row r="73" spans="1:15" x14ac:dyDescent="0.25">
      <c r="A73" s="84">
        <v>5820790038</v>
      </c>
      <c r="B73" s="83" t="str">
        <f t="shared" si="4"/>
        <v>5820790038.pdf</v>
      </c>
      <c r="C73" s="60" t="s">
        <v>1248</v>
      </c>
      <c r="D73" s="60" t="s">
        <v>1245</v>
      </c>
      <c r="E73" s="60">
        <v>200</v>
      </c>
      <c r="F73" s="60">
        <v>100</v>
      </c>
      <c r="G73" s="60">
        <v>124.5</v>
      </c>
      <c r="H73" s="60" t="s">
        <v>1094</v>
      </c>
      <c r="I73" s="60" t="str">
        <f t="shared" si="3"/>
        <v>34.500</v>
      </c>
      <c r="J73" s="60" t="s">
        <v>1011</v>
      </c>
      <c r="K73" s="59" t="s">
        <v>1335</v>
      </c>
      <c r="L73" s="85" t="s">
        <v>1270</v>
      </c>
      <c r="M73" s="63">
        <v>45510</v>
      </c>
      <c r="N73" s="60" t="str">
        <f>IF(A73&lt;&gt;"",VLOOKUP(RIGHT(A73,3)*1,[1]SEGMENTAÇÃO!A:H,8,0),"")</f>
        <v>SUL</v>
      </c>
      <c r="O73" s="59" t="str">
        <f>IF(A73&lt;&gt;"",VLOOKUP(RIGHT(A73,3)*1,[1]SEGMENTAÇÃO!A:I,9,0),"")</f>
        <v>TAGUATINGA</v>
      </c>
    </row>
    <row r="74" spans="1:15" x14ac:dyDescent="0.25">
      <c r="A74" s="60">
        <v>5855165193</v>
      </c>
      <c r="B74" s="83" t="str">
        <f t="shared" si="4"/>
        <v>5855165193.pdf</v>
      </c>
      <c r="C74" s="60" t="s">
        <v>1248</v>
      </c>
      <c r="D74" s="60" t="s">
        <v>1245</v>
      </c>
      <c r="E74" s="60">
        <v>400</v>
      </c>
      <c r="F74" s="60">
        <v>201</v>
      </c>
      <c r="G74" s="60">
        <v>124.5</v>
      </c>
      <c r="H74" s="60" t="s">
        <v>1036</v>
      </c>
      <c r="I74" s="60" t="str">
        <f t="shared" si="3"/>
        <v>34.500</v>
      </c>
      <c r="J74" s="60" t="s">
        <v>1011</v>
      </c>
      <c r="K74" s="60" t="s">
        <v>1336</v>
      </c>
      <c r="L74" s="81" t="s">
        <v>1322</v>
      </c>
      <c r="M74" s="63">
        <v>45506</v>
      </c>
      <c r="N74" s="60" t="str">
        <f>IF(A74&lt;&gt;"",VLOOKUP(RIGHT(A74,3)*1,[1]SEGMENTAÇÃO!A:H,8,0),"")</f>
        <v>NORTE</v>
      </c>
      <c r="O74" s="59" t="str">
        <f>IF(A74&lt;&gt;"",VLOOKUP(RIGHT(A74,3)*1,[1]SEGMENTAÇÃO!A:I,9,0),"")</f>
        <v>CAMPOS LINDOS</v>
      </c>
    </row>
    <row r="75" spans="1:15" x14ac:dyDescent="0.25">
      <c r="A75" s="84">
        <v>5836514073</v>
      </c>
      <c r="B75" s="83" t="str">
        <f t="shared" si="4"/>
        <v>5836514073.pdf</v>
      </c>
      <c r="C75" s="60" t="s">
        <v>1248</v>
      </c>
      <c r="D75" s="60" t="s">
        <v>1245</v>
      </c>
      <c r="E75" s="60">
        <v>398</v>
      </c>
      <c r="F75" s="60">
        <v>200</v>
      </c>
      <c r="G75" s="60">
        <v>124</v>
      </c>
      <c r="H75" s="60" t="s">
        <v>1137</v>
      </c>
      <c r="I75" s="60" t="str">
        <f t="shared" si="3"/>
        <v>34.500</v>
      </c>
      <c r="J75" s="60" t="s">
        <v>1005</v>
      </c>
      <c r="K75" s="60" t="s">
        <v>1337</v>
      </c>
      <c r="L75" s="81" t="s">
        <v>1322</v>
      </c>
      <c r="M75" s="63">
        <v>45505</v>
      </c>
      <c r="N75" s="60" t="str">
        <f>IF(A75&lt;&gt;"",VLOOKUP(RIGHT(A75,3)*1,[1]SEGMENTAÇÃO!A:H,8,0),"")</f>
        <v>CENTRO</v>
      </c>
      <c r="O75" s="59" t="str">
        <f>IF(A75&lt;&gt;"",VLOOKUP(RIGHT(A75,3)*1,[1]SEGMENTAÇÃO!A:I,9,0),"")</f>
        <v>LAGOA DA CONFUSAO</v>
      </c>
    </row>
    <row r="76" spans="1:15" x14ac:dyDescent="0.25">
      <c r="A76" s="60">
        <v>5855189265</v>
      </c>
      <c r="B76" s="83" t="str">
        <f t="shared" si="4"/>
        <v>5855189265.pdf</v>
      </c>
      <c r="C76" s="60" t="s">
        <v>1248</v>
      </c>
      <c r="D76" s="60" t="s">
        <v>1245</v>
      </c>
      <c r="E76" s="60">
        <v>400</v>
      </c>
      <c r="F76" s="60">
        <v>201</v>
      </c>
      <c r="G76" s="60">
        <v>124</v>
      </c>
      <c r="H76" s="60" t="s">
        <v>632</v>
      </c>
      <c r="I76" s="60" t="str">
        <f t="shared" si="3"/>
        <v>34.500</v>
      </c>
      <c r="J76" s="60" t="s">
        <v>1011</v>
      </c>
      <c r="K76" s="60" t="s">
        <v>1338</v>
      </c>
      <c r="L76" s="81" t="s">
        <v>1322</v>
      </c>
      <c r="M76" s="63">
        <v>45485</v>
      </c>
      <c r="N76" s="60" t="str">
        <f>IF(A76&lt;&gt;"",VLOOKUP(RIGHT(A76,3)*1,[1]SEGMENTAÇÃO!A:H,8,0),"")</f>
        <v>NORTE</v>
      </c>
      <c r="O76" s="59" t="str">
        <f>IF(A76&lt;&gt;"",VLOOKUP(RIGHT(A76,3)*1,[1]SEGMENTAÇÃO!A:I,9,0),"")</f>
        <v>BARRA DO OURO</v>
      </c>
    </row>
    <row r="77" spans="1:15" x14ac:dyDescent="0.25">
      <c r="A77" s="84">
        <v>5800291035</v>
      </c>
      <c r="B77" s="83" t="str">
        <f t="shared" si="4"/>
        <v>5800291035.pdf</v>
      </c>
      <c r="C77" s="93" t="s">
        <v>1248</v>
      </c>
      <c r="D77" s="93" t="s">
        <v>1280</v>
      </c>
      <c r="E77" s="93">
        <v>200</v>
      </c>
      <c r="F77" s="93">
        <v>100</v>
      </c>
      <c r="G77" s="93">
        <v>124.5</v>
      </c>
      <c r="H77" s="60" t="s">
        <v>344</v>
      </c>
      <c r="I77" s="60" t="str">
        <f t="shared" si="3"/>
        <v>34.500</v>
      </c>
      <c r="J77" s="60" t="s">
        <v>1011</v>
      </c>
      <c r="K77" s="93" t="s">
        <v>1339</v>
      </c>
      <c r="L77" s="94" t="s">
        <v>1255</v>
      </c>
      <c r="M77" s="63">
        <v>45471</v>
      </c>
      <c r="N77" s="60" t="str">
        <f>IF(A77&lt;&gt;"",VLOOKUP(RIGHT(A77,3)*1,[1]SEGMENTAÇÃO!A:H,8,0),"")</f>
        <v>CENTRO</v>
      </c>
      <c r="O77" s="59" t="str">
        <f>IF(A77&lt;&gt;"",VLOOKUP(RIGHT(A77,3)*1,[1]SEGMENTAÇÃO!A:I,9,0),"")</f>
        <v>MONTE DO CARMO</v>
      </c>
    </row>
    <row r="78" spans="1:15" x14ac:dyDescent="0.25">
      <c r="A78" s="60">
        <v>5854492004</v>
      </c>
      <c r="B78" s="83" t="str">
        <f t="shared" si="4"/>
        <v>5854492004.pdf</v>
      </c>
      <c r="C78" s="60" t="s">
        <v>1248</v>
      </c>
      <c r="D78" s="60" t="s">
        <v>1245</v>
      </c>
      <c r="E78" s="60">
        <v>400</v>
      </c>
      <c r="F78" s="60">
        <v>201</v>
      </c>
      <c r="G78" s="60">
        <v>124.5</v>
      </c>
      <c r="H78" s="60" t="s">
        <v>533</v>
      </c>
      <c r="I78" s="60" t="str">
        <f t="shared" si="3"/>
        <v>34.500</v>
      </c>
      <c r="J78" s="60" t="s">
        <v>1011</v>
      </c>
      <c r="K78" s="60" t="s">
        <v>1340</v>
      </c>
      <c r="L78" s="81" t="s">
        <v>1255</v>
      </c>
      <c r="M78" s="63">
        <v>45471</v>
      </c>
      <c r="N78" s="60" t="str">
        <f>IF(A78&lt;&gt;"",VLOOKUP(RIGHT(A78,3)*1,[1]SEGMENTAÇÃO!A:H,8,0),"")</f>
        <v>NORTE</v>
      </c>
      <c r="O78" s="59" t="str">
        <f>IF(A78&lt;&gt;"",VLOOKUP(RIGHT(A78,3)*1,[1]SEGMENTAÇÃO!A:I,9,0),"")</f>
        <v>ARAGUAINA</v>
      </c>
    </row>
    <row r="79" spans="1:15" x14ac:dyDescent="0.25">
      <c r="A79" s="60">
        <v>5854767035</v>
      </c>
      <c r="B79" s="83" t="str">
        <f t="shared" si="4"/>
        <v>5854767035.pdf</v>
      </c>
      <c r="C79" s="60" t="s">
        <v>1248</v>
      </c>
      <c r="D79" s="60" t="s">
        <v>1245</v>
      </c>
      <c r="E79" s="60">
        <v>400</v>
      </c>
      <c r="F79" s="60">
        <v>201</v>
      </c>
      <c r="G79" s="60">
        <v>124.5</v>
      </c>
      <c r="H79" s="60" t="s">
        <v>344</v>
      </c>
      <c r="I79" s="60" t="str">
        <f t="shared" si="3"/>
        <v>34.500</v>
      </c>
      <c r="J79" s="60" t="s">
        <v>1011</v>
      </c>
      <c r="K79" s="60" t="s">
        <v>1341</v>
      </c>
      <c r="L79" s="81" t="s">
        <v>1255</v>
      </c>
      <c r="M79" s="63">
        <v>45471</v>
      </c>
      <c r="N79" s="60" t="str">
        <f>IF(A79&lt;&gt;"",VLOOKUP(RIGHT(A79,3)*1,[1]SEGMENTAÇÃO!A:H,8,0),"")</f>
        <v>CENTRO</v>
      </c>
      <c r="O79" s="59" t="str">
        <f>IF(A79&lt;&gt;"",VLOOKUP(RIGHT(A79,3)*1,[1]SEGMENTAÇÃO!A:I,9,0),"")</f>
        <v>MONTE DO CARMO</v>
      </c>
    </row>
    <row r="80" spans="1:15" x14ac:dyDescent="0.25">
      <c r="A80" s="60">
        <v>5854766001</v>
      </c>
      <c r="B80" s="83" t="str">
        <f t="shared" si="4"/>
        <v>5854766001.pdf</v>
      </c>
      <c r="C80" s="60" t="s">
        <v>1248</v>
      </c>
      <c r="D80" s="60" t="s">
        <v>1245</v>
      </c>
      <c r="E80" s="60">
        <v>400</v>
      </c>
      <c r="F80" s="60">
        <v>201</v>
      </c>
      <c r="G80" s="60">
        <v>124.5</v>
      </c>
      <c r="H80" s="60" t="s">
        <v>1046</v>
      </c>
      <c r="I80" s="60" t="str">
        <f t="shared" si="3"/>
        <v>34.500</v>
      </c>
      <c r="J80" s="60" t="s">
        <v>1011</v>
      </c>
      <c r="K80" s="60" t="s">
        <v>1342</v>
      </c>
      <c r="L80" s="81" t="s">
        <v>1255</v>
      </c>
      <c r="M80" s="63">
        <v>45470</v>
      </c>
      <c r="N80" s="60" t="str">
        <f>IF(A80&lt;&gt;"",VLOOKUP(RIGHT(A80,3)*1,[1]SEGMENTAÇÃO!A:H,8,0),"")</f>
        <v>CENTRO</v>
      </c>
      <c r="O80" s="59" t="str">
        <f>IF(A80&lt;&gt;"",VLOOKUP(RIGHT(A80,3)*1,[1]SEGMENTAÇÃO!A:I,9,0),"")</f>
        <v>PORTO NACIONAL</v>
      </c>
    </row>
    <row r="81" spans="1:15" x14ac:dyDescent="0.25">
      <c r="A81" s="60">
        <v>5853032090</v>
      </c>
      <c r="B81" s="83" t="str">
        <f t="shared" si="4"/>
        <v>5853032090.pdf</v>
      </c>
      <c r="C81" s="60" t="s">
        <v>1248</v>
      </c>
      <c r="D81" s="60" t="s">
        <v>1245</v>
      </c>
      <c r="E81" s="60">
        <v>400</v>
      </c>
      <c r="F81" s="60">
        <v>201</v>
      </c>
      <c r="G81" s="60">
        <v>124.5</v>
      </c>
      <c r="H81" s="60" t="s">
        <v>453</v>
      </c>
      <c r="I81" s="60" t="str">
        <f t="shared" si="3"/>
        <v>34.500</v>
      </c>
      <c r="J81" s="60" t="s">
        <v>1011</v>
      </c>
      <c r="K81" s="60" t="s">
        <v>1303</v>
      </c>
      <c r="L81" s="81" t="s">
        <v>1255</v>
      </c>
      <c r="M81" s="63">
        <v>45460</v>
      </c>
      <c r="N81" s="60" t="str">
        <f>IF(A81&lt;&gt;"",VLOOKUP(RIGHT(A81,3)*1,[1]SEGMENTAÇÃO!A:H,8,0),"")</f>
        <v>NORTE</v>
      </c>
      <c r="O81" s="59" t="str">
        <f>IF(A81&lt;&gt;"",VLOOKUP(RIGHT(A81,3)*1,[1]SEGMENTAÇÃO!A:I,9,0),"")</f>
        <v>NAZARE</v>
      </c>
    </row>
    <row r="82" spans="1:15" x14ac:dyDescent="0.25">
      <c r="A82" s="60">
        <v>5852775092</v>
      </c>
      <c r="B82" s="83" t="str">
        <f t="shared" si="4"/>
        <v>5852775092.pdf</v>
      </c>
      <c r="C82" s="60" t="s">
        <v>1248</v>
      </c>
      <c r="D82" s="60" t="s">
        <v>1245</v>
      </c>
      <c r="E82" s="60" t="s">
        <v>1343</v>
      </c>
      <c r="F82" s="60" t="s">
        <v>1344</v>
      </c>
      <c r="G82" s="60" t="s">
        <v>1268</v>
      </c>
      <c r="H82" s="60" t="s">
        <v>1015</v>
      </c>
      <c r="I82" s="60" t="str">
        <f t="shared" si="3"/>
        <v>34.500</v>
      </c>
      <c r="J82" s="60" t="s">
        <v>1011</v>
      </c>
      <c r="K82" s="60" t="s">
        <v>1345</v>
      </c>
      <c r="L82" s="81" t="s">
        <v>1255</v>
      </c>
      <c r="M82" s="63">
        <v>45455</v>
      </c>
      <c r="N82" s="60" t="str">
        <f>IF(A82&lt;&gt;"",VLOOKUP(RIGHT(A82,3)*1,[1]SEGMENTAÇÃO!A:H,8,0),"")</f>
        <v>CENTRO</v>
      </c>
      <c r="O82" s="59" t="str">
        <f>IF(A82&lt;&gt;"",VLOOKUP(RIGHT(A82,3)*1,[1]SEGMENTAÇÃO!A:I,9,0),"")</f>
        <v>NOVO ACORDO</v>
      </c>
    </row>
    <row r="83" spans="1:15" x14ac:dyDescent="0.25">
      <c r="A83" s="60">
        <v>5858330039</v>
      </c>
      <c r="B83" s="83" t="str">
        <f t="shared" si="4"/>
        <v>5858330039.pdf</v>
      </c>
      <c r="C83" s="60" t="s">
        <v>1248</v>
      </c>
      <c r="D83" s="60" t="s">
        <v>1245</v>
      </c>
      <c r="E83" s="60">
        <v>239</v>
      </c>
      <c r="F83" s="60">
        <v>300</v>
      </c>
      <c r="G83" s="60">
        <v>124.5</v>
      </c>
      <c r="H83" s="60" t="s">
        <v>1145</v>
      </c>
      <c r="I83" s="60" t="str">
        <f t="shared" si="3"/>
        <v>13.800</v>
      </c>
      <c r="J83" s="60" t="s">
        <v>1011</v>
      </c>
      <c r="K83" s="60" t="s">
        <v>1346</v>
      </c>
      <c r="L83" s="81" t="s">
        <v>1255</v>
      </c>
      <c r="M83" s="63">
        <v>45454</v>
      </c>
      <c r="N83" s="60" t="str">
        <f>IF(A83&lt;&gt;"",VLOOKUP(RIGHT(A83,3)*1,[1]SEGMENTAÇÃO!A:H,8,0),"")</f>
        <v>NORTE</v>
      </c>
      <c r="O83" s="59" t="str">
        <f>IF(A83&lt;&gt;"",VLOOKUP(RIGHT(A83,3)*1,[1]SEGMENTAÇÃO!A:I,9,0),"")</f>
        <v>ARAGUATINS</v>
      </c>
    </row>
    <row r="84" spans="1:15" x14ac:dyDescent="0.25">
      <c r="A84" s="84">
        <v>5827767081</v>
      </c>
      <c r="B84" s="83" t="str">
        <f t="shared" si="4"/>
        <v>5827767081.pdf</v>
      </c>
      <c r="C84" s="60" t="s">
        <v>1248</v>
      </c>
      <c r="D84" s="60" t="s">
        <v>1297</v>
      </c>
      <c r="E84" s="60">
        <v>167</v>
      </c>
      <c r="F84" s="60">
        <v>219</v>
      </c>
      <c r="G84" s="60" t="s">
        <v>1347</v>
      </c>
      <c r="H84" s="60" t="s">
        <v>1033</v>
      </c>
      <c r="I84" s="60" t="str">
        <f t="shared" si="3"/>
        <v>13.800</v>
      </c>
      <c r="J84" s="60" t="s">
        <v>1011</v>
      </c>
      <c r="K84" s="60" t="s">
        <v>1348</v>
      </c>
      <c r="L84" s="81" t="s">
        <v>1255</v>
      </c>
      <c r="M84" s="63">
        <v>45440</v>
      </c>
      <c r="N84" s="60" t="str">
        <f>IF(A84&lt;&gt;"",VLOOKUP(RIGHT(A84,3)*1,[1]SEGMENTAÇÃO!A:H,8,0),"")</f>
        <v>NORTE</v>
      </c>
      <c r="O84" s="59" t="str">
        <f>IF(A84&lt;&gt;"",VLOOKUP(RIGHT(A84,3)*1,[1]SEGMENTAÇÃO!A:I,9,0),"")</f>
        <v>ITAGUATINS</v>
      </c>
    </row>
    <row r="85" spans="1:15" x14ac:dyDescent="0.25">
      <c r="A85" s="60">
        <v>5853359076</v>
      </c>
      <c r="B85" s="83" t="str">
        <f t="shared" si="4"/>
        <v>5853359076.pdf</v>
      </c>
      <c r="C85" s="60" t="s">
        <v>1248</v>
      </c>
      <c r="D85" s="60" t="s">
        <v>1245</v>
      </c>
      <c r="E85" s="60">
        <v>400</v>
      </c>
      <c r="F85" s="60">
        <v>201</v>
      </c>
      <c r="G85" s="60">
        <v>124.5</v>
      </c>
      <c r="H85" s="60" t="s">
        <v>1075</v>
      </c>
      <c r="I85" s="60" t="str">
        <f t="shared" si="3"/>
        <v>34.500</v>
      </c>
      <c r="J85" s="60" t="s">
        <v>1011</v>
      </c>
      <c r="K85" s="60" t="s">
        <v>1349</v>
      </c>
      <c r="L85" s="81" t="s">
        <v>1255</v>
      </c>
      <c r="M85" s="63">
        <v>45434</v>
      </c>
      <c r="N85" s="60" t="str">
        <f>IF(A85&lt;&gt;"",VLOOKUP(RIGHT(A85,3)*1,[1]SEGMENTAÇÃO!A:H,8,0),"")</f>
        <v>SUL</v>
      </c>
      <c r="O85" s="59" t="str">
        <f>IF(A85&lt;&gt;"",VLOOKUP(RIGHT(A85,3)*1,[1]SEGMENTAÇÃO!A:I,9,0),"")</f>
        <v>DUERE</v>
      </c>
    </row>
    <row r="86" spans="1:15" x14ac:dyDescent="0.25">
      <c r="A86" s="60">
        <v>5850308009</v>
      </c>
      <c r="B86" s="83" t="str">
        <f t="shared" si="4"/>
        <v>5850308009.pdf</v>
      </c>
      <c r="C86" s="60" t="s">
        <v>1248</v>
      </c>
      <c r="D86" s="60" t="s">
        <v>1245</v>
      </c>
      <c r="E86" s="60">
        <v>239</v>
      </c>
      <c r="F86" s="60">
        <v>300</v>
      </c>
      <c r="G86" s="60">
        <v>124.5</v>
      </c>
      <c r="H86" s="60" t="s">
        <v>419</v>
      </c>
      <c r="I86" s="60" t="str">
        <f t="shared" si="3"/>
        <v>13.800</v>
      </c>
      <c r="J86" s="60" t="s">
        <v>1011</v>
      </c>
      <c r="K86" s="60" t="s">
        <v>1350</v>
      </c>
      <c r="L86" s="81" t="s">
        <v>1255</v>
      </c>
      <c r="M86" s="63">
        <v>45433</v>
      </c>
      <c r="N86" s="60" t="str">
        <f>IF(A86&lt;&gt;"",VLOOKUP(RIGHT(A86,3)*1,[1]SEGMENTAÇÃO!A:H,8,0),"")</f>
        <v>NORTE</v>
      </c>
      <c r="O86" s="59" t="str">
        <f>IF(A86&lt;&gt;"",VLOOKUP(RIGHT(A86,3)*1,[1]SEGMENTAÇÃO!A:I,9,0),"")</f>
        <v>GUARAI</v>
      </c>
    </row>
    <row r="87" spans="1:15" x14ac:dyDescent="0.25">
      <c r="A87" s="60">
        <v>5854977104</v>
      </c>
      <c r="B87" s="83" t="str">
        <f t="shared" si="4"/>
        <v>5854977104.pdf</v>
      </c>
      <c r="C87" s="60" t="s">
        <v>1248</v>
      </c>
      <c r="D87" s="60" t="s">
        <v>1245</v>
      </c>
      <c r="E87" s="60">
        <v>400</v>
      </c>
      <c r="F87" s="60">
        <v>201</v>
      </c>
      <c r="G87" s="60">
        <v>124.5</v>
      </c>
      <c r="H87" s="60" t="s">
        <v>470</v>
      </c>
      <c r="I87" s="60" t="str">
        <f t="shared" si="3"/>
        <v>34.500</v>
      </c>
      <c r="J87" s="60" t="s">
        <v>1011</v>
      </c>
      <c r="K87" s="60" t="s">
        <v>1351</v>
      </c>
      <c r="L87" s="81" t="s">
        <v>1255</v>
      </c>
      <c r="M87" s="63">
        <v>45426</v>
      </c>
      <c r="N87" s="60" t="str">
        <f>IF(A87&lt;&gt;"",VLOOKUP(RIGHT(A87,3)*1,[1]SEGMENTAÇÃO!A:H,8,0),"")</f>
        <v>NORTE</v>
      </c>
      <c r="O87" s="59" t="str">
        <f>IF(A87&lt;&gt;"",VLOOKUP(RIGHT(A87,3)*1,[1]SEGMENTAÇÃO!A:I,9,0),"")</f>
        <v>SANTA MARIA DO TOCANTINS</v>
      </c>
    </row>
    <row r="88" spans="1:15" x14ac:dyDescent="0.25">
      <c r="A88" s="60">
        <v>5855063080</v>
      </c>
      <c r="B88" s="83" t="str">
        <f t="shared" si="4"/>
        <v>5855063080.pdf</v>
      </c>
      <c r="C88" s="60" t="s">
        <v>1248</v>
      </c>
      <c r="D88" s="60" t="s">
        <v>1245</v>
      </c>
      <c r="E88" s="60">
        <v>400</v>
      </c>
      <c r="F88" s="60">
        <v>201</v>
      </c>
      <c r="G88" s="60">
        <v>124.5</v>
      </c>
      <c r="H88" s="60" t="s">
        <v>497</v>
      </c>
      <c r="I88" s="60" t="str">
        <f t="shared" si="3"/>
        <v>34.500</v>
      </c>
      <c r="J88" s="60" t="s">
        <v>1011</v>
      </c>
      <c r="K88" s="60" t="s">
        <v>1352</v>
      </c>
      <c r="L88" s="81" t="s">
        <v>1255</v>
      </c>
      <c r="M88" s="63">
        <v>45397</v>
      </c>
      <c r="N88" s="60" t="str">
        <f>IF(A88&lt;&gt;"",VLOOKUP(RIGHT(A88,3)*1,[1]SEGMENTAÇÃO!A:H,8,0),"")</f>
        <v>NORTE</v>
      </c>
      <c r="O88" s="59" t="str">
        <f>IF(A88&lt;&gt;"",VLOOKUP(RIGHT(A88,3)*1,[1]SEGMENTAÇÃO!A:I,9,0),"")</f>
        <v>DARCINOPOLIS</v>
      </c>
    </row>
    <row r="89" spans="1:15" x14ac:dyDescent="0.25">
      <c r="A89" s="84">
        <v>5840227063</v>
      </c>
      <c r="B89" s="83" t="str">
        <f t="shared" si="4"/>
        <v>5840227063.pdf</v>
      </c>
      <c r="C89" s="60" t="s">
        <v>1248</v>
      </c>
      <c r="D89" s="60" t="s">
        <v>1245</v>
      </c>
      <c r="E89" s="60" t="s">
        <v>1343</v>
      </c>
      <c r="F89" s="60" t="s">
        <v>1344</v>
      </c>
      <c r="G89" s="60">
        <v>124.5</v>
      </c>
      <c r="H89" s="60" t="s">
        <v>1101</v>
      </c>
      <c r="I89" s="60" t="str">
        <f t="shared" si="3"/>
        <v>34.500</v>
      </c>
      <c r="J89" s="60" t="s">
        <v>1005</v>
      </c>
      <c r="K89" s="60" t="s">
        <v>1353</v>
      </c>
      <c r="L89" s="81" t="s">
        <v>1255</v>
      </c>
      <c r="M89" s="63">
        <v>45369</v>
      </c>
      <c r="N89" s="60" t="str">
        <f>IF(A89&lt;&gt;"",VLOOKUP(RIGHT(A89,3)*1,[1]SEGMENTAÇÃO!A:H,8,0),"")</f>
        <v>NORTE</v>
      </c>
      <c r="O89" s="59" t="str">
        <f>IF(A89&lt;&gt;"",VLOOKUP(RIGHT(A89,3)*1,[1]SEGMENTAÇÃO!A:I,9,0),"")</f>
        <v>BANDEIRANTES DO TOCANTINS</v>
      </c>
    </row>
    <row r="90" spans="1:15" x14ac:dyDescent="0.25">
      <c r="A90" s="60">
        <v>5850410265</v>
      </c>
      <c r="B90" s="83" t="str">
        <f t="shared" si="4"/>
        <v>5850410265.pdf</v>
      </c>
      <c r="C90" s="60" t="s">
        <v>1248</v>
      </c>
      <c r="D90" s="60" t="s">
        <v>1245</v>
      </c>
      <c r="E90" s="60">
        <v>200</v>
      </c>
      <c r="F90" s="60">
        <v>100</v>
      </c>
      <c r="G90" s="60">
        <v>124.5</v>
      </c>
      <c r="H90" s="60" t="s">
        <v>632</v>
      </c>
      <c r="I90" s="60" t="str">
        <f t="shared" si="3"/>
        <v>34.500</v>
      </c>
      <c r="J90" s="60" t="s">
        <v>1011</v>
      </c>
      <c r="K90" s="60" t="s">
        <v>1354</v>
      </c>
      <c r="L90" s="81" t="s">
        <v>1255</v>
      </c>
      <c r="M90" s="63">
        <v>45364</v>
      </c>
      <c r="N90" s="60" t="str">
        <f>IF(A90&lt;&gt;"",VLOOKUP(RIGHT(A90,3)*1,[1]SEGMENTAÇÃO!A:H,8,0),"")</f>
        <v>NORTE</v>
      </c>
      <c r="O90" s="59" t="str">
        <f>IF(A90&lt;&gt;"",VLOOKUP(RIGHT(A90,3)*1,[1]SEGMENTAÇÃO!A:I,9,0),"")</f>
        <v>BARRA DO OURO</v>
      </c>
    </row>
    <row r="91" spans="1:15" x14ac:dyDescent="0.25">
      <c r="A91" s="84">
        <v>5800090147</v>
      </c>
      <c r="B91" s="83" t="str">
        <f t="shared" si="4"/>
        <v>5800090147.pdf</v>
      </c>
      <c r="C91" s="60" t="s">
        <v>1248</v>
      </c>
      <c r="D91" s="60" t="s">
        <v>1245</v>
      </c>
      <c r="E91" s="60">
        <v>200</v>
      </c>
      <c r="F91" s="60">
        <v>100</v>
      </c>
      <c r="G91" s="60">
        <v>124</v>
      </c>
      <c r="H91" s="60" t="s">
        <v>331</v>
      </c>
      <c r="I91" s="60" t="str">
        <f t="shared" si="3"/>
        <v>34.500</v>
      </c>
      <c r="J91" s="60" t="s">
        <v>1011</v>
      </c>
      <c r="K91" s="60" t="s">
        <v>1355</v>
      </c>
      <c r="L91" s="81" t="s">
        <v>1255</v>
      </c>
      <c r="M91" s="63">
        <v>45356</v>
      </c>
      <c r="N91" s="60" t="str">
        <f>IF(A91&lt;&gt;"",VLOOKUP(RIGHT(A91,3)*1,[1]SEGMENTAÇÃO!A:H,8,0),"")</f>
        <v>SUL</v>
      </c>
      <c r="O91" s="59" t="str">
        <f>IF(A91&lt;&gt;"",VLOOKUP(RIGHT(A91,3)*1,[1]SEGMENTAÇÃO!A:I,9,0),"")</f>
        <v>TAIPAS DO TOCANTINS</v>
      </c>
    </row>
    <row r="92" spans="1:15" x14ac:dyDescent="0.25">
      <c r="A92" s="84">
        <v>5836785074</v>
      </c>
      <c r="B92" s="83" t="str">
        <f t="shared" si="4"/>
        <v>5836785074.pdf</v>
      </c>
      <c r="C92" s="60" t="s">
        <v>1248</v>
      </c>
      <c r="D92" s="60" t="s">
        <v>1245</v>
      </c>
      <c r="E92" s="60">
        <v>398</v>
      </c>
      <c r="F92" s="60">
        <v>200</v>
      </c>
      <c r="G92" s="60">
        <v>124</v>
      </c>
      <c r="H92" s="60" t="s">
        <v>331</v>
      </c>
      <c r="I92" s="60" t="str">
        <f t="shared" si="3"/>
        <v>34.500</v>
      </c>
      <c r="J92" s="60" t="s">
        <v>1005</v>
      </c>
      <c r="K92" s="60" t="s">
        <v>1356</v>
      </c>
      <c r="L92" s="81" t="s">
        <v>1255</v>
      </c>
      <c r="M92" s="63">
        <v>45356</v>
      </c>
      <c r="N92" s="60" t="str">
        <f>IF(A92&lt;&gt;"",VLOOKUP(RIGHT(A92,3)*1,[1]SEGMENTAÇÃO!A:H,8,0),"")</f>
        <v>SUL</v>
      </c>
      <c r="O92" s="59" t="str">
        <f>IF(A92&lt;&gt;"",VLOOKUP(RIGHT(A92,3)*1,[1]SEGMENTAÇÃO!A:I,9,0),"")</f>
        <v>DIANOPOLIS</v>
      </c>
    </row>
    <row r="93" spans="1:15" x14ac:dyDescent="0.25">
      <c r="A93" s="60">
        <v>5848305116</v>
      </c>
      <c r="B93" s="83" t="str">
        <f t="shared" si="4"/>
        <v>5848305116.pdf</v>
      </c>
      <c r="C93" s="60" t="s">
        <v>1248</v>
      </c>
      <c r="D93" s="60" t="s">
        <v>1357</v>
      </c>
      <c r="E93" s="60">
        <v>400</v>
      </c>
      <c r="F93" s="60">
        <v>201</v>
      </c>
      <c r="G93" s="60">
        <v>124.5</v>
      </c>
      <c r="H93" s="60" t="s">
        <v>361</v>
      </c>
      <c r="I93" s="60" t="str">
        <f t="shared" si="3"/>
        <v>34.500</v>
      </c>
      <c r="J93" s="60" t="s">
        <v>1011</v>
      </c>
      <c r="K93" s="60" t="s">
        <v>1358</v>
      </c>
      <c r="L93" s="81" t="s">
        <v>1255</v>
      </c>
      <c r="M93" s="63">
        <v>45352</v>
      </c>
      <c r="N93" s="60" t="str">
        <f>IF(A93&lt;&gt;"",VLOOKUP(RIGHT(A93,3)*1,[1]SEGMENTAÇÃO!A:H,8,0),"")</f>
        <v>SUL</v>
      </c>
      <c r="O93" s="59" t="str">
        <f>IF(A93&lt;&gt;"",VLOOKUP(RIGHT(A93,3)*1,[1]SEGMENTAÇÃO!A:I,9,0),"")</f>
        <v>CHAPADA DA NATIVIDADE</v>
      </c>
    </row>
    <row r="94" spans="1:15" x14ac:dyDescent="0.25">
      <c r="A94" s="60">
        <v>5854858149</v>
      </c>
      <c r="B94" s="83" t="str">
        <f t="shared" si="4"/>
        <v>5854858149.pdf</v>
      </c>
      <c r="C94" s="60" t="s">
        <v>1248</v>
      </c>
      <c r="D94" s="60" t="s">
        <v>1245</v>
      </c>
      <c r="E94" s="60">
        <v>400</v>
      </c>
      <c r="F94" s="60">
        <v>201</v>
      </c>
      <c r="G94" s="60">
        <v>124.5</v>
      </c>
      <c r="H94" s="60" t="s">
        <v>1042</v>
      </c>
      <c r="I94" s="60" t="str">
        <f t="shared" si="3"/>
        <v>34.500</v>
      </c>
      <c r="J94" s="60" t="s">
        <v>1011</v>
      </c>
      <c r="K94" s="60" t="s">
        <v>1274</v>
      </c>
      <c r="L94" s="81" t="s">
        <v>1255</v>
      </c>
      <c r="M94" s="63">
        <v>45343</v>
      </c>
      <c r="N94" s="60" t="str">
        <f>IF(A94&lt;&gt;"",VLOOKUP(RIGHT(A94,3)*1,[1]SEGMENTAÇÃO!A:H,8,0),"")</f>
        <v>CENTRO</v>
      </c>
      <c r="O94" s="59" t="str">
        <f>IF(A94&lt;&gt;"",VLOOKUP(RIGHT(A94,3)*1,[1]SEGMENTAÇÃO!A:I,9,0),"")</f>
        <v>CASEARA</v>
      </c>
    </row>
    <row r="95" spans="1:15" x14ac:dyDescent="0.25">
      <c r="A95" s="84">
        <v>5838020063</v>
      </c>
      <c r="B95" s="83" t="str">
        <f t="shared" si="4"/>
        <v>5838020063.pdf</v>
      </c>
      <c r="C95" s="60" t="s">
        <v>1248</v>
      </c>
      <c r="D95" s="60" t="s">
        <v>1245</v>
      </c>
      <c r="E95" s="60">
        <v>398</v>
      </c>
      <c r="F95" s="60">
        <v>200</v>
      </c>
      <c r="G95" s="60">
        <v>124</v>
      </c>
      <c r="H95" s="60" t="s">
        <v>1101</v>
      </c>
      <c r="I95" s="60" t="str">
        <f t="shared" si="3"/>
        <v>34.500</v>
      </c>
      <c r="J95" s="60" t="s">
        <v>1005</v>
      </c>
      <c r="K95" s="60" t="s">
        <v>1359</v>
      </c>
      <c r="L95" s="81" t="s">
        <v>1360</v>
      </c>
      <c r="M95" s="63">
        <v>45342</v>
      </c>
      <c r="N95" s="60" t="str">
        <f>IF(A95&lt;&gt;"",VLOOKUP(RIGHT(A95,3)*1,[1]SEGMENTAÇÃO!A:H,8,0),"")</f>
        <v>NORTE</v>
      </c>
      <c r="O95" s="59" t="str">
        <f>IF(A95&lt;&gt;"",VLOOKUP(RIGHT(A95,3)*1,[1]SEGMENTAÇÃO!A:I,9,0),"")</f>
        <v>BANDEIRANTES DO TOCANTINS</v>
      </c>
    </row>
    <row r="96" spans="1:15" x14ac:dyDescent="0.25">
      <c r="A96" s="60">
        <v>5800765149</v>
      </c>
      <c r="B96" s="83" t="str">
        <f t="shared" si="4"/>
        <v>5800765149.pdf</v>
      </c>
      <c r="C96" s="60" t="s">
        <v>1248</v>
      </c>
      <c r="D96" s="60" t="s">
        <v>1245</v>
      </c>
      <c r="E96" s="60">
        <v>400</v>
      </c>
      <c r="F96" s="60">
        <v>201</v>
      </c>
      <c r="G96" s="60">
        <v>124.5</v>
      </c>
      <c r="H96" s="60" t="s">
        <v>1042</v>
      </c>
      <c r="I96" s="60" t="str">
        <f t="shared" si="3"/>
        <v>34.500</v>
      </c>
      <c r="J96" s="60" t="s">
        <v>1011</v>
      </c>
      <c r="K96" s="60" t="s">
        <v>1274</v>
      </c>
      <c r="L96" s="81" t="s">
        <v>1255</v>
      </c>
      <c r="M96" s="63">
        <v>45330</v>
      </c>
      <c r="N96" s="60" t="str">
        <f>IF(A96&lt;&gt;"",VLOOKUP(RIGHT(A96,3)*1,[1]SEGMENTAÇÃO!A:H,8,0),"")</f>
        <v>CENTRO</v>
      </c>
      <c r="O96" s="59" t="str">
        <f>IF(A96&lt;&gt;"",VLOOKUP(RIGHT(A96,3)*1,[1]SEGMENTAÇÃO!A:I,9,0),"")</f>
        <v>CASEARA</v>
      </c>
    </row>
    <row r="97" spans="1:15" x14ac:dyDescent="0.25">
      <c r="A97" s="60">
        <v>5851504001</v>
      </c>
      <c r="B97" s="83" t="str">
        <f t="shared" si="4"/>
        <v>5851504001.pdf</v>
      </c>
      <c r="C97" s="60" t="s">
        <v>1248</v>
      </c>
      <c r="D97" s="60" t="s">
        <v>1245</v>
      </c>
      <c r="E97" s="60">
        <v>239</v>
      </c>
      <c r="F97" s="60">
        <v>300</v>
      </c>
      <c r="G97" s="60">
        <v>124.5</v>
      </c>
      <c r="H97" s="60" t="s">
        <v>384</v>
      </c>
      <c r="I97" s="60" t="str">
        <f t="shared" si="3"/>
        <v>13.800</v>
      </c>
      <c r="J97" s="60" t="s">
        <v>1011</v>
      </c>
      <c r="K97" s="60" t="s">
        <v>1361</v>
      </c>
      <c r="L97" s="81" t="s">
        <v>1255</v>
      </c>
      <c r="M97" s="63">
        <v>45313</v>
      </c>
      <c r="N97" s="60" t="str">
        <f>IF(A97&lt;&gt;"",VLOOKUP(RIGHT(A97,3)*1,[1]SEGMENTAÇÃO!A:H,8,0),"")</f>
        <v>CENTRO</v>
      </c>
      <c r="O97" s="59" t="str">
        <f>IF(A97&lt;&gt;"",VLOOKUP(RIGHT(A97,3)*1,[1]SEGMENTAÇÃO!A:I,9,0),"")</f>
        <v>PORTO NACIONAL</v>
      </c>
    </row>
    <row r="98" spans="1:15" x14ac:dyDescent="0.25">
      <c r="A98" s="84">
        <v>5826651083</v>
      </c>
      <c r="B98" s="83" t="str">
        <f t="shared" ref="B98:B129" si="5">CONCATENATE(A98,".pdf")</f>
        <v>5826651083.pdf</v>
      </c>
      <c r="C98" s="60" t="s">
        <v>1248</v>
      </c>
      <c r="D98" s="60" t="s">
        <v>1245</v>
      </c>
      <c r="E98" s="60">
        <v>200</v>
      </c>
      <c r="F98" s="60">
        <v>100</v>
      </c>
      <c r="G98" s="60">
        <v>124</v>
      </c>
      <c r="H98" s="60" t="s">
        <v>1015</v>
      </c>
      <c r="I98" s="60" t="str">
        <f t="shared" si="3"/>
        <v>34.500</v>
      </c>
      <c r="J98" s="60" t="s">
        <v>1011</v>
      </c>
      <c r="K98" s="60" t="s">
        <v>1362</v>
      </c>
      <c r="L98" s="81" t="s">
        <v>1255</v>
      </c>
      <c r="M98" s="63">
        <v>45300</v>
      </c>
      <c r="N98" s="60" t="str">
        <f>IF(A98&lt;&gt;"",VLOOKUP(RIGHT(A98,3)*1,[1]SEGMENTAÇÃO!A:H,8,0),"")</f>
        <v>CENTRO</v>
      </c>
      <c r="O98" s="59" t="str">
        <f>IF(A98&lt;&gt;"",VLOOKUP(RIGHT(A98,3)*1,[1]SEGMENTAÇÃO!A:I,9,0),"")</f>
        <v>APARECIDA DO RIO NEGRO</v>
      </c>
    </row>
    <row r="99" spans="1:15" x14ac:dyDescent="0.25">
      <c r="A99" s="60">
        <v>5849892032</v>
      </c>
      <c r="B99" s="83" t="str">
        <f t="shared" si="5"/>
        <v>5849892032.pdf</v>
      </c>
      <c r="C99" s="60" t="s">
        <v>1248</v>
      </c>
      <c r="D99" s="60" t="s">
        <v>1245</v>
      </c>
      <c r="E99" s="60">
        <v>400</v>
      </c>
      <c r="F99" s="60">
        <v>201</v>
      </c>
      <c r="G99" s="60">
        <v>124.5</v>
      </c>
      <c r="H99" s="60" t="s">
        <v>1037</v>
      </c>
      <c r="I99" s="60" t="str">
        <f t="shared" si="3"/>
        <v>34.500</v>
      </c>
      <c r="J99" s="60" t="s">
        <v>1011</v>
      </c>
      <c r="K99" s="60" t="s">
        <v>1363</v>
      </c>
      <c r="L99" s="81" t="s">
        <v>1255</v>
      </c>
      <c r="M99" s="63">
        <v>45299</v>
      </c>
      <c r="N99" s="60" t="str">
        <f>IF(A99&lt;&gt;"",VLOOKUP(RIGHT(A99,3)*1,[1]SEGMENTAÇÃO!A:H,8,0),"")</f>
        <v>SUL</v>
      </c>
      <c r="O99" s="59" t="str">
        <f>IF(A99&lt;&gt;"",VLOOKUP(RIGHT(A99,3)*1,[1]SEGMENTAÇÃO!A:I,9,0),"")</f>
        <v>ARAGUACU</v>
      </c>
    </row>
    <row r="100" spans="1:15" x14ac:dyDescent="0.25">
      <c r="A100" s="60">
        <v>5851753086</v>
      </c>
      <c r="B100" s="83" t="str">
        <f t="shared" si="5"/>
        <v>5851753086.pdf</v>
      </c>
      <c r="C100" s="60" t="s">
        <v>1248</v>
      </c>
      <c r="D100" s="60" t="s">
        <v>1245</v>
      </c>
      <c r="E100" s="60">
        <v>400</v>
      </c>
      <c r="F100" s="60">
        <v>201</v>
      </c>
      <c r="G100" s="60">
        <v>124.5</v>
      </c>
      <c r="H100" s="60" t="s">
        <v>1023</v>
      </c>
      <c r="I100" s="60" t="str">
        <f t="shared" si="3"/>
        <v>34.500</v>
      </c>
      <c r="J100" s="60" t="s">
        <v>1011</v>
      </c>
      <c r="K100" s="60" t="s">
        <v>1324</v>
      </c>
      <c r="L100" s="81" t="s">
        <v>1255</v>
      </c>
      <c r="M100" s="63">
        <v>45288</v>
      </c>
      <c r="N100" s="60" t="str">
        <f>IF(A100&lt;&gt;"",VLOOKUP(RIGHT(A100,3)*1,[1]SEGMENTAÇÃO!A:H,8,0),"")</f>
        <v>CENTRO</v>
      </c>
      <c r="O100" s="59" t="str">
        <f>IF(A100&lt;&gt;"",VLOOKUP(RIGHT(A100,3)*1,[1]SEGMENTAÇÃO!A:I,9,0),"")</f>
        <v>MARIANOPOLIS</v>
      </c>
    </row>
    <row r="101" spans="1:15" x14ac:dyDescent="0.25">
      <c r="A101" s="60">
        <v>5853360007</v>
      </c>
      <c r="B101" s="83" t="str">
        <f t="shared" si="5"/>
        <v>5853360007.pdf</v>
      </c>
      <c r="C101" s="60" t="s">
        <v>1248</v>
      </c>
      <c r="D101" s="60" t="s">
        <v>1245</v>
      </c>
      <c r="E101" s="60">
        <v>400</v>
      </c>
      <c r="F101" s="60">
        <v>201</v>
      </c>
      <c r="G101" s="60">
        <v>124.5</v>
      </c>
      <c r="H101" s="60" t="s">
        <v>425</v>
      </c>
      <c r="I101" s="60" t="str">
        <f t="shared" si="3"/>
        <v>34.500</v>
      </c>
      <c r="J101" s="60" t="s">
        <v>1011</v>
      </c>
      <c r="K101" s="60" t="s">
        <v>1364</v>
      </c>
      <c r="L101" s="60" t="s">
        <v>1272</v>
      </c>
      <c r="M101" s="63">
        <v>45225</v>
      </c>
      <c r="N101" s="60" t="str">
        <f>IF(A101&lt;&gt;"",VLOOKUP(RIGHT(A101,3)*1,[1]SEGMENTAÇÃO!A:H,8,0),"")</f>
        <v>CENTRO</v>
      </c>
      <c r="O101" s="59" t="str">
        <f>IF(A101&lt;&gt;"",VLOOKUP(RIGHT(A101,3)*1,[1]SEGMENTAÇÃO!A:I,9,0),"")</f>
        <v>MIRACEMA DO TOCANTINS</v>
      </c>
    </row>
    <row r="102" spans="1:15" x14ac:dyDescent="0.25">
      <c r="A102" s="60">
        <v>5848685005</v>
      </c>
      <c r="B102" s="83" t="str">
        <f t="shared" si="5"/>
        <v>5848685005.pdf</v>
      </c>
      <c r="C102" s="60" t="s">
        <v>1248</v>
      </c>
      <c r="D102" s="60" t="s">
        <v>1245</v>
      </c>
      <c r="E102" s="60">
        <v>398</v>
      </c>
      <c r="F102" s="60">
        <v>200</v>
      </c>
      <c r="G102" s="60">
        <v>124.6</v>
      </c>
      <c r="H102" s="60" t="s">
        <v>1078</v>
      </c>
      <c r="I102" s="60" t="str">
        <f t="shared" si="3"/>
        <v>34.500</v>
      </c>
      <c r="J102" s="60" t="s">
        <v>1011</v>
      </c>
      <c r="K102" s="60" t="s">
        <v>1365</v>
      </c>
      <c r="L102" s="60" t="s">
        <v>1272</v>
      </c>
      <c r="M102" s="63">
        <v>45201</v>
      </c>
      <c r="N102" s="60" t="str">
        <f>IF(A102&lt;&gt;"",VLOOKUP(RIGHT(A102,3)*1,[1]SEGMENTAÇÃO!A:H,8,0),"")</f>
        <v>SUL</v>
      </c>
      <c r="O102" s="59" t="str">
        <f>IF(A102&lt;&gt;"",VLOOKUP(RIGHT(A102,3)*1,[1]SEGMENTAÇÃO!A:I,9,0),"")</f>
        <v>ARRAIAS</v>
      </c>
    </row>
    <row r="103" spans="1:15" x14ac:dyDescent="0.25">
      <c r="A103" s="60">
        <v>5848475097</v>
      </c>
      <c r="B103" s="83" t="str">
        <f t="shared" si="5"/>
        <v>5848475097.pdf</v>
      </c>
      <c r="C103" s="60" t="s">
        <v>1248</v>
      </c>
      <c r="D103" s="60" t="s">
        <v>1245</v>
      </c>
      <c r="E103" s="60">
        <v>239</v>
      </c>
      <c r="F103" s="60">
        <v>300</v>
      </c>
      <c r="G103" s="60">
        <v>124.5</v>
      </c>
      <c r="H103" s="60" t="s">
        <v>1026</v>
      </c>
      <c r="I103" s="60" t="str">
        <f t="shared" si="3"/>
        <v>13.800</v>
      </c>
      <c r="J103" s="60" t="s">
        <v>1011</v>
      </c>
      <c r="K103" s="60" t="s">
        <v>1366</v>
      </c>
      <c r="L103" s="60" t="s">
        <v>1272</v>
      </c>
      <c r="M103" s="63">
        <v>45201</v>
      </c>
      <c r="N103" s="60" t="str">
        <f>IF(A103&lt;&gt;"",VLOOKUP(RIGHT(A103,3)*1,[1]SEGMENTAÇÃO!A:H,8,0),"")</f>
        <v>SUL</v>
      </c>
      <c r="O103" s="59" t="str">
        <f>IF(A103&lt;&gt;"",VLOOKUP(RIGHT(A103,3)*1,[1]SEGMENTAÇÃO!A:I,9,0),"")</f>
        <v>TALISMA</v>
      </c>
    </row>
    <row r="104" spans="1:15" x14ac:dyDescent="0.25">
      <c r="A104" s="60">
        <v>5849245019</v>
      </c>
      <c r="B104" s="83" t="str">
        <f t="shared" si="5"/>
        <v>5849245019.pdf</v>
      </c>
      <c r="C104" s="60" t="s">
        <v>1248</v>
      </c>
      <c r="D104" s="60" t="s">
        <v>1245</v>
      </c>
      <c r="E104" s="60">
        <v>400</v>
      </c>
      <c r="F104" s="60">
        <v>201</v>
      </c>
      <c r="G104" s="60">
        <v>124.5</v>
      </c>
      <c r="H104" s="60" t="s">
        <v>1167</v>
      </c>
      <c r="I104" s="60" t="str">
        <f t="shared" si="3"/>
        <v>34.500</v>
      </c>
      <c r="J104" s="60" t="s">
        <v>1011</v>
      </c>
      <c r="K104" s="60" t="s">
        <v>1367</v>
      </c>
      <c r="L104" s="81" t="s">
        <v>1255</v>
      </c>
      <c r="M104" s="63">
        <v>45173</v>
      </c>
      <c r="N104" s="60" t="str">
        <f>IF(A104&lt;&gt;"",VLOOKUP(RIGHT(A104,3)*1,[1]SEGMENTAÇÃO!A:H,8,0),"")</f>
        <v>NORTE</v>
      </c>
      <c r="O104" s="59" t="str">
        <f>IF(A104&lt;&gt;"",VLOOKUP(RIGHT(A104,3)*1,[1]SEGMENTAÇÃO!A:I,9,0),"")</f>
        <v>FILADELFIA</v>
      </c>
    </row>
    <row r="105" spans="1:15" x14ac:dyDescent="0.25">
      <c r="A105" s="60">
        <v>5848517004</v>
      </c>
      <c r="B105" s="83" t="str">
        <f t="shared" si="5"/>
        <v>5848517004.pdf</v>
      </c>
      <c r="C105" s="60" t="s">
        <v>1248</v>
      </c>
      <c r="D105" s="60" t="s">
        <v>1245</v>
      </c>
      <c r="E105" s="60">
        <v>400</v>
      </c>
      <c r="F105" s="60">
        <v>201</v>
      </c>
      <c r="G105" s="60">
        <v>124.5</v>
      </c>
      <c r="H105" s="60" t="s">
        <v>1119</v>
      </c>
      <c r="I105" s="60" t="str">
        <f t="shared" ref="I105:I168" si="6">IF(H105&lt;&gt;"",IF(LEFT(H105,2)="AL","13.800","34.500"),"")</f>
        <v>34.500</v>
      </c>
      <c r="J105" s="60" t="s">
        <v>1011</v>
      </c>
      <c r="K105" s="60" t="s">
        <v>1368</v>
      </c>
      <c r="L105" s="81" t="s">
        <v>1255</v>
      </c>
      <c r="M105" s="63">
        <v>45160</v>
      </c>
      <c r="N105" s="60" t="str">
        <f>IF(A105&lt;&gt;"",VLOOKUP(RIGHT(A105,3)*1,[1]SEGMENTAÇÃO!A:H,8,0),"")</f>
        <v>NORTE</v>
      </c>
      <c r="O105" s="59" t="str">
        <f>IF(A105&lt;&gt;"",VLOOKUP(RIGHT(A105,3)*1,[1]SEGMENTAÇÃO!A:I,9,0),"")</f>
        <v>ARAGUAINA</v>
      </c>
    </row>
    <row r="106" spans="1:15" x14ac:dyDescent="0.25">
      <c r="A106" s="60">
        <v>5843649091</v>
      </c>
      <c r="B106" s="83" t="str">
        <f t="shared" si="5"/>
        <v>5843649091.pdf</v>
      </c>
      <c r="C106" s="60" t="s">
        <v>1248</v>
      </c>
      <c r="D106" s="60" t="s">
        <v>1245</v>
      </c>
      <c r="E106" s="60">
        <v>398</v>
      </c>
      <c r="F106" s="60">
        <v>200</v>
      </c>
      <c r="G106" s="60" t="s">
        <v>1369</v>
      </c>
      <c r="H106" s="60" t="s">
        <v>1183</v>
      </c>
      <c r="I106" s="60" t="str">
        <f t="shared" si="6"/>
        <v>34.500</v>
      </c>
      <c r="J106" s="60" t="s">
        <v>1011</v>
      </c>
      <c r="K106" s="60" t="s">
        <v>1370</v>
      </c>
      <c r="L106" s="60" t="s">
        <v>1371</v>
      </c>
      <c r="M106" s="63">
        <v>45154</v>
      </c>
      <c r="N106" s="60" t="str">
        <f>IF(A106&lt;&gt;"",VLOOKUP(RIGHT(A106,3)*1,[1]SEGMENTAÇÃO!A:H,8,0),"")</f>
        <v>SUL</v>
      </c>
      <c r="O106" s="59" t="str">
        <f>IF(A106&lt;&gt;"",VLOOKUP(RIGHT(A106,3)*1,[1]SEGMENTAÇÃO!A:I,9,0),"")</f>
        <v>ALMAS</v>
      </c>
    </row>
    <row r="107" spans="1:15" x14ac:dyDescent="0.25">
      <c r="A107" s="60">
        <v>5851857001</v>
      </c>
      <c r="B107" s="83" t="str">
        <f t="shared" si="5"/>
        <v>5851857001.pdf</v>
      </c>
      <c r="C107" s="60" t="s">
        <v>1248</v>
      </c>
      <c r="D107" s="60" t="s">
        <v>1245</v>
      </c>
      <c r="E107" s="60">
        <v>239</v>
      </c>
      <c r="F107" s="60">
        <v>300</v>
      </c>
      <c r="G107" s="60">
        <v>124</v>
      </c>
      <c r="H107" s="60" t="s">
        <v>1193</v>
      </c>
      <c r="I107" s="60" t="str">
        <f t="shared" si="6"/>
        <v>13.800</v>
      </c>
      <c r="J107" s="60" t="s">
        <v>1011</v>
      </c>
      <c r="K107" s="59" t="s">
        <v>1279</v>
      </c>
      <c r="L107" s="81" t="s">
        <v>1255</v>
      </c>
      <c r="M107" s="63">
        <v>45099</v>
      </c>
      <c r="N107" s="60" t="str">
        <f>IF(A107&lt;&gt;"",VLOOKUP(RIGHT(A107,3)*1,[1]SEGMENTAÇÃO!A:H,8,0),"")</f>
        <v>CENTRO</v>
      </c>
      <c r="O107" s="59" t="str">
        <f>IF(A107&lt;&gt;"",VLOOKUP(RIGHT(A107,3)*1,[1]SEGMENTAÇÃO!A:I,9,0),"")</f>
        <v>PORTO NACIONAL</v>
      </c>
    </row>
    <row r="108" spans="1:15" x14ac:dyDescent="0.25">
      <c r="A108" s="60">
        <v>5848554003</v>
      </c>
      <c r="B108" s="83" t="str">
        <f t="shared" si="5"/>
        <v>5848554003.pdf</v>
      </c>
      <c r="C108" s="60" t="s">
        <v>1248</v>
      </c>
      <c r="D108" s="60" t="s">
        <v>1245</v>
      </c>
      <c r="E108" s="60">
        <v>239</v>
      </c>
      <c r="F108" s="60">
        <v>300</v>
      </c>
      <c r="G108" s="60">
        <v>124.5</v>
      </c>
      <c r="H108" s="60" t="s">
        <v>1195</v>
      </c>
      <c r="I108" s="60" t="str">
        <f t="shared" si="6"/>
        <v>13.800</v>
      </c>
      <c r="J108" s="60" t="s">
        <v>1011</v>
      </c>
      <c r="K108" s="60" t="s">
        <v>1372</v>
      </c>
      <c r="L108" s="60" t="s">
        <v>1272</v>
      </c>
      <c r="M108" s="63">
        <v>45076</v>
      </c>
      <c r="N108" s="60" t="str">
        <f>IF(A108&lt;&gt;"",VLOOKUP(RIGHT(A108,3)*1,[1]SEGMENTAÇÃO!A:H,8,0),"")</f>
        <v>SUL</v>
      </c>
      <c r="O108" s="59" t="str">
        <f>IF(A108&lt;&gt;"",VLOOKUP(RIGHT(A108,3)*1,[1]SEGMENTAÇÃO!A:I,9,0),"")</f>
        <v>GURUPI</v>
      </c>
    </row>
    <row r="109" spans="1:15" x14ac:dyDescent="0.25">
      <c r="A109" s="60">
        <v>5844369186</v>
      </c>
      <c r="B109" s="83" t="str">
        <f t="shared" si="5"/>
        <v>5844369186.pdf</v>
      </c>
      <c r="C109" s="60" t="s">
        <v>1248</v>
      </c>
      <c r="D109" s="60" t="s">
        <v>1245</v>
      </c>
      <c r="E109" s="60">
        <v>400</v>
      </c>
      <c r="F109" s="60">
        <v>201</v>
      </c>
      <c r="G109" s="60">
        <v>124.5</v>
      </c>
      <c r="H109" s="60" t="s">
        <v>1103</v>
      </c>
      <c r="I109" s="60" t="str">
        <f t="shared" si="6"/>
        <v>34.500</v>
      </c>
      <c r="J109" s="60" t="s">
        <v>1011</v>
      </c>
      <c r="K109" s="60" t="s">
        <v>1373</v>
      </c>
      <c r="L109" s="60" t="s">
        <v>1272</v>
      </c>
      <c r="M109" s="63">
        <v>45075</v>
      </c>
      <c r="N109" s="60" t="str">
        <f>IF(A109&lt;&gt;"",VLOOKUP(RIGHT(A109,3)*1,[1]SEGMENTAÇÃO!A:H,8,0),"")</f>
        <v>SUL</v>
      </c>
      <c r="O109" s="59" t="str">
        <f>IF(A109&lt;&gt;"",VLOOKUP(RIGHT(A109,3)*1,[1]SEGMENTAÇÃO!A:I,9,0),"")</f>
        <v>JAU DO TOCANTINS</v>
      </c>
    </row>
    <row r="110" spans="1:15" x14ac:dyDescent="0.25">
      <c r="A110" s="60">
        <v>5848968003</v>
      </c>
      <c r="B110" s="83" t="str">
        <f t="shared" si="5"/>
        <v>5848968003.pdf</v>
      </c>
      <c r="C110" s="60" t="s">
        <v>1248</v>
      </c>
      <c r="D110" s="60" t="s">
        <v>1245</v>
      </c>
      <c r="E110" s="60">
        <v>400</v>
      </c>
      <c r="F110" s="60">
        <v>201</v>
      </c>
      <c r="G110" s="60">
        <v>124.5</v>
      </c>
      <c r="H110" s="60" t="s">
        <v>483</v>
      </c>
      <c r="I110" s="60" t="str">
        <f t="shared" si="6"/>
        <v>34.500</v>
      </c>
      <c r="J110" s="60" t="s">
        <v>1011</v>
      </c>
      <c r="K110" s="60" t="s">
        <v>1374</v>
      </c>
      <c r="L110" s="60" t="s">
        <v>1272</v>
      </c>
      <c r="M110" s="63">
        <v>45075</v>
      </c>
      <c r="N110" s="60" t="str">
        <f>IF(A110&lt;&gt;"",VLOOKUP(RIGHT(A110,3)*1,[1]SEGMENTAÇÃO!A:H,8,0),"")</f>
        <v>SUL</v>
      </c>
      <c r="O110" s="59" t="str">
        <f>IF(A110&lt;&gt;"",VLOOKUP(RIGHT(A110,3)*1,[1]SEGMENTAÇÃO!A:I,9,0),"")</f>
        <v>GURUPI</v>
      </c>
    </row>
    <row r="111" spans="1:15" x14ac:dyDescent="0.25">
      <c r="A111" s="60">
        <v>5847496001</v>
      </c>
      <c r="B111" s="83" t="str">
        <f t="shared" si="5"/>
        <v>5847496001.pdf</v>
      </c>
      <c r="C111" s="60" t="s">
        <v>1248</v>
      </c>
      <c r="D111" s="60" t="s">
        <v>1245</v>
      </c>
      <c r="E111" s="60">
        <v>239</v>
      </c>
      <c r="F111" s="60">
        <v>300</v>
      </c>
      <c r="G111" s="60">
        <v>124.5</v>
      </c>
      <c r="H111" s="60" t="s">
        <v>1190</v>
      </c>
      <c r="I111" s="60" t="str">
        <f t="shared" si="6"/>
        <v>13.800</v>
      </c>
      <c r="J111" s="60" t="s">
        <v>1011</v>
      </c>
      <c r="K111" s="60" t="s">
        <v>1375</v>
      </c>
      <c r="L111" s="81" t="s">
        <v>1255</v>
      </c>
      <c r="M111" s="63">
        <v>45001</v>
      </c>
      <c r="N111" s="60" t="str">
        <f>IF(A111&lt;&gt;"",VLOOKUP(RIGHT(A111,3)*1,[1]SEGMENTAÇÃO!A:H,8,0),"")</f>
        <v>CENTRO</v>
      </c>
      <c r="O111" s="59" t="str">
        <f>IF(A111&lt;&gt;"",VLOOKUP(RIGHT(A111,3)*1,[1]SEGMENTAÇÃO!A:I,9,0),"")</f>
        <v>PORTO NACIONAL</v>
      </c>
    </row>
    <row r="112" spans="1:15" x14ac:dyDescent="0.25">
      <c r="A112" s="84">
        <v>5801843038</v>
      </c>
      <c r="B112" s="83" t="str">
        <f t="shared" si="5"/>
        <v>5801843038.pdf</v>
      </c>
      <c r="C112" s="60" t="s">
        <v>1248</v>
      </c>
      <c r="D112" s="60" t="s">
        <v>1245</v>
      </c>
      <c r="E112" s="60">
        <v>200</v>
      </c>
      <c r="F112" s="60">
        <v>100</v>
      </c>
      <c r="G112" s="60">
        <v>124.5</v>
      </c>
      <c r="H112" s="60" t="s">
        <v>1094</v>
      </c>
      <c r="I112" s="60" t="str">
        <f t="shared" si="6"/>
        <v>34.500</v>
      </c>
      <c r="J112" s="60" t="s">
        <v>1011</v>
      </c>
      <c r="K112" s="59" t="s">
        <v>1376</v>
      </c>
      <c r="L112" s="85" t="s">
        <v>1255</v>
      </c>
      <c r="M112" s="63">
        <v>44999</v>
      </c>
      <c r="N112" s="60" t="str">
        <f>IF(A112&lt;&gt;"",VLOOKUP(RIGHT(A112,3)*1,[1]SEGMENTAÇÃO!A:H,8,0),"")</f>
        <v>SUL</v>
      </c>
      <c r="O112" s="59" t="str">
        <f>IF(A112&lt;&gt;"",VLOOKUP(RIGHT(A112,3)*1,[1]SEGMENTAÇÃO!A:I,9,0),"")</f>
        <v>TAGUATINGA</v>
      </c>
    </row>
    <row r="113" spans="1:15" x14ac:dyDescent="0.25">
      <c r="A113" s="60">
        <v>5849327013</v>
      </c>
      <c r="B113" s="83" t="str">
        <f t="shared" si="5"/>
        <v>5849327013.pdf</v>
      </c>
      <c r="C113" s="60" t="s">
        <v>1248</v>
      </c>
      <c r="D113" s="60" t="s">
        <v>1245</v>
      </c>
      <c r="E113" s="60">
        <v>239</v>
      </c>
      <c r="F113" s="60">
        <v>300</v>
      </c>
      <c r="G113" s="60">
        <v>124.5</v>
      </c>
      <c r="H113" s="60" t="s">
        <v>392</v>
      </c>
      <c r="I113" s="60" t="str">
        <f t="shared" si="6"/>
        <v>13.800</v>
      </c>
      <c r="J113" s="60" t="s">
        <v>1011</v>
      </c>
      <c r="K113" s="60" t="s">
        <v>1361</v>
      </c>
      <c r="L113" s="81" t="s">
        <v>1255</v>
      </c>
      <c r="M113" s="63">
        <v>44886</v>
      </c>
      <c r="N113" s="60" t="str">
        <f>IF(A113&lt;&gt;"",VLOOKUP(RIGHT(A113,3)*1,[1]SEGMENTAÇÃO!A:H,8,0),"")</f>
        <v>CENTRO</v>
      </c>
      <c r="O113" s="59" t="str">
        <f>IF(A113&lt;&gt;"",VLOOKUP(RIGHT(A113,3)*1,[1]SEGMENTAÇÃO!A:I,9,0),"")</f>
        <v>PARAISO DO TOCANTINS</v>
      </c>
    </row>
    <row r="114" spans="1:15" x14ac:dyDescent="0.25">
      <c r="A114" s="60">
        <v>5847227003</v>
      </c>
      <c r="B114" s="83" t="str">
        <f t="shared" si="5"/>
        <v>5847227003.pdf</v>
      </c>
      <c r="C114" s="60" t="s">
        <v>1248</v>
      </c>
      <c r="D114" s="60" t="s">
        <v>1245</v>
      </c>
      <c r="E114" s="60">
        <v>239</v>
      </c>
      <c r="F114" s="60">
        <v>300</v>
      </c>
      <c r="G114" s="60">
        <v>124.5</v>
      </c>
      <c r="H114" s="60" t="s">
        <v>1059</v>
      </c>
      <c r="I114" s="60" t="str">
        <f t="shared" si="6"/>
        <v>13.800</v>
      </c>
      <c r="J114" s="60" t="s">
        <v>1011</v>
      </c>
      <c r="K114" s="60" t="s">
        <v>1377</v>
      </c>
      <c r="L114" s="81" t="s">
        <v>1255</v>
      </c>
      <c r="M114" s="63">
        <v>44872</v>
      </c>
      <c r="N114" s="60" t="str">
        <f>IF(A114&lt;&gt;"",VLOOKUP(RIGHT(A114,3)*1,[1]SEGMENTAÇÃO!A:H,8,0),"")</f>
        <v>SUL</v>
      </c>
      <c r="O114" s="59" t="str">
        <f>IF(A114&lt;&gt;"",VLOOKUP(RIGHT(A114,3)*1,[1]SEGMENTAÇÃO!A:I,9,0),"")</f>
        <v>GURUPI</v>
      </c>
    </row>
    <row r="115" spans="1:15" x14ac:dyDescent="0.25">
      <c r="A115" s="60">
        <v>5847506122</v>
      </c>
      <c r="B115" s="83" t="str">
        <f t="shared" si="5"/>
        <v>5847506122.pdf</v>
      </c>
      <c r="C115" s="60" t="s">
        <v>1248</v>
      </c>
      <c r="D115" s="60" t="s">
        <v>1245</v>
      </c>
      <c r="E115" s="60">
        <v>239</v>
      </c>
      <c r="F115" s="60">
        <v>300</v>
      </c>
      <c r="G115" s="60">
        <v>124.5</v>
      </c>
      <c r="H115" s="60" t="s">
        <v>1088</v>
      </c>
      <c r="I115" s="60" t="str">
        <f t="shared" si="6"/>
        <v>13.800</v>
      </c>
      <c r="J115" s="60" t="s">
        <v>1011</v>
      </c>
      <c r="K115" s="60" t="s">
        <v>1378</v>
      </c>
      <c r="L115" s="81" t="s">
        <v>1255</v>
      </c>
      <c r="M115" s="63">
        <v>44858</v>
      </c>
      <c r="N115" s="60" t="str">
        <f>IF(A115&lt;&gt;"",VLOOKUP(RIGHT(A115,3)*1,[1]SEGMENTAÇÃO!A:H,8,0),"")</f>
        <v>CENTRO</v>
      </c>
      <c r="O115" s="59" t="str">
        <f>IF(A115&lt;&gt;"",VLOOKUP(RIGHT(A115,3)*1,[1]SEGMENTAÇÃO!A:I,9,0),"")</f>
        <v>PALMAS</v>
      </c>
    </row>
    <row r="116" spans="1:15" x14ac:dyDescent="0.25">
      <c r="A116" s="60">
        <v>5847351063</v>
      </c>
      <c r="B116" s="83" t="str">
        <f t="shared" si="5"/>
        <v>5847351063.pdf</v>
      </c>
      <c r="C116" s="60" t="s">
        <v>1248</v>
      </c>
      <c r="D116" s="60" t="s">
        <v>1245</v>
      </c>
      <c r="E116" s="60">
        <v>239</v>
      </c>
      <c r="F116" s="60">
        <v>300</v>
      </c>
      <c r="G116" s="60">
        <v>124.5</v>
      </c>
      <c r="H116" s="60" t="s">
        <v>1110</v>
      </c>
      <c r="I116" s="60" t="str">
        <f t="shared" si="6"/>
        <v>13.800</v>
      </c>
      <c r="J116" s="60" t="s">
        <v>1011</v>
      </c>
      <c r="K116" s="60" t="s">
        <v>1379</v>
      </c>
      <c r="L116" s="81" t="s">
        <v>1255</v>
      </c>
      <c r="M116" s="63">
        <v>44826</v>
      </c>
      <c r="N116" s="60" t="str">
        <f>IF(A116&lt;&gt;"",VLOOKUP(RIGHT(A116,3)*1,[1]SEGMENTAÇÃO!A:H,8,0),"")</f>
        <v>NORTE</v>
      </c>
      <c r="O116" s="59" t="str">
        <f>IF(A116&lt;&gt;"",VLOOKUP(RIGHT(A116,3)*1,[1]SEGMENTAÇÃO!A:I,9,0),"")</f>
        <v>BANDEIRANTES DO TOCANTINS</v>
      </c>
    </row>
    <row r="117" spans="1:15" x14ac:dyDescent="0.25">
      <c r="A117" s="60">
        <v>5845765030</v>
      </c>
      <c r="B117" s="83" t="str">
        <f t="shared" si="5"/>
        <v>5845765030.pdf</v>
      </c>
      <c r="C117" s="60" t="s">
        <v>1248</v>
      </c>
      <c r="D117" s="60" t="s">
        <v>1245</v>
      </c>
      <c r="E117" s="60">
        <v>239</v>
      </c>
      <c r="F117" s="60">
        <v>300</v>
      </c>
      <c r="G117" s="60">
        <v>124.5</v>
      </c>
      <c r="H117" s="60" t="s">
        <v>1380</v>
      </c>
      <c r="I117" s="60" t="str">
        <f t="shared" si="6"/>
        <v>13.800</v>
      </c>
      <c r="J117" s="60" t="s">
        <v>1011</v>
      </c>
      <c r="K117" s="60" t="s">
        <v>1381</v>
      </c>
      <c r="L117" s="81" t="s">
        <v>1255</v>
      </c>
      <c r="M117" s="63">
        <v>44820</v>
      </c>
      <c r="N117" s="60" t="str">
        <f>IF(A117&lt;&gt;"",VLOOKUP(RIGHT(A117,3)*1,[1]SEGMENTAÇÃO!A:H,8,0),"")</f>
        <v>NORTE</v>
      </c>
      <c r="O117" s="59" t="str">
        <f>IF(A117&lt;&gt;"",VLOOKUP(RIGHT(A117,3)*1,[1]SEGMENTAÇÃO!A:I,9,0),"")</f>
        <v>XAMBIOA</v>
      </c>
    </row>
    <row r="118" spans="1:15" x14ac:dyDescent="0.25">
      <c r="A118" s="60">
        <v>5846401004</v>
      </c>
      <c r="B118" s="83" t="str">
        <f t="shared" si="5"/>
        <v>5846401004.pdf</v>
      </c>
      <c r="C118" s="60" t="s">
        <v>1248</v>
      </c>
      <c r="D118" s="60" t="s">
        <v>1245</v>
      </c>
      <c r="E118" s="60">
        <v>239</v>
      </c>
      <c r="F118" s="60">
        <v>300</v>
      </c>
      <c r="G118" s="60">
        <v>124.5</v>
      </c>
      <c r="H118" s="60" t="s">
        <v>1123</v>
      </c>
      <c r="I118" s="60" t="str">
        <f t="shared" si="6"/>
        <v>13.800</v>
      </c>
      <c r="J118" s="60" t="s">
        <v>1011</v>
      </c>
      <c r="K118" s="60" t="s">
        <v>1382</v>
      </c>
      <c r="L118" s="81" t="s">
        <v>1255</v>
      </c>
      <c r="M118" s="63">
        <v>44803</v>
      </c>
      <c r="N118" s="60" t="str">
        <f>IF(A118&lt;&gt;"",VLOOKUP(RIGHT(A118,3)*1,[1]SEGMENTAÇÃO!A:H,8,0),"")</f>
        <v>NORTE</v>
      </c>
      <c r="O118" s="59" t="str">
        <f>IF(A118&lt;&gt;"",VLOOKUP(RIGHT(A118,3)*1,[1]SEGMENTAÇÃO!A:I,9,0),"")</f>
        <v>ARAGUAINA</v>
      </c>
    </row>
    <row r="119" spans="1:15" x14ac:dyDescent="0.25">
      <c r="A119" s="60">
        <v>5846699075</v>
      </c>
      <c r="B119" s="83" t="str">
        <f t="shared" si="5"/>
        <v>5846699075.pdf</v>
      </c>
      <c r="C119" s="60" t="s">
        <v>1248</v>
      </c>
      <c r="D119" s="60" t="s">
        <v>1245</v>
      </c>
      <c r="E119" s="60">
        <v>400</v>
      </c>
      <c r="F119" s="60">
        <v>201</v>
      </c>
      <c r="G119" s="60">
        <v>12.45</v>
      </c>
      <c r="H119" s="60" t="s">
        <v>1040</v>
      </c>
      <c r="I119" s="60" t="str">
        <f t="shared" si="6"/>
        <v>34.500</v>
      </c>
      <c r="J119" s="60" t="s">
        <v>1005</v>
      </c>
      <c r="K119" s="60" t="s">
        <v>1383</v>
      </c>
      <c r="L119" s="60" t="s">
        <v>1384</v>
      </c>
      <c r="M119" s="63">
        <v>44700</v>
      </c>
      <c r="N119" s="60" t="str">
        <f>IF(A119&lt;&gt;"",VLOOKUP(RIGHT(A119,3)*1,[1]SEGMENTAÇÃO!A:H,8,0),"")</f>
        <v>CENTRO</v>
      </c>
      <c r="O119" s="59" t="str">
        <f>IF(A119&lt;&gt;"",VLOOKUP(RIGHT(A119,3)*1,[1]SEGMENTAÇÃO!A:I,9,0),"")</f>
        <v>DOIS IRMAOS DO TOCANTINS</v>
      </c>
    </row>
    <row r="120" spans="1:15" x14ac:dyDescent="0.25">
      <c r="A120" s="60">
        <v>5835226045</v>
      </c>
      <c r="B120" s="83" t="str">
        <f t="shared" si="5"/>
        <v>5835226045.pdf</v>
      </c>
      <c r="C120" s="60" t="s">
        <v>1248</v>
      </c>
      <c r="D120" s="60" t="s">
        <v>1245</v>
      </c>
      <c r="E120" s="60">
        <v>400</v>
      </c>
      <c r="F120" s="60">
        <v>201</v>
      </c>
      <c r="G120" s="60">
        <v>124.5</v>
      </c>
      <c r="H120" s="60" t="s">
        <v>1012</v>
      </c>
      <c r="I120" s="60" t="str">
        <f t="shared" si="6"/>
        <v>34.500</v>
      </c>
      <c r="J120" s="60" t="s">
        <v>1011</v>
      </c>
      <c r="K120" s="60" t="s">
        <v>1385</v>
      </c>
      <c r="L120" s="81" t="s">
        <v>1255</v>
      </c>
      <c r="M120" s="63">
        <v>44491</v>
      </c>
      <c r="N120" s="60" t="str">
        <f>IF(A120&lt;&gt;"",VLOOKUP(RIGHT(A120,3)*1,[1]SEGMENTAÇÃO!A:H,8,0),"")</f>
        <v>NORTE</v>
      </c>
      <c r="O120" s="59" t="str">
        <f>IF(A120&lt;&gt;"",VLOOKUP(RIGHT(A120,3)*1,[1]SEGMENTAÇÃO!A:I,9,0),"")</f>
        <v>AUGUSTINOPOLIS</v>
      </c>
    </row>
    <row r="121" spans="1:15" x14ac:dyDescent="0.25">
      <c r="A121" s="60">
        <v>5843204066</v>
      </c>
      <c r="B121" s="83" t="str">
        <f t="shared" si="5"/>
        <v>5843204066.pdf</v>
      </c>
      <c r="C121" s="60" t="s">
        <v>1248</v>
      </c>
      <c r="D121" s="60" t="s">
        <v>1245</v>
      </c>
      <c r="E121" s="60">
        <v>400</v>
      </c>
      <c r="F121" s="60">
        <v>201</v>
      </c>
      <c r="G121" s="60">
        <v>124.5</v>
      </c>
      <c r="H121" s="60" t="s">
        <v>1047</v>
      </c>
      <c r="I121" s="60" t="str">
        <f t="shared" si="6"/>
        <v>34.500</v>
      </c>
      <c r="J121" s="60" t="s">
        <v>1011</v>
      </c>
      <c r="K121" s="60" t="s">
        <v>1386</v>
      </c>
      <c r="L121" s="81" t="s">
        <v>1255</v>
      </c>
      <c r="M121" s="63">
        <v>44490</v>
      </c>
      <c r="N121" s="60" t="str">
        <f>IF(A121&lt;&gt;"",VLOOKUP(RIGHT(A121,3)*1,[1]SEGMENTAÇÃO!A:H,8,0),"")</f>
        <v>NORTE</v>
      </c>
      <c r="O121" s="59" t="str">
        <f>IF(A121&lt;&gt;"",VLOOKUP(RIGHT(A121,3)*1,[1]SEGMENTAÇÃO!A:I,9,0),"")</f>
        <v>TUPIRATINS</v>
      </c>
    </row>
    <row r="122" spans="1:15" x14ac:dyDescent="0.25">
      <c r="A122" s="60">
        <v>5844296001</v>
      </c>
      <c r="B122" s="83" t="str">
        <f t="shared" si="5"/>
        <v>5844296001.pdf</v>
      </c>
      <c r="C122" s="60" t="s">
        <v>1248</v>
      </c>
      <c r="D122" s="60" t="s">
        <v>1245</v>
      </c>
      <c r="E122" s="60" t="s">
        <v>1266</v>
      </c>
      <c r="F122" s="60" t="s">
        <v>1267</v>
      </c>
      <c r="G122" s="60">
        <v>124.5</v>
      </c>
      <c r="H122" s="60" t="s">
        <v>1169</v>
      </c>
      <c r="I122" s="60" t="str">
        <f t="shared" si="6"/>
        <v>13.800</v>
      </c>
      <c r="J122" s="60" t="s">
        <v>1011</v>
      </c>
      <c r="K122" s="60" t="s">
        <v>36</v>
      </c>
      <c r="L122" s="81" t="s">
        <v>1255</v>
      </c>
      <c r="M122" s="63">
        <v>44488</v>
      </c>
      <c r="N122" s="60" t="str">
        <f>IF(A122&lt;&gt;"",VLOOKUP(RIGHT(A122,3)*1,[1]SEGMENTAÇÃO!A:H,8,0),"")</f>
        <v>CENTRO</v>
      </c>
      <c r="O122" s="59" t="str">
        <f>IF(A122&lt;&gt;"",VLOOKUP(RIGHT(A122,3)*1,[1]SEGMENTAÇÃO!A:I,9,0),"")</f>
        <v>PORTO NACIONAL</v>
      </c>
    </row>
    <row r="123" spans="1:15" x14ac:dyDescent="0.25">
      <c r="A123" s="60">
        <v>5844277001</v>
      </c>
      <c r="B123" s="83" t="str">
        <f t="shared" si="5"/>
        <v>5844277001.pdf</v>
      </c>
      <c r="C123" s="60" t="s">
        <v>1248</v>
      </c>
      <c r="D123" s="60" t="s">
        <v>1280</v>
      </c>
      <c r="E123" s="60">
        <v>167</v>
      </c>
      <c r="F123" s="60">
        <v>219</v>
      </c>
      <c r="G123" s="60">
        <v>124.5</v>
      </c>
      <c r="H123" s="60" t="s">
        <v>1128</v>
      </c>
      <c r="I123" s="60" t="str">
        <f t="shared" si="6"/>
        <v>13.800</v>
      </c>
      <c r="J123" s="60" t="s">
        <v>1011</v>
      </c>
      <c r="K123" s="60" t="s">
        <v>36</v>
      </c>
      <c r="L123" s="81" t="s">
        <v>1255</v>
      </c>
      <c r="M123" s="63">
        <v>44488</v>
      </c>
      <c r="N123" s="60" t="str">
        <f>IF(A123&lt;&gt;"",VLOOKUP(RIGHT(A123,3)*1,[1]SEGMENTAÇÃO!A:H,8,0),"")</f>
        <v>CENTRO</v>
      </c>
      <c r="O123" s="59" t="str">
        <f>IF(A123&lt;&gt;"",VLOOKUP(RIGHT(A123,3)*1,[1]SEGMENTAÇÃO!A:I,9,0),"")</f>
        <v>PORTO NACIONAL</v>
      </c>
    </row>
    <row r="124" spans="1:15" x14ac:dyDescent="0.25">
      <c r="A124" s="84">
        <v>5800535010</v>
      </c>
      <c r="B124" s="83" t="str">
        <f t="shared" si="5"/>
        <v>5800535010.pdf</v>
      </c>
      <c r="C124" s="60" t="s">
        <v>1248</v>
      </c>
      <c r="D124" s="60" t="s">
        <v>1245</v>
      </c>
      <c r="E124" s="60">
        <v>200</v>
      </c>
      <c r="F124" s="60">
        <v>100</v>
      </c>
      <c r="G124" s="60">
        <v>124</v>
      </c>
      <c r="H124" s="60" t="s">
        <v>1068</v>
      </c>
      <c r="I124" s="60" t="str">
        <f t="shared" si="6"/>
        <v>34.500</v>
      </c>
      <c r="J124" s="60" t="s">
        <v>1011</v>
      </c>
      <c r="K124" s="59" t="s">
        <v>1387</v>
      </c>
      <c r="L124" s="85" t="s">
        <v>1255</v>
      </c>
      <c r="M124" s="63">
        <v>44487</v>
      </c>
      <c r="N124" s="60" t="str">
        <f>IF(A124&lt;&gt;"",VLOOKUP(RIGHT(A124,3)*1,[1]SEGMENTAÇÃO!A:H,8,0),"")</f>
        <v>CENTRO</v>
      </c>
      <c r="O124" s="59" t="str">
        <f>IF(A124&lt;&gt;"",VLOOKUP(RIGHT(A124,3)*1,[1]SEGMENTAÇÃO!A:I,9,0),"")</f>
        <v>LAJEADO</v>
      </c>
    </row>
    <row r="125" spans="1:15" x14ac:dyDescent="0.25">
      <c r="A125" s="84">
        <v>5800586084</v>
      </c>
      <c r="B125" s="83" t="str">
        <f t="shared" si="5"/>
        <v>5800586084.pdf</v>
      </c>
      <c r="C125" s="60" t="s">
        <v>1248</v>
      </c>
      <c r="D125" s="60" t="s">
        <v>1245</v>
      </c>
      <c r="E125" s="60">
        <v>400</v>
      </c>
      <c r="F125" s="60">
        <v>201</v>
      </c>
      <c r="G125" s="60">
        <v>124.5</v>
      </c>
      <c r="H125" s="60" t="s">
        <v>1023</v>
      </c>
      <c r="I125" s="60" t="str">
        <f t="shared" si="6"/>
        <v>34.500</v>
      </c>
      <c r="J125" s="60" t="s">
        <v>1005</v>
      </c>
      <c r="K125" s="60" t="s">
        <v>1388</v>
      </c>
      <c r="L125" s="60" t="s">
        <v>1255</v>
      </c>
      <c r="M125" s="63">
        <v>44483</v>
      </c>
      <c r="N125" s="60" t="str">
        <f>IF(A125&lt;&gt;"",VLOOKUP(RIGHT(A125,3)*1,[1]SEGMENTAÇÃO!A:H,8,0),"")</f>
        <v>CENTRO</v>
      </c>
      <c r="O125" s="59" t="str">
        <f>IF(A125&lt;&gt;"",VLOOKUP(RIGHT(A125,3)*1,[1]SEGMENTAÇÃO!A:I,9,0),"")</f>
        <v>DIVINOPOLIS</v>
      </c>
    </row>
    <row r="126" spans="1:15" x14ac:dyDescent="0.25">
      <c r="A126" s="60">
        <v>5843767129</v>
      </c>
      <c r="B126" s="83" t="str">
        <f t="shared" si="5"/>
        <v>5843767129.pdf</v>
      </c>
      <c r="C126" s="60" t="s">
        <v>1248</v>
      </c>
      <c r="D126" s="60" t="s">
        <v>1245</v>
      </c>
      <c r="E126" s="60">
        <v>167</v>
      </c>
      <c r="F126" s="60">
        <v>219</v>
      </c>
      <c r="G126" s="60">
        <v>124</v>
      </c>
      <c r="H126" s="60" t="s">
        <v>1104</v>
      </c>
      <c r="I126" s="60" t="str">
        <f t="shared" si="6"/>
        <v>13.800</v>
      </c>
      <c r="J126" s="60" t="s">
        <v>1011</v>
      </c>
      <c r="K126" s="60" t="s">
        <v>1389</v>
      </c>
      <c r="L126" s="81" t="s">
        <v>1255</v>
      </c>
      <c r="M126" s="63">
        <v>44483</v>
      </c>
      <c r="N126" s="60" t="str">
        <f>IF(A126&lt;&gt;"",VLOOKUP(RIGHT(A126,3)*1,[1]SEGMENTAÇÃO!A:H,8,0),"")</f>
        <v>NORTE</v>
      </c>
      <c r="O126" s="59" t="str">
        <f>IF(A126&lt;&gt;"",VLOOKUP(RIGHT(A126,3)*1,[1]SEGMENTAÇÃO!A:I,9,0),"")</f>
        <v>SANTA TEREZINHA DO TOCANTINS</v>
      </c>
    </row>
    <row r="127" spans="1:15" x14ac:dyDescent="0.25">
      <c r="A127" s="60">
        <v>5844630060</v>
      </c>
      <c r="B127" s="83" t="str">
        <f t="shared" si="5"/>
        <v>5844630060.pdf</v>
      </c>
      <c r="C127" s="60" t="s">
        <v>1248</v>
      </c>
      <c r="D127" s="60" t="s">
        <v>1245</v>
      </c>
      <c r="E127" s="60">
        <v>239</v>
      </c>
      <c r="F127" s="60">
        <v>300</v>
      </c>
      <c r="G127" s="60">
        <v>124.5</v>
      </c>
      <c r="H127" s="60" t="s">
        <v>412</v>
      </c>
      <c r="I127" s="60" t="str">
        <f t="shared" si="6"/>
        <v>13.800</v>
      </c>
      <c r="J127" s="60" t="s">
        <v>1011</v>
      </c>
      <c r="K127" s="60" t="s">
        <v>1390</v>
      </c>
      <c r="L127" s="81" t="s">
        <v>1255</v>
      </c>
      <c r="M127" s="63">
        <v>44466</v>
      </c>
      <c r="N127" s="60" t="str">
        <f>IF(A127&lt;&gt;"",VLOOKUP(RIGHT(A127,3)*1,[1]SEGMENTAÇÃO!A:H,8,0),"")</f>
        <v>NORTE</v>
      </c>
      <c r="O127" s="59" t="str">
        <f>IF(A127&lt;&gt;"",VLOOKUP(RIGHT(A127,3)*1,[1]SEGMENTAÇÃO!A:I,9,0),"")</f>
        <v>NOVA OLINDA</v>
      </c>
    </row>
    <row r="128" spans="1:15" x14ac:dyDescent="0.25">
      <c r="A128" s="60">
        <v>5844577073</v>
      </c>
      <c r="B128" s="83" t="str">
        <f t="shared" si="5"/>
        <v>5844577073.pdf</v>
      </c>
      <c r="C128" s="60" t="s">
        <v>1248</v>
      </c>
      <c r="D128" s="60" t="s">
        <v>1245</v>
      </c>
      <c r="E128" s="60">
        <v>400</v>
      </c>
      <c r="F128" s="60">
        <v>201</v>
      </c>
      <c r="G128" s="60">
        <v>124.5</v>
      </c>
      <c r="H128" s="60" t="s">
        <v>1137</v>
      </c>
      <c r="I128" s="60" t="str">
        <f t="shared" si="6"/>
        <v>34.500</v>
      </c>
      <c r="J128" s="60" t="s">
        <v>1011</v>
      </c>
      <c r="K128" s="60" t="s">
        <v>1391</v>
      </c>
      <c r="L128" s="81" t="s">
        <v>1255</v>
      </c>
      <c r="M128" s="63">
        <v>44440</v>
      </c>
      <c r="N128" s="60" t="str">
        <f>IF(A128&lt;&gt;"",VLOOKUP(RIGHT(A128,3)*1,[1]SEGMENTAÇÃO!A:H,8,0),"")</f>
        <v>CENTRO</v>
      </c>
      <c r="O128" s="59" t="str">
        <f>IF(A128&lt;&gt;"",VLOOKUP(RIGHT(A128,3)*1,[1]SEGMENTAÇÃO!A:I,9,0),"")</f>
        <v>LAGOA DA CONFUSAO</v>
      </c>
    </row>
    <row r="129" spans="1:15" x14ac:dyDescent="0.25">
      <c r="A129" s="60">
        <v>5800243083</v>
      </c>
      <c r="B129" s="83" t="str">
        <f t="shared" si="5"/>
        <v>5800243083.pdf</v>
      </c>
      <c r="C129" s="60" t="s">
        <v>1248</v>
      </c>
      <c r="D129" s="60" t="s">
        <v>1245</v>
      </c>
      <c r="E129" s="60">
        <v>400</v>
      </c>
      <c r="F129" s="60">
        <v>201</v>
      </c>
      <c r="G129" s="60">
        <v>124.5</v>
      </c>
      <c r="H129" s="60" t="s">
        <v>1015</v>
      </c>
      <c r="I129" s="60" t="str">
        <f t="shared" si="6"/>
        <v>34.500</v>
      </c>
      <c r="J129" s="60" t="s">
        <v>1005</v>
      </c>
      <c r="K129" s="60" t="s">
        <v>1392</v>
      </c>
      <c r="L129" s="60" t="s">
        <v>1272</v>
      </c>
      <c r="M129" s="63">
        <v>44418</v>
      </c>
      <c r="N129" s="60" t="str">
        <f>IF(A129&lt;&gt;"",VLOOKUP(RIGHT(A129,3)*1,[1]SEGMENTAÇÃO!A:H,8,0),"")</f>
        <v>CENTRO</v>
      </c>
      <c r="O129" s="59" t="str">
        <f>IF(A129&lt;&gt;"",VLOOKUP(RIGHT(A129,3)*1,[1]SEGMENTAÇÃO!A:I,9,0),"")</f>
        <v>APARECIDA DO RIO NEGRO</v>
      </c>
    </row>
    <row r="130" spans="1:15" x14ac:dyDescent="0.25">
      <c r="A130" s="60">
        <v>5843544107</v>
      </c>
      <c r="B130" s="83" t="str">
        <f t="shared" ref="B130:B161" si="7">CONCATENATE(A130,".pdf")</f>
        <v>5843544107.pdf</v>
      </c>
      <c r="C130" s="60" t="s">
        <v>1248</v>
      </c>
      <c r="D130" s="60" t="s">
        <v>1245</v>
      </c>
      <c r="E130" s="60">
        <v>200</v>
      </c>
      <c r="F130" s="60">
        <v>100</v>
      </c>
      <c r="G130" s="60">
        <v>124</v>
      </c>
      <c r="H130" s="60" t="s">
        <v>1076</v>
      </c>
      <c r="I130" s="60" t="str">
        <f t="shared" si="6"/>
        <v>34.500</v>
      </c>
      <c r="J130" s="60" t="s">
        <v>1011</v>
      </c>
      <c r="K130" s="60" t="s">
        <v>1393</v>
      </c>
      <c r="L130" s="60" t="s">
        <v>1272</v>
      </c>
      <c r="M130" s="63">
        <v>44372</v>
      </c>
      <c r="N130" s="60" t="str">
        <f>IF(A130&lt;&gt;"",VLOOKUP(RIGHT(A130,3)*1,[1]SEGMENTAÇÃO!A:H,8,0),"")</f>
        <v>SUL</v>
      </c>
      <c r="O130" s="59" t="str">
        <f>IF(A130&lt;&gt;"",VLOOKUP(RIGHT(A130,3)*1,[1]SEGMENTAÇÃO!A:I,9,0),"")</f>
        <v>SANDOLANDIA</v>
      </c>
    </row>
    <row r="131" spans="1:15" x14ac:dyDescent="0.25">
      <c r="A131" s="84">
        <v>5800859011</v>
      </c>
      <c r="B131" s="83" t="str">
        <f t="shared" si="7"/>
        <v>5800859011.pdf</v>
      </c>
      <c r="C131" s="60" t="s">
        <v>1248</v>
      </c>
      <c r="D131" s="60" t="s">
        <v>1245</v>
      </c>
      <c r="E131" s="76">
        <v>167</v>
      </c>
      <c r="F131" s="76">
        <v>219</v>
      </c>
      <c r="G131" s="76">
        <v>124</v>
      </c>
      <c r="H131" s="60" t="s">
        <v>368</v>
      </c>
      <c r="I131" s="60" t="str">
        <f t="shared" si="6"/>
        <v>13.800</v>
      </c>
      <c r="J131" s="60" t="s">
        <v>1005</v>
      </c>
      <c r="K131" s="60" t="s">
        <v>1394</v>
      </c>
      <c r="L131" s="81" t="s">
        <v>1272</v>
      </c>
      <c r="M131" s="63">
        <v>44308</v>
      </c>
      <c r="N131" s="60" t="str">
        <f>IF(A131&lt;&gt;"",VLOOKUP(RIGHT(A131,3)*1,[1]SEGMENTAÇÃO!A:H,8,0),"")</f>
        <v>NORTE</v>
      </c>
      <c r="O131" s="59" t="str">
        <f>IF(A131&lt;&gt;"",VLOOKUP(RIGHT(A131,3)*1,[1]SEGMENTAÇÃO!A:I,9,0),"")</f>
        <v>TUPIRAMA</v>
      </c>
    </row>
    <row r="132" spans="1:15" x14ac:dyDescent="0.25">
      <c r="A132" s="84">
        <v>5800438116</v>
      </c>
      <c r="B132" s="83" t="str">
        <f t="shared" si="7"/>
        <v>5800438116.pdf</v>
      </c>
      <c r="C132" s="60" t="s">
        <v>1248</v>
      </c>
      <c r="D132" s="60" t="s">
        <v>1280</v>
      </c>
      <c r="E132" s="60">
        <v>200</v>
      </c>
      <c r="F132" s="60">
        <v>200</v>
      </c>
      <c r="G132" s="60">
        <v>124.5</v>
      </c>
      <c r="H132" s="60" t="s">
        <v>361</v>
      </c>
      <c r="I132" s="60" t="str">
        <f t="shared" si="6"/>
        <v>34.500</v>
      </c>
      <c r="J132" s="60" t="s">
        <v>1011</v>
      </c>
      <c r="K132" s="60" t="s">
        <v>1395</v>
      </c>
      <c r="L132" s="81" t="s">
        <v>1272</v>
      </c>
      <c r="M132" s="63">
        <v>44294</v>
      </c>
      <c r="N132" s="60" t="str">
        <f>IF(A132&lt;&gt;"",VLOOKUP(RIGHT(A132,3)*1,[1]SEGMENTAÇÃO!A:H,8,0),"")</f>
        <v>SUL</v>
      </c>
      <c r="O132" s="59" t="str">
        <f>IF(A132&lt;&gt;"",VLOOKUP(RIGHT(A132,3)*1,[1]SEGMENTAÇÃO!A:I,9,0),"")</f>
        <v>CHAPADA DA NATIVIDADE</v>
      </c>
    </row>
    <row r="133" spans="1:15" x14ac:dyDescent="0.25">
      <c r="A133" s="84">
        <v>5833578028</v>
      </c>
      <c r="B133" s="83" t="str">
        <f t="shared" si="7"/>
        <v>5833578028.pdf</v>
      </c>
      <c r="C133" s="60" t="s">
        <v>1248</v>
      </c>
      <c r="D133" s="60" t="s">
        <v>1245</v>
      </c>
      <c r="E133" s="60">
        <v>398</v>
      </c>
      <c r="F133" s="60">
        <v>200</v>
      </c>
      <c r="G133" s="60">
        <v>124</v>
      </c>
      <c r="H133" s="60" t="s">
        <v>361</v>
      </c>
      <c r="I133" s="60" t="str">
        <f t="shared" si="6"/>
        <v>34.500</v>
      </c>
      <c r="J133" s="60" t="s">
        <v>1011</v>
      </c>
      <c r="K133" s="60" t="s">
        <v>1395</v>
      </c>
      <c r="L133" s="81" t="s">
        <v>1272</v>
      </c>
      <c r="M133" s="63">
        <v>44291</v>
      </c>
      <c r="N133" s="60" t="str">
        <f>IF(A133&lt;&gt;"",VLOOKUP(RIGHT(A133,3)*1,[1]SEGMENTAÇÃO!A:H,8,0),"")</f>
        <v>SUL</v>
      </c>
      <c r="O133" s="59" t="str">
        <f>IF(A133&lt;&gt;"",VLOOKUP(RIGHT(A133,3)*1,[1]SEGMENTAÇÃO!A:I,9,0),"")</f>
        <v>NATIVIDADE</v>
      </c>
    </row>
    <row r="134" spans="1:15" x14ac:dyDescent="0.25">
      <c r="A134" s="84">
        <v>5836033037</v>
      </c>
      <c r="B134" s="83" t="str">
        <f t="shared" si="7"/>
        <v>5836033037.pdf</v>
      </c>
      <c r="C134" s="60" t="s">
        <v>1248</v>
      </c>
      <c r="D134" s="60" t="s">
        <v>1245</v>
      </c>
      <c r="E134" s="76">
        <v>200</v>
      </c>
      <c r="F134" s="76">
        <v>100</v>
      </c>
      <c r="G134" s="76">
        <v>124</v>
      </c>
      <c r="H134" s="60" t="s">
        <v>483</v>
      </c>
      <c r="I134" s="60" t="str">
        <f t="shared" si="6"/>
        <v>34.500</v>
      </c>
      <c r="J134" s="60" t="s">
        <v>1005</v>
      </c>
      <c r="K134" s="60" t="s">
        <v>1396</v>
      </c>
      <c r="L134" s="81" t="s">
        <v>1272</v>
      </c>
      <c r="M134" s="63">
        <v>44291</v>
      </c>
      <c r="N134" s="60" t="str">
        <f>IF(A134&lt;&gt;"",VLOOKUP(RIGHT(A134,3)*1,[1]SEGMENTAÇÃO!A:H,8,0),"")</f>
        <v>SUL</v>
      </c>
      <c r="O134" s="59" t="str">
        <f>IF(A134&lt;&gt;"",VLOOKUP(RIGHT(A134,3)*1,[1]SEGMENTAÇÃO!A:I,9,0),"")</f>
        <v>ALIANCA DO TOCANTINS</v>
      </c>
    </row>
    <row r="135" spans="1:15" x14ac:dyDescent="0.25">
      <c r="A135" s="84">
        <v>5839394012</v>
      </c>
      <c r="B135" s="83" t="str">
        <f t="shared" si="7"/>
        <v>5839394012.pdf</v>
      </c>
      <c r="C135" s="60" t="s">
        <v>1248</v>
      </c>
      <c r="D135" s="60" t="s">
        <v>1245</v>
      </c>
      <c r="E135" s="76">
        <v>398</v>
      </c>
      <c r="F135" s="76">
        <v>200</v>
      </c>
      <c r="G135" s="76">
        <v>124.5</v>
      </c>
      <c r="H135" s="60" t="s">
        <v>1030</v>
      </c>
      <c r="I135" s="60" t="str">
        <f t="shared" si="6"/>
        <v>34.500</v>
      </c>
      <c r="J135" s="60" t="s">
        <v>1005</v>
      </c>
      <c r="K135" s="60" t="s">
        <v>1397</v>
      </c>
      <c r="L135" s="81" t="s">
        <v>1255</v>
      </c>
      <c r="M135" s="63">
        <v>44285</v>
      </c>
      <c r="N135" s="60" t="str">
        <f>IF(A135&lt;&gt;"",VLOOKUP(RIGHT(A135,3)*1,[1]SEGMENTAÇÃO!A:H,8,0),"")</f>
        <v>CENTRO</v>
      </c>
      <c r="O135" s="59" t="str">
        <f>IF(A135&lt;&gt;"",VLOOKUP(RIGHT(A135,3)*1,[1]SEGMENTAÇÃO!A:I,9,0),"")</f>
        <v>CRISTALANDIA</v>
      </c>
    </row>
    <row r="136" spans="1:15" x14ac:dyDescent="0.25">
      <c r="A136" s="84">
        <v>5833576116</v>
      </c>
      <c r="B136" s="83" t="str">
        <f t="shared" si="7"/>
        <v>5833576116.pdf</v>
      </c>
      <c r="C136" s="60" t="s">
        <v>1248</v>
      </c>
      <c r="D136" s="60" t="s">
        <v>1280</v>
      </c>
      <c r="E136" s="60">
        <v>200</v>
      </c>
      <c r="F136" s="60">
        <v>100</v>
      </c>
      <c r="G136" s="60">
        <v>124.5</v>
      </c>
      <c r="H136" s="60" t="s">
        <v>361</v>
      </c>
      <c r="I136" s="60" t="str">
        <f t="shared" si="6"/>
        <v>34.500</v>
      </c>
      <c r="J136" s="60" t="s">
        <v>1005</v>
      </c>
      <c r="K136" s="60" t="s">
        <v>1398</v>
      </c>
      <c r="L136" s="81" t="s">
        <v>1272</v>
      </c>
      <c r="M136" s="63">
        <v>44263</v>
      </c>
      <c r="N136" s="60" t="str">
        <f>IF(A136&lt;&gt;"",VLOOKUP(RIGHT(A136,3)*1,[1]SEGMENTAÇÃO!A:H,8,0),"")</f>
        <v>SUL</v>
      </c>
      <c r="O136" s="59" t="str">
        <f>IF(A136&lt;&gt;"",VLOOKUP(RIGHT(A136,3)*1,[1]SEGMENTAÇÃO!A:I,9,0),"")</f>
        <v>CHAPADA DA NATIVIDADE</v>
      </c>
    </row>
    <row r="137" spans="1:15" x14ac:dyDescent="0.25">
      <c r="A137" s="84">
        <v>5843320223</v>
      </c>
      <c r="B137" s="83" t="str">
        <f t="shared" si="7"/>
        <v>5843320223.pdf</v>
      </c>
      <c r="C137" s="60" t="s">
        <v>1248</v>
      </c>
      <c r="D137" s="60" t="s">
        <v>1245</v>
      </c>
      <c r="E137" s="60">
        <v>400</v>
      </c>
      <c r="F137" s="60">
        <v>201</v>
      </c>
      <c r="G137" s="60">
        <v>124.5</v>
      </c>
      <c r="H137" s="60" t="s">
        <v>1045</v>
      </c>
      <c r="I137" s="60" t="str">
        <f t="shared" si="6"/>
        <v>34.500</v>
      </c>
      <c r="J137" s="60" t="s">
        <v>1005</v>
      </c>
      <c r="K137" s="60" t="s">
        <v>1399</v>
      </c>
      <c r="L137" s="81" t="s">
        <v>1255</v>
      </c>
      <c r="M137" s="63">
        <v>44167</v>
      </c>
      <c r="N137" s="60" t="str">
        <f>IF(A137&lt;&gt;"",VLOOKUP(RIGHT(A137,3)*1,[1]SEGMENTAÇÃO!A:H,8,0),"")</f>
        <v>NORTE</v>
      </c>
      <c r="O137" s="59" t="str">
        <f>IF(A137&lt;&gt;"",VLOOKUP(RIGHT(A137,3)*1,[1]SEGMENTAÇÃO!A:I,9,0),"")</f>
        <v>GUARAI</v>
      </c>
    </row>
    <row r="138" spans="1:15" x14ac:dyDescent="0.25">
      <c r="A138" s="84">
        <v>5820143038</v>
      </c>
      <c r="B138" s="83" t="str">
        <f t="shared" si="7"/>
        <v>5820143038.pdf</v>
      </c>
      <c r="C138" s="60" t="s">
        <v>1248</v>
      </c>
      <c r="D138" s="60" t="s">
        <v>1280</v>
      </c>
      <c r="E138" s="60">
        <v>200</v>
      </c>
      <c r="F138" s="60">
        <v>100</v>
      </c>
      <c r="G138" s="60">
        <v>124.5</v>
      </c>
      <c r="H138" s="60" t="s">
        <v>1038</v>
      </c>
      <c r="I138" s="60" t="str">
        <f t="shared" si="6"/>
        <v>34.500</v>
      </c>
      <c r="J138" s="60" t="s">
        <v>1011</v>
      </c>
      <c r="K138" s="59" t="s">
        <v>1400</v>
      </c>
      <c r="L138" s="85" t="s">
        <v>1255</v>
      </c>
      <c r="M138" s="63">
        <v>44160</v>
      </c>
      <c r="N138" s="60" t="str">
        <f>IF(A138&lt;&gt;"",VLOOKUP(RIGHT(A138,3)*1,[1]SEGMENTAÇÃO!A:H,8,0),"")</f>
        <v>SUL</v>
      </c>
      <c r="O138" s="59" t="str">
        <f>IF(A138&lt;&gt;"",VLOOKUP(RIGHT(A138,3)*1,[1]SEGMENTAÇÃO!A:I,9,0),"")</f>
        <v>TAGUATINGA</v>
      </c>
    </row>
    <row r="139" spans="1:15" x14ac:dyDescent="0.25">
      <c r="A139" s="84">
        <v>5843325009</v>
      </c>
      <c r="B139" s="83" t="str">
        <f t="shared" si="7"/>
        <v>5843325009.pdf</v>
      </c>
      <c r="C139" s="60" t="s">
        <v>1248</v>
      </c>
      <c r="D139" s="60" t="s">
        <v>1245</v>
      </c>
      <c r="E139" s="60">
        <v>239</v>
      </c>
      <c r="F139" s="60">
        <v>300</v>
      </c>
      <c r="G139" s="60">
        <v>124</v>
      </c>
      <c r="H139" s="60" t="s">
        <v>1135</v>
      </c>
      <c r="I139" s="60" t="str">
        <f t="shared" si="6"/>
        <v>13.800</v>
      </c>
      <c r="J139" s="60" t="s">
        <v>1005</v>
      </c>
      <c r="K139" s="60" t="s">
        <v>1401</v>
      </c>
      <c r="L139" s="81" t="s">
        <v>1255</v>
      </c>
      <c r="M139" s="63">
        <v>44160</v>
      </c>
      <c r="N139" s="60" t="str">
        <f>IF(A139&lt;&gt;"",VLOOKUP(RIGHT(A139,3)*1,[1]SEGMENTAÇÃO!A:H,8,0),"")</f>
        <v>NORTE</v>
      </c>
      <c r="O139" s="59" t="str">
        <f>IF(A139&lt;&gt;"",VLOOKUP(RIGHT(A139,3)*1,[1]SEGMENTAÇÃO!A:I,9,0),"")</f>
        <v>GUARAI</v>
      </c>
    </row>
    <row r="140" spans="1:15" x14ac:dyDescent="0.25">
      <c r="A140" s="84">
        <v>5841307050</v>
      </c>
      <c r="B140" s="83" t="str">
        <f t="shared" si="7"/>
        <v>5841307050.pdf</v>
      </c>
      <c r="C140" s="60" t="s">
        <v>1248</v>
      </c>
      <c r="D140" s="60" t="s">
        <v>1245</v>
      </c>
      <c r="E140" s="60">
        <v>400</v>
      </c>
      <c r="F140" s="60">
        <v>201</v>
      </c>
      <c r="G140" s="60">
        <v>124.5</v>
      </c>
      <c r="H140" s="60" t="s">
        <v>1038</v>
      </c>
      <c r="I140" s="60" t="str">
        <f t="shared" si="6"/>
        <v>34.500</v>
      </c>
      <c r="J140" s="60" t="s">
        <v>1005</v>
      </c>
      <c r="K140" s="60" t="s">
        <v>1402</v>
      </c>
      <c r="L140" s="81" t="s">
        <v>1255</v>
      </c>
      <c r="M140" s="63">
        <v>44160</v>
      </c>
      <c r="N140" s="60" t="str">
        <f>IF(A140&lt;&gt;"",VLOOKUP(RIGHT(A140,3)*1,[1]SEGMENTAÇÃO!A:H,8,0),"")</f>
        <v>SUL</v>
      </c>
      <c r="O140" s="59" t="str">
        <f>IF(A140&lt;&gt;"",VLOOKUP(RIGHT(A140,3)*1,[1]SEGMENTAÇÃO!A:I,9,0),"")</f>
        <v>COMBINADO</v>
      </c>
    </row>
    <row r="141" spans="1:15" x14ac:dyDescent="0.25">
      <c r="A141" s="84">
        <v>5838014063</v>
      </c>
      <c r="B141" s="83" t="str">
        <f t="shared" si="7"/>
        <v>5838014063.pdf</v>
      </c>
      <c r="C141" s="60" t="s">
        <v>1248</v>
      </c>
      <c r="D141" s="60" t="s">
        <v>1245</v>
      </c>
      <c r="E141" s="60">
        <v>398</v>
      </c>
      <c r="F141" s="60">
        <v>200</v>
      </c>
      <c r="G141" s="60">
        <v>124</v>
      </c>
      <c r="H141" s="60" t="s">
        <v>1101</v>
      </c>
      <c r="I141" s="60" t="str">
        <f t="shared" si="6"/>
        <v>34.500</v>
      </c>
      <c r="J141" s="60" t="s">
        <v>1011</v>
      </c>
      <c r="K141" s="60" t="s">
        <v>1403</v>
      </c>
      <c r="L141" s="81" t="s">
        <v>1255</v>
      </c>
      <c r="M141" s="63">
        <v>44156</v>
      </c>
      <c r="N141" s="60" t="str">
        <f>IF(A141&lt;&gt;"",VLOOKUP(RIGHT(A141,3)*1,[1]SEGMENTAÇÃO!A:H,8,0),"")</f>
        <v>NORTE</v>
      </c>
      <c r="O141" s="59" t="str">
        <f>IF(A141&lt;&gt;"",VLOOKUP(RIGHT(A141,3)*1,[1]SEGMENTAÇÃO!A:I,9,0),"")</f>
        <v>BANDEIRANTES DO TOCANTINS</v>
      </c>
    </row>
    <row r="142" spans="1:15" x14ac:dyDescent="0.25">
      <c r="A142" s="84">
        <v>5800366016</v>
      </c>
      <c r="B142" s="83" t="str">
        <f t="shared" si="7"/>
        <v>5800366016.pdf</v>
      </c>
      <c r="C142" s="60" t="s">
        <v>1248</v>
      </c>
      <c r="D142" s="60" t="s">
        <v>1245</v>
      </c>
      <c r="E142" s="60">
        <v>200</v>
      </c>
      <c r="F142" s="60">
        <v>100</v>
      </c>
      <c r="G142" s="60">
        <v>124.5</v>
      </c>
      <c r="H142" s="60" t="s">
        <v>497</v>
      </c>
      <c r="I142" s="60" t="str">
        <f t="shared" si="6"/>
        <v>34.500</v>
      </c>
      <c r="J142" s="60" t="s">
        <v>1011</v>
      </c>
      <c r="K142" s="60" t="s">
        <v>1404</v>
      </c>
      <c r="L142" s="81" t="s">
        <v>1255</v>
      </c>
      <c r="M142" s="63">
        <v>44145</v>
      </c>
      <c r="N142" s="60" t="str">
        <f>IF(A142&lt;&gt;"",VLOOKUP(RIGHT(A142,3)*1,[1]SEGMENTAÇÃO!A:H,8,0),"")</f>
        <v>NORTE</v>
      </c>
      <c r="O142" s="59" t="str">
        <f>IF(A142&lt;&gt;"",VLOOKUP(RIGHT(A142,3)*1,[1]SEGMENTAÇÃO!A:I,9,0),"")</f>
        <v>WANDERLANDIA</v>
      </c>
    </row>
    <row r="143" spans="1:15" x14ac:dyDescent="0.25">
      <c r="A143" s="84">
        <v>5843904032</v>
      </c>
      <c r="B143" s="83" t="str">
        <f t="shared" si="7"/>
        <v>5843904032.pdf</v>
      </c>
      <c r="C143" s="60" t="s">
        <v>1248</v>
      </c>
      <c r="D143" s="60" t="s">
        <v>1245</v>
      </c>
      <c r="E143" s="60">
        <v>167</v>
      </c>
      <c r="F143" s="60">
        <v>219</v>
      </c>
      <c r="G143" s="60">
        <v>124</v>
      </c>
      <c r="H143" s="60" t="s">
        <v>1018</v>
      </c>
      <c r="I143" s="60" t="str">
        <f t="shared" si="6"/>
        <v>13.800</v>
      </c>
      <c r="J143" s="60" t="s">
        <v>1005</v>
      </c>
      <c r="K143" s="60" t="s">
        <v>1405</v>
      </c>
      <c r="L143" s="81" t="s">
        <v>1255</v>
      </c>
      <c r="M143" s="63">
        <v>44125</v>
      </c>
      <c r="N143" s="60" t="str">
        <f>IF(A143&lt;&gt;"",VLOOKUP(RIGHT(A143,3)*1,[1]SEGMENTAÇÃO!A:H,8,0),"")</f>
        <v>SUL</v>
      </c>
      <c r="O143" s="59" t="str">
        <f>IF(A143&lt;&gt;"",VLOOKUP(RIGHT(A143,3)*1,[1]SEGMENTAÇÃO!A:I,9,0),"")</f>
        <v>ARAGUACU</v>
      </c>
    </row>
    <row r="144" spans="1:15" x14ac:dyDescent="0.25">
      <c r="A144" s="84">
        <v>5800566084</v>
      </c>
      <c r="B144" s="83" t="str">
        <f t="shared" si="7"/>
        <v>5800566084.pdf</v>
      </c>
      <c r="C144" s="60" t="s">
        <v>1248</v>
      </c>
      <c r="D144" s="60" t="s">
        <v>1280</v>
      </c>
      <c r="E144" s="60">
        <v>200</v>
      </c>
      <c r="F144" s="60">
        <v>100</v>
      </c>
      <c r="G144" s="60">
        <v>124.5</v>
      </c>
      <c r="H144" s="60" t="s">
        <v>526</v>
      </c>
      <c r="I144" s="60" t="str">
        <f t="shared" si="6"/>
        <v>34.500</v>
      </c>
      <c r="J144" s="60" t="s">
        <v>1005</v>
      </c>
      <c r="K144" s="60" t="s">
        <v>1406</v>
      </c>
      <c r="L144" s="81" t="s">
        <v>1255</v>
      </c>
      <c r="M144" s="63">
        <v>44119</v>
      </c>
      <c r="N144" s="60" t="str">
        <f>IF(A144&lt;&gt;"",VLOOKUP(RIGHT(A144,3)*1,[1]SEGMENTAÇÃO!A:H,8,0),"")</f>
        <v>CENTRO</v>
      </c>
      <c r="O144" s="59" t="str">
        <f>IF(A144&lt;&gt;"",VLOOKUP(RIGHT(A144,3)*1,[1]SEGMENTAÇÃO!A:I,9,0),"")</f>
        <v>DIVINOPOLIS</v>
      </c>
    </row>
    <row r="145" spans="1:15" x14ac:dyDescent="0.25">
      <c r="A145" s="84">
        <v>5840260107</v>
      </c>
      <c r="B145" s="83" t="str">
        <f t="shared" si="7"/>
        <v>5840260107.pdf</v>
      </c>
      <c r="C145" s="60" t="s">
        <v>1248</v>
      </c>
      <c r="D145" s="60" t="s">
        <v>1245</v>
      </c>
      <c r="E145" s="60">
        <v>398</v>
      </c>
      <c r="F145" s="60">
        <v>200</v>
      </c>
      <c r="G145" s="60" t="s">
        <v>1407</v>
      </c>
      <c r="H145" s="60" t="s">
        <v>1076</v>
      </c>
      <c r="I145" s="60" t="str">
        <f t="shared" si="6"/>
        <v>34.500</v>
      </c>
      <c r="J145" s="60" t="s">
        <v>1005</v>
      </c>
      <c r="K145" s="60" t="s">
        <v>1408</v>
      </c>
      <c r="L145" s="81" t="s">
        <v>1255</v>
      </c>
      <c r="M145" s="63">
        <v>44085</v>
      </c>
      <c r="N145" s="60" t="str">
        <f>IF(A145&lt;&gt;"",VLOOKUP(RIGHT(A145,3)*1,[1]SEGMENTAÇÃO!A:H,8,0),"")</f>
        <v>SUL</v>
      </c>
      <c r="O145" s="59" t="str">
        <f>IF(A145&lt;&gt;"",VLOOKUP(RIGHT(A145,3)*1,[1]SEGMENTAÇÃO!A:I,9,0),"")</f>
        <v>SANDOLANDIA</v>
      </c>
    </row>
    <row r="146" spans="1:15" x14ac:dyDescent="0.25">
      <c r="A146" s="84">
        <v>5800148068</v>
      </c>
      <c r="B146" s="83" t="str">
        <f t="shared" si="7"/>
        <v>5800148068.pdf</v>
      </c>
      <c r="C146" s="60" t="s">
        <v>1248</v>
      </c>
      <c r="D146" s="60" t="s">
        <v>1245</v>
      </c>
      <c r="E146" s="60">
        <v>200</v>
      </c>
      <c r="F146" s="60">
        <v>100</v>
      </c>
      <c r="G146" s="60">
        <v>124</v>
      </c>
      <c r="H146" s="60" t="s">
        <v>1012</v>
      </c>
      <c r="I146" s="60" t="str">
        <f t="shared" si="6"/>
        <v>34.500</v>
      </c>
      <c r="J146" s="60" t="s">
        <v>1005</v>
      </c>
      <c r="K146" s="60" t="s">
        <v>1409</v>
      </c>
      <c r="L146" s="81" t="s">
        <v>1255</v>
      </c>
      <c r="M146" s="63">
        <v>43998</v>
      </c>
      <c r="N146" s="60" t="str">
        <f>IF(A146&lt;&gt;"",VLOOKUP(RIGHT(A146,3)*1,[1]SEGMENTAÇÃO!A:H,8,0),"")</f>
        <v>NORTE</v>
      </c>
      <c r="O146" s="59" t="str">
        <f>IF(A146&lt;&gt;"",VLOOKUP(RIGHT(A146,3)*1,[1]SEGMENTAÇÃO!A:I,9,0),"")</f>
        <v>BURITI DO TOCANTINS</v>
      </c>
    </row>
    <row r="147" spans="1:15" x14ac:dyDescent="0.25">
      <c r="A147" s="84">
        <v>5840203077</v>
      </c>
      <c r="B147" s="83" t="str">
        <f t="shared" si="7"/>
        <v>5840203077.pdf</v>
      </c>
      <c r="C147" s="60" t="s">
        <v>1248</v>
      </c>
      <c r="D147" s="60" t="s">
        <v>1245</v>
      </c>
      <c r="E147" s="60" t="s">
        <v>1410</v>
      </c>
      <c r="F147" s="60" t="s">
        <v>1411</v>
      </c>
      <c r="G147" s="60" t="s">
        <v>1412</v>
      </c>
      <c r="H147" s="60" t="s">
        <v>632</v>
      </c>
      <c r="I147" s="60" t="str">
        <f t="shared" si="6"/>
        <v>34.500</v>
      </c>
      <c r="J147" s="60" t="s">
        <v>1005</v>
      </c>
      <c r="K147" s="60" t="s">
        <v>1413</v>
      </c>
      <c r="L147" s="81" t="s">
        <v>1255</v>
      </c>
      <c r="M147" s="63">
        <v>43871</v>
      </c>
      <c r="N147" s="60" t="str">
        <f>IF(A147&lt;&gt;"",VLOOKUP(RIGHT(A147,3)*1,[1]SEGMENTAÇÃO!A:H,8,0),"")</f>
        <v>NORTE</v>
      </c>
      <c r="O147" s="59" t="str">
        <f>IF(A147&lt;&gt;"",VLOOKUP(RIGHT(A147,3)*1,[1]SEGMENTAÇÃO!A:I,9,0),"")</f>
        <v>GOIATINS</v>
      </c>
    </row>
    <row r="148" spans="1:15" x14ac:dyDescent="0.25">
      <c r="A148" s="84">
        <v>5840274021</v>
      </c>
      <c r="B148" s="83" t="str">
        <f t="shared" si="7"/>
        <v>5840274021.pdf</v>
      </c>
      <c r="C148" s="60" t="s">
        <v>1248</v>
      </c>
      <c r="D148" s="60" t="s">
        <v>1245</v>
      </c>
      <c r="E148" s="60">
        <v>200</v>
      </c>
      <c r="F148" s="60">
        <v>100</v>
      </c>
      <c r="G148" s="60">
        <v>124</v>
      </c>
      <c r="H148" s="60" t="s">
        <v>616</v>
      </c>
      <c r="I148" s="60" t="str">
        <f t="shared" si="6"/>
        <v>34.500</v>
      </c>
      <c r="J148" s="60" t="s">
        <v>1005</v>
      </c>
      <c r="K148" s="60" t="s">
        <v>1414</v>
      </c>
      <c r="L148" s="81" t="s">
        <v>1255</v>
      </c>
      <c r="M148" s="63">
        <v>43857</v>
      </c>
      <c r="N148" s="60" t="str">
        <f>IF(A148&lt;&gt;"",VLOOKUP(RIGHT(A148,3)*1,[1]SEGMENTAÇÃO!A:H,8,0),"")</f>
        <v>SUL</v>
      </c>
      <c r="O148" s="59" t="str">
        <f>IF(A148&lt;&gt;"",VLOOKUP(RIGHT(A148,3)*1,[1]SEGMENTAÇÃO!A:I,9,0),"")</f>
        <v>PARANA</v>
      </c>
    </row>
    <row r="149" spans="1:15" x14ac:dyDescent="0.25">
      <c r="A149" s="84">
        <v>5839141113</v>
      </c>
      <c r="B149" s="83" t="str">
        <f t="shared" si="7"/>
        <v>5839141113.pdf</v>
      </c>
      <c r="C149" s="60" t="s">
        <v>1248</v>
      </c>
      <c r="D149" s="60" t="s">
        <v>1245</v>
      </c>
      <c r="E149" s="60">
        <v>239</v>
      </c>
      <c r="F149" s="60">
        <v>300</v>
      </c>
      <c r="G149" s="60">
        <v>124.5</v>
      </c>
      <c r="H149" s="60" t="s">
        <v>1102</v>
      </c>
      <c r="I149" s="60" t="str">
        <f t="shared" si="6"/>
        <v>13.800</v>
      </c>
      <c r="J149" s="60" t="s">
        <v>1005</v>
      </c>
      <c r="K149" s="60" t="s">
        <v>1415</v>
      </c>
      <c r="L149" s="81" t="s">
        <v>1255</v>
      </c>
      <c r="M149" s="63">
        <v>43747</v>
      </c>
      <c r="N149" s="60" t="str">
        <f>IF(A149&lt;&gt;"",VLOOKUP(RIGHT(A149,3)*1,[1]SEGMENTAÇÃO!A:H,8,0),"")</f>
        <v>NORTE</v>
      </c>
      <c r="O149" s="59" t="str">
        <f>IF(A149&lt;&gt;"",VLOOKUP(RIGHT(A149,3)*1,[1]SEGMENTAÇÃO!A:I,9,0),"")</f>
        <v>COUTO MAGALHAES</v>
      </c>
    </row>
    <row r="150" spans="1:15" x14ac:dyDescent="0.25">
      <c r="A150" s="84">
        <v>5835284131</v>
      </c>
      <c r="B150" s="83" t="str">
        <f t="shared" si="7"/>
        <v>5835284131.pdf</v>
      </c>
      <c r="C150" s="60" t="s">
        <v>1248</v>
      </c>
      <c r="D150" s="60" t="s">
        <v>1280</v>
      </c>
      <c r="E150" s="60">
        <v>200</v>
      </c>
      <c r="F150" s="60">
        <v>100</v>
      </c>
      <c r="G150" s="60">
        <v>124</v>
      </c>
      <c r="H150" s="60" t="s">
        <v>1142</v>
      </c>
      <c r="I150" s="60" t="str">
        <f t="shared" si="6"/>
        <v>34.500</v>
      </c>
      <c r="J150" s="60" t="s">
        <v>1005</v>
      </c>
      <c r="K150" s="60" t="s">
        <v>1416</v>
      </c>
      <c r="L150" s="81" t="s">
        <v>1360</v>
      </c>
      <c r="M150" s="63">
        <v>43725</v>
      </c>
      <c r="N150" s="60" t="str">
        <f>IF(A150&lt;&gt;"",VLOOKUP(RIGHT(A150,3)*1,[1]SEGMENTAÇÃO!A:H,8,0),"")</f>
        <v>NORTE</v>
      </c>
      <c r="O150" s="59" t="str">
        <f>IF(A150&lt;&gt;"",VLOOKUP(RIGHT(A150,3)*1,[1]SEGMENTAÇÃO!A:I,9,0),"")</f>
        <v>PRAIA NORTE</v>
      </c>
    </row>
    <row r="151" spans="1:15" x14ac:dyDescent="0.25">
      <c r="A151" s="84">
        <v>5800440256</v>
      </c>
      <c r="B151" s="83" t="str">
        <f t="shared" si="7"/>
        <v>5800440256.pdf</v>
      </c>
      <c r="C151" s="60" t="s">
        <v>1248</v>
      </c>
      <c r="D151" s="60" t="s">
        <v>1297</v>
      </c>
      <c r="E151" s="60">
        <v>200</v>
      </c>
      <c r="F151" s="60">
        <v>100</v>
      </c>
      <c r="G151" s="60">
        <v>124</v>
      </c>
      <c r="H151" s="60" t="s">
        <v>518</v>
      </c>
      <c r="I151" s="60" t="str">
        <f t="shared" si="6"/>
        <v>34.500</v>
      </c>
      <c r="J151" s="60" t="s">
        <v>1005</v>
      </c>
      <c r="K151" s="60" t="s">
        <v>1417</v>
      </c>
      <c r="L151" s="81" t="s">
        <v>1255</v>
      </c>
      <c r="M151" s="63">
        <v>43718</v>
      </c>
      <c r="N151" s="60" t="str">
        <f>IF(A151&lt;&gt;"",VLOOKUP(RIGHT(A151,3)*1,[1]SEGMENTAÇÃO!A:H,8,0),"")</f>
        <v>CENTRO</v>
      </c>
      <c r="O151" s="59" t="str">
        <f>IF(A151&lt;&gt;"",VLOOKUP(RIGHT(A151,3)*1,[1]SEGMENTAÇÃO!A:I,9,0),"")</f>
        <v>MATEIROS</v>
      </c>
    </row>
    <row r="152" spans="1:15" x14ac:dyDescent="0.25">
      <c r="A152" s="84">
        <v>5834839155</v>
      </c>
      <c r="B152" s="83" t="str">
        <f t="shared" si="7"/>
        <v>5834839155.pdf</v>
      </c>
      <c r="C152" s="60" t="s">
        <v>1248</v>
      </c>
      <c r="D152" s="60" t="s">
        <v>1245</v>
      </c>
      <c r="E152" s="60">
        <v>398</v>
      </c>
      <c r="F152" s="60">
        <v>200</v>
      </c>
      <c r="G152" s="60">
        <v>124</v>
      </c>
      <c r="H152" s="60" t="s">
        <v>1150</v>
      </c>
      <c r="I152" s="60" t="str">
        <f t="shared" si="6"/>
        <v>34.500</v>
      </c>
      <c r="J152" s="60" t="s">
        <v>1005</v>
      </c>
      <c r="K152" s="60" t="s">
        <v>1292</v>
      </c>
      <c r="L152" s="81" t="s">
        <v>1360</v>
      </c>
      <c r="M152" s="63">
        <v>43711</v>
      </c>
      <c r="N152" s="60" t="str">
        <f>IF(A152&lt;&gt;"",VLOOKUP(RIGHT(A152,3)*1,[1]SEGMENTAÇÃO!A:H,8,0),"")</f>
        <v>NORTE</v>
      </c>
      <c r="O152" s="59" t="str">
        <f>IF(A152&lt;&gt;"",VLOOKUP(RIGHT(A152,3)*1,[1]SEGMENTAÇÃO!A:I,9,0),"")</f>
        <v>PALMEIRANTE</v>
      </c>
    </row>
    <row r="153" spans="1:15" x14ac:dyDescent="0.25">
      <c r="A153" s="84">
        <v>5837543086</v>
      </c>
      <c r="B153" s="83" t="str">
        <f t="shared" si="7"/>
        <v>5837543086.pdf</v>
      </c>
      <c r="C153" s="60" t="s">
        <v>1248</v>
      </c>
      <c r="D153" s="60" t="s">
        <v>1280</v>
      </c>
      <c r="E153" s="60">
        <v>200</v>
      </c>
      <c r="F153" s="93">
        <v>100</v>
      </c>
      <c r="G153" s="60">
        <v>124.5</v>
      </c>
      <c r="H153" s="60" t="s">
        <v>1023</v>
      </c>
      <c r="I153" s="60" t="str">
        <f t="shared" si="6"/>
        <v>34.500</v>
      </c>
      <c r="J153" s="60" t="s">
        <v>1011</v>
      </c>
      <c r="K153" s="60" t="s">
        <v>1418</v>
      </c>
      <c r="L153" s="81" t="s">
        <v>1270</v>
      </c>
      <c r="M153" s="63">
        <v>43696</v>
      </c>
      <c r="N153" s="60" t="str">
        <f>IF(A153&lt;&gt;"",VLOOKUP(RIGHT(A153,3)*1,[1]SEGMENTAÇÃO!A:H,8,0),"")</f>
        <v>CENTRO</v>
      </c>
      <c r="O153" s="59" t="str">
        <f>IF(A153&lt;&gt;"",VLOOKUP(RIGHT(A153,3)*1,[1]SEGMENTAÇÃO!A:I,9,0),"")</f>
        <v>MARIANOPOLIS</v>
      </c>
    </row>
    <row r="154" spans="1:15" x14ac:dyDescent="0.25">
      <c r="A154" s="84">
        <v>5833725083</v>
      </c>
      <c r="B154" s="83" t="str">
        <f t="shared" si="7"/>
        <v>5833725083.pdf</v>
      </c>
      <c r="C154" s="60" t="s">
        <v>1248</v>
      </c>
      <c r="D154" s="60" t="s">
        <v>1245</v>
      </c>
      <c r="E154" s="60">
        <v>200</v>
      </c>
      <c r="F154" s="60">
        <v>100</v>
      </c>
      <c r="G154" s="60">
        <v>124</v>
      </c>
      <c r="H154" s="60" t="s">
        <v>1015</v>
      </c>
      <c r="I154" s="60" t="str">
        <f t="shared" si="6"/>
        <v>34.500</v>
      </c>
      <c r="J154" s="60" t="s">
        <v>1005</v>
      </c>
      <c r="K154" s="60" t="s">
        <v>1392</v>
      </c>
      <c r="L154" s="81" t="s">
        <v>1270</v>
      </c>
      <c r="M154" s="63">
        <v>43696</v>
      </c>
      <c r="N154" s="60" t="str">
        <f>IF(A154&lt;&gt;"",VLOOKUP(RIGHT(A154,3)*1,[1]SEGMENTAÇÃO!A:H,8,0),"")</f>
        <v>CENTRO</v>
      </c>
      <c r="O154" s="59" t="str">
        <f>IF(A154&lt;&gt;"",VLOOKUP(RIGHT(A154,3)*1,[1]SEGMENTAÇÃO!A:I,9,0),"")</f>
        <v>APARECIDA DO RIO NEGRO</v>
      </c>
    </row>
    <row r="155" spans="1:15" x14ac:dyDescent="0.25">
      <c r="A155" s="84">
        <v>5834625193</v>
      </c>
      <c r="B155" s="83" t="str">
        <f t="shared" si="7"/>
        <v>5834625193.pdf</v>
      </c>
      <c r="C155" s="60" t="s">
        <v>1248</v>
      </c>
      <c r="D155" s="60" t="s">
        <v>1245</v>
      </c>
      <c r="E155" s="60">
        <v>398</v>
      </c>
      <c r="F155" s="60">
        <v>200</v>
      </c>
      <c r="G155" s="60">
        <v>124</v>
      </c>
      <c r="H155" s="60" t="s">
        <v>1036</v>
      </c>
      <c r="I155" s="60" t="str">
        <f t="shared" si="6"/>
        <v>34.500</v>
      </c>
      <c r="J155" s="60" t="s">
        <v>1005</v>
      </c>
      <c r="K155" s="60" t="s">
        <v>1419</v>
      </c>
      <c r="L155" s="81" t="s">
        <v>1255</v>
      </c>
      <c r="M155" s="63">
        <v>43677</v>
      </c>
      <c r="N155" s="60" t="str">
        <f>IF(A155&lt;&gt;"",VLOOKUP(RIGHT(A155,3)*1,[1]SEGMENTAÇÃO!A:H,8,0),"")</f>
        <v>NORTE</v>
      </c>
      <c r="O155" s="59" t="str">
        <f>IF(A155&lt;&gt;"",VLOOKUP(RIGHT(A155,3)*1,[1]SEGMENTAÇÃO!A:I,9,0),"")</f>
        <v>CAMPOS LINDOS</v>
      </c>
    </row>
    <row r="156" spans="1:15" x14ac:dyDescent="0.25">
      <c r="A156" s="84">
        <v>5831914015</v>
      </c>
      <c r="B156" s="83" t="str">
        <f t="shared" si="7"/>
        <v>5831914015.pdf</v>
      </c>
      <c r="C156" s="60" t="s">
        <v>1248</v>
      </c>
      <c r="D156" s="60" t="s">
        <v>1245</v>
      </c>
      <c r="E156" s="60">
        <v>398</v>
      </c>
      <c r="F156" s="60">
        <v>200</v>
      </c>
      <c r="G156" s="60">
        <v>124</v>
      </c>
      <c r="H156" s="60" t="s">
        <v>754</v>
      </c>
      <c r="I156" s="60" t="str">
        <f t="shared" si="6"/>
        <v>34.500</v>
      </c>
      <c r="J156" s="60" t="s">
        <v>1005</v>
      </c>
      <c r="K156" s="60" t="s">
        <v>1420</v>
      </c>
      <c r="L156" s="81" t="s">
        <v>1360</v>
      </c>
      <c r="M156" s="63">
        <v>43653</v>
      </c>
      <c r="N156" s="60" t="str">
        <f>IF(A156&lt;&gt;"",VLOOKUP(RIGHT(A156,3)*1,[1]SEGMENTAÇÃO!A:H,8,0),"")</f>
        <v>NORTE</v>
      </c>
      <c r="O156" s="59" t="str">
        <f>IF(A156&lt;&gt;"",VLOOKUP(RIGHT(A156,3)*1,[1]SEGMENTAÇÃO!A:I,9,0),"")</f>
        <v>PEDRO AFONSO</v>
      </c>
    </row>
    <row r="157" spans="1:15" x14ac:dyDescent="0.25">
      <c r="A157" s="84">
        <v>5834913065</v>
      </c>
      <c r="B157" s="83" t="str">
        <f t="shared" si="7"/>
        <v>5834913065.pdf</v>
      </c>
      <c r="C157" s="60" t="s">
        <v>1248</v>
      </c>
      <c r="D157" s="60" t="s">
        <v>1280</v>
      </c>
      <c r="E157" s="60">
        <v>300</v>
      </c>
      <c r="F157" s="60">
        <v>300</v>
      </c>
      <c r="G157" s="60">
        <v>124</v>
      </c>
      <c r="H157" s="60" t="s">
        <v>1138</v>
      </c>
      <c r="I157" s="60" t="str">
        <f t="shared" si="6"/>
        <v>13.800</v>
      </c>
      <c r="J157" s="60" t="s">
        <v>1005</v>
      </c>
      <c r="K157" s="60" t="s">
        <v>1421</v>
      </c>
      <c r="L157" s="81" t="s">
        <v>1360</v>
      </c>
      <c r="M157" s="63">
        <v>43647</v>
      </c>
      <c r="N157" s="60" t="str">
        <f>IF(A157&lt;&gt;"",VLOOKUP(RIGHT(A157,3)*1,[1]SEGMENTAÇÃO!A:H,8,0),"")</f>
        <v>NORTE</v>
      </c>
      <c r="O157" s="59" t="str">
        <f>IF(A157&lt;&gt;"",VLOOKUP(RIGHT(A157,3)*1,[1]SEGMENTAÇÃO!A:I,9,0),"")</f>
        <v>AXIXA DO TOCANTINS</v>
      </c>
    </row>
    <row r="158" spans="1:15" x14ac:dyDescent="0.25">
      <c r="A158" s="84">
        <v>5837992077</v>
      </c>
      <c r="B158" s="83" t="str">
        <f t="shared" si="7"/>
        <v>5837992077.pdf</v>
      </c>
      <c r="C158" s="60" t="s">
        <v>1248</v>
      </c>
      <c r="D158" s="60" t="s">
        <v>1245</v>
      </c>
      <c r="E158" s="76">
        <v>167</v>
      </c>
      <c r="F158" s="76">
        <v>219</v>
      </c>
      <c r="G158" s="76">
        <v>124</v>
      </c>
      <c r="H158" s="60" t="s">
        <v>1085</v>
      </c>
      <c r="I158" s="60" t="str">
        <f t="shared" si="6"/>
        <v>13.800</v>
      </c>
      <c r="J158" s="60" t="s">
        <v>1005</v>
      </c>
      <c r="K158" s="60" t="s">
        <v>1422</v>
      </c>
      <c r="L158" s="81" t="s">
        <v>1255</v>
      </c>
      <c r="M158" s="77">
        <v>43619</v>
      </c>
      <c r="N158" s="60" t="str">
        <f>IF(A158&lt;&gt;"",VLOOKUP(RIGHT(A158,3)*1,[1]SEGMENTAÇÃO!A:H,8,0),"")</f>
        <v>NORTE</v>
      </c>
      <c r="O158" s="59" t="str">
        <f>IF(A158&lt;&gt;"",VLOOKUP(RIGHT(A158,3)*1,[1]SEGMENTAÇÃO!A:I,9,0),"")</f>
        <v>GOIATINS</v>
      </c>
    </row>
    <row r="159" spans="1:15" x14ac:dyDescent="0.25">
      <c r="A159" s="84">
        <v>5836448001</v>
      </c>
      <c r="B159" s="83" t="str">
        <f t="shared" si="7"/>
        <v>5836448001.pdf</v>
      </c>
      <c r="C159" s="60" t="s">
        <v>1248</v>
      </c>
      <c r="D159" s="60" t="s">
        <v>1245</v>
      </c>
      <c r="E159" s="60">
        <v>239</v>
      </c>
      <c r="F159" s="60">
        <v>300</v>
      </c>
      <c r="G159" s="60">
        <v>124</v>
      </c>
      <c r="H159" s="60" t="s">
        <v>392</v>
      </c>
      <c r="I159" s="60" t="str">
        <f t="shared" si="6"/>
        <v>13.800</v>
      </c>
      <c r="J159" s="60" t="s">
        <v>1011</v>
      </c>
      <c r="K159" s="59" t="s">
        <v>1423</v>
      </c>
      <c r="L159" s="85" t="s">
        <v>1255</v>
      </c>
      <c r="M159" s="63">
        <v>43581</v>
      </c>
      <c r="N159" s="60" t="str">
        <f>IF(A159&lt;&gt;"",VLOOKUP(RIGHT(A159,3)*1,[1]SEGMENTAÇÃO!A:H,8,0),"")</f>
        <v>CENTRO</v>
      </c>
      <c r="O159" s="59" t="str">
        <f>IF(A159&lt;&gt;"",VLOOKUP(RIGHT(A159,3)*1,[1]SEGMENTAÇÃO!A:I,9,0),"")</f>
        <v>PORTO NACIONAL</v>
      </c>
    </row>
    <row r="160" spans="1:15" x14ac:dyDescent="0.25">
      <c r="A160" s="84">
        <v>5836764032</v>
      </c>
      <c r="B160" s="83" t="str">
        <f t="shared" si="7"/>
        <v>5836764032.pdf</v>
      </c>
      <c r="C160" s="60" t="s">
        <v>1248</v>
      </c>
      <c r="D160" s="60" t="s">
        <v>1245</v>
      </c>
      <c r="E160" s="60">
        <v>398</v>
      </c>
      <c r="F160" s="60">
        <v>200</v>
      </c>
      <c r="G160" s="60">
        <v>124</v>
      </c>
      <c r="H160" s="60" t="s">
        <v>1037</v>
      </c>
      <c r="I160" s="60" t="str">
        <f t="shared" si="6"/>
        <v>34.500</v>
      </c>
      <c r="J160" s="60" t="s">
        <v>1005</v>
      </c>
      <c r="K160" s="63" t="s">
        <v>1424</v>
      </c>
      <c r="L160" s="81" t="s">
        <v>1255</v>
      </c>
      <c r="M160" s="63">
        <v>43532</v>
      </c>
      <c r="N160" s="60" t="str">
        <f>IF(A160&lt;&gt;"",VLOOKUP(RIGHT(A160,3)*1,[1]SEGMENTAÇÃO!A:H,8,0),"")</f>
        <v>SUL</v>
      </c>
      <c r="O160" s="59" t="str">
        <f>IF(A160&lt;&gt;"",VLOOKUP(RIGHT(A160,3)*1,[1]SEGMENTAÇÃO!A:I,9,0),"")</f>
        <v>ARAGUACU</v>
      </c>
    </row>
    <row r="161" spans="1:15" x14ac:dyDescent="0.25">
      <c r="A161" s="84">
        <v>5803327001</v>
      </c>
      <c r="B161" s="83" t="str">
        <f t="shared" si="7"/>
        <v>5803327001.pdf</v>
      </c>
      <c r="C161" s="60" t="s">
        <v>1248</v>
      </c>
      <c r="D161" s="60" t="s">
        <v>1280</v>
      </c>
      <c r="E161" s="60">
        <v>167</v>
      </c>
      <c r="F161" s="60">
        <v>219</v>
      </c>
      <c r="G161" s="60">
        <v>124.5</v>
      </c>
      <c r="H161" s="60" t="s">
        <v>392</v>
      </c>
      <c r="I161" s="60" t="str">
        <f t="shared" si="6"/>
        <v>13.800</v>
      </c>
      <c r="J161" s="60" t="s">
        <v>1011</v>
      </c>
      <c r="K161" s="59" t="s">
        <v>1425</v>
      </c>
      <c r="L161" s="85" t="s">
        <v>1255</v>
      </c>
      <c r="M161" s="63">
        <v>43467</v>
      </c>
      <c r="N161" s="60" t="str">
        <f>IF(A161&lt;&gt;"",VLOOKUP(RIGHT(A161,3)*1,[1]SEGMENTAÇÃO!A:H,8,0),"")</f>
        <v>CENTRO</v>
      </c>
      <c r="O161" s="59" t="str">
        <f>IF(A161&lt;&gt;"",VLOOKUP(RIGHT(A161,3)*1,[1]SEGMENTAÇÃO!A:I,9,0),"")</f>
        <v>PORTO NACIONAL</v>
      </c>
    </row>
    <row r="162" spans="1:15" x14ac:dyDescent="0.25">
      <c r="A162" s="84">
        <v>5837741055</v>
      </c>
      <c r="B162" s="83" t="str">
        <f t="shared" ref="B162:B191" si="8">CONCATENATE(A162,".pdf")</f>
        <v>5837741055.pdf</v>
      </c>
      <c r="C162" s="60" t="s">
        <v>1248</v>
      </c>
      <c r="D162" s="60" t="s">
        <v>1245</v>
      </c>
      <c r="E162" s="60">
        <v>398</v>
      </c>
      <c r="F162" s="60">
        <v>200</v>
      </c>
      <c r="G162" s="60">
        <v>124</v>
      </c>
      <c r="H162" s="60" t="s">
        <v>1062</v>
      </c>
      <c r="I162" s="60" t="str">
        <f t="shared" si="6"/>
        <v>34.500</v>
      </c>
      <c r="J162" s="60" t="s">
        <v>1005</v>
      </c>
      <c r="K162" s="87" t="s">
        <v>1426</v>
      </c>
      <c r="L162" s="81" t="s">
        <v>1255</v>
      </c>
      <c r="M162" s="63">
        <v>43454</v>
      </c>
      <c r="N162" s="60" t="str">
        <f>IF(A162&lt;&gt;"",VLOOKUP(RIGHT(A162,3)*1,[1]SEGMENTAÇÃO!A:H,8,0),"")</f>
        <v>CENTRO</v>
      </c>
      <c r="O162" s="59" t="str">
        <f>IF(A162&lt;&gt;"",VLOOKUP(RIGHT(A162,3)*1,[1]SEGMENTAÇÃO!A:I,9,0),"")</f>
        <v>ARAGUACEMA</v>
      </c>
    </row>
    <row r="163" spans="1:15" x14ac:dyDescent="0.25">
      <c r="A163" s="84">
        <v>5834837034</v>
      </c>
      <c r="B163" s="83" t="str">
        <f t="shared" si="8"/>
        <v>5834837034.pdf</v>
      </c>
      <c r="C163" s="60" t="s">
        <v>1248</v>
      </c>
      <c r="D163" s="60" t="s">
        <v>1245</v>
      </c>
      <c r="E163" s="60">
        <v>398</v>
      </c>
      <c r="F163" s="60">
        <v>200</v>
      </c>
      <c r="G163" s="60">
        <v>124</v>
      </c>
      <c r="H163" s="60" t="s">
        <v>1047</v>
      </c>
      <c r="I163" s="60" t="str">
        <f t="shared" si="6"/>
        <v>34.500</v>
      </c>
      <c r="J163" s="60" t="s">
        <v>1005</v>
      </c>
      <c r="K163" s="60" t="s">
        <v>1427</v>
      </c>
      <c r="L163" s="81" t="s">
        <v>1255</v>
      </c>
      <c r="M163" s="63">
        <v>43454</v>
      </c>
      <c r="N163" s="60" t="str">
        <f>IF(A163&lt;&gt;"",VLOOKUP(RIGHT(A163,3)*1,[1]SEGMENTAÇÃO!A:H,8,0),"")</f>
        <v>NORTE</v>
      </c>
      <c r="O163" s="59" t="str">
        <f>IF(A163&lt;&gt;"",VLOOKUP(RIGHT(A163,3)*1,[1]SEGMENTAÇÃO!A:I,9,0),"")</f>
        <v>PRESIDENTE KENNEDY</v>
      </c>
    </row>
    <row r="164" spans="1:15" x14ac:dyDescent="0.25">
      <c r="A164" s="84">
        <v>5832406044</v>
      </c>
      <c r="B164" s="83" t="str">
        <f t="shared" si="8"/>
        <v>5832406044.pdf</v>
      </c>
      <c r="C164" s="60" t="s">
        <v>1248</v>
      </c>
      <c r="D164" s="60" t="s">
        <v>1245</v>
      </c>
      <c r="E164" s="60">
        <v>398</v>
      </c>
      <c r="F164" s="60">
        <v>200</v>
      </c>
      <c r="G164" s="60">
        <v>124</v>
      </c>
      <c r="H164" s="60" t="s">
        <v>1019</v>
      </c>
      <c r="I164" s="60" t="str">
        <f t="shared" si="6"/>
        <v>34.500</v>
      </c>
      <c r="J164" s="60" t="s">
        <v>1005</v>
      </c>
      <c r="K164" s="60" t="s">
        <v>1428</v>
      </c>
      <c r="L164" s="81" t="s">
        <v>1255</v>
      </c>
      <c r="M164" s="63">
        <v>43454</v>
      </c>
      <c r="N164" s="60" t="str">
        <f>IF(A164&lt;&gt;"",VLOOKUP(RIGHT(A164,3)*1,[1]SEGMENTAÇÃO!A:H,8,0),"")</f>
        <v>CENTRO</v>
      </c>
      <c r="O164" s="59" t="str">
        <f>IF(A164&lt;&gt;"",VLOOKUP(RIGHT(A164,3)*1,[1]SEGMENTAÇÃO!A:I,9,0),"")</f>
        <v>FATIMA</v>
      </c>
    </row>
    <row r="165" spans="1:15" x14ac:dyDescent="0.25">
      <c r="A165" s="84">
        <v>5831240034</v>
      </c>
      <c r="B165" s="83" t="str">
        <f t="shared" si="8"/>
        <v>5831240034.pdf</v>
      </c>
      <c r="C165" s="60" t="s">
        <v>1248</v>
      </c>
      <c r="D165" s="60" t="s">
        <v>1245</v>
      </c>
      <c r="E165" s="76">
        <v>398</v>
      </c>
      <c r="F165" s="76">
        <v>200</v>
      </c>
      <c r="G165" s="76">
        <v>124</v>
      </c>
      <c r="H165" s="60" t="s">
        <v>1083</v>
      </c>
      <c r="I165" s="60" t="str">
        <f t="shared" si="6"/>
        <v>34.500</v>
      </c>
      <c r="J165" s="60" t="s">
        <v>1005</v>
      </c>
      <c r="K165" s="60" t="s">
        <v>1429</v>
      </c>
      <c r="L165" s="81" t="s">
        <v>1255</v>
      </c>
      <c r="M165" s="92">
        <v>43454</v>
      </c>
      <c r="N165" s="60" t="str">
        <f>IF(A165&lt;&gt;"",VLOOKUP(RIGHT(A165,3)*1,[1]SEGMENTAÇÃO!A:H,8,0),"")</f>
        <v>NORTE</v>
      </c>
      <c r="O165" s="59" t="str">
        <f>IF(A165&lt;&gt;"",VLOOKUP(RIGHT(A165,3)*1,[1]SEGMENTAÇÃO!A:I,9,0),"")</f>
        <v>PRESIDENTE KENNEDY</v>
      </c>
    </row>
    <row r="166" spans="1:15" x14ac:dyDescent="0.25">
      <c r="A166" s="84">
        <v>5800843075</v>
      </c>
      <c r="B166" s="83" t="str">
        <f t="shared" si="8"/>
        <v>5800843075.pdf</v>
      </c>
      <c r="C166" s="60" t="s">
        <v>1248</v>
      </c>
      <c r="D166" s="60" t="s">
        <v>1280</v>
      </c>
      <c r="E166" s="60">
        <v>200</v>
      </c>
      <c r="F166" s="60">
        <v>100</v>
      </c>
      <c r="G166" s="60">
        <v>124.5</v>
      </c>
      <c r="H166" s="60" t="s">
        <v>1040</v>
      </c>
      <c r="I166" s="60" t="str">
        <f t="shared" si="6"/>
        <v>34.500</v>
      </c>
      <c r="J166" s="60" t="s">
        <v>1011</v>
      </c>
      <c r="K166" s="59" t="s">
        <v>1383</v>
      </c>
      <c r="L166" s="85" t="s">
        <v>1255</v>
      </c>
      <c r="M166" s="63">
        <v>43448</v>
      </c>
      <c r="N166" s="60" t="str">
        <f>IF(A166&lt;&gt;"",VLOOKUP(RIGHT(A166,3)*1,[1]SEGMENTAÇÃO!A:H,8,0),"")</f>
        <v>CENTRO</v>
      </c>
      <c r="O166" s="59" t="str">
        <f>IF(A166&lt;&gt;"",VLOOKUP(RIGHT(A166,3)*1,[1]SEGMENTAÇÃO!A:I,9,0),"")</f>
        <v>DOIS IRMAOS DO TOCANTINS</v>
      </c>
    </row>
    <row r="167" spans="1:15" x14ac:dyDescent="0.25">
      <c r="A167" s="84">
        <v>5838053076</v>
      </c>
      <c r="B167" s="83" t="str">
        <f t="shared" si="8"/>
        <v>5838053076.pdf</v>
      </c>
      <c r="C167" s="76" t="s">
        <v>1248</v>
      </c>
      <c r="D167" s="76" t="s">
        <v>1280</v>
      </c>
      <c r="E167" s="76">
        <v>167</v>
      </c>
      <c r="F167" s="76">
        <v>219</v>
      </c>
      <c r="G167" s="76">
        <v>124.5</v>
      </c>
      <c r="H167" s="60" t="s">
        <v>583</v>
      </c>
      <c r="I167" s="60" t="str">
        <f t="shared" si="6"/>
        <v>13.800</v>
      </c>
      <c r="J167" s="60" t="s">
        <v>1005</v>
      </c>
      <c r="K167" s="60" t="s">
        <v>1430</v>
      </c>
      <c r="L167" s="81" t="s">
        <v>1255</v>
      </c>
      <c r="M167" s="77">
        <v>43363</v>
      </c>
      <c r="N167" s="60" t="str">
        <f>IF(A167&lt;&gt;"",VLOOKUP(RIGHT(A167,3)*1,[1]SEGMENTAÇÃO!A:H,8,0),"")</f>
        <v>SUL</v>
      </c>
      <c r="O167" s="59" t="str">
        <f>IF(A167&lt;&gt;"",VLOOKUP(RIGHT(A167,3)*1,[1]SEGMENTAÇÃO!A:I,9,0),"")</f>
        <v>DUERE</v>
      </c>
    </row>
    <row r="168" spans="1:15" x14ac:dyDescent="0.25">
      <c r="A168" s="84">
        <v>5801866013</v>
      </c>
      <c r="B168" s="83" t="str">
        <f t="shared" si="8"/>
        <v>5801866013.pdf</v>
      </c>
      <c r="C168" s="60" t="s">
        <v>1248</v>
      </c>
      <c r="D168" s="60" t="s">
        <v>1431</v>
      </c>
      <c r="E168" s="60" t="s">
        <v>1317</v>
      </c>
      <c r="F168" s="60" t="s">
        <v>1432</v>
      </c>
      <c r="G168" s="60">
        <v>124.5</v>
      </c>
      <c r="H168" s="60" t="s">
        <v>384</v>
      </c>
      <c r="I168" s="60" t="str">
        <f t="shared" si="6"/>
        <v>13.800</v>
      </c>
      <c r="J168" s="60" t="s">
        <v>1011</v>
      </c>
      <c r="K168" s="60" t="s">
        <v>1433</v>
      </c>
      <c r="L168" s="60" t="s">
        <v>1272</v>
      </c>
      <c r="M168" s="63">
        <v>43308</v>
      </c>
      <c r="N168" s="60" t="str">
        <f>IF(A168&lt;&gt;"",VLOOKUP(RIGHT(A168,3)*1,[1]SEGMENTAÇÃO!A:H,8,0),"")</f>
        <v>CENTRO</v>
      </c>
      <c r="O168" s="59" t="str">
        <f>IF(A168&lt;&gt;"",VLOOKUP(RIGHT(A168,3)*1,[1]SEGMENTAÇÃO!A:I,9,0),"")</f>
        <v>PARAISO DO TOCANTINS</v>
      </c>
    </row>
    <row r="169" spans="1:15" x14ac:dyDescent="0.25">
      <c r="A169" s="84">
        <v>5800559153</v>
      </c>
      <c r="B169" s="83" t="str">
        <f t="shared" si="8"/>
        <v>5800559153.pdf</v>
      </c>
      <c r="C169" s="60" t="s">
        <v>1248</v>
      </c>
      <c r="D169" s="60" t="s">
        <v>1280</v>
      </c>
      <c r="E169" s="60">
        <v>200</v>
      </c>
      <c r="F169" s="60">
        <v>100</v>
      </c>
      <c r="G169" s="60">
        <v>124.5</v>
      </c>
      <c r="H169" s="60" t="s">
        <v>1034</v>
      </c>
      <c r="I169" s="60" t="str">
        <f t="shared" ref="I169:I232" si="9">IF(H169&lt;&gt;"",IF(LEFT(H169,2)="AL","13.800","34.500"),"")</f>
        <v>34.500</v>
      </c>
      <c r="J169" s="60" t="s">
        <v>1011</v>
      </c>
      <c r="K169" s="60" t="s">
        <v>1434</v>
      </c>
      <c r="L169" s="81" t="s">
        <v>1255</v>
      </c>
      <c r="M169" s="63">
        <v>43242</v>
      </c>
      <c r="N169" s="60" t="str">
        <f>IF(A169&lt;&gt;"",VLOOKUP(RIGHT(A169,3)*1,[1]SEGMENTAÇÃO!A:H,8,0),"")</f>
        <v>NORTE</v>
      </c>
      <c r="O169" s="59" t="str">
        <f>IF(A169&lt;&gt;"",VLOOKUP(RIGHT(A169,3)*1,[1]SEGMENTAÇÃO!A:I,9,0),"")</f>
        <v>BERNARDO SAYAO</v>
      </c>
    </row>
    <row r="170" spans="1:15" x14ac:dyDescent="0.25">
      <c r="A170" s="84">
        <v>5827277123</v>
      </c>
      <c r="B170" s="83" t="str">
        <f t="shared" si="8"/>
        <v>5827277123.pdf</v>
      </c>
      <c r="C170" s="60" t="s">
        <v>1248</v>
      </c>
      <c r="D170" s="60" t="s">
        <v>1280</v>
      </c>
      <c r="E170" s="76">
        <v>200</v>
      </c>
      <c r="F170" s="76">
        <v>100</v>
      </c>
      <c r="G170" s="76">
        <v>124.5</v>
      </c>
      <c r="H170" s="60" t="s">
        <v>594</v>
      </c>
      <c r="I170" s="60" t="str">
        <f t="shared" si="9"/>
        <v>34.500</v>
      </c>
      <c r="J170" s="60" t="s">
        <v>1005</v>
      </c>
      <c r="K170" s="60" t="s">
        <v>1435</v>
      </c>
      <c r="L170" s="81" t="s">
        <v>1255</v>
      </c>
      <c r="M170" s="63">
        <v>43225</v>
      </c>
      <c r="N170" s="60" t="str">
        <f>IF(A170&lt;&gt;"",VLOOKUP(RIGHT(A170,3)*1,[1]SEGMENTAÇÃO!A:H,8,0),"")</f>
        <v>NORTE</v>
      </c>
      <c r="O170" s="59" t="str">
        <f>IF(A170&lt;&gt;"",VLOOKUP(RIGHT(A170,3)*1,[1]SEGMENTAÇÃO!A:I,9,0),"")</f>
        <v>AGUIARNOPOLIS</v>
      </c>
    </row>
    <row r="171" spans="1:15" x14ac:dyDescent="0.25">
      <c r="A171" s="84">
        <v>5801773013</v>
      </c>
      <c r="B171" s="83" t="str">
        <f t="shared" si="8"/>
        <v>5801773013.pdf</v>
      </c>
      <c r="C171" s="60" t="s">
        <v>1248</v>
      </c>
      <c r="D171" s="60" t="s">
        <v>1280</v>
      </c>
      <c r="E171" s="60">
        <v>167</v>
      </c>
      <c r="F171" s="60">
        <v>219</v>
      </c>
      <c r="G171" s="60">
        <v>124.5</v>
      </c>
      <c r="H171" s="60" t="s">
        <v>384</v>
      </c>
      <c r="I171" s="60" t="str">
        <f t="shared" si="9"/>
        <v>13.800</v>
      </c>
      <c r="J171" s="60" t="s">
        <v>1011</v>
      </c>
      <c r="K171" s="60" t="s">
        <v>1433</v>
      </c>
      <c r="L171" s="81" t="s">
        <v>1255</v>
      </c>
      <c r="M171" s="63">
        <v>43195</v>
      </c>
      <c r="N171" s="60" t="str">
        <f>IF(A171&lt;&gt;"",VLOOKUP(RIGHT(A171,3)*1,[1]SEGMENTAÇÃO!A:H,8,0),"")</f>
        <v>CENTRO</v>
      </c>
      <c r="O171" s="59" t="str">
        <f>IF(A171&lt;&gt;"",VLOOKUP(RIGHT(A171,3)*1,[1]SEGMENTAÇÃO!A:I,9,0),"")</f>
        <v>PARAISO DO TOCANTINS</v>
      </c>
    </row>
    <row r="172" spans="1:15" x14ac:dyDescent="0.25">
      <c r="A172" s="60">
        <v>5825122040</v>
      </c>
      <c r="B172" s="83" t="str">
        <f t="shared" si="8"/>
        <v>5825122040.pdf</v>
      </c>
      <c r="C172" s="60" t="s">
        <v>1248</v>
      </c>
      <c r="D172" s="60" t="s">
        <v>1280</v>
      </c>
      <c r="E172" s="60">
        <v>200</v>
      </c>
      <c r="F172" s="60">
        <v>100</v>
      </c>
      <c r="G172" s="60">
        <v>124.5</v>
      </c>
      <c r="H172" s="60" t="s">
        <v>1119</v>
      </c>
      <c r="I172" s="60" t="str">
        <f t="shared" si="9"/>
        <v>34.500</v>
      </c>
      <c r="J172" s="60" t="s">
        <v>1011</v>
      </c>
      <c r="K172" s="60" t="s">
        <v>1436</v>
      </c>
      <c r="L172" s="81" t="s">
        <v>1255</v>
      </c>
      <c r="M172" s="63">
        <v>43195</v>
      </c>
      <c r="N172" s="60" t="str">
        <f>IF(A172&lt;&gt;"",VLOOKUP(RIGHT(A172,3)*1,[1]SEGMENTAÇÃO!A:H,8,0),"")</f>
        <v>NORTE</v>
      </c>
      <c r="O172" s="59" t="str">
        <f>IF(A172&lt;&gt;"",VLOOKUP(RIGHT(A172,3)*1,[1]SEGMENTAÇÃO!A:I,9,0),"")</f>
        <v>ARAGOMINAS</v>
      </c>
    </row>
    <row r="173" spans="1:15" x14ac:dyDescent="0.25">
      <c r="A173" s="84">
        <v>5825743016</v>
      </c>
      <c r="B173" s="83" t="str">
        <f t="shared" si="8"/>
        <v>5825743016.pdf</v>
      </c>
      <c r="C173" s="60" t="s">
        <v>1248</v>
      </c>
      <c r="D173" s="60" t="s">
        <v>1280</v>
      </c>
      <c r="E173" s="60">
        <v>167</v>
      </c>
      <c r="F173" s="60">
        <v>219</v>
      </c>
      <c r="G173" s="60">
        <v>124.5</v>
      </c>
      <c r="H173" s="60" t="s">
        <v>1221</v>
      </c>
      <c r="I173" s="60" t="str">
        <f t="shared" si="9"/>
        <v>13.800</v>
      </c>
      <c r="J173" s="60" t="s">
        <v>1011</v>
      </c>
      <c r="K173" s="60" t="s">
        <v>1437</v>
      </c>
      <c r="L173" s="81" t="s">
        <v>1255</v>
      </c>
      <c r="M173" s="63">
        <v>43192</v>
      </c>
      <c r="N173" s="60" t="str">
        <f>IF(A173&lt;&gt;"",VLOOKUP(RIGHT(A173,3)*1,[1]SEGMENTAÇÃO!A:H,8,0),"")</f>
        <v>NORTE</v>
      </c>
      <c r="O173" s="59" t="str">
        <f>IF(A173&lt;&gt;"",VLOOKUP(RIGHT(A173,3)*1,[1]SEGMENTAÇÃO!A:I,9,0),"")</f>
        <v>WANDERLANDIA</v>
      </c>
    </row>
    <row r="174" spans="1:15" x14ac:dyDescent="0.25">
      <c r="A174" s="84">
        <v>5828060036</v>
      </c>
      <c r="B174" s="83" t="str">
        <f t="shared" si="8"/>
        <v>5828060036.pdf</v>
      </c>
      <c r="C174" s="60" t="s">
        <v>1248</v>
      </c>
      <c r="D174" s="60" t="s">
        <v>1280</v>
      </c>
      <c r="E174" s="60">
        <v>167</v>
      </c>
      <c r="F174" s="60">
        <v>219</v>
      </c>
      <c r="G174" s="60">
        <v>12.45</v>
      </c>
      <c r="H174" s="60" t="s">
        <v>1039</v>
      </c>
      <c r="I174" s="60" t="str">
        <f t="shared" si="9"/>
        <v>13.800</v>
      </c>
      <c r="J174" s="60" t="s">
        <v>1011</v>
      </c>
      <c r="K174" s="60" t="s">
        <v>1438</v>
      </c>
      <c r="L174" s="81" t="s">
        <v>1360</v>
      </c>
      <c r="M174" s="63">
        <v>43182</v>
      </c>
      <c r="N174" s="60" t="str">
        <f>IF(A174&lt;&gt;"",VLOOKUP(RIGHT(A174,3)*1,[1]SEGMENTAÇÃO!A:H,8,0),"")</f>
        <v>SUL</v>
      </c>
      <c r="O174" s="59" t="str">
        <f>IF(A174&lt;&gt;"",VLOOKUP(RIGHT(A174,3)*1,[1]SEGMENTAÇÃO!A:I,9,0),"")</f>
        <v>ALVORADA</v>
      </c>
    </row>
    <row r="175" spans="1:15" x14ac:dyDescent="0.25">
      <c r="A175" s="84">
        <v>5826450001</v>
      </c>
      <c r="B175" s="83" t="str">
        <f t="shared" si="8"/>
        <v>5826450001.pdf</v>
      </c>
      <c r="C175" s="60" t="s">
        <v>1248</v>
      </c>
      <c r="D175" s="60" t="s">
        <v>1280</v>
      </c>
      <c r="E175" s="60">
        <v>167</v>
      </c>
      <c r="F175" s="60">
        <v>219</v>
      </c>
      <c r="G175" s="60">
        <v>124.5</v>
      </c>
      <c r="H175" s="60" t="s">
        <v>1014</v>
      </c>
      <c r="I175" s="60" t="str">
        <f t="shared" si="9"/>
        <v>13.800</v>
      </c>
      <c r="J175" s="60" t="s">
        <v>1005</v>
      </c>
      <c r="K175" s="60" t="s">
        <v>1439</v>
      </c>
      <c r="L175" s="81" t="s">
        <v>1255</v>
      </c>
      <c r="M175" s="63">
        <v>43180</v>
      </c>
      <c r="N175" s="60" t="str">
        <f>IF(A175&lt;&gt;"",VLOOKUP(RIGHT(A175,3)*1,[1]SEGMENTAÇÃO!A:H,8,0),"")</f>
        <v>CENTRO</v>
      </c>
      <c r="O175" s="59" t="str">
        <f>IF(A175&lt;&gt;"",VLOOKUP(RIGHT(A175,3)*1,[1]SEGMENTAÇÃO!A:I,9,0),"")</f>
        <v>PORTO NACIONAL</v>
      </c>
    </row>
    <row r="176" spans="1:15" x14ac:dyDescent="0.25">
      <c r="A176" s="84">
        <v>5800961074</v>
      </c>
      <c r="B176" s="83" t="str">
        <f t="shared" si="8"/>
        <v>5800961074.pdf</v>
      </c>
      <c r="C176" s="60" t="s">
        <v>1248</v>
      </c>
      <c r="D176" s="60" t="s">
        <v>1245</v>
      </c>
      <c r="E176" s="60">
        <v>200</v>
      </c>
      <c r="F176" s="60">
        <v>100</v>
      </c>
      <c r="G176" s="60">
        <v>120</v>
      </c>
      <c r="H176" s="60" t="s">
        <v>376</v>
      </c>
      <c r="I176" s="60" t="str">
        <f t="shared" si="9"/>
        <v>34.500</v>
      </c>
      <c r="J176" s="60" t="s">
        <v>1005</v>
      </c>
      <c r="K176" s="87" t="s">
        <v>1440</v>
      </c>
      <c r="L176" s="81" t="s">
        <v>1255</v>
      </c>
      <c r="M176" s="63">
        <v>43180</v>
      </c>
      <c r="N176" s="60" t="str">
        <f>IF(A176&lt;&gt;"",VLOOKUP(RIGHT(A176,3)*1,[1]SEGMENTAÇÃO!A:H,8,0),"")</f>
        <v>SUL</v>
      </c>
      <c r="O176" s="59" t="str">
        <f>IF(A176&lt;&gt;"",VLOOKUP(RIGHT(A176,3)*1,[1]SEGMENTAÇÃO!A:I,9,0),"")</f>
        <v>DIANOPOLIS</v>
      </c>
    </row>
    <row r="177" spans="1:15" x14ac:dyDescent="0.25">
      <c r="A177" s="84">
        <v>5825703064</v>
      </c>
      <c r="B177" s="83" t="str">
        <f t="shared" si="8"/>
        <v>5825703064.pdf</v>
      </c>
      <c r="C177" s="60" t="s">
        <v>1248</v>
      </c>
      <c r="D177" s="60" t="s">
        <v>1280</v>
      </c>
      <c r="E177" s="60">
        <v>200</v>
      </c>
      <c r="F177" s="60">
        <v>100</v>
      </c>
      <c r="G177" s="60">
        <v>124.5</v>
      </c>
      <c r="H177" s="60" t="s">
        <v>1083</v>
      </c>
      <c r="I177" s="60" t="str">
        <f t="shared" si="9"/>
        <v>34.500</v>
      </c>
      <c r="J177" s="60" t="s">
        <v>1011</v>
      </c>
      <c r="K177" s="60" t="s">
        <v>1441</v>
      </c>
      <c r="L177" s="81" t="s">
        <v>1255</v>
      </c>
      <c r="M177" s="63">
        <v>43172</v>
      </c>
      <c r="N177" s="60" t="str">
        <f>IF(A177&lt;&gt;"",VLOOKUP(RIGHT(A177,3)*1,[1]SEGMENTAÇÃO!A:H,8,0),"")</f>
        <v>NORTE</v>
      </c>
      <c r="O177" s="59" t="str">
        <f>IF(A177&lt;&gt;"",VLOOKUP(RIGHT(A177,3)*1,[1]SEGMENTAÇÃO!A:I,9,0),"")</f>
        <v>BRASILANDIA DO TOCANTINS</v>
      </c>
    </row>
    <row r="178" spans="1:15" x14ac:dyDescent="0.25">
      <c r="A178" s="60" t="s">
        <v>1442</v>
      </c>
      <c r="B178" s="83" t="str">
        <f t="shared" si="8"/>
        <v>RT SE CRISTALÂNDIA.pdf</v>
      </c>
      <c r="C178" s="60" t="s">
        <v>1443</v>
      </c>
      <c r="D178" s="60" t="s">
        <v>1245</v>
      </c>
      <c r="E178" s="91">
        <v>167</v>
      </c>
      <c r="F178" s="91">
        <v>219</v>
      </c>
      <c r="G178" s="90">
        <v>120</v>
      </c>
      <c r="H178" s="60" t="s">
        <v>1444</v>
      </c>
      <c r="I178" s="60" t="str">
        <f t="shared" si="9"/>
        <v>13.800</v>
      </c>
      <c r="J178" s="60" t="s">
        <v>1011</v>
      </c>
      <c r="K178" s="87" t="s">
        <v>1445</v>
      </c>
      <c r="L178" s="81" t="s">
        <v>1446</v>
      </c>
      <c r="M178" s="63">
        <v>43159</v>
      </c>
      <c r="N178" s="60" t="s">
        <v>32</v>
      </c>
      <c r="O178" s="59" t="s">
        <v>1447</v>
      </c>
    </row>
    <row r="179" spans="1:15" x14ac:dyDescent="0.25">
      <c r="A179" s="84">
        <v>5823916001</v>
      </c>
      <c r="B179" s="83" t="str">
        <f t="shared" si="8"/>
        <v>5823916001.pdf</v>
      </c>
      <c r="C179" s="60" t="s">
        <v>1248</v>
      </c>
      <c r="D179" s="60" t="s">
        <v>1448</v>
      </c>
      <c r="E179" s="60">
        <v>167</v>
      </c>
      <c r="F179" s="60">
        <v>219</v>
      </c>
      <c r="G179" s="60">
        <v>124</v>
      </c>
      <c r="H179" s="60" t="s">
        <v>1057</v>
      </c>
      <c r="I179" s="60" t="str">
        <f t="shared" si="9"/>
        <v>13.800</v>
      </c>
      <c r="J179" s="60" t="s">
        <v>1011</v>
      </c>
      <c r="K179" s="59" t="s">
        <v>1449</v>
      </c>
      <c r="L179" s="85" t="s">
        <v>1360</v>
      </c>
      <c r="M179" s="63">
        <v>43158</v>
      </c>
      <c r="N179" s="60" t="str">
        <f>IF(A179&lt;&gt;"",VLOOKUP(RIGHT(A179,3)*1,[1]SEGMENTAÇÃO!A:H,8,0),"")</f>
        <v>CENTRO</v>
      </c>
      <c r="O179" s="59" t="str">
        <f>IF(A179&lt;&gt;"",VLOOKUP(RIGHT(A179,3)*1,[1]SEGMENTAÇÃO!A:I,9,0),"")</f>
        <v>PORTO NACIONAL</v>
      </c>
    </row>
    <row r="180" spans="1:15" x14ac:dyDescent="0.25">
      <c r="A180" s="89">
        <v>5800366078</v>
      </c>
      <c r="B180" s="86" t="str">
        <f t="shared" si="8"/>
        <v>5800366078.pdf</v>
      </c>
      <c r="C180" s="60" t="s">
        <v>1248</v>
      </c>
      <c r="D180" s="60" t="s">
        <v>1280</v>
      </c>
      <c r="E180" s="60">
        <v>167</v>
      </c>
      <c r="F180" s="60">
        <v>219</v>
      </c>
      <c r="G180" s="60">
        <v>124.5</v>
      </c>
      <c r="H180" s="60" t="s">
        <v>1085</v>
      </c>
      <c r="I180" s="60" t="str">
        <f t="shared" si="9"/>
        <v>13.800</v>
      </c>
      <c r="J180" s="60" t="s">
        <v>1005</v>
      </c>
      <c r="K180" s="60" t="s">
        <v>1450</v>
      </c>
      <c r="L180" s="81" t="s">
        <v>1446</v>
      </c>
      <c r="M180" s="63">
        <v>43150</v>
      </c>
      <c r="N180" s="60" t="str">
        <f>IF(A180&lt;&gt;"",VLOOKUP(RIGHT(A180,3)*1,[1]SEGMENTAÇÃO!A:H,8,0),"")</f>
        <v>NORTE</v>
      </c>
      <c r="O180" s="59" t="str">
        <f>IF(A180&lt;&gt;"",VLOOKUP(RIGHT(A180,3)*1,[1]SEGMENTAÇÃO!A:I,9,0),"")</f>
        <v>ITACAJA</v>
      </c>
    </row>
    <row r="181" spans="1:15" x14ac:dyDescent="0.25">
      <c r="A181" s="89">
        <v>5822332110</v>
      </c>
      <c r="B181" s="86" t="str">
        <f t="shared" si="8"/>
        <v>5822332110.pdf</v>
      </c>
      <c r="C181" s="60" t="s">
        <v>1451</v>
      </c>
      <c r="D181" s="60" t="s">
        <v>1452</v>
      </c>
      <c r="E181" s="60">
        <v>200</v>
      </c>
      <c r="F181" s="60">
        <v>100</v>
      </c>
      <c r="G181" s="60">
        <v>124</v>
      </c>
      <c r="H181" s="60" t="s">
        <v>1030</v>
      </c>
      <c r="I181" s="60" t="str">
        <f t="shared" si="9"/>
        <v>34.500</v>
      </c>
      <c r="J181" s="60" t="s">
        <v>1005</v>
      </c>
      <c r="K181" s="60" t="s">
        <v>1453</v>
      </c>
      <c r="L181" s="81" t="s">
        <v>1446</v>
      </c>
      <c r="M181" s="63">
        <v>43087</v>
      </c>
      <c r="N181" s="60" t="str">
        <f>IF(A181&lt;&gt;"",VLOOKUP(RIGHT(A181,3)*1,[1]SEGMENTAÇÃO!A:H,8,0),"")</f>
        <v>CENTRO</v>
      </c>
      <c r="O181" s="59" t="str">
        <f>IF(A181&lt;&gt;"",VLOOKUP(RIGHT(A181,3)*1,[1]SEGMENTAÇÃO!A:I,9,0),"")</f>
        <v>SANTA RITA DO TOCANTINS</v>
      </c>
    </row>
    <row r="182" spans="1:15" x14ac:dyDescent="0.25">
      <c r="A182" s="89">
        <v>5827102054</v>
      </c>
      <c r="B182" s="86" t="str">
        <f t="shared" si="8"/>
        <v>5827102054.pdf</v>
      </c>
      <c r="C182" s="60" t="s">
        <v>1248</v>
      </c>
      <c r="D182" s="60" t="s">
        <v>1280</v>
      </c>
      <c r="E182" s="60">
        <v>200</v>
      </c>
      <c r="F182" s="60">
        <v>100</v>
      </c>
      <c r="G182" s="60">
        <v>124.5</v>
      </c>
      <c r="H182" s="60" t="s">
        <v>400</v>
      </c>
      <c r="I182" s="60" t="str">
        <f t="shared" si="9"/>
        <v>34.500</v>
      </c>
      <c r="J182" s="60" t="s">
        <v>1011</v>
      </c>
      <c r="K182" s="60" t="s">
        <v>1454</v>
      </c>
      <c r="L182" s="81" t="s">
        <v>1255</v>
      </c>
      <c r="M182" s="63">
        <v>43070</v>
      </c>
      <c r="N182" s="60" t="str">
        <f>IF(A182&lt;&gt;"",VLOOKUP(RIGHT(A182,3)*1,[1]SEGMENTAÇÃO!A:H,8,0),"")</f>
        <v>CENTRO</v>
      </c>
      <c r="O182" s="59" t="str">
        <f>IF(A182&lt;&gt;"",VLOOKUP(RIGHT(A182,3)*1,[1]SEGMENTAÇÃO!A:I,9,0),"")</f>
        <v>PUGMIL</v>
      </c>
    </row>
    <row r="183" spans="1:15" x14ac:dyDescent="0.25">
      <c r="A183" s="88">
        <v>5826657122</v>
      </c>
      <c r="B183" s="86" t="str">
        <f t="shared" si="8"/>
        <v>5826657122.pdf</v>
      </c>
      <c r="C183" s="60" t="s">
        <v>1248</v>
      </c>
      <c r="D183" s="60" t="s">
        <v>1280</v>
      </c>
      <c r="E183" s="60">
        <v>200</v>
      </c>
      <c r="F183" s="60">
        <v>100</v>
      </c>
      <c r="G183" s="60">
        <v>124.5</v>
      </c>
      <c r="H183" s="60" t="s">
        <v>1068</v>
      </c>
      <c r="I183" s="60" t="str">
        <f t="shared" si="9"/>
        <v>34.500</v>
      </c>
      <c r="J183" s="60" t="s">
        <v>1011</v>
      </c>
      <c r="K183" s="59" t="s">
        <v>1455</v>
      </c>
      <c r="L183" s="85" t="s">
        <v>1255</v>
      </c>
      <c r="M183" s="63">
        <v>43069</v>
      </c>
      <c r="N183" s="60" t="str">
        <f>IF(A183&lt;&gt;"",VLOOKUP(RIGHT(A183,3)*1,[1]SEGMENTAÇÃO!A:H,8,0),"")</f>
        <v>CENTRO</v>
      </c>
      <c r="O183" s="59" t="str">
        <f>IF(A183&lt;&gt;"",VLOOKUP(RIGHT(A183,3)*1,[1]SEGMENTAÇÃO!A:I,9,0),"")</f>
        <v>PALMAS</v>
      </c>
    </row>
    <row r="184" spans="1:15" x14ac:dyDescent="0.25">
      <c r="A184" s="84">
        <v>5800445049</v>
      </c>
      <c r="B184" s="86" t="str">
        <f t="shared" si="8"/>
        <v>5800445049.pdf</v>
      </c>
      <c r="C184" s="60" t="s">
        <v>1443</v>
      </c>
      <c r="D184" s="60" t="s">
        <v>1245</v>
      </c>
      <c r="E184" s="60">
        <v>167</v>
      </c>
      <c r="F184" s="60">
        <v>219</v>
      </c>
      <c r="G184" s="60">
        <v>120</v>
      </c>
      <c r="H184" s="60" t="s">
        <v>566</v>
      </c>
      <c r="I184" s="60" t="str">
        <f t="shared" si="9"/>
        <v>13.800</v>
      </c>
      <c r="J184" s="60" t="s">
        <v>1005</v>
      </c>
      <c r="K184" s="60" t="s">
        <v>1456</v>
      </c>
      <c r="L184" s="81" t="s">
        <v>1255</v>
      </c>
      <c r="M184" s="63">
        <v>43060</v>
      </c>
      <c r="N184" s="60" t="str">
        <f>IF(A184&lt;&gt;"",VLOOKUP(RIGHT(A184,3)*1,[1]SEGMENTAÇÃO!A:H,8,0),"")</f>
        <v>SUL</v>
      </c>
      <c r="O184" s="59" t="str">
        <f>IF(A184&lt;&gt;"",VLOOKUP(RIGHT(A184,3)*1,[1]SEGMENTAÇÃO!A:I,9,0),"")</f>
        <v>AURORA DO TOCANTINS</v>
      </c>
    </row>
    <row r="185" spans="1:15" x14ac:dyDescent="0.25">
      <c r="A185" s="84">
        <v>5800371025</v>
      </c>
      <c r="B185" s="86" t="str">
        <f t="shared" si="8"/>
        <v>5800371025.pdf</v>
      </c>
      <c r="C185" s="60" t="s">
        <v>1457</v>
      </c>
      <c r="D185" s="60" t="s">
        <v>1280</v>
      </c>
      <c r="E185" s="60">
        <v>200</v>
      </c>
      <c r="F185" s="60">
        <v>100</v>
      </c>
      <c r="G185" s="60">
        <v>124.5</v>
      </c>
      <c r="H185" s="87" t="s">
        <v>353</v>
      </c>
      <c r="I185" s="60" t="str">
        <f t="shared" si="9"/>
        <v>34.500</v>
      </c>
      <c r="J185" s="60" t="s">
        <v>1005</v>
      </c>
      <c r="K185" s="60" t="s">
        <v>1458</v>
      </c>
      <c r="L185" s="81" t="s">
        <v>1255</v>
      </c>
      <c r="M185" s="63">
        <v>43042</v>
      </c>
      <c r="N185" s="60" t="str">
        <f>IF(A185&lt;&gt;"",VLOOKUP(RIGHT(A185,3)*1,[1]SEGMENTAÇÃO!A:H,8,0),"")</f>
        <v>NORTE</v>
      </c>
      <c r="O185" s="59" t="str">
        <f>IF(A185&lt;&gt;"",VLOOKUP(RIGHT(A185,3)*1,[1]SEGMENTAÇÃO!A:I,9,0),"")</f>
        <v>ARAPOEMA</v>
      </c>
    </row>
    <row r="186" spans="1:15" x14ac:dyDescent="0.25">
      <c r="A186" s="84">
        <v>5800705023</v>
      </c>
      <c r="B186" s="86" t="str">
        <f t="shared" si="8"/>
        <v>5800705023.pdf</v>
      </c>
      <c r="C186" s="60" t="s">
        <v>1443</v>
      </c>
      <c r="D186" s="60" t="s">
        <v>1245</v>
      </c>
      <c r="E186" s="60">
        <v>167</v>
      </c>
      <c r="F186" s="60">
        <v>219</v>
      </c>
      <c r="G186" s="60">
        <v>120</v>
      </c>
      <c r="H186" s="60" t="s">
        <v>1110</v>
      </c>
      <c r="I186" s="60" t="str">
        <f t="shared" si="9"/>
        <v>13.800</v>
      </c>
      <c r="J186" s="60" t="s">
        <v>1005</v>
      </c>
      <c r="K186" s="60" t="s">
        <v>1459</v>
      </c>
      <c r="L186" s="81" t="s">
        <v>1255</v>
      </c>
      <c r="M186" s="63">
        <v>42890</v>
      </c>
      <c r="N186" s="60" t="str">
        <f>IF(A186&lt;&gt;"",VLOOKUP(RIGHT(A186,3)*1,[1]SEGMENTAÇÃO!A:H,8,0),"")</f>
        <v>NORTE</v>
      </c>
      <c r="O186" s="59" t="str">
        <f>IF(A186&lt;&gt;"",VLOOKUP(RIGHT(A186,3)*1,[1]SEGMENTAÇÃO!A:I,9,0),"")</f>
        <v>COLINAS DO TOCANTINS</v>
      </c>
    </row>
    <row r="187" spans="1:15" x14ac:dyDescent="0.25">
      <c r="A187" s="84">
        <v>5822344043</v>
      </c>
      <c r="B187" s="83" t="str">
        <f t="shared" si="8"/>
        <v>5822344043.pdf</v>
      </c>
      <c r="C187" s="60" t="s">
        <v>1248</v>
      </c>
      <c r="D187" s="60" t="s">
        <v>1280</v>
      </c>
      <c r="E187" s="60">
        <v>167</v>
      </c>
      <c r="F187" s="60">
        <v>219</v>
      </c>
      <c r="G187" s="60">
        <v>124.5</v>
      </c>
      <c r="H187" s="60" t="s">
        <v>1225</v>
      </c>
      <c r="I187" s="60" t="str">
        <f t="shared" si="9"/>
        <v>13.800</v>
      </c>
      <c r="J187" s="60" t="s">
        <v>1011</v>
      </c>
      <c r="K187" s="59" t="s">
        <v>1460</v>
      </c>
      <c r="L187" s="85" t="s">
        <v>1255</v>
      </c>
      <c r="M187" s="63">
        <v>42705</v>
      </c>
      <c r="N187" s="60" t="str">
        <f>IF(A187&lt;&gt;"",VLOOKUP(RIGHT(A187,3)*1,[1]SEGMENTAÇÃO!A:H,8,0),"")</f>
        <v>CENTRO</v>
      </c>
      <c r="O187" s="59" t="str">
        <f>IF(A187&lt;&gt;"",VLOOKUP(RIGHT(A187,3)*1,[1]SEGMENTAÇÃO!A:I,9,0),"")</f>
        <v>SILVANOPOLIS</v>
      </c>
    </row>
    <row r="188" spans="1:15" x14ac:dyDescent="0.25">
      <c r="A188" s="84">
        <v>5815027029</v>
      </c>
      <c r="B188" s="83" t="str">
        <f t="shared" si="8"/>
        <v>5815027029.pdf</v>
      </c>
      <c r="C188" s="60" t="s">
        <v>1248</v>
      </c>
      <c r="D188" s="60" t="s">
        <v>1280</v>
      </c>
      <c r="E188" s="60">
        <v>167</v>
      </c>
      <c r="F188" s="60">
        <v>219</v>
      </c>
      <c r="G188" s="60">
        <v>124.5</v>
      </c>
      <c r="H188" s="60" t="s">
        <v>1020</v>
      </c>
      <c r="I188" s="60" t="str">
        <f t="shared" si="9"/>
        <v>13.800</v>
      </c>
      <c r="J188" s="60" t="s">
        <v>1011</v>
      </c>
      <c r="K188" s="60" t="s">
        <v>1461</v>
      </c>
      <c r="L188" s="81" t="s">
        <v>1255</v>
      </c>
      <c r="M188" s="63">
        <v>42494</v>
      </c>
      <c r="N188" s="60" t="str">
        <f>IF(A188&lt;&gt;"",VLOOKUP(RIGHT(A188,3)*1,[1]SEGMENTAÇÃO!A:H,8,0),"")</f>
        <v>SUL</v>
      </c>
      <c r="O188" s="59" t="str">
        <f>IF(A188&lt;&gt;"",VLOOKUP(RIGHT(A188,3)*1,[1]SEGMENTAÇÃO!A:I,9,0),"")</f>
        <v>PALMEIROPOLIS</v>
      </c>
    </row>
    <row r="189" spans="1:15" x14ac:dyDescent="0.25">
      <c r="A189" s="84">
        <v>5800657026</v>
      </c>
      <c r="B189" s="83" t="str">
        <f t="shared" si="8"/>
        <v>5800657026.pdf</v>
      </c>
      <c r="C189" s="60" t="s">
        <v>1248</v>
      </c>
      <c r="D189" s="60" t="s">
        <v>1245</v>
      </c>
      <c r="E189" s="60">
        <v>200</v>
      </c>
      <c r="F189" s="60">
        <v>100</v>
      </c>
      <c r="G189" s="60">
        <v>120</v>
      </c>
      <c r="H189" s="60" t="s">
        <v>518</v>
      </c>
      <c r="I189" s="60" t="str">
        <f t="shared" si="9"/>
        <v>34.500</v>
      </c>
      <c r="J189" s="60" t="s">
        <v>1005</v>
      </c>
      <c r="K189" s="60" t="s">
        <v>1462</v>
      </c>
      <c r="L189" s="81" t="s">
        <v>1270</v>
      </c>
      <c r="M189" s="63">
        <v>41583</v>
      </c>
      <c r="N189" s="60" t="str">
        <f>IF(A189&lt;&gt;"",VLOOKUP(RIGHT(A189,3)*1,[1]SEGMENTAÇÃO!A:H,8,0),"")</f>
        <v>CENTRO</v>
      </c>
      <c r="O189" s="59" t="str">
        <f>IF(A189&lt;&gt;"",VLOOKUP(RIGHT(A189,3)*1,[1]SEGMENTAÇÃO!A:I,9,0),"")</f>
        <v>PONTE ALTA TOCANTINS</v>
      </c>
    </row>
    <row r="190" spans="1:15" x14ac:dyDescent="0.25">
      <c r="A190" s="84">
        <v>5800291077</v>
      </c>
      <c r="B190" s="83" t="str">
        <f t="shared" si="8"/>
        <v>5800291077.pdf</v>
      </c>
      <c r="C190" s="60" t="s">
        <v>1248</v>
      </c>
      <c r="D190" s="60" t="s">
        <v>1245</v>
      </c>
      <c r="E190" s="60">
        <v>200</v>
      </c>
      <c r="F190" s="60">
        <v>100</v>
      </c>
      <c r="G190" s="60">
        <v>124</v>
      </c>
      <c r="H190" s="60" t="s">
        <v>632</v>
      </c>
      <c r="I190" s="60" t="str">
        <f t="shared" si="9"/>
        <v>34.500</v>
      </c>
      <c r="J190" s="60" t="s">
        <v>1005</v>
      </c>
      <c r="K190" s="60" t="s">
        <v>1463</v>
      </c>
      <c r="L190" s="81" t="s">
        <v>1255</v>
      </c>
      <c r="M190" s="63">
        <v>41340</v>
      </c>
      <c r="N190" s="60" t="str">
        <f>IF(A190&lt;&gt;"",VLOOKUP(RIGHT(A190,3)*1,[1]SEGMENTAÇÃO!A:H,8,0),"")</f>
        <v>NORTE</v>
      </c>
      <c r="O190" s="59" t="str">
        <f>IF(A190&lt;&gt;"",VLOOKUP(RIGHT(A190,3)*1,[1]SEGMENTAÇÃO!A:I,9,0),"")</f>
        <v>GOIATINS</v>
      </c>
    </row>
    <row r="191" spans="1:15" x14ac:dyDescent="0.25">
      <c r="A191" s="84">
        <v>5800306104</v>
      </c>
      <c r="B191" s="83" t="str">
        <f t="shared" si="8"/>
        <v>5800306104.pdf</v>
      </c>
      <c r="C191" s="60" t="s">
        <v>1248</v>
      </c>
      <c r="D191" s="60" t="s">
        <v>1245</v>
      </c>
      <c r="E191" s="60">
        <v>200</v>
      </c>
      <c r="F191" s="60">
        <v>100</v>
      </c>
      <c r="G191" s="60">
        <v>120</v>
      </c>
      <c r="H191" s="60" t="s">
        <v>470</v>
      </c>
      <c r="I191" s="60" t="str">
        <f t="shared" si="9"/>
        <v>34.500</v>
      </c>
      <c r="J191" s="60" t="s">
        <v>1005</v>
      </c>
      <c r="K191" s="82" t="s">
        <v>1464</v>
      </c>
      <c r="L191" s="81" t="s">
        <v>1270</v>
      </c>
      <c r="M191" s="63">
        <v>41112</v>
      </c>
      <c r="N191" s="60" t="str">
        <f>IF(A191&lt;&gt;"",VLOOKUP(RIGHT(A191,3)*1,[1]SEGMENTAÇÃO!A:H,8,0),"")</f>
        <v>NORTE</v>
      </c>
      <c r="O191" s="59" t="str">
        <f>IF(A191&lt;&gt;"",VLOOKUP(RIGHT(A191,3)*1,[1]SEGMENTAÇÃO!A:I,9,0),"")</f>
        <v>SANTA MARIA DO TOCANTINS</v>
      </c>
    </row>
    <row r="192" spans="1:15" x14ac:dyDescent="0.25">
      <c r="A192" s="60"/>
      <c r="B192" s="60"/>
      <c r="C192" s="60"/>
      <c r="D192" s="60"/>
      <c r="E192" s="60"/>
      <c r="F192" s="60"/>
      <c r="G192" s="60"/>
      <c r="H192" s="60"/>
      <c r="I192" s="60" t="str">
        <f t="shared" si="9"/>
        <v/>
      </c>
      <c r="J192" s="60"/>
      <c r="K192" s="60" t="s">
        <v>328</v>
      </c>
      <c r="L192" s="60"/>
      <c r="M192" s="60"/>
      <c r="N192" s="60" t="str">
        <f>IF(A192&lt;&gt;"",VLOOKUP(RIGHT(A192,3)*1,[1]SEGMENTAÇÃO!A:H,8,0),"")</f>
        <v/>
      </c>
      <c r="O192" s="59" t="str">
        <f>IF(A192&lt;&gt;"",VLOOKUP(RIGHT(A192,3)*1,[1]SEGMENTAÇÃO!A:I,9,0),"")</f>
        <v/>
      </c>
    </row>
    <row r="193" spans="1:15" x14ac:dyDescent="0.25">
      <c r="A193" s="60"/>
      <c r="B193" s="60"/>
      <c r="C193" s="60"/>
      <c r="D193" s="60"/>
      <c r="E193" s="60"/>
      <c r="F193" s="60"/>
      <c r="G193" s="60"/>
      <c r="H193" s="60"/>
      <c r="I193" s="60" t="str">
        <f t="shared" si="9"/>
        <v/>
      </c>
      <c r="J193" s="60"/>
      <c r="K193" s="74" t="s">
        <v>328</v>
      </c>
      <c r="L193" s="60"/>
      <c r="M193" s="63"/>
      <c r="N193" s="60" t="str">
        <f>IF(A193&lt;&gt;"",VLOOKUP(RIGHT(A193,3)*1,[1]SEGMENTAÇÃO!A:H,8,0),"")</f>
        <v/>
      </c>
      <c r="O193" s="59" t="str">
        <f>IF(A193&lt;&gt;"",VLOOKUP(RIGHT(A193,3)*1,[1]SEGMENTAÇÃO!A:I,9,0),"")</f>
        <v/>
      </c>
    </row>
    <row r="194" spans="1:15" x14ac:dyDescent="0.25">
      <c r="A194" s="60"/>
      <c r="B194" s="60"/>
      <c r="C194" s="60"/>
      <c r="D194" s="60"/>
      <c r="E194" s="60"/>
      <c r="F194" s="60"/>
      <c r="G194" s="60"/>
      <c r="H194" s="60"/>
      <c r="I194" s="60" t="str">
        <f t="shared" si="9"/>
        <v/>
      </c>
      <c r="J194" s="60"/>
      <c r="K194" s="74" t="s">
        <v>328</v>
      </c>
      <c r="L194" s="60"/>
      <c r="M194" s="63"/>
      <c r="N194" s="60" t="str">
        <f>IF(A194&lt;&gt;"",VLOOKUP(RIGHT(A194,3)*1,[1]SEGMENTAÇÃO!A:H,8,0),"")</f>
        <v/>
      </c>
      <c r="O194" s="59" t="str">
        <f>IF(A194&lt;&gt;"",VLOOKUP(RIGHT(A194,3)*1,[1]SEGMENTAÇÃO!A:I,9,0),"")</f>
        <v/>
      </c>
    </row>
    <row r="195" spans="1:15" x14ac:dyDescent="0.25">
      <c r="A195" s="60"/>
      <c r="B195" s="60"/>
      <c r="C195" s="60"/>
      <c r="D195" s="60"/>
      <c r="E195" s="60"/>
      <c r="F195" s="60"/>
      <c r="G195" s="60"/>
      <c r="H195" s="60"/>
      <c r="I195" s="60" t="str">
        <f t="shared" si="9"/>
        <v/>
      </c>
      <c r="J195" s="60"/>
      <c r="K195" s="74" t="s">
        <v>328</v>
      </c>
      <c r="L195" s="60"/>
      <c r="M195" s="63"/>
      <c r="N195" s="60" t="str">
        <f>IF(A195&lt;&gt;"",VLOOKUP(RIGHT(A195,3)*1,[1]SEGMENTAÇÃO!A:H,8,0),"")</f>
        <v/>
      </c>
      <c r="O195" s="59" t="str">
        <f>IF(A195&lt;&gt;"",VLOOKUP(RIGHT(A195,3)*1,[1]SEGMENTAÇÃO!A:I,9,0),"")</f>
        <v/>
      </c>
    </row>
    <row r="196" spans="1:15" x14ac:dyDescent="0.25">
      <c r="A196" s="60"/>
      <c r="B196" s="60"/>
      <c r="C196" s="60"/>
      <c r="D196" s="60"/>
      <c r="E196" s="60"/>
      <c r="F196" s="60"/>
      <c r="G196" s="60"/>
      <c r="H196" s="60"/>
      <c r="I196" s="60" t="str">
        <f t="shared" si="9"/>
        <v/>
      </c>
      <c r="J196" s="60"/>
      <c r="K196" s="60" t="s">
        <v>328</v>
      </c>
      <c r="L196" s="60"/>
      <c r="M196" s="63"/>
      <c r="N196" s="60" t="str">
        <f>IF(A196&lt;&gt;"",VLOOKUP(RIGHT(A196,3)*1,[1]SEGMENTAÇÃO!A:H,8,0),"")</f>
        <v/>
      </c>
      <c r="O196" s="59" t="str">
        <f>IF(A196&lt;&gt;"",VLOOKUP(RIGHT(A196,3)*1,[1]SEGMENTAÇÃO!A:I,9,0),"")</f>
        <v/>
      </c>
    </row>
    <row r="197" spans="1:15" x14ac:dyDescent="0.25">
      <c r="A197" s="60"/>
      <c r="B197" s="60"/>
      <c r="C197" s="60"/>
      <c r="D197" s="60"/>
      <c r="E197" s="60"/>
      <c r="F197" s="60"/>
      <c r="G197" s="60"/>
      <c r="H197" s="60"/>
      <c r="I197" s="60" t="str">
        <f t="shared" si="9"/>
        <v/>
      </c>
      <c r="J197" s="60"/>
      <c r="K197" s="74" t="s">
        <v>328</v>
      </c>
      <c r="L197" s="60"/>
      <c r="M197" s="63"/>
      <c r="N197" s="60" t="str">
        <f>IF(A197&lt;&gt;"",VLOOKUP(RIGHT(A197,3)*1,[1]SEGMENTAÇÃO!A:H,8,0),"")</f>
        <v/>
      </c>
      <c r="O197" s="59" t="str">
        <f>IF(A197&lt;&gt;"",VLOOKUP(RIGHT(A197,3)*1,[1]SEGMENTAÇÃO!A:I,9,0),"")</f>
        <v/>
      </c>
    </row>
    <row r="198" spans="1:15" x14ac:dyDescent="0.25">
      <c r="A198" s="60"/>
      <c r="B198" s="60"/>
      <c r="C198" s="60"/>
      <c r="D198" s="60"/>
      <c r="E198" s="60"/>
      <c r="F198" s="60"/>
      <c r="G198" s="60"/>
      <c r="H198" s="60"/>
      <c r="I198" s="60" t="str">
        <f t="shared" si="9"/>
        <v/>
      </c>
      <c r="J198" s="60"/>
      <c r="K198" s="74" t="s">
        <v>328</v>
      </c>
      <c r="L198" s="60"/>
      <c r="M198" s="63"/>
      <c r="N198" s="60" t="str">
        <f>IF(A198&lt;&gt;"",VLOOKUP(RIGHT(A198,3)*1,[1]SEGMENTAÇÃO!A:H,8,0),"")</f>
        <v/>
      </c>
      <c r="O198" s="59" t="str">
        <f>IF(A198&lt;&gt;"",VLOOKUP(RIGHT(A198,3)*1,[1]SEGMENTAÇÃO!A:I,9,0),"")</f>
        <v/>
      </c>
    </row>
    <row r="199" spans="1:15" x14ac:dyDescent="0.25">
      <c r="A199" s="60"/>
      <c r="B199" s="60"/>
      <c r="C199" s="60"/>
      <c r="D199" s="60"/>
      <c r="E199" s="60"/>
      <c r="F199" s="60"/>
      <c r="G199" s="60"/>
      <c r="H199" s="60"/>
      <c r="I199" s="60" t="str">
        <f t="shared" si="9"/>
        <v/>
      </c>
      <c r="J199" s="60"/>
      <c r="K199" s="60" t="s">
        <v>328</v>
      </c>
      <c r="L199" s="60"/>
      <c r="M199" s="63"/>
      <c r="N199" s="60" t="str">
        <f>IF(A199&lt;&gt;"",VLOOKUP(RIGHT(A199,3)*1,[1]SEGMENTAÇÃO!A:H,8,0),"")</f>
        <v/>
      </c>
      <c r="O199" s="59" t="str">
        <f>IF(A199&lt;&gt;"",VLOOKUP(RIGHT(A199,3)*1,[1]SEGMENTAÇÃO!A:I,9,0),"")</f>
        <v/>
      </c>
    </row>
    <row r="200" spans="1:15" x14ac:dyDescent="0.25">
      <c r="A200" s="60"/>
      <c r="B200" s="60"/>
      <c r="C200" s="60"/>
      <c r="D200" s="60"/>
      <c r="E200" s="60"/>
      <c r="F200" s="60"/>
      <c r="G200" s="60"/>
      <c r="H200" s="60"/>
      <c r="I200" s="60" t="str">
        <f t="shared" si="9"/>
        <v/>
      </c>
      <c r="J200" s="60"/>
      <c r="K200" s="60" t="s">
        <v>328</v>
      </c>
      <c r="L200" s="60"/>
      <c r="M200" s="63"/>
      <c r="N200" s="60" t="str">
        <f>IF(A200&lt;&gt;"",VLOOKUP(RIGHT(A200,3)*1,[1]SEGMENTAÇÃO!A:H,8,0),"")</f>
        <v/>
      </c>
      <c r="O200" s="59" t="str">
        <f>IF(A200&lt;&gt;"",VLOOKUP(RIGHT(A200,3)*1,[1]SEGMENTAÇÃO!A:I,9,0),"")</f>
        <v/>
      </c>
    </row>
    <row r="201" spans="1:15" x14ac:dyDescent="0.25">
      <c r="A201" s="60"/>
      <c r="B201" s="60"/>
      <c r="C201" s="60"/>
      <c r="D201" s="60"/>
      <c r="E201" s="60"/>
      <c r="F201" s="60"/>
      <c r="G201" s="60"/>
      <c r="H201" s="60"/>
      <c r="I201" s="60" t="str">
        <f t="shared" si="9"/>
        <v/>
      </c>
      <c r="J201" s="60"/>
      <c r="K201" s="60" t="s">
        <v>328</v>
      </c>
      <c r="L201" s="60"/>
      <c r="M201" s="63"/>
      <c r="N201" s="60" t="str">
        <f>IF(A201&lt;&gt;"",VLOOKUP(RIGHT(A201,3)*1,[1]SEGMENTAÇÃO!A:H,8,0),"")</f>
        <v/>
      </c>
      <c r="O201" s="59" t="str">
        <f>IF(A201&lt;&gt;"",VLOOKUP(RIGHT(A201,3)*1,[1]SEGMENTAÇÃO!A:I,9,0),"")</f>
        <v/>
      </c>
    </row>
    <row r="202" spans="1:15" x14ac:dyDescent="0.25">
      <c r="A202" s="60"/>
      <c r="B202" s="60"/>
      <c r="C202" s="60"/>
      <c r="D202" s="60"/>
      <c r="E202" s="60"/>
      <c r="F202" s="60"/>
      <c r="G202" s="60"/>
      <c r="H202" s="60"/>
      <c r="I202" s="60" t="str">
        <f t="shared" si="9"/>
        <v/>
      </c>
      <c r="J202" s="60"/>
      <c r="K202" s="60" t="s">
        <v>328</v>
      </c>
      <c r="L202" s="60"/>
      <c r="M202" s="63"/>
      <c r="N202" s="60" t="str">
        <f>IF(A202&lt;&gt;"",VLOOKUP(RIGHT(A202,3)*1,[1]SEGMENTAÇÃO!A:H,8,0),"")</f>
        <v/>
      </c>
      <c r="O202" s="59" t="str">
        <f>IF(A202&lt;&gt;"",VLOOKUP(RIGHT(A202,3)*1,[1]SEGMENTAÇÃO!A:I,9,0),"")</f>
        <v/>
      </c>
    </row>
    <row r="203" spans="1:15" x14ac:dyDescent="0.25">
      <c r="A203" s="60"/>
      <c r="B203" s="60"/>
      <c r="C203" s="60"/>
      <c r="D203" s="60"/>
      <c r="E203" s="60"/>
      <c r="F203" s="60"/>
      <c r="G203" s="60"/>
      <c r="H203" s="60"/>
      <c r="I203" s="60" t="str">
        <f t="shared" si="9"/>
        <v/>
      </c>
      <c r="J203" s="60"/>
      <c r="K203" s="60" t="s">
        <v>328</v>
      </c>
      <c r="L203" s="60"/>
      <c r="M203" s="63"/>
      <c r="N203" s="60" t="str">
        <f>IF(A203&lt;&gt;"",VLOOKUP(RIGHT(A203,3)*1,[1]SEGMENTAÇÃO!A:H,8,0),"")</f>
        <v/>
      </c>
      <c r="O203" s="59" t="str">
        <f>IF(A203&lt;&gt;"",VLOOKUP(RIGHT(A203,3)*1,[1]SEGMENTAÇÃO!A:I,9,0),"")</f>
        <v/>
      </c>
    </row>
    <row r="204" spans="1:15" x14ac:dyDescent="0.25">
      <c r="A204" s="60"/>
      <c r="B204" s="60"/>
      <c r="C204" s="60"/>
      <c r="D204" s="60"/>
      <c r="E204" s="60"/>
      <c r="F204" s="60"/>
      <c r="G204" s="60"/>
      <c r="H204" s="60"/>
      <c r="I204" s="60" t="str">
        <f t="shared" si="9"/>
        <v/>
      </c>
      <c r="J204" s="60"/>
      <c r="K204" s="60" t="s">
        <v>328</v>
      </c>
      <c r="L204" s="60"/>
      <c r="M204" s="63"/>
      <c r="N204" s="60" t="str">
        <f>IF(A204&lt;&gt;"",VLOOKUP(RIGHT(A204,3)*1,[1]SEGMENTAÇÃO!A:H,8,0),"")</f>
        <v/>
      </c>
      <c r="O204" s="59" t="str">
        <f>IF(A204&lt;&gt;"",VLOOKUP(RIGHT(A204,3)*1,[1]SEGMENTAÇÃO!A:I,9,0),"")</f>
        <v/>
      </c>
    </row>
    <row r="205" spans="1:15" x14ac:dyDescent="0.25">
      <c r="A205" s="60"/>
      <c r="B205" s="60"/>
      <c r="C205" s="60"/>
      <c r="D205" s="60"/>
      <c r="E205" s="60"/>
      <c r="F205" s="60"/>
      <c r="G205" s="60"/>
      <c r="H205" s="60"/>
      <c r="I205" s="60" t="str">
        <f t="shared" si="9"/>
        <v/>
      </c>
      <c r="J205" s="60"/>
      <c r="K205" s="60" t="s">
        <v>328</v>
      </c>
      <c r="L205" s="60"/>
      <c r="M205" s="63"/>
      <c r="N205" s="60" t="str">
        <f>IF(A205&lt;&gt;"",VLOOKUP(RIGHT(A205,3)*1,[1]SEGMENTAÇÃO!A:H,8,0),"")</f>
        <v/>
      </c>
      <c r="O205" s="59" t="str">
        <f>IF(A205&lt;&gt;"",VLOOKUP(RIGHT(A205,3)*1,[1]SEGMENTAÇÃO!A:I,9,0),"")</f>
        <v/>
      </c>
    </row>
    <row r="206" spans="1:15" x14ac:dyDescent="0.25">
      <c r="A206" s="60"/>
      <c r="B206" s="60"/>
      <c r="C206" s="60"/>
      <c r="D206" s="60"/>
      <c r="E206" s="60"/>
      <c r="F206" s="60"/>
      <c r="G206" s="60"/>
      <c r="H206" s="60"/>
      <c r="I206" s="60" t="str">
        <f t="shared" si="9"/>
        <v/>
      </c>
      <c r="J206" s="60"/>
      <c r="K206" s="60" t="s">
        <v>328</v>
      </c>
      <c r="L206" s="60"/>
      <c r="M206" s="63"/>
      <c r="N206" s="60" t="str">
        <f>IF(A206&lt;&gt;"",VLOOKUP(RIGHT(A206,3)*1,[1]SEGMENTAÇÃO!A:H,8,0),"")</f>
        <v/>
      </c>
      <c r="O206" s="59" t="str">
        <f>IF(A206&lt;&gt;"",VLOOKUP(RIGHT(A206,3)*1,[1]SEGMENTAÇÃO!A:I,9,0),"")</f>
        <v/>
      </c>
    </row>
    <row r="207" spans="1:15" x14ac:dyDescent="0.25">
      <c r="A207" s="60"/>
      <c r="B207" s="60"/>
      <c r="C207" s="60"/>
      <c r="D207" s="60"/>
      <c r="E207" s="60"/>
      <c r="F207" s="60"/>
      <c r="G207" s="60"/>
      <c r="H207" s="60"/>
      <c r="I207" s="60" t="str">
        <f t="shared" si="9"/>
        <v/>
      </c>
      <c r="J207" s="60"/>
      <c r="K207" s="60" t="s">
        <v>328</v>
      </c>
      <c r="L207" s="60"/>
      <c r="M207" s="63"/>
      <c r="N207" s="60" t="str">
        <f>IF(A207&lt;&gt;"",VLOOKUP(RIGHT(A207,3)*1,[1]SEGMENTAÇÃO!A:H,8,0),"")</f>
        <v/>
      </c>
      <c r="O207" s="59" t="str">
        <f>IF(A207&lt;&gt;"",VLOOKUP(RIGHT(A207,3)*1,[1]SEGMENTAÇÃO!A:I,9,0),"")</f>
        <v/>
      </c>
    </row>
    <row r="208" spans="1:15" x14ac:dyDescent="0.25">
      <c r="A208" s="60"/>
      <c r="B208" s="60"/>
      <c r="C208" s="60"/>
      <c r="D208" s="60"/>
      <c r="E208" s="60"/>
      <c r="F208" s="60"/>
      <c r="G208" s="60"/>
      <c r="H208" s="60"/>
      <c r="I208" s="60" t="str">
        <f t="shared" si="9"/>
        <v/>
      </c>
      <c r="J208" s="60"/>
      <c r="K208" s="60" t="s">
        <v>328</v>
      </c>
      <c r="L208" s="60"/>
      <c r="M208" s="63"/>
      <c r="N208" s="60" t="str">
        <f>IF(A208&lt;&gt;"",VLOOKUP(RIGHT(A208,3)*1,[1]SEGMENTAÇÃO!A:H,8,0),"")</f>
        <v/>
      </c>
      <c r="O208" s="59" t="str">
        <f>IF(A208&lt;&gt;"",VLOOKUP(RIGHT(A208,3)*1,[1]SEGMENTAÇÃO!A:I,9,0),"")</f>
        <v/>
      </c>
    </row>
    <row r="209" spans="1:15" x14ac:dyDescent="0.25">
      <c r="A209" s="60"/>
      <c r="B209" s="60"/>
      <c r="C209" s="60"/>
      <c r="D209" s="60"/>
      <c r="E209" s="60"/>
      <c r="F209" s="60"/>
      <c r="G209" s="60"/>
      <c r="H209" s="60"/>
      <c r="I209" s="60" t="str">
        <f t="shared" si="9"/>
        <v/>
      </c>
      <c r="J209" s="60"/>
      <c r="K209" s="60" t="s">
        <v>328</v>
      </c>
      <c r="L209" s="60"/>
      <c r="M209" s="63"/>
      <c r="N209" s="60" t="str">
        <f>IF(A209&lt;&gt;"",VLOOKUP(RIGHT(A209,3)*1,[1]SEGMENTAÇÃO!A:H,8,0),"")</f>
        <v/>
      </c>
      <c r="O209" s="59" t="str">
        <f>IF(A209&lt;&gt;"",VLOOKUP(RIGHT(A209,3)*1,[1]SEGMENTAÇÃO!A:I,9,0),"")</f>
        <v/>
      </c>
    </row>
    <row r="210" spans="1:15" x14ac:dyDescent="0.25">
      <c r="A210" s="60"/>
      <c r="B210" s="60"/>
      <c r="C210" s="60"/>
      <c r="D210" s="60"/>
      <c r="E210" s="60"/>
      <c r="F210" s="60"/>
      <c r="G210" s="60"/>
      <c r="H210" s="60"/>
      <c r="I210" s="60" t="str">
        <f t="shared" si="9"/>
        <v/>
      </c>
      <c r="J210" s="60"/>
      <c r="K210" s="60" t="s">
        <v>328</v>
      </c>
      <c r="L210" s="60"/>
      <c r="M210" s="63"/>
      <c r="N210" s="60" t="str">
        <f>IF(A210&lt;&gt;"",VLOOKUP(RIGHT(A210,3)*1,[1]SEGMENTAÇÃO!A:H,8,0),"")</f>
        <v/>
      </c>
      <c r="O210" s="59" t="str">
        <f>IF(A210&lt;&gt;"",VLOOKUP(RIGHT(A210,3)*1,[1]SEGMENTAÇÃO!A:I,9,0),"")</f>
        <v/>
      </c>
    </row>
    <row r="211" spans="1:15" x14ac:dyDescent="0.25">
      <c r="A211" s="60"/>
      <c r="B211" s="60"/>
      <c r="C211" s="60"/>
      <c r="D211" s="60"/>
      <c r="E211" s="60"/>
      <c r="F211" s="60"/>
      <c r="G211" s="60"/>
      <c r="H211" s="60"/>
      <c r="I211" s="60" t="str">
        <f t="shared" si="9"/>
        <v/>
      </c>
      <c r="J211" s="60"/>
      <c r="K211" s="60" t="s">
        <v>328</v>
      </c>
      <c r="L211" s="60"/>
      <c r="M211" s="63"/>
      <c r="N211" s="60" t="str">
        <f>IF(A211&lt;&gt;"",VLOOKUP(RIGHT(A211,3)*1,[1]SEGMENTAÇÃO!A:H,8,0),"")</f>
        <v/>
      </c>
      <c r="O211" s="59" t="str">
        <f>IF(A211&lt;&gt;"",VLOOKUP(RIGHT(A211,3)*1,[1]SEGMENTAÇÃO!A:I,9,0),"")</f>
        <v/>
      </c>
    </row>
    <row r="212" spans="1:15" x14ac:dyDescent="0.25">
      <c r="A212" s="60"/>
      <c r="B212" s="60"/>
      <c r="C212" s="60"/>
      <c r="D212" s="60"/>
      <c r="E212" s="60"/>
      <c r="F212" s="60"/>
      <c r="G212" s="60"/>
      <c r="H212" s="60"/>
      <c r="I212" s="60" t="str">
        <f t="shared" si="9"/>
        <v/>
      </c>
      <c r="J212" s="60"/>
      <c r="K212" s="60" t="s">
        <v>328</v>
      </c>
      <c r="L212" s="60"/>
      <c r="M212" s="63"/>
      <c r="N212" s="60" t="str">
        <f>IF(A212&lt;&gt;"",VLOOKUP(RIGHT(A212,3)*1,[1]SEGMENTAÇÃO!A:H,8,0),"")</f>
        <v/>
      </c>
      <c r="O212" s="59" t="str">
        <f>IF(A212&lt;&gt;"",VLOOKUP(RIGHT(A212,3)*1,[1]SEGMENTAÇÃO!A:I,9,0),"")</f>
        <v/>
      </c>
    </row>
    <row r="213" spans="1:15" x14ac:dyDescent="0.25">
      <c r="A213" s="60"/>
      <c r="B213" s="60"/>
      <c r="C213" s="60"/>
      <c r="D213" s="60"/>
      <c r="E213" s="60"/>
      <c r="F213" s="60"/>
      <c r="G213" s="60"/>
      <c r="H213" s="60"/>
      <c r="I213" s="60" t="str">
        <f t="shared" si="9"/>
        <v/>
      </c>
      <c r="J213" s="60"/>
      <c r="K213" s="60" t="s">
        <v>328</v>
      </c>
      <c r="L213" s="60"/>
      <c r="M213" s="63"/>
      <c r="N213" s="60" t="str">
        <f>IF(A213&lt;&gt;"",VLOOKUP(RIGHT(A213,3)*1,[1]SEGMENTAÇÃO!A:H,8,0),"")</f>
        <v/>
      </c>
      <c r="O213" s="59" t="str">
        <f>IF(A213&lt;&gt;"",VLOOKUP(RIGHT(A213,3)*1,[1]SEGMENTAÇÃO!A:I,9,0),"")</f>
        <v/>
      </c>
    </row>
    <row r="214" spans="1:15" x14ac:dyDescent="0.25">
      <c r="A214" s="60"/>
      <c r="B214" s="60"/>
      <c r="C214" s="60"/>
      <c r="D214" s="60"/>
      <c r="E214" s="60"/>
      <c r="F214" s="60"/>
      <c r="G214" s="60"/>
      <c r="H214" s="60"/>
      <c r="I214" s="60" t="str">
        <f t="shared" si="9"/>
        <v/>
      </c>
      <c r="J214" s="60"/>
      <c r="K214" s="60" t="s">
        <v>328</v>
      </c>
      <c r="L214" s="60"/>
      <c r="M214" s="63"/>
      <c r="N214" s="60" t="str">
        <f>IF(A214&lt;&gt;"",VLOOKUP(RIGHT(A214,3)*1,[1]SEGMENTAÇÃO!A:H,8,0),"")</f>
        <v/>
      </c>
      <c r="O214" s="59" t="str">
        <f>IF(A214&lt;&gt;"",VLOOKUP(RIGHT(A214,3)*1,[1]SEGMENTAÇÃO!A:I,9,0),"")</f>
        <v/>
      </c>
    </row>
    <row r="215" spans="1:15" x14ac:dyDescent="0.25">
      <c r="A215" s="60"/>
      <c r="B215" s="60"/>
      <c r="C215" s="60"/>
      <c r="D215" s="60"/>
      <c r="E215" s="60"/>
      <c r="F215" s="60"/>
      <c r="G215" s="60"/>
      <c r="H215" s="60"/>
      <c r="I215" s="60" t="str">
        <f t="shared" si="9"/>
        <v/>
      </c>
      <c r="J215" s="60"/>
      <c r="K215" s="60" t="s">
        <v>328</v>
      </c>
      <c r="L215" s="60"/>
      <c r="M215" s="63"/>
      <c r="N215" s="60" t="str">
        <f>IF(A215&lt;&gt;"",VLOOKUP(RIGHT(A215,3)*1,[1]SEGMENTAÇÃO!A:H,8,0),"")</f>
        <v/>
      </c>
      <c r="O215" s="59" t="str">
        <f>IF(A215&lt;&gt;"",VLOOKUP(RIGHT(A215,3)*1,[1]SEGMENTAÇÃO!A:I,9,0),"")</f>
        <v/>
      </c>
    </row>
    <row r="216" spans="1:15" x14ac:dyDescent="0.25">
      <c r="A216" s="60"/>
      <c r="B216" s="60"/>
      <c r="C216" s="60"/>
      <c r="D216" s="60"/>
      <c r="E216" s="60"/>
      <c r="F216" s="60"/>
      <c r="G216" s="60"/>
      <c r="H216" s="60"/>
      <c r="I216" s="60" t="str">
        <f t="shared" si="9"/>
        <v/>
      </c>
      <c r="J216" s="60"/>
      <c r="K216" s="60" t="s">
        <v>328</v>
      </c>
      <c r="L216" s="60"/>
      <c r="M216" s="63"/>
      <c r="N216" s="60" t="str">
        <f>IF(A216&lt;&gt;"",VLOOKUP(RIGHT(A216,3)*1,[1]SEGMENTAÇÃO!A:H,8,0),"")</f>
        <v/>
      </c>
      <c r="O216" s="59" t="str">
        <f>IF(A216&lt;&gt;"",VLOOKUP(RIGHT(A216,3)*1,[1]SEGMENTAÇÃO!A:I,9,0),"")</f>
        <v/>
      </c>
    </row>
    <row r="217" spans="1:15" x14ac:dyDescent="0.25">
      <c r="A217" s="60"/>
      <c r="B217" s="60"/>
      <c r="C217" s="60"/>
      <c r="D217" s="60"/>
      <c r="E217" s="60"/>
      <c r="F217" s="60"/>
      <c r="G217" s="60"/>
      <c r="H217" s="60"/>
      <c r="I217" s="60" t="str">
        <f t="shared" si="9"/>
        <v/>
      </c>
      <c r="J217" s="60"/>
      <c r="K217" s="60" t="s">
        <v>328</v>
      </c>
      <c r="L217" s="60"/>
      <c r="M217" s="63"/>
      <c r="N217" s="60" t="str">
        <f>IF(A217&lt;&gt;"",VLOOKUP(RIGHT(A217,3)*1,[1]SEGMENTAÇÃO!A:H,8,0),"")</f>
        <v/>
      </c>
      <c r="O217" s="59" t="str">
        <f>IF(A217&lt;&gt;"",VLOOKUP(RIGHT(A217,3)*1,[1]SEGMENTAÇÃO!A:I,9,0),"")</f>
        <v/>
      </c>
    </row>
    <row r="218" spans="1:15" x14ac:dyDescent="0.25">
      <c r="A218" s="60"/>
      <c r="B218" s="60"/>
      <c r="C218" s="60"/>
      <c r="D218" s="60"/>
      <c r="E218" s="60"/>
      <c r="F218" s="60"/>
      <c r="G218" s="60"/>
      <c r="H218" s="60"/>
      <c r="I218" s="60" t="str">
        <f t="shared" si="9"/>
        <v/>
      </c>
      <c r="J218" s="60"/>
      <c r="K218" s="60" t="s">
        <v>328</v>
      </c>
      <c r="L218" s="60"/>
      <c r="M218" s="63"/>
      <c r="N218" s="60" t="str">
        <f>IF(A218&lt;&gt;"",VLOOKUP(RIGHT(A218,3)*1,[1]SEGMENTAÇÃO!A:H,8,0),"")</f>
        <v/>
      </c>
      <c r="O218" s="59" t="str">
        <f>IF(A218&lt;&gt;"",VLOOKUP(RIGHT(A218,3)*1,[1]SEGMENTAÇÃO!A:I,9,0),"")</f>
        <v/>
      </c>
    </row>
    <row r="219" spans="1:15" x14ac:dyDescent="0.25">
      <c r="A219" s="60"/>
      <c r="B219" s="60"/>
      <c r="C219" s="60"/>
      <c r="D219" s="60"/>
      <c r="E219" s="60"/>
      <c r="F219" s="60"/>
      <c r="G219" s="60"/>
      <c r="H219" s="60"/>
      <c r="I219" s="60" t="str">
        <f t="shared" si="9"/>
        <v/>
      </c>
      <c r="J219" s="60"/>
      <c r="K219" s="60" t="s">
        <v>328</v>
      </c>
      <c r="L219" s="60"/>
      <c r="M219" s="63"/>
      <c r="N219" s="60" t="str">
        <f>IF(A219&lt;&gt;"",VLOOKUP(RIGHT(A219,3)*1,[1]SEGMENTAÇÃO!A:H,8,0),"")</f>
        <v/>
      </c>
      <c r="O219" s="59" t="str">
        <f>IF(A219&lt;&gt;"",VLOOKUP(RIGHT(A219,3)*1,[1]SEGMENTAÇÃO!A:I,9,0),"")</f>
        <v/>
      </c>
    </row>
    <row r="220" spans="1:15" x14ac:dyDescent="0.25">
      <c r="A220" s="60"/>
      <c r="B220" s="60"/>
      <c r="C220" s="60"/>
      <c r="D220" s="60"/>
      <c r="E220" s="60"/>
      <c r="F220" s="60"/>
      <c r="G220" s="60"/>
      <c r="H220" s="60"/>
      <c r="I220" s="60" t="str">
        <f t="shared" si="9"/>
        <v/>
      </c>
      <c r="J220" s="60"/>
      <c r="K220" s="60" t="s">
        <v>328</v>
      </c>
      <c r="L220" s="60"/>
      <c r="M220" s="63"/>
      <c r="N220" s="60" t="str">
        <f>IF(A220&lt;&gt;"",VLOOKUP(RIGHT(A220,3)*1,[1]SEGMENTAÇÃO!A:H,8,0),"")</f>
        <v/>
      </c>
      <c r="O220" s="59" t="str">
        <f>IF(A220&lt;&gt;"",VLOOKUP(RIGHT(A220,3)*1,[1]SEGMENTAÇÃO!A:I,9,0),"")</f>
        <v/>
      </c>
    </row>
    <row r="221" spans="1:15" x14ac:dyDescent="0.25">
      <c r="A221" s="60"/>
      <c r="B221" s="60"/>
      <c r="C221" s="60"/>
      <c r="D221" s="60"/>
      <c r="E221" s="60"/>
      <c r="F221" s="60"/>
      <c r="G221" s="60"/>
      <c r="H221" s="60"/>
      <c r="I221" s="60" t="str">
        <f t="shared" si="9"/>
        <v/>
      </c>
      <c r="J221" s="60"/>
      <c r="K221" s="60" t="s">
        <v>328</v>
      </c>
      <c r="L221" s="60"/>
      <c r="M221" s="63"/>
      <c r="N221" s="60" t="str">
        <f>IF(A221&lt;&gt;"",VLOOKUP(RIGHT(A221,3)*1,[1]SEGMENTAÇÃO!A:H,8,0),"")</f>
        <v/>
      </c>
      <c r="O221" s="59" t="str">
        <f>IF(A221&lt;&gt;"",VLOOKUP(RIGHT(A221,3)*1,[1]SEGMENTAÇÃO!A:I,9,0),"")</f>
        <v/>
      </c>
    </row>
    <row r="222" spans="1:15" x14ac:dyDescent="0.25">
      <c r="A222" s="60"/>
      <c r="B222" s="60"/>
      <c r="C222" s="60"/>
      <c r="D222" s="60"/>
      <c r="E222" s="60"/>
      <c r="F222" s="60"/>
      <c r="G222" s="60"/>
      <c r="H222" s="60"/>
      <c r="I222" s="60" t="str">
        <f t="shared" si="9"/>
        <v/>
      </c>
      <c r="J222" s="60"/>
      <c r="K222" s="60" t="s">
        <v>328</v>
      </c>
      <c r="L222" s="60"/>
      <c r="M222" s="63"/>
      <c r="N222" s="60" t="str">
        <f>IF(A222&lt;&gt;"",VLOOKUP(RIGHT(A222,3)*1,[1]SEGMENTAÇÃO!A:H,8,0),"")</f>
        <v/>
      </c>
      <c r="O222" s="59" t="str">
        <f>IF(A222&lt;&gt;"",VLOOKUP(RIGHT(A222,3)*1,[1]SEGMENTAÇÃO!A:I,9,0),"")</f>
        <v/>
      </c>
    </row>
    <row r="223" spans="1:15" x14ac:dyDescent="0.25">
      <c r="A223" s="60"/>
      <c r="B223" s="60"/>
      <c r="C223" s="60"/>
      <c r="D223" s="60"/>
      <c r="E223" s="60"/>
      <c r="F223" s="60"/>
      <c r="G223" s="60"/>
      <c r="H223" s="60"/>
      <c r="I223" s="60" t="str">
        <f t="shared" si="9"/>
        <v/>
      </c>
      <c r="J223" s="60"/>
      <c r="K223" s="60" t="s">
        <v>328</v>
      </c>
      <c r="L223" s="60"/>
      <c r="M223" s="63"/>
      <c r="N223" s="60" t="str">
        <f>IF(A223&lt;&gt;"",VLOOKUP(RIGHT(A223,3)*1,[1]SEGMENTAÇÃO!A:H,8,0),"")</f>
        <v/>
      </c>
      <c r="O223" s="59" t="str">
        <f>IF(A223&lt;&gt;"",VLOOKUP(RIGHT(A223,3)*1,[1]SEGMENTAÇÃO!A:I,9,0),"")</f>
        <v/>
      </c>
    </row>
    <row r="224" spans="1:15" x14ac:dyDescent="0.25">
      <c r="A224" s="60"/>
      <c r="B224" s="60"/>
      <c r="C224" s="60"/>
      <c r="D224" s="60"/>
      <c r="E224" s="60"/>
      <c r="F224" s="60"/>
      <c r="G224" s="60"/>
      <c r="H224" s="60"/>
      <c r="I224" s="60" t="str">
        <f t="shared" si="9"/>
        <v/>
      </c>
      <c r="J224" s="60"/>
      <c r="K224" s="60" t="s">
        <v>328</v>
      </c>
      <c r="L224" s="60"/>
      <c r="M224" s="63"/>
      <c r="N224" s="60" t="str">
        <f>IF(A224&lt;&gt;"",VLOOKUP(RIGHT(A224,3)*1,[1]SEGMENTAÇÃO!A:H,8,0),"")</f>
        <v/>
      </c>
      <c r="O224" s="59" t="str">
        <f>IF(A224&lt;&gt;"",VLOOKUP(RIGHT(A224,3)*1,[1]SEGMENTAÇÃO!A:I,9,0),"")</f>
        <v/>
      </c>
    </row>
    <row r="225" spans="1:15" x14ac:dyDescent="0.25">
      <c r="A225" s="60"/>
      <c r="B225" s="60"/>
      <c r="C225" s="60"/>
      <c r="D225" s="60"/>
      <c r="E225" s="60"/>
      <c r="F225" s="60"/>
      <c r="G225" s="60"/>
      <c r="H225" s="60"/>
      <c r="I225" s="60" t="str">
        <f t="shared" si="9"/>
        <v/>
      </c>
      <c r="J225" s="60"/>
      <c r="K225" s="60" t="s">
        <v>328</v>
      </c>
      <c r="L225" s="60"/>
      <c r="M225" s="63"/>
      <c r="N225" s="60" t="str">
        <f>IF(A225&lt;&gt;"",VLOOKUP(RIGHT(A225,3)*1,[1]SEGMENTAÇÃO!A:H,8,0),"")</f>
        <v/>
      </c>
      <c r="O225" s="59" t="str">
        <f>IF(A225&lt;&gt;"",VLOOKUP(RIGHT(A225,3)*1,[1]SEGMENTAÇÃO!A:I,9,0),"")</f>
        <v/>
      </c>
    </row>
    <row r="226" spans="1:15" x14ac:dyDescent="0.25">
      <c r="A226" s="60"/>
      <c r="B226" s="60"/>
      <c r="C226" s="60"/>
      <c r="D226" s="60"/>
      <c r="E226" s="60"/>
      <c r="F226" s="60"/>
      <c r="G226" s="60"/>
      <c r="H226" s="60"/>
      <c r="I226" s="60" t="str">
        <f t="shared" si="9"/>
        <v/>
      </c>
      <c r="J226" s="60"/>
      <c r="K226" s="60" t="s">
        <v>328</v>
      </c>
      <c r="L226" s="60"/>
      <c r="M226" s="63"/>
      <c r="N226" s="60" t="str">
        <f>IF(A226&lt;&gt;"",VLOOKUP(RIGHT(A226,3)*1,[1]SEGMENTAÇÃO!A:H,8,0),"")</f>
        <v/>
      </c>
      <c r="O226" s="59" t="str">
        <f>IF(A226&lt;&gt;"",VLOOKUP(RIGHT(A226,3)*1,[1]SEGMENTAÇÃO!A:I,9,0),"")</f>
        <v/>
      </c>
    </row>
    <row r="227" spans="1:15" x14ac:dyDescent="0.25">
      <c r="A227" s="60"/>
      <c r="B227" s="60"/>
      <c r="C227" s="60"/>
      <c r="D227" s="60"/>
      <c r="E227" s="60"/>
      <c r="F227" s="60"/>
      <c r="G227" s="60"/>
      <c r="H227" s="60"/>
      <c r="I227" s="60" t="str">
        <f t="shared" si="9"/>
        <v/>
      </c>
      <c r="J227" s="60"/>
      <c r="K227" s="74" t="s">
        <v>328</v>
      </c>
      <c r="L227" s="60"/>
      <c r="M227" s="63"/>
      <c r="N227" s="60" t="str">
        <f>IF(A227&lt;&gt;"",VLOOKUP(RIGHT(A227,3)*1,[1]SEGMENTAÇÃO!A:H,8,0),"")</f>
        <v/>
      </c>
      <c r="O227" s="59" t="str">
        <f>IF(A227&lt;&gt;"",VLOOKUP(RIGHT(A227,3)*1,[1]SEGMENTAÇÃO!A:I,9,0),"")</f>
        <v/>
      </c>
    </row>
    <row r="228" spans="1:15" x14ac:dyDescent="0.25">
      <c r="A228" s="60"/>
      <c r="B228" s="60"/>
      <c r="C228" s="60"/>
      <c r="D228" s="60"/>
      <c r="E228" s="60"/>
      <c r="F228" s="60"/>
      <c r="G228" s="60"/>
      <c r="H228" s="60"/>
      <c r="I228" s="60" t="str">
        <f t="shared" si="9"/>
        <v/>
      </c>
      <c r="J228" s="60"/>
      <c r="K228" s="74" t="s">
        <v>328</v>
      </c>
      <c r="L228" s="60"/>
      <c r="M228" s="63"/>
      <c r="N228" s="60" t="str">
        <f>IF(A228&lt;&gt;"",VLOOKUP(RIGHT(A228,3)*1,[1]SEGMENTAÇÃO!A:H,8,0),"")</f>
        <v/>
      </c>
      <c r="O228" s="59" t="str">
        <f>IF(A228&lt;&gt;"",VLOOKUP(RIGHT(A228,3)*1,[1]SEGMENTAÇÃO!A:I,9,0),"")</f>
        <v/>
      </c>
    </row>
    <row r="229" spans="1:15" x14ac:dyDescent="0.25">
      <c r="A229" s="60"/>
      <c r="B229" s="60"/>
      <c r="C229" s="60"/>
      <c r="D229" s="60"/>
      <c r="E229" s="60"/>
      <c r="F229" s="60"/>
      <c r="G229" s="60"/>
      <c r="H229" s="60"/>
      <c r="I229" s="60" t="str">
        <f t="shared" si="9"/>
        <v/>
      </c>
      <c r="J229" s="60"/>
      <c r="K229" s="74" t="s">
        <v>328</v>
      </c>
      <c r="L229" s="60"/>
      <c r="M229" s="63"/>
      <c r="N229" s="60" t="str">
        <f>IF(A229&lt;&gt;"",VLOOKUP(RIGHT(A229,3)*1,[1]SEGMENTAÇÃO!A:H,8,0),"")</f>
        <v/>
      </c>
      <c r="O229" s="59" t="str">
        <f>IF(A229&lt;&gt;"",VLOOKUP(RIGHT(A229,3)*1,[1]SEGMENTAÇÃO!A:I,9,0),"")</f>
        <v/>
      </c>
    </row>
    <row r="230" spans="1:15" x14ac:dyDescent="0.25">
      <c r="A230" s="60"/>
      <c r="B230" s="60"/>
      <c r="C230" s="60"/>
      <c r="D230" s="60"/>
      <c r="E230" s="60"/>
      <c r="F230" s="60"/>
      <c r="G230" s="60"/>
      <c r="H230" s="60"/>
      <c r="I230" s="60" t="str">
        <f t="shared" si="9"/>
        <v/>
      </c>
      <c r="J230" s="60"/>
      <c r="K230" s="74" t="s">
        <v>328</v>
      </c>
      <c r="L230" s="60"/>
      <c r="M230" s="63"/>
      <c r="N230" s="60" t="str">
        <f>IF(A230&lt;&gt;"",VLOOKUP(RIGHT(A230,3)*1,[1]SEGMENTAÇÃO!A:H,8,0),"")</f>
        <v/>
      </c>
      <c r="O230" s="59" t="str">
        <f>IF(A230&lt;&gt;"",VLOOKUP(RIGHT(A230,3)*1,[1]SEGMENTAÇÃO!A:I,9,0),"")</f>
        <v/>
      </c>
    </row>
    <row r="231" spans="1:15" x14ac:dyDescent="0.25">
      <c r="A231" s="60"/>
      <c r="B231" s="60"/>
      <c r="C231" s="60"/>
      <c r="D231" s="60"/>
      <c r="E231" s="60"/>
      <c r="F231" s="60"/>
      <c r="G231" s="60"/>
      <c r="H231" s="60"/>
      <c r="I231" s="60" t="str">
        <f t="shared" si="9"/>
        <v/>
      </c>
      <c r="J231" s="60"/>
      <c r="K231" s="74" t="s">
        <v>328</v>
      </c>
      <c r="L231" s="60"/>
      <c r="M231" s="63"/>
      <c r="N231" s="60" t="str">
        <f>IF(A231&lt;&gt;"",VLOOKUP(RIGHT(A231,3)*1,[1]SEGMENTAÇÃO!A:H,8,0),"")</f>
        <v/>
      </c>
      <c r="O231" s="59" t="str">
        <f>IF(A231&lt;&gt;"",VLOOKUP(RIGHT(A231,3)*1,[1]SEGMENTAÇÃO!A:I,9,0),"")</f>
        <v/>
      </c>
    </row>
    <row r="232" spans="1:15" x14ac:dyDescent="0.25">
      <c r="A232" s="60"/>
      <c r="B232" s="60"/>
      <c r="C232" s="60"/>
      <c r="D232" s="60"/>
      <c r="E232" s="60"/>
      <c r="F232" s="60"/>
      <c r="G232" s="60"/>
      <c r="H232" s="60"/>
      <c r="I232" s="60" t="str">
        <f t="shared" si="9"/>
        <v/>
      </c>
      <c r="J232" s="60"/>
      <c r="K232" s="74" t="s">
        <v>328</v>
      </c>
      <c r="L232" s="60"/>
      <c r="M232" s="63"/>
      <c r="N232" s="60" t="str">
        <f>IF(A232&lt;&gt;"",VLOOKUP(RIGHT(A232,3)*1,[1]SEGMENTAÇÃO!A:H,8,0),"")</f>
        <v/>
      </c>
      <c r="O232" s="59" t="str">
        <f>IF(A232&lt;&gt;"",VLOOKUP(RIGHT(A232,3)*1,[1]SEGMENTAÇÃO!A:I,9,0),"")</f>
        <v/>
      </c>
    </row>
    <row r="233" spans="1:15" x14ac:dyDescent="0.25">
      <c r="A233" s="60"/>
      <c r="B233" s="60"/>
      <c r="C233" s="60"/>
      <c r="D233" s="60"/>
      <c r="E233" s="60"/>
      <c r="F233" s="60"/>
      <c r="G233" s="60"/>
      <c r="H233" s="60"/>
      <c r="I233" s="60" t="str">
        <f t="shared" ref="I233:I296" si="10">IF(H233&lt;&gt;"",IF(LEFT(H233,2)="AL","13.800","34.500"),"")</f>
        <v/>
      </c>
      <c r="J233" s="60"/>
      <c r="K233" s="74" t="s">
        <v>328</v>
      </c>
      <c r="L233" s="60"/>
      <c r="M233" s="63"/>
      <c r="N233" s="60" t="str">
        <f>IF(A233&lt;&gt;"",VLOOKUP(RIGHT(A233,3)*1,[1]SEGMENTAÇÃO!A:H,8,0),"")</f>
        <v/>
      </c>
      <c r="O233" s="59" t="str">
        <f>IF(A233&lt;&gt;"",VLOOKUP(RIGHT(A233,3)*1,[1]SEGMENTAÇÃO!A:I,9,0),"")</f>
        <v/>
      </c>
    </row>
    <row r="234" spans="1:15" x14ac:dyDescent="0.25">
      <c r="A234" s="60"/>
      <c r="B234" s="60"/>
      <c r="C234" s="60"/>
      <c r="D234" s="60"/>
      <c r="E234" s="60"/>
      <c r="F234" s="60"/>
      <c r="G234" s="60"/>
      <c r="H234" s="60"/>
      <c r="I234" s="60" t="str">
        <f t="shared" si="10"/>
        <v/>
      </c>
      <c r="J234" s="60"/>
      <c r="K234" s="74" t="s">
        <v>328</v>
      </c>
      <c r="L234" s="60"/>
      <c r="M234" s="63"/>
      <c r="N234" s="60" t="str">
        <f>IF(A234&lt;&gt;"",VLOOKUP(RIGHT(A234,3)*1,[1]SEGMENTAÇÃO!A:H,8,0),"")</f>
        <v/>
      </c>
      <c r="O234" s="59" t="str">
        <f>IF(A234&lt;&gt;"",VLOOKUP(RIGHT(A234,3)*1,[1]SEGMENTAÇÃO!A:I,9,0),"")</f>
        <v/>
      </c>
    </row>
    <row r="235" spans="1:15" x14ac:dyDescent="0.25">
      <c r="A235" s="60"/>
      <c r="B235" s="60"/>
      <c r="C235" s="60"/>
      <c r="D235" s="60"/>
      <c r="E235" s="60"/>
      <c r="F235" s="60"/>
      <c r="G235" s="60"/>
      <c r="H235" s="60"/>
      <c r="I235" s="60" t="str">
        <f t="shared" si="10"/>
        <v/>
      </c>
      <c r="J235" s="60"/>
      <c r="K235" s="60" t="s">
        <v>328</v>
      </c>
      <c r="L235" s="60"/>
      <c r="M235" s="63"/>
      <c r="N235" s="60" t="str">
        <f>IF(A235&lt;&gt;"",VLOOKUP(RIGHT(A235,3)*1,[1]SEGMENTAÇÃO!A:H,8,0),"")</f>
        <v/>
      </c>
      <c r="O235" s="59" t="str">
        <f>IF(A235&lt;&gt;"",VLOOKUP(RIGHT(A235,3)*1,[1]SEGMENTAÇÃO!A:I,9,0),"")</f>
        <v/>
      </c>
    </row>
    <row r="236" spans="1:15" x14ac:dyDescent="0.25">
      <c r="A236" s="60"/>
      <c r="B236" s="60"/>
      <c r="C236" s="60"/>
      <c r="D236" s="60"/>
      <c r="E236" s="60"/>
      <c r="F236" s="60"/>
      <c r="G236" s="60"/>
      <c r="H236" s="60"/>
      <c r="I236" s="60" t="str">
        <f t="shared" si="10"/>
        <v/>
      </c>
      <c r="J236" s="60"/>
      <c r="K236" s="60" t="s">
        <v>328</v>
      </c>
      <c r="L236" s="60"/>
      <c r="M236" s="63"/>
      <c r="N236" s="60" t="str">
        <f>IF(A236&lt;&gt;"",VLOOKUP(RIGHT(A236,3)*1,[1]SEGMENTAÇÃO!A:H,8,0),"")</f>
        <v/>
      </c>
      <c r="O236" s="59" t="str">
        <f>IF(A236&lt;&gt;"",VLOOKUP(RIGHT(A236,3)*1,[1]SEGMENTAÇÃO!A:I,9,0),"")</f>
        <v/>
      </c>
    </row>
    <row r="237" spans="1:15" x14ac:dyDescent="0.25">
      <c r="A237" s="60"/>
      <c r="B237" s="60"/>
      <c r="C237" s="60"/>
      <c r="D237" s="60"/>
      <c r="E237" s="60"/>
      <c r="F237" s="60"/>
      <c r="G237" s="60"/>
      <c r="H237" s="60"/>
      <c r="I237" s="60" t="str">
        <f t="shared" si="10"/>
        <v/>
      </c>
      <c r="J237" s="60"/>
      <c r="K237" s="60" t="s">
        <v>328</v>
      </c>
      <c r="L237" s="60"/>
      <c r="M237" s="63"/>
      <c r="N237" s="60" t="str">
        <f>IF(A237&lt;&gt;"",VLOOKUP(RIGHT(A237,3)*1,[1]SEGMENTAÇÃO!A:H,8,0),"")</f>
        <v/>
      </c>
      <c r="O237" s="59" t="str">
        <f>IF(A237&lt;&gt;"",VLOOKUP(RIGHT(A237,3)*1,[1]SEGMENTAÇÃO!A:I,9,0),"")</f>
        <v/>
      </c>
    </row>
    <row r="238" spans="1:15" x14ac:dyDescent="0.25">
      <c r="A238" s="60"/>
      <c r="B238" s="60"/>
      <c r="C238" s="60"/>
      <c r="D238" s="60"/>
      <c r="E238" s="60"/>
      <c r="F238" s="60"/>
      <c r="G238" s="60"/>
      <c r="H238" s="60"/>
      <c r="I238" s="60" t="str">
        <f t="shared" si="10"/>
        <v/>
      </c>
      <c r="J238" s="60"/>
      <c r="K238" s="60" t="s">
        <v>328</v>
      </c>
      <c r="L238" s="60"/>
      <c r="M238" s="60"/>
      <c r="N238" s="60" t="str">
        <f>IF(A238&lt;&gt;"",VLOOKUP(RIGHT(A238,3)*1,[1]SEGMENTAÇÃO!A:H,8,0),"")</f>
        <v/>
      </c>
      <c r="O238" s="59" t="str">
        <f>IF(A238&lt;&gt;"",VLOOKUP(RIGHT(A238,3)*1,[1]SEGMENTAÇÃO!A:I,9,0),"")</f>
        <v/>
      </c>
    </row>
    <row r="239" spans="1:15" x14ac:dyDescent="0.25">
      <c r="A239" s="60"/>
      <c r="B239" s="60"/>
      <c r="C239" s="60"/>
      <c r="D239" s="60"/>
      <c r="E239" s="60"/>
      <c r="F239" s="60"/>
      <c r="G239" s="60"/>
      <c r="H239" s="60"/>
      <c r="I239" s="60" t="str">
        <f t="shared" si="10"/>
        <v/>
      </c>
      <c r="J239" s="60"/>
      <c r="K239" s="60" t="s">
        <v>328</v>
      </c>
      <c r="L239" s="60"/>
      <c r="M239" s="60"/>
      <c r="N239" s="60" t="str">
        <f>IF(A239&lt;&gt;"",VLOOKUP(RIGHT(A239,3)*1,[1]SEGMENTAÇÃO!A:H,8,0),"")</f>
        <v/>
      </c>
      <c r="O239" s="59" t="str">
        <f>IF(A239&lt;&gt;"",VLOOKUP(RIGHT(A239,3)*1,[1]SEGMENTAÇÃO!A:I,9,0),"")</f>
        <v/>
      </c>
    </row>
    <row r="240" spans="1:15" x14ac:dyDescent="0.25">
      <c r="A240" s="60"/>
      <c r="B240" s="60"/>
      <c r="C240" s="60"/>
      <c r="D240" s="60"/>
      <c r="E240" s="60"/>
      <c r="F240" s="60"/>
      <c r="G240" s="60"/>
      <c r="H240" s="60"/>
      <c r="I240" s="60" t="str">
        <f t="shared" si="10"/>
        <v/>
      </c>
      <c r="J240" s="60"/>
      <c r="K240" s="60" t="s">
        <v>328</v>
      </c>
      <c r="L240" s="60"/>
      <c r="M240" s="60"/>
      <c r="N240" s="60" t="str">
        <f>IF(A240&lt;&gt;"",VLOOKUP(RIGHT(A240,3)*1,[1]SEGMENTAÇÃO!A:H,8,0),"")</f>
        <v/>
      </c>
      <c r="O240" s="59" t="str">
        <f>IF(A240&lt;&gt;"",VLOOKUP(RIGHT(A240,3)*1,[1]SEGMENTAÇÃO!A:I,9,0),"")</f>
        <v/>
      </c>
    </row>
    <row r="241" spans="1:15" x14ac:dyDescent="0.25">
      <c r="A241" s="60"/>
      <c r="B241" s="60"/>
      <c r="C241" s="60"/>
      <c r="D241" s="60"/>
      <c r="E241" s="60"/>
      <c r="F241" s="60"/>
      <c r="G241" s="60"/>
      <c r="H241" s="60"/>
      <c r="I241" s="60" t="str">
        <f t="shared" si="10"/>
        <v/>
      </c>
      <c r="J241" s="60"/>
      <c r="K241" s="60" t="s">
        <v>328</v>
      </c>
      <c r="L241" s="60"/>
      <c r="M241" s="60"/>
      <c r="N241" s="60" t="str">
        <f>IF(A241&lt;&gt;"",VLOOKUP(RIGHT(A241,3)*1,[1]SEGMENTAÇÃO!A:H,8,0),"")</f>
        <v/>
      </c>
      <c r="O241" s="59" t="str">
        <f>IF(A241&lt;&gt;"",VLOOKUP(RIGHT(A241,3)*1,[1]SEGMENTAÇÃO!A:I,9,0),"")</f>
        <v/>
      </c>
    </row>
    <row r="242" spans="1:15" x14ac:dyDescent="0.25">
      <c r="A242" s="60"/>
      <c r="B242" s="60"/>
      <c r="C242" s="60"/>
      <c r="D242" s="60"/>
      <c r="E242" s="60"/>
      <c r="F242" s="60"/>
      <c r="G242" s="60"/>
      <c r="H242" s="60"/>
      <c r="I242" s="60" t="str">
        <f t="shared" si="10"/>
        <v/>
      </c>
      <c r="J242" s="60"/>
      <c r="K242" s="60" t="s">
        <v>328</v>
      </c>
      <c r="L242" s="60"/>
      <c r="M242" s="60"/>
      <c r="N242" s="60" t="str">
        <f>IF(A242&lt;&gt;"",VLOOKUP(RIGHT(A242,3)*1,[1]SEGMENTAÇÃO!A:H,8,0),"")</f>
        <v/>
      </c>
      <c r="O242" s="59" t="str">
        <f>IF(A242&lt;&gt;"",VLOOKUP(RIGHT(A242,3)*1,[1]SEGMENTAÇÃO!A:I,9,0),"")</f>
        <v/>
      </c>
    </row>
    <row r="243" spans="1:15" x14ac:dyDescent="0.25">
      <c r="A243" s="60"/>
      <c r="B243" s="60"/>
      <c r="C243" s="60"/>
      <c r="D243" s="60"/>
      <c r="E243" s="60"/>
      <c r="F243" s="60"/>
      <c r="G243" s="60"/>
      <c r="H243" s="60"/>
      <c r="I243" s="60" t="str">
        <f t="shared" si="10"/>
        <v/>
      </c>
      <c r="J243" s="60"/>
      <c r="K243" s="60" t="s">
        <v>328</v>
      </c>
      <c r="L243" s="60"/>
      <c r="M243" s="60"/>
      <c r="N243" s="60" t="str">
        <f>IF(A243&lt;&gt;"",VLOOKUP(RIGHT(A243,3)*1,[1]SEGMENTAÇÃO!A:H,8,0),"")</f>
        <v/>
      </c>
      <c r="O243" s="59" t="str">
        <f>IF(A243&lt;&gt;"",VLOOKUP(RIGHT(A243,3)*1,[1]SEGMENTAÇÃO!A:I,9,0),"")</f>
        <v/>
      </c>
    </row>
    <row r="244" spans="1:15" x14ac:dyDescent="0.25">
      <c r="A244" s="60"/>
      <c r="B244" s="60"/>
      <c r="C244" s="60"/>
      <c r="D244" s="60"/>
      <c r="E244" s="60"/>
      <c r="F244" s="60"/>
      <c r="G244" s="60"/>
      <c r="H244" s="60"/>
      <c r="I244" s="60" t="str">
        <f t="shared" si="10"/>
        <v/>
      </c>
      <c r="J244" s="60"/>
      <c r="K244" s="74" t="s">
        <v>328</v>
      </c>
      <c r="L244" s="60"/>
      <c r="M244" s="63"/>
      <c r="N244" s="60" t="str">
        <f>IF(A244&lt;&gt;"",VLOOKUP(RIGHT(A244,3)*1,[1]SEGMENTAÇÃO!A:H,8,0),"")</f>
        <v/>
      </c>
      <c r="O244" s="59" t="str">
        <f>IF(A244&lt;&gt;"",VLOOKUP(RIGHT(A244,3)*1,[1]SEGMENTAÇÃO!A:I,9,0),"")</f>
        <v/>
      </c>
    </row>
    <row r="245" spans="1:15" x14ac:dyDescent="0.25">
      <c r="A245" s="60"/>
      <c r="B245" s="60"/>
      <c r="C245" s="60"/>
      <c r="D245" s="60"/>
      <c r="E245" s="76"/>
      <c r="F245" s="76"/>
      <c r="G245" s="76"/>
      <c r="H245" s="60"/>
      <c r="I245" s="60" t="str">
        <f t="shared" si="10"/>
        <v/>
      </c>
      <c r="J245" s="60"/>
      <c r="K245" s="74" t="s">
        <v>328</v>
      </c>
      <c r="L245" s="60"/>
      <c r="M245" s="63"/>
      <c r="N245" s="60" t="str">
        <f>IF(A245&lt;&gt;"",VLOOKUP(RIGHT(A245,3)*1,[1]SEGMENTAÇÃO!A:H,8,0),"")</f>
        <v/>
      </c>
      <c r="O245" s="59" t="str">
        <f>IF(A245&lt;&gt;"",VLOOKUP(RIGHT(A245,3)*1,[1]SEGMENTAÇÃO!A:I,9,0),"")</f>
        <v/>
      </c>
    </row>
    <row r="246" spans="1:15" x14ac:dyDescent="0.25">
      <c r="A246" s="60"/>
      <c r="B246" s="60"/>
      <c r="C246" s="60"/>
      <c r="D246" s="60"/>
      <c r="E246" s="76"/>
      <c r="F246" s="76"/>
      <c r="G246" s="76"/>
      <c r="H246" s="60"/>
      <c r="I246" s="60" t="str">
        <f t="shared" si="10"/>
        <v/>
      </c>
      <c r="J246" s="60"/>
      <c r="K246" s="74" t="s">
        <v>328</v>
      </c>
      <c r="L246" s="60"/>
      <c r="M246" s="63"/>
      <c r="N246" s="60" t="str">
        <f>IF(A246&lt;&gt;"",VLOOKUP(RIGHT(A246,3)*1,[1]SEGMENTAÇÃO!A:H,8,0),"")</f>
        <v/>
      </c>
      <c r="O246" s="59" t="str">
        <f>IF(A246&lt;&gt;"",VLOOKUP(RIGHT(A246,3)*1,[1]SEGMENTAÇÃO!A:I,9,0),"")</f>
        <v/>
      </c>
    </row>
    <row r="247" spans="1:15" x14ac:dyDescent="0.25">
      <c r="A247" s="60"/>
      <c r="B247" s="60"/>
      <c r="C247" s="60"/>
      <c r="D247" s="60"/>
      <c r="E247" s="76"/>
      <c r="F247" s="76"/>
      <c r="G247" s="76"/>
      <c r="H247" s="60"/>
      <c r="I247" s="60" t="str">
        <f t="shared" si="10"/>
        <v/>
      </c>
      <c r="J247" s="60"/>
      <c r="K247" s="76" t="s">
        <v>328</v>
      </c>
      <c r="L247" s="60"/>
      <c r="M247" s="60"/>
      <c r="N247" s="60" t="str">
        <f>IF(A247&lt;&gt;"",VLOOKUP(RIGHT(A247,3)*1,[1]SEGMENTAÇÃO!A:H,8,0),"")</f>
        <v/>
      </c>
      <c r="O247" s="59" t="str">
        <f>IF(A247&lt;&gt;"",VLOOKUP(RIGHT(A247,3)*1,[1]SEGMENTAÇÃO!A:I,9,0),"")</f>
        <v/>
      </c>
    </row>
    <row r="248" spans="1:15" x14ac:dyDescent="0.25">
      <c r="A248" s="60"/>
      <c r="B248" s="60"/>
      <c r="C248" s="60"/>
      <c r="D248" s="60"/>
      <c r="E248" s="76"/>
      <c r="F248" s="76"/>
      <c r="G248" s="76"/>
      <c r="H248" s="60"/>
      <c r="I248" s="60" t="str">
        <f t="shared" si="10"/>
        <v/>
      </c>
      <c r="J248" s="60"/>
      <c r="K248" s="74" t="s">
        <v>328</v>
      </c>
      <c r="L248" s="60"/>
      <c r="M248" s="63"/>
      <c r="N248" s="60" t="str">
        <f>IF(A248&lt;&gt;"",VLOOKUP(RIGHT(A248,3)*1,[1]SEGMENTAÇÃO!A:H,8,0),"")</f>
        <v/>
      </c>
      <c r="O248" s="59" t="str">
        <f>IF(A248&lt;&gt;"",VLOOKUP(RIGHT(A248,3)*1,[1]SEGMENTAÇÃO!A:I,9,0),"")</f>
        <v/>
      </c>
    </row>
    <row r="249" spans="1:15" x14ac:dyDescent="0.25">
      <c r="A249" s="60"/>
      <c r="B249" s="60"/>
      <c r="C249" s="60"/>
      <c r="D249" s="60"/>
      <c r="E249" s="76"/>
      <c r="F249" s="76"/>
      <c r="G249" s="76"/>
      <c r="H249" s="60"/>
      <c r="I249" s="60" t="str">
        <f t="shared" si="10"/>
        <v/>
      </c>
      <c r="J249" s="60"/>
      <c r="K249" s="74" t="s">
        <v>328</v>
      </c>
      <c r="L249" s="60"/>
      <c r="M249" s="63"/>
      <c r="N249" s="60" t="str">
        <f>IF(A249&lt;&gt;"",VLOOKUP(RIGHT(A249,3)*1,[1]SEGMENTAÇÃO!A:H,8,0),"")</f>
        <v/>
      </c>
      <c r="O249" s="59" t="str">
        <f>IF(A249&lt;&gt;"",VLOOKUP(RIGHT(A249,3)*1,[1]SEGMENTAÇÃO!A:I,9,0),"")</f>
        <v/>
      </c>
    </row>
    <row r="250" spans="1:15" x14ac:dyDescent="0.25">
      <c r="A250" s="60"/>
      <c r="B250" s="60"/>
      <c r="C250" s="60"/>
      <c r="D250" s="60"/>
      <c r="E250" s="76"/>
      <c r="F250" s="76"/>
      <c r="G250" s="76"/>
      <c r="H250" s="60"/>
      <c r="I250" s="60" t="str">
        <f t="shared" si="10"/>
        <v/>
      </c>
      <c r="J250" s="60"/>
      <c r="K250" s="74" t="s">
        <v>328</v>
      </c>
      <c r="L250" s="60"/>
      <c r="M250" s="63"/>
      <c r="N250" s="60" t="str">
        <f>IF(A250&lt;&gt;"",VLOOKUP(RIGHT(A250,3)*1,[1]SEGMENTAÇÃO!A:H,8,0),"")</f>
        <v/>
      </c>
      <c r="O250" s="59" t="str">
        <f>IF(A250&lt;&gt;"",VLOOKUP(RIGHT(A250,3)*1,[1]SEGMENTAÇÃO!A:I,9,0),"")</f>
        <v/>
      </c>
    </row>
    <row r="251" spans="1:15" x14ac:dyDescent="0.25">
      <c r="A251" s="60"/>
      <c r="B251" s="60"/>
      <c r="C251" s="60"/>
      <c r="D251" s="60"/>
      <c r="E251" s="80"/>
      <c r="F251" s="80"/>
      <c r="G251" s="80"/>
      <c r="H251" s="60"/>
      <c r="I251" s="60" t="str">
        <f t="shared" si="10"/>
        <v/>
      </c>
      <c r="J251" s="60"/>
      <c r="K251" s="80" t="s">
        <v>328</v>
      </c>
      <c r="L251" s="60"/>
      <c r="M251" s="60"/>
      <c r="N251" s="60" t="str">
        <f>IF(A251&lt;&gt;"",VLOOKUP(RIGHT(A251,3)*1,[1]SEGMENTAÇÃO!A:H,8,0),"")</f>
        <v/>
      </c>
      <c r="O251" s="59" t="str">
        <f>IF(A251&lt;&gt;"",VLOOKUP(RIGHT(A251,3)*1,[1]SEGMENTAÇÃO!A:I,9,0),"")</f>
        <v/>
      </c>
    </row>
    <row r="252" spans="1:15" x14ac:dyDescent="0.25">
      <c r="A252" s="60"/>
      <c r="B252" s="60"/>
      <c r="C252" s="60"/>
      <c r="D252" s="60"/>
      <c r="E252" s="80"/>
      <c r="F252" s="80"/>
      <c r="G252" s="80"/>
      <c r="H252" s="60"/>
      <c r="I252" s="60" t="str">
        <f t="shared" si="10"/>
        <v/>
      </c>
      <c r="J252" s="60"/>
      <c r="K252" s="74" t="s">
        <v>328</v>
      </c>
      <c r="L252" s="60"/>
      <c r="M252" s="63"/>
      <c r="N252" s="60" t="str">
        <f>IF(A252&lt;&gt;"",VLOOKUP(RIGHT(A252,3)*1,[1]SEGMENTAÇÃO!A:H,8,0),"")</f>
        <v/>
      </c>
      <c r="O252" s="59" t="str">
        <f>IF(A252&lt;&gt;"",VLOOKUP(RIGHT(A252,3)*1,[1]SEGMENTAÇÃO!A:I,9,0),"")</f>
        <v/>
      </c>
    </row>
    <row r="253" spans="1:15" x14ac:dyDescent="0.25">
      <c r="A253" s="60"/>
      <c r="B253" s="60"/>
      <c r="C253" s="60"/>
      <c r="D253" s="60"/>
      <c r="E253" s="80"/>
      <c r="F253" s="80"/>
      <c r="G253" s="80"/>
      <c r="H253" s="60"/>
      <c r="I253" s="60" t="str">
        <f t="shared" si="10"/>
        <v/>
      </c>
      <c r="J253" s="60"/>
      <c r="K253" s="74" t="s">
        <v>328</v>
      </c>
      <c r="L253" s="60"/>
      <c r="M253" s="63"/>
      <c r="N253" s="60" t="str">
        <f>IF(A253&lt;&gt;"",VLOOKUP(RIGHT(A253,3)*1,[1]SEGMENTAÇÃO!A:H,8,0),"")</f>
        <v/>
      </c>
      <c r="O253" s="59" t="str">
        <f>IF(A253&lt;&gt;"",VLOOKUP(RIGHT(A253,3)*1,[1]SEGMENTAÇÃO!A:I,9,0),"")</f>
        <v/>
      </c>
    </row>
    <row r="254" spans="1:15" x14ac:dyDescent="0.25">
      <c r="A254" s="60"/>
      <c r="B254" s="60"/>
      <c r="C254" s="60"/>
      <c r="D254" s="60"/>
      <c r="E254" s="80"/>
      <c r="F254" s="80"/>
      <c r="G254" s="80"/>
      <c r="H254" s="60"/>
      <c r="I254" s="60" t="str">
        <f t="shared" si="10"/>
        <v/>
      </c>
      <c r="J254" s="60"/>
      <c r="K254" s="74" t="s">
        <v>328</v>
      </c>
      <c r="L254" s="60"/>
      <c r="M254" s="63"/>
      <c r="N254" s="60" t="str">
        <f>IF(A254&lt;&gt;"",VLOOKUP(RIGHT(A254,3)*1,[1]SEGMENTAÇÃO!A:H,8,0),"")</f>
        <v/>
      </c>
      <c r="O254" s="59" t="str">
        <f>IF(A254&lt;&gt;"",VLOOKUP(RIGHT(A254,3)*1,[1]SEGMENTAÇÃO!A:I,9,0),"")</f>
        <v/>
      </c>
    </row>
    <row r="255" spans="1:15" x14ac:dyDescent="0.25">
      <c r="A255" s="60"/>
      <c r="B255" s="60"/>
      <c r="C255" s="60"/>
      <c r="D255" s="60"/>
      <c r="E255" s="60"/>
      <c r="F255" s="60"/>
      <c r="G255" s="60"/>
      <c r="H255" s="60"/>
      <c r="I255" s="60" t="str">
        <f t="shared" si="10"/>
        <v/>
      </c>
      <c r="J255" s="60"/>
      <c r="K255" s="74" t="s">
        <v>328</v>
      </c>
      <c r="L255" s="60"/>
      <c r="M255" s="63"/>
      <c r="N255" s="60" t="str">
        <f>IF(A255&lt;&gt;"",VLOOKUP(RIGHT(A255,3)*1,[1]SEGMENTAÇÃO!A:H,8,0),"")</f>
        <v/>
      </c>
      <c r="O255" s="59" t="str">
        <f>IF(A255&lt;&gt;"",VLOOKUP(RIGHT(A255,3)*1,[1]SEGMENTAÇÃO!A:I,9,0),"")</f>
        <v/>
      </c>
    </row>
    <row r="256" spans="1:15" x14ac:dyDescent="0.25">
      <c r="A256" s="60"/>
      <c r="B256" s="60"/>
      <c r="C256" s="60"/>
      <c r="D256" s="60"/>
      <c r="E256" s="60"/>
      <c r="F256" s="60"/>
      <c r="G256" s="60"/>
      <c r="H256" s="60"/>
      <c r="I256" s="60" t="str">
        <f t="shared" si="10"/>
        <v/>
      </c>
      <c r="J256" s="60"/>
      <c r="K256" s="74" t="s">
        <v>328</v>
      </c>
      <c r="L256" s="60"/>
      <c r="M256" s="63"/>
      <c r="N256" s="60" t="str">
        <f>IF(A256&lt;&gt;"",VLOOKUP(RIGHT(A256,3)*1,[1]SEGMENTAÇÃO!A:H,8,0),"")</f>
        <v/>
      </c>
      <c r="O256" s="59" t="str">
        <f>IF(A256&lt;&gt;"",VLOOKUP(RIGHT(A256,3)*1,[1]SEGMENTAÇÃO!A:I,9,0),"")</f>
        <v/>
      </c>
    </row>
    <row r="257" spans="1:15" x14ac:dyDescent="0.25">
      <c r="A257" s="60"/>
      <c r="B257" s="60"/>
      <c r="C257" s="60"/>
      <c r="D257" s="60"/>
      <c r="E257" s="60"/>
      <c r="F257" s="60"/>
      <c r="G257" s="60"/>
      <c r="H257" s="60"/>
      <c r="I257" s="60" t="str">
        <f t="shared" si="10"/>
        <v/>
      </c>
      <c r="J257" s="60"/>
      <c r="K257" s="74" t="s">
        <v>328</v>
      </c>
      <c r="L257" s="60"/>
      <c r="M257" s="63"/>
      <c r="N257" s="60" t="str">
        <f>IF(A257&lt;&gt;"",VLOOKUP(RIGHT(A257,3)*1,[1]SEGMENTAÇÃO!A:H,8,0),"")</f>
        <v/>
      </c>
      <c r="O257" s="59" t="str">
        <f>IF(A257&lt;&gt;"",VLOOKUP(RIGHT(A257,3)*1,[1]SEGMENTAÇÃO!A:I,9,0),"")</f>
        <v/>
      </c>
    </row>
    <row r="258" spans="1:15" x14ac:dyDescent="0.25">
      <c r="A258" s="60"/>
      <c r="B258" s="60"/>
      <c r="C258" s="60"/>
      <c r="D258" s="60"/>
      <c r="E258" s="60"/>
      <c r="F258" s="60"/>
      <c r="G258" s="60"/>
      <c r="H258" s="60"/>
      <c r="I258" s="60" t="str">
        <f t="shared" si="10"/>
        <v/>
      </c>
      <c r="J258" s="60"/>
      <c r="K258" s="74" t="s">
        <v>328</v>
      </c>
      <c r="L258" s="60"/>
      <c r="M258" s="63"/>
      <c r="N258" s="60" t="str">
        <f>IF(A258&lt;&gt;"",VLOOKUP(RIGHT(A258,3)*1,[1]SEGMENTAÇÃO!A:H,8,0),"")</f>
        <v/>
      </c>
      <c r="O258" s="59" t="str">
        <f>IF(A258&lt;&gt;"",VLOOKUP(RIGHT(A258,3)*1,[1]SEGMENTAÇÃO!A:I,9,0),"")</f>
        <v/>
      </c>
    </row>
    <row r="259" spans="1:15" x14ac:dyDescent="0.25">
      <c r="A259" s="60"/>
      <c r="B259" s="60"/>
      <c r="C259" s="60"/>
      <c r="D259" s="60"/>
      <c r="E259" s="60"/>
      <c r="F259" s="60"/>
      <c r="G259" s="60"/>
      <c r="H259" s="60"/>
      <c r="I259" s="60" t="str">
        <f t="shared" si="10"/>
        <v/>
      </c>
      <c r="J259" s="60"/>
      <c r="K259" s="74" t="s">
        <v>328</v>
      </c>
      <c r="L259" s="60"/>
      <c r="M259" s="63"/>
      <c r="N259" s="60" t="str">
        <f>IF(A259&lt;&gt;"",VLOOKUP(RIGHT(A259,3)*1,[1]SEGMENTAÇÃO!A:H,8,0),"")</f>
        <v/>
      </c>
      <c r="O259" s="59" t="str">
        <f>IF(A259&lt;&gt;"",VLOOKUP(RIGHT(A259,3)*1,[1]SEGMENTAÇÃO!A:I,9,0),"")</f>
        <v/>
      </c>
    </row>
    <row r="260" spans="1:15" x14ac:dyDescent="0.25">
      <c r="A260" s="60"/>
      <c r="B260" s="60"/>
      <c r="C260" s="60"/>
      <c r="D260" s="60"/>
      <c r="E260" s="60"/>
      <c r="F260" s="60"/>
      <c r="G260" s="60"/>
      <c r="H260" s="60"/>
      <c r="I260" s="60" t="str">
        <f t="shared" si="10"/>
        <v/>
      </c>
      <c r="J260" s="60"/>
      <c r="K260" s="74" t="s">
        <v>328</v>
      </c>
      <c r="L260" s="60"/>
      <c r="M260" s="63"/>
      <c r="N260" s="60" t="str">
        <f>IF(A260&lt;&gt;"",VLOOKUP(RIGHT(A260,3)*1,[1]SEGMENTAÇÃO!A:H,8,0),"")</f>
        <v/>
      </c>
      <c r="O260" s="59" t="str">
        <f>IF(A260&lt;&gt;"",VLOOKUP(RIGHT(A260,3)*1,[1]SEGMENTAÇÃO!A:I,9,0),"")</f>
        <v/>
      </c>
    </row>
    <row r="261" spans="1:15" x14ac:dyDescent="0.25">
      <c r="A261" s="60"/>
      <c r="B261" s="60"/>
      <c r="C261" s="60"/>
      <c r="D261" s="60"/>
      <c r="E261" s="60"/>
      <c r="F261" s="60"/>
      <c r="G261" s="60"/>
      <c r="H261" s="60"/>
      <c r="I261" s="60" t="str">
        <f t="shared" si="10"/>
        <v/>
      </c>
      <c r="J261" s="60"/>
      <c r="K261" s="74" t="s">
        <v>328</v>
      </c>
      <c r="L261" s="60"/>
      <c r="M261" s="63"/>
      <c r="N261" s="60" t="str">
        <f>IF(A261&lt;&gt;"",VLOOKUP(RIGHT(A261,3)*1,[1]SEGMENTAÇÃO!A:H,8,0),"")</f>
        <v/>
      </c>
      <c r="O261" s="59" t="str">
        <f>IF(A261&lt;&gt;"",VLOOKUP(RIGHT(A261,3)*1,[1]SEGMENTAÇÃO!A:I,9,0),"")</f>
        <v/>
      </c>
    </row>
    <row r="262" spans="1:15" x14ac:dyDescent="0.25">
      <c r="A262" s="60"/>
      <c r="B262" s="60"/>
      <c r="C262" s="60"/>
      <c r="D262" s="60"/>
      <c r="E262" s="60"/>
      <c r="F262" s="60"/>
      <c r="G262" s="60"/>
      <c r="H262" s="60"/>
      <c r="I262" s="60" t="str">
        <f t="shared" si="10"/>
        <v/>
      </c>
      <c r="J262" s="60"/>
      <c r="K262" s="60" t="s">
        <v>328</v>
      </c>
      <c r="L262" s="60"/>
      <c r="M262" s="60"/>
      <c r="N262" s="60" t="str">
        <f>IF(A262&lt;&gt;"",VLOOKUP(RIGHT(A262,3)*1,[1]SEGMENTAÇÃO!A:H,8,0),"")</f>
        <v/>
      </c>
      <c r="O262" s="59" t="str">
        <f>IF(A262&lt;&gt;"",VLOOKUP(RIGHT(A262,3)*1,[1]SEGMENTAÇÃO!A:I,9,0),"")</f>
        <v/>
      </c>
    </row>
    <row r="263" spans="1:15" x14ac:dyDescent="0.25">
      <c r="A263" s="60"/>
      <c r="B263" s="60"/>
      <c r="C263" s="60"/>
      <c r="D263" s="60"/>
      <c r="E263" s="60"/>
      <c r="F263" s="60"/>
      <c r="G263" s="60"/>
      <c r="H263" s="60"/>
      <c r="I263" s="60" t="str">
        <f t="shared" si="10"/>
        <v/>
      </c>
      <c r="J263" s="60"/>
      <c r="K263" s="74" t="s">
        <v>328</v>
      </c>
      <c r="L263" s="60"/>
      <c r="M263" s="63"/>
      <c r="N263" s="60" t="str">
        <f>IF(A263&lt;&gt;"",VLOOKUP(RIGHT(A263,3)*1,[1]SEGMENTAÇÃO!A:H,8,0),"")</f>
        <v/>
      </c>
      <c r="O263" s="59" t="str">
        <f>IF(A263&lt;&gt;"",VLOOKUP(RIGHT(A263,3)*1,[1]SEGMENTAÇÃO!A:I,9,0),"")</f>
        <v/>
      </c>
    </row>
    <row r="264" spans="1:15" x14ac:dyDescent="0.25">
      <c r="A264" s="60"/>
      <c r="B264" s="60"/>
      <c r="C264" s="60"/>
      <c r="D264" s="60"/>
      <c r="E264" s="60"/>
      <c r="F264" s="60"/>
      <c r="G264" s="60"/>
      <c r="H264" s="60"/>
      <c r="I264" s="60" t="str">
        <f t="shared" si="10"/>
        <v/>
      </c>
      <c r="J264" s="60"/>
      <c r="K264" s="74" t="s">
        <v>328</v>
      </c>
      <c r="L264" s="60"/>
      <c r="M264" s="63"/>
      <c r="N264" s="60" t="str">
        <f>IF(A264&lt;&gt;"",VLOOKUP(RIGHT(A264,3)*1,[1]SEGMENTAÇÃO!A:H,8,0),"")</f>
        <v/>
      </c>
      <c r="O264" s="59" t="str">
        <f>IF(A264&lt;&gt;"",VLOOKUP(RIGHT(A264,3)*1,[1]SEGMENTAÇÃO!A:I,9,0),"")</f>
        <v/>
      </c>
    </row>
    <row r="265" spans="1:15" x14ac:dyDescent="0.25">
      <c r="A265" s="60"/>
      <c r="B265" s="60"/>
      <c r="C265" s="60"/>
      <c r="D265" s="60"/>
      <c r="E265" s="79"/>
      <c r="F265" s="79"/>
      <c r="G265" s="79"/>
      <c r="H265" s="60"/>
      <c r="I265" s="60" t="str">
        <f t="shared" si="10"/>
        <v/>
      </c>
      <c r="J265" s="60"/>
      <c r="K265" s="74" t="s">
        <v>328</v>
      </c>
      <c r="L265" s="60"/>
      <c r="M265" s="63"/>
      <c r="N265" s="60" t="str">
        <f>IF(A265&lt;&gt;"",VLOOKUP(RIGHT(A265,3)*1,[1]SEGMENTAÇÃO!A:H,8,0),"")</f>
        <v/>
      </c>
      <c r="O265" s="59" t="str">
        <f>IF(A265&lt;&gt;"",VLOOKUP(RIGHT(A265,3)*1,[1]SEGMENTAÇÃO!A:I,9,0),"")</f>
        <v/>
      </c>
    </row>
    <row r="266" spans="1:15" x14ac:dyDescent="0.25">
      <c r="A266" s="60"/>
      <c r="B266" s="60"/>
      <c r="C266" s="60"/>
      <c r="D266" s="60"/>
      <c r="E266" s="76"/>
      <c r="F266" s="76"/>
      <c r="G266" s="76"/>
      <c r="H266" s="60"/>
      <c r="I266" s="60" t="str">
        <f t="shared" si="10"/>
        <v/>
      </c>
      <c r="J266" s="60"/>
      <c r="K266" s="74" t="s">
        <v>328</v>
      </c>
      <c r="L266" s="60"/>
      <c r="M266" s="63"/>
      <c r="N266" s="60" t="str">
        <f>IF(A266&lt;&gt;"",VLOOKUP(RIGHT(A266,3)*1,[1]SEGMENTAÇÃO!A:H,8,0),"")</f>
        <v/>
      </c>
      <c r="O266" s="59" t="str">
        <f>IF(A266&lt;&gt;"",VLOOKUP(RIGHT(A266,3)*1,[1]SEGMENTAÇÃO!A:I,9,0),"")</f>
        <v/>
      </c>
    </row>
    <row r="267" spans="1:15" x14ac:dyDescent="0.25">
      <c r="A267" s="60"/>
      <c r="B267" s="60"/>
      <c r="C267" s="60"/>
      <c r="D267" s="60"/>
      <c r="E267" s="76"/>
      <c r="F267" s="76"/>
      <c r="G267" s="76"/>
      <c r="H267" s="60"/>
      <c r="I267" s="60" t="str">
        <f t="shared" si="10"/>
        <v/>
      </c>
      <c r="J267" s="60"/>
      <c r="K267" s="74" t="s">
        <v>328</v>
      </c>
      <c r="L267" s="60"/>
      <c r="M267" s="63"/>
      <c r="N267" s="60" t="str">
        <f>IF(A267&lt;&gt;"",VLOOKUP(RIGHT(A267,3)*1,[1]SEGMENTAÇÃO!A:H,8,0),"")</f>
        <v/>
      </c>
      <c r="O267" s="59" t="str">
        <f>IF(A267&lt;&gt;"",VLOOKUP(RIGHT(A267,3)*1,[1]SEGMENTAÇÃO!A:I,9,0),"")</f>
        <v/>
      </c>
    </row>
    <row r="268" spans="1:15" x14ac:dyDescent="0.25">
      <c r="A268" s="60"/>
      <c r="B268" s="60"/>
      <c r="C268" s="60"/>
      <c r="D268" s="60"/>
      <c r="E268" s="60"/>
      <c r="F268" s="60"/>
      <c r="G268" s="60"/>
      <c r="H268" s="60"/>
      <c r="I268" s="60" t="str">
        <f t="shared" si="10"/>
        <v/>
      </c>
      <c r="J268" s="60"/>
      <c r="K268" s="74" t="s">
        <v>328</v>
      </c>
      <c r="L268" s="60"/>
      <c r="M268" s="63"/>
      <c r="N268" s="60" t="str">
        <f>IF(A268&lt;&gt;"",VLOOKUP(RIGHT(A268,3)*1,[1]SEGMENTAÇÃO!A:H,8,0),"")</f>
        <v/>
      </c>
      <c r="O268" s="59" t="str">
        <f>IF(A268&lt;&gt;"",VLOOKUP(RIGHT(A268,3)*1,[1]SEGMENTAÇÃO!A:I,9,0),"")</f>
        <v/>
      </c>
    </row>
    <row r="269" spans="1:15" x14ac:dyDescent="0.25">
      <c r="A269" s="60"/>
      <c r="B269" s="60"/>
      <c r="C269" s="60"/>
      <c r="D269" s="60"/>
      <c r="E269" s="76"/>
      <c r="F269" s="76"/>
      <c r="G269" s="76"/>
      <c r="H269" s="60"/>
      <c r="I269" s="60" t="str">
        <f t="shared" si="10"/>
        <v/>
      </c>
      <c r="J269" s="60"/>
      <c r="K269" s="74" t="s">
        <v>328</v>
      </c>
      <c r="L269" s="60"/>
      <c r="M269" s="63"/>
      <c r="N269" s="60" t="str">
        <f>IF(A269&lt;&gt;"",VLOOKUP(RIGHT(A269,3)*1,[1]SEGMENTAÇÃO!A:H,8,0),"")</f>
        <v/>
      </c>
      <c r="O269" s="59" t="str">
        <f>IF(A269&lt;&gt;"",VLOOKUP(RIGHT(A269,3)*1,[1]SEGMENTAÇÃO!A:I,9,0),"")</f>
        <v/>
      </c>
    </row>
    <row r="270" spans="1:15" x14ac:dyDescent="0.25">
      <c r="A270" s="60"/>
      <c r="B270" s="60"/>
      <c r="C270" s="60"/>
      <c r="D270" s="60"/>
      <c r="E270" s="76"/>
      <c r="F270" s="76"/>
      <c r="G270" s="76"/>
      <c r="H270" s="60"/>
      <c r="I270" s="60" t="str">
        <f t="shared" si="10"/>
        <v/>
      </c>
      <c r="J270" s="60"/>
      <c r="K270" s="74" t="s">
        <v>328</v>
      </c>
      <c r="L270" s="60"/>
      <c r="M270" s="63"/>
      <c r="N270" s="60" t="str">
        <f>IF(A270&lt;&gt;"",VLOOKUP(RIGHT(A270,3)*1,[1]SEGMENTAÇÃO!A:H,8,0),"")</f>
        <v/>
      </c>
      <c r="O270" s="59" t="str">
        <f>IF(A270&lt;&gt;"",VLOOKUP(RIGHT(A270,3)*1,[1]SEGMENTAÇÃO!A:I,9,0),"")</f>
        <v/>
      </c>
    </row>
    <row r="271" spans="1:15" x14ac:dyDescent="0.25">
      <c r="A271" s="60"/>
      <c r="B271" s="60"/>
      <c r="C271" s="60"/>
      <c r="D271" s="60"/>
      <c r="E271" s="76"/>
      <c r="F271" s="76"/>
      <c r="G271" s="76"/>
      <c r="H271" s="60"/>
      <c r="I271" s="60" t="str">
        <f t="shared" si="10"/>
        <v/>
      </c>
      <c r="J271" s="60"/>
      <c r="K271" s="74" t="s">
        <v>328</v>
      </c>
      <c r="L271" s="60"/>
      <c r="M271" s="63"/>
      <c r="N271" s="60" t="str">
        <f>IF(A271&lt;&gt;"",VLOOKUP(RIGHT(A271,3)*1,[1]SEGMENTAÇÃO!A:H,8,0),"")</f>
        <v/>
      </c>
      <c r="O271" s="59" t="str">
        <f>IF(A271&lt;&gt;"",VLOOKUP(RIGHT(A271,3)*1,[1]SEGMENTAÇÃO!A:I,9,0),"")</f>
        <v/>
      </c>
    </row>
    <row r="272" spans="1:15" x14ac:dyDescent="0.25">
      <c r="A272" s="60"/>
      <c r="B272" s="60"/>
      <c r="C272" s="78"/>
      <c r="D272" s="78"/>
      <c r="E272" s="60"/>
      <c r="F272" s="60"/>
      <c r="G272" s="60"/>
      <c r="H272" s="60"/>
      <c r="I272" s="60" t="str">
        <f t="shared" si="10"/>
        <v/>
      </c>
      <c r="J272" s="60"/>
      <c r="K272" s="60" t="s">
        <v>328</v>
      </c>
      <c r="L272" s="60"/>
      <c r="M272" s="60"/>
      <c r="N272" s="60" t="str">
        <f>IF(A272&lt;&gt;"",VLOOKUP(RIGHT(A272,3)*1,[1]SEGMENTAÇÃO!A:H,8,0),"")</f>
        <v/>
      </c>
      <c r="O272" s="59" t="str">
        <f>IF(A272&lt;&gt;"",VLOOKUP(RIGHT(A272,3)*1,[1]SEGMENTAÇÃO!A:I,9,0),"")</f>
        <v/>
      </c>
    </row>
    <row r="273" spans="1:15" x14ac:dyDescent="0.25">
      <c r="A273" s="60"/>
      <c r="B273" s="60"/>
      <c r="C273" s="78"/>
      <c r="D273" s="78"/>
      <c r="E273" s="78"/>
      <c r="F273" s="78"/>
      <c r="G273" s="78"/>
      <c r="H273" s="60"/>
      <c r="I273" s="60" t="str">
        <f t="shared" si="10"/>
        <v/>
      </c>
      <c r="J273" s="60"/>
      <c r="K273" s="78" t="s">
        <v>328</v>
      </c>
      <c r="L273" s="60"/>
      <c r="M273" s="60"/>
      <c r="N273" s="60" t="str">
        <f>IF(A273&lt;&gt;"",VLOOKUP(RIGHT(A273,3)*1,[1]SEGMENTAÇÃO!A:H,8,0),"")</f>
        <v/>
      </c>
      <c r="O273" s="59" t="str">
        <f>IF(A273&lt;&gt;"",VLOOKUP(RIGHT(A273,3)*1,[1]SEGMENTAÇÃO!A:I,9,0),"")</f>
        <v/>
      </c>
    </row>
    <row r="274" spans="1:15" x14ac:dyDescent="0.25">
      <c r="A274" s="60"/>
      <c r="B274" s="60"/>
      <c r="C274" s="78"/>
      <c r="D274" s="78"/>
      <c r="E274" s="60"/>
      <c r="F274" s="60"/>
      <c r="G274" s="60"/>
      <c r="H274" s="60"/>
      <c r="I274" s="60" t="str">
        <f t="shared" si="10"/>
        <v/>
      </c>
      <c r="J274" s="60"/>
      <c r="K274" s="60" t="s">
        <v>328</v>
      </c>
      <c r="L274" s="60"/>
      <c r="M274" s="60"/>
      <c r="N274" s="60" t="str">
        <f>IF(A274&lt;&gt;"",VLOOKUP(RIGHT(A274,3)*1,[1]SEGMENTAÇÃO!A:H,8,0),"")</f>
        <v/>
      </c>
      <c r="O274" s="59" t="str">
        <f>IF(A274&lt;&gt;"",VLOOKUP(RIGHT(A274,3)*1,[1]SEGMENTAÇÃO!A:I,9,0),"")</f>
        <v/>
      </c>
    </row>
    <row r="275" spans="1:15" x14ac:dyDescent="0.25">
      <c r="A275" s="60"/>
      <c r="B275" s="60"/>
      <c r="C275" s="78"/>
      <c r="D275" s="78"/>
      <c r="E275" s="60"/>
      <c r="F275" s="60"/>
      <c r="G275" s="60"/>
      <c r="H275" s="60"/>
      <c r="I275" s="60" t="str">
        <f t="shared" si="10"/>
        <v/>
      </c>
      <c r="J275" s="60"/>
      <c r="K275" s="74" t="s">
        <v>328</v>
      </c>
      <c r="L275" s="60"/>
      <c r="M275" s="63"/>
      <c r="N275" s="60" t="str">
        <f>IF(A275&lt;&gt;"",VLOOKUP(RIGHT(A275,3)*1,[1]SEGMENTAÇÃO!A:H,8,0),"")</f>
        <v/>
      </c>
      <c r="O275" s="59" t="str">
        <f>IF(A275&lt;&gt;"",VLOOKUP(RIGHT(A275,3)*1,[1]SEGMENTAÇÃO!A:I,9,0),"")</f>
        <v/>
      </c>
    </row>
    <row r="276" spans="1:15" x14ac:dyDescent="0.25">
      <c r="A276" s="60"/>
      <c r="B276" s="60"/>
      <c r="C276" s="78"/>
      <c r="D276" s="78"/>
      <c r="E276" s="60"/>
      <c r="F276" s="60"/>
      <c r="G276" s="60"/>
      <c r="H276" s="60"/>
      <c r="I276" s="60" t="str">
        <f t="shared" si="10"/>
        <v/>
      </c>
      <c r="J276" s="60"/>
      <c r="K276" s="74" t="s">
        <v>328</v>
      </c>
      <c r="L276" s="60"/>
      <c r="M276" s="63"/>
      <c r="N276" s="60" t="str">
        <f>IF(A276&lt;&gt;"",VLOOKUP(RIGHT(A276,3)*1,[1]SEGMENTAÇÃO!A:H,8,0),"")</f>
        <v/>
      </c>
      <c r="O276" s="59" t="str">
        <f>IF(A276&lt;&gt;"",VLOOKUP(RIGHT(A276,3)*1,[1]SEGMENTAÇÃO!A:I,9,0),"")</f>
        <v/>
      </c>
    </row>
    <row r="277" spans="1:15" x14ac:dyDescent="0.25">
      <c r="A277" s="60"/>
      <c r="B277" s="60"/>
      <c r="C277" s="78"/>
      <c r="D277" s="78"/>
      <c r="E277" s="60"/>
      <c r="F277" s="60"/>
      <c r="G277" s="60"/>
      <c r="H277" s="60"/>
      <c r="I277" s="60" t="str">
        <f t="shared" si="10"/>
        <v/>
      </c>
      <c r="J277" s="60"/>
      <c r="K277" s="74" t="s">
        <v>328</v>
      </c>
      <c r="L277" s="60"/>
      <c r="M277" s="63"/>
      <c r="N277" s="60" t="str">
        <f>IF(A277&lt;&gt;"",VLOOKUP(RIGHT(A277,3)*1,[1]SEGMENTAÇÃO!A:H,8,0),"")</f>
        <v/>
      </c>
      <c r="O277" s="59" t="str">
        <f>IF(A277&lt;&gt;"",VLOOKUP(RIGHT(A277,3)*1,[1]SEGMENTAÇÃO!A:I,9,0),"")</f>
        <v/>
      </c>
    </row>
    <row r="278" spans="1:15" x14ac:dyDescent="0.25">
      <c r="A278" s="60"/>
      <c r="B278" s="60"/>
      <c r="C278" s="78"/>
      <c r="D278" s="78"/>
      <c r="E278" s="60"/>
      <c r="F278" s="60"/>
      <c r="G278" s="60"/>
      <c r="H278" s="60"/>
      <c r="I278" s="60" t="str">
        <f t="shared" si="10"/>
        <v/>
      </c>
      <c r="J278" s="60"/>
      <c r="K278" s="74" t="s">
        <v>328</v>
      </c>
      <c r="L278" s="60"/>
      <c r="M278" s="63"/>
      <c r="N278" s="60" t="str">
        <f>IF(A278&lt;&gt;"",VLOOKUP(RIGHT(A278,3)*1,[1]SEGMENTAÇÃO!A:H,8,0),"")</f>
        <v/>
      </c>
      <c r="O278" s="59" t="str">
        <f>IF(A278&lt;&gt;"",VLOOKUP(RIGHT(A278,3)*1,[1]SEGMENTAÇÃO!A:I,9,0),"")</f>
        <v/>
      </c>
    </row>
    <row r="279" spans="1:15" x14ac:dyDescent="0.25">
      <c r="A279" s="60"/>
      <c r="B279" s="60"/>
      <c r="C279" s="78"/>
      <c r="D279" s="78"/>
      <c r="E279" s="60"/>
      <c r="F279" s="60"/>
      <c r="G279" s="60"/>
      <c r="H279" s="60"/>
      <c r="I279" s="60" t="str">
        <f t="shared" si="10"/>
        <v/>
      </c>
      <c r="J279" s="60"/>
      <c r="K279" s="74" t="s">
        <v>328</v>
      </c>
      <c r="L279" s="60"/>
      <c r="M279" s="63"/>
      <c r="N279" s="60" t="str">
        <f>IF(A279&lt;&gt;"",VLOOKUP(RIGHT(A279,3)*1,[1]SEGMENTAÇÃO!A:H,8,0),"")</f>
        <v/>
      </c>
      <c r="O279" s="59" t="str">
        <f>IF(A279&lt;&gt;"",VLOOKUP(RIGHT(A279,3)*1,[1]SEGMENTAÇÃO!A:I,9,0),"")</f>
        <v/>
      </c>
    </row>
    <row r="280" spans="1:15" x14ac:dyDescent="0.25">
      <c r="A280" s="60"/>
      <c r="B280" s="60"/>
      <c r="C280" s="78"/>
      <c r="D280" s="78"/>
      <c r="E280" s="60"/>
      <c r="F280" s="60"/>
      <c r="G280" s="60"/>
      <c r="H280" s="60"/>
      <c r="I280" s="60" t="str">
        <f t="shared" si="10"/>
        <v/>
      </c>
      <c r="J280" s="60"/>
      <c r="K280" s="74" t="s">
        <v>328</v>
      </c>
      <c r="L280" s="60"/>
      <c r="M280" s="63"/>
      <c r="N280" s="60" t="str">
        <f>IF(A280&lt;&gt;"",VLOOKUP(RIGHT(A280,3)*1,[1]SEGMENTAÇÃO!A:H,8,0),"")</f>
        <v/>
      </c>
      <c r="O280" s="59" t="str">
        <f>IF(A280&lt;&gt;"",VLOOKUP(RIGHT(A280,3)*1,[1]SEGMENTAÇÃO!A:I,9,0),"")</f>
        <v/>
      </c>
    </row>
    <row r="281" spans="1:15" x14ac:dyDescent="0.25">
      <c r="A281" s="60"/>
      <c r="B281" s="60"/>
      <c r="C281" s="78"/>
      <c r="D281" s="78"/>
      <c r="E281" s="60"/>
      <c r="F281" s="60"/>
      <c r="G281" s="60"/>
      <c r="H281" s="60"/>
      <c r="I281" s="60" t="str">
        <f t="shared" si="10"/>
        <v/>
      </c>
      <c r="J281" s="60"/>
      <c r="K281" s="74" t="s">
        <v>328</v>
      </c>
      <c r="L281" s="60"/>
      <c r="M281" s="63"/>
      <c r="N281" s="60" t="str">
        <f>IF(A281&lt;&gt;"",VLOOKUP(RIGHT(A281,3)*1,[1]SEGMENTAÇÃO!A:H,8,0),"")</f>
        <v/>
      </c>
      <c r="O281" s="59" t="str">
        <f>IF(A281&lt;&gt;"",VLOOKUP(RIGHT(A281,3)*1,[1]SEGMENTAÇÃO!A:I,9,0),"")</f>
        <v/>
      </c>
    </row>
    <row r="282" spans="1:15" x14ac:dyDescent="0.25">
      <c r="A282" s="60"/>
      <c r="B282" s="60"/>
      <c r="C282" s="78"/>
      <c r="D282" s="78"/>
      <c r="E282" s="60"/>
      <c r="F282" s="60"/>
      <c r="G282" s="60"/>
      <c r="H282" s="60"/>
      <c r="I282" s="60" t="str">
        <f t="shared" si="10"/>
        <v/>
      </c>
      <c r="J282" s="60"/>
      <c r="K282" s="74" t="s">
        <v>328</v>
      </c>
      <c r="L282" s="60"/>
      <c r="M282" s="63"/>
      <c r="N282" s="60" t="str">
        <f>IF(A282&lt;&gt;"",VLOOKUP(RIGHT(A282,3)*1,[1]SEGMENTAÇÃO!A:H,8,0),"")</f>
        <v/>
      </c>
      <c r="O282" s="59" t="str">
        <f>IF(A282&lt;&gt;"",VLOOKUP(RIGHT(A282,3)*1,[1]SEGMENTAÇÃO!A:I,9,0),"")</f>
        <v/>
      </c>
    </row>
    <row r="283" spans="1:15" x14ac:dyDescent="0.25">
      <c r="A283" s="60"/>
      <c r="B283" s="60"/>
      <c r="C283" s="78"/>
      <c r="D283" s="78"/>
      <c r="E283" s="60"/>
      <c r="F283" s="60"/>
      <c r="G283" s="60"/>
      <c r="H283" s="60"/>
      <c r="I283" s="60" t="str">
        <f t="shared" si="10"/>
        <v/>
      </c>
      <c r="J283" s="60"/>
      <c r="K283" s="74" t="s">
        <v>328</v>
      </c>
      <c r="L283" s="60"/>
      <c r="M283" s="63"/>
      <c r="N283" s="60" t="str">
        <f>IF(A283&lt;&gt;"",VLOOKUP(RIGHT(A283,3)*1,[1]SEGMENTAÇÃO!A:H,8,0),"")</f>
        <v/>
      </c>
      <c r="O283" s="59" t="str">
        <f>IF(A283&lt;&gt;"",VLOOKUP(RIGHT(A283,3)*1,[1]SEGMENTAÇÃO!A:I,9,0),"")</f>
        <v/>
      </c>
    </row>
    <row r="284" spans="1:15" x14ac:dyDescent="0.25">
      <c r="A284" s="60"/>
      <c r="B284" s="60"/>
      <c r="C284" s="78"/>
      <c r="D284" s="78"/>
      <c r="E284" s="60"/>
      <c r="F284" s="60"/>
      <c r="G284" s="60"/>
      <c r="H284" s="60"/>
      <c r="I284" s="60" t="str">
        <f t="shared" si="10"/>
        <v/>
      </c>
      <c r="J284" s="60"/>
      <c r="K284" s="74" t="s">
        <v>328</v>
      </c>
      <c r="L284" s="60"/>
      <c r="M284" s="63"/>
      <c r="N284" s="60" t="str">
        <f>IF(A284&lt;&gt;"",VLOOKUP(RIGHT(A284,3)*1,[1]SEGMENTAÇÃO!A:H,8,0),"")</f>
        <v/>
      </c>
      <c r="O284" s="59" t="str">
        <f>IF(A284&lt;&gt;"",VLOOKUP(RIGHT(A284,3)*1,[1]SEGMENTAÇÃO!A:I,9,0),"")</f>
        <v/>
      </c>
    </row>
    <row r="285" spans="1:15" x14ac:dyDescent="0.25">
      <c r="A285" s="60"/>
      <c r="B285" s="60"/>
      <c r="C285" s="78"/>
      <c r="D285" s="78"/>
      <c r="E285" s="60"/>
      <c r="F285" s="60"/>
      <c r="G285" s="60"/>
      <c r="H285" s="60"/>
      <c r="I285" s="60" t="str">
        <f t="shared" si="10"/>
        <v/>
      </c>
      <c r="J285" s="60"/>
      <c r="K285" s="74" t="s">
        <v>328</v>
      </c>
      <c r="L285" s="60"/>
      <c r="M285" s="63"/>
      <c r="N285" s="60" t="str">
        <f>IF(A285&lt;&gt;"",VLOOKUP(RIGHT(A285,3)*1,[1]SEGMENTAÇÃO!A:H,8,0),"")</f>
        <v/>
      </c>
      <c r="O285" s="59" t="str">
        <f>IF(A285&lt;&gt;"",VLOOKUP(RIGHT(A285,3)*1,[1]SEGMENTAÇÃO!A:I,9,0),"")</f>
        <v/>
      </c>
    </row>
    <row r="286" spans="1:15" x14ac:dyDescent="0.25">
      <c r="A286" s="60"/>
      <c r="B286" s="60"/>
      <c r="C286" s="60"/>
      <c r="D286" s="60"/>
      <c r="E286" s="60"/>
      <c r="F286" s="60"/>
      <c r="G286" s="60"/>
      <c r="H286" s="60"/>
      <c r="I286" s="60" t="str">
        <f t="shared" si="10"/>
        <v/>
      </c>
      <c r="J286" s="60"/>
      <c r="K286" s="60" t="s">
        <v>328</v>
      </c>
      <c r="L286" s="60"/>
      <c r="M286" s="63"/>
      <c r="N286" s="60" t="str">
        <f>IF(A286&lt;&gt;"",VLOOKUP(RIGHT(A286,3)*1,[1]SEGMENTAÇÃO!A:H,8,0),"")</f>
        <v/>
      </c>
      <c r="O286" s="59" t="str">
        <f>IF(A286&lt;&gt;"",VLOOKUP(RIGHT(A286,3)*1,[1]SEGMENTAÇÃO!A:I,9,0),"")</f>
        <v/>
      </c>
    </row>
    <row r="287" spans="1:15" x14ac:dyDescent="0.25">
      <c r="A287" s="60"/>
      <c r="B287" s="60"/>
      <c r="C287" s="60"/>
      <c r="D287" s="60"/>
      <c r="E287" s="60"/>
      <c r="F287" s="60"/>
      <c r="G287" s="60"/>
      <c r="H287" s="60"/>
      <c r="I287" s="60" t="str">
        <f t="shared" si="10"/>
        <v/>
      </c>
      <c r="J287" s="60"/>
      <c r="K287" s="60" t="s">
        <v>328</v>
      </c>
      <c r="L287" s="60"/>
      <c r="M287" s="63"/>
      <c r="N287" s="60" t="str">
        <f>IF(A287&lt;&gt;"",VLOOKUP(RIGHT(A287,3)*1,[1]SEGMENTAÇÃO!A:H,8,0),"")</f>
        <v/>
      </c>
      <c r="O287" s="59" t="str">
        <f>IF(A287&lt;&gt;"",VLOOKUP(RIGHT(A287,3)*1,[1]SEGMENTAÇÃO!A:I,9,0),"")</f>
        <v/>
      </c>
    </row>
    <row r="288" spans="1:15" x14ac:dyDescent="0.25">
      <c r="A288" s="60"/>
      <c r="B288" s="60"/>
      <c r="C288" s="60"/>
      <c r="D288" s="60"/>
      <c r="E288" s="60"/>
      <c r="F288" s="60"/>
      <c r="G288" s="60"/>
      <c r="H288" s="60"/>
      <c r="I288" s="60" t="str">
        <f t="shared" si="10"/>
        <v/>
      </c>
      <c r="J288" s="60"/>
      <c r="K288" s="60" t="s">
        <v>328</v>
      </c>
      <c r="L288" s="60"/>
      <c r="M288" s="63"/>
      <c r="N288" s="60" t="str">
        <f>IF(A288&lt;&gt;"",VLOOKUP(RIGHT(A288,3)*1,[1]SEGMENTAÇÃO!A:H,8,0),"")</f>
        <v/>
      </c>
      <c r="O288" s="59" t="str">
        <f>IF(A288&lt;&gt;"",VLOOKUP(RIGHT(A288,3)*1,[1]SEGMENTAÇÃO!A:I,9,0),"")</f>
        <v/>
      </c>
    </row>
    <row r="289" spans="1:15" x14ac:dyDescent="0.25">
      <c r="A289" s="60"/>
      <c r="B289" s="60"/>
      <c r="C289" s="60"/>
      <c r="D289" s="60"/>
      <c r="E289" s="60"/>
      <c r="F289" s="60"/>
      <c r="G289" s="60"/>
      <c r="H289" s="60"/>
      <c r="I289" s="60" t="str">
        <f t="shared" si="10"/>
        <v/>
      </c>
      <c r="J289" s="60"/>
      <c r="K289" s="60" t="s">
        <v>328</v>
      </c>
      <c r="L289" s="60"/>
      <c r="M289" s="63"/>
      <c r="N289" s="60" t="str">
        <f>IF(A289&lt;&gt;"",VLOOKUP(RIGHT(A289,3)*1,[1]SEGMENTAÇÃO!A:H,8,0),"")</f>
        <v/>
      </c>
      <c r="O289" s="59" t="str">
        <f>IF(A289&lt;&gt;"",VLOOKUP(RIGHT(A289,3)*1,[1]SEGMENTAÇÃO!A:I,9,0),"")</f>
        <v/>
      </c>
    </row>
    <row r="290" spans="1:15" x14ac:dyDescent="0.25">
      <c r="A290" s="76"/>
      <c r="B290" s="76"/>
      <c r="C290" s="76"/>
      <c r="D290" s="76"/>
      <c r="E290" s="76"/>
      <c r="F290" s="76"/>
      <c r="G290" s="76"/>
      <c r="H290" s="60"/>
      <c r="I290" s="60" t="str">
        <f t="shared" si="10"/>
        <v/>
      </c>
      <c r="J290" s="60"/>
      <c r="K290" s="74" t="s">
        <v>328</v>
      </c>
      <c r="L290" s="76"/>
      <c r="M290" s="77"/>
      <c r="N290" s="60" t="str">
        <f>IF(A290&lt;&gt;"",VLOOKUP(RIGHT(A290,3)*1,[1]SEGMENTAÇÃO!A:H,8,0),"")</f>
        <v/>
      </c>
      <c r="O290" s="59" t="str">
        <f>IF(A290&lt;&gt;"",VLOOKUP(RIGHT(A290,3)*1,[1]SEGMENTAÇÃO!A:I,9,0),"")</f>
        <v/>
      </c>
    </row>
    <row r="291" spans="1:15" x14ac:dyDescent="0.25">
      <c r="A291" s="60"/>
      <c r="B291" s="60"/>
      <c r="C291" s="76"/>
      <c r="D291" s="76"/>
      <c r="E291" s="60"/>
      <c r="F291" s="60"/>
      <c r="G291" s="60"/>
      <c r="H291" s="60"/>
      <c r="I291" s="60" t="str">
        <f t="shared" si="10"/>
        <v/>
      </c>
      <c r="J291" s="60"/>
      <c r="K291" s="76" t="s">
        <v>328</v>
      </c>
      <c r="L291" s="76"/>
      <c r="M291" s="76"/>
      <c r="N291" s="60" t="str">
        <f>IF(A291&lt;&gt;"",VLOOKUP(RIGHT(A291,3)*1,[1]SEGMENTAÇÃO!A:H,8,0),"")</f>
        <v/>
      </c>
      <c r="O291" s="59" t="str">
        <f>IF(A291&lt;&gt;"",VLOOKUP(RIGHT(A291,3)*1,[1]SEGMENTAÇÃO!A:I,9,0),"")</f>
        <v/>
      </c>
    </row>
    <row r="292" spans="1:15" x14ac:dyDescent="0.25">
      <c r="A292" s="76"/>
      <c r="B292" s="76"/>
      <c r="C292" s="76"/>
      <c r="D292" s="76"/>
      <c r="E292" s="76"/>
      <c r="F292" s="76"/>
      <c r="G292" s="76"/>
      <c r="H292" s="60"/>
      <c r="I292" s="60" t="str">
        <f t="shared" si="10"/>
        <v/>
      </c>
      <c r="J292" s="60"/>
      <c r="K292" s="76" t="s">
        <v>328</v>
      </c>
      <c r="L292" s="76"/>
      <c r="M292" s="76"/>
      <c r="N292" s="60" t="str">
        <f>IF(A292&lt;&gt;"",VLOOKUP(RIGHT(A292,3)*1,[1]SEGMENTAÇÃO!A:H,8,0),"")</f>
        <v/>
      </c>
      <c r="O292" s="59" t="str">
        <f>IF(A292&lt;&gt;"",VLOOKUP(RIGHT(A292,3)*1,[1]SEGMENTAÇÃO!A:I,9,0),"")</f>
        <v/>
      </c>
    </row>
    <row r="293" spans="1:15" x14ac:dyDescent="0.25">
      <c r="A293" s="60"/>
      <c r="B293" s="60"/>
      <c r="C293" s="76"/>
      <c r="D293" s="76"/>
      <c r="E293" s="60"/>
      <c r="F293" s="60"/>
      <c r="G293" s="60"/>
      <c r="H293" s="60"/>
      <c r="I293" s="60" t="str">
        <f t="shared" si="10"/>
        <v/>
      </c>
      <c r="J293" s="60"/>
      <c r="K293" s="74" t="s">
        <v>328</v>
      </c>
      <c r="L293" s="76"/>
      <c r="M293" s="77"/>
      <c r="N293" s="60" t="str">
        <f>IF(A293&lt;&gt;"",VLOOKUP(RIGHT(A293,3)*1,[1]SEGMENTAÇÃO!A:H,8,0),"")</f>
        <v/>
      </c>
      <c r="O293" s="59" t="str">
        <f>IF(A293&lt;&gt;"",VLOOKUP(RIGHT(A293,3)*1,[1]SEGMENTAÇÃO!A:I,9,0),"")</f>
        <v/>
      </c>
    </row>
    <row r="294" spans="1:15" x14ac:dyDescent="0.25">
      <c r="A294" s="60"/>
      <c r="B294" s="60"/>
      <c r="C294" s="76"/>
      <c r="D294" s="76"/>
      <c r="E294" s="60"/>
      <c r="F294" s="60"/>
      <c r="G294" s="60"/>
      <c r="H294" s="60"/>
      <c r="I294" s="60" t="str">
        <f t="shared" si="10"/>
        <v/>
      </c>
      <c r="J294" s="60"/>
      <c r="K294" s="74" t="s">
        <v>328</v>
      </c>
      <c r="L294" s="76"/>
      <c r="M294" s="77"/>
      <c r="N294" s="60" t="str">
        <f>IF(A294&lt;&gt;"",VLOOKUP(RIGHT(A294,3)*1,[1]SEGMENTAÇÃO!A:H,8,0),"")</f>
        <v/>
      </c>
      <c r="O294" s="59" t="str">
        <f>IF(A294&lt;&gt;"",VLOOKUP(RIGHT(A294,3)*1,[1]SEGMENTAÇÃO!A:I,9,0),"")</f>
        <v/>
      </c>
    </row>
    <row r="295" spans="1:15" x14ac:dyDescent="0.25">
      <c r="A295" s="60"/>
      <c r="B295" s="60"/>
      <c r="C295" s="76"/>
      <c r="D295" s="76"/>
      <c r="E295" s="60"/>
      <c r="F295" s="60"/>
      <c r="G295" s="60"/>
      <c r="H295" s="60"/>
      <c r="I295" s="60" t="str">
        <f t="shared" si="10"/>
        <v/>
      </c>
      <c r="J295" s="60"/>
      <c r="K295" s="74" t="s">
        <v>328</v>
      </c>
      <c r="L295" s="76"/>
      <c r="M295" s="77"/>
      <c r="N295" s="60" t="str">
        <f>IF(A295&lt;&gt;"",VLOOKUP(RIGHT(A295,3)*1,[1]SEGMENTAÇÃO!A:H,8,0),"")</f>
        <v/>
      </c>
      <c r="O295" s="59" t="str">
        <f>IF(A295&lt;&gt;"",VLOOKUP(RIGHT(A295,3)*1,[1]SEGMENTAÇÃO!A:I,9,0),"")</f>
        <v/>
      </c>
    </row>
    <row r="296" spans="1:15" x14ac:dyDescent="0.25">
      <c r="A296" s="60"/>
      <c r="B296" s="60"/>
      <c r="C296" s="76"/>
      <c r="D296" s="76"/>
      <c r="E296" s="60"/>
      <c r="F296" s="60"/>
      <c r="G296" s="60"/>
      <c r="H296" s="60"/>
      <c r="I296" s="60" t="str">
        <f t="shared" si="10"/>
        <v/>
      </c>
      <c r="J296" s="60"/>
      <c r="K296" s="74" t="s">
        <v>328</v>
      </c>
      <c r="L296" s="76"/>
      <c r="M296" s="77"/>
      <c r="N296" s="60" t="str">
        <f>IF(A296&lt;&gt;"",VLOOKUP(RIGHT(A296,3)*1,[1]SEGMENTAÇÃO!A:H,8,0),"")</f>
        <v/>
      </c>
      <c r="O296" s="59" t="str">
        <f>IF(A296&lt;&gt;"",VLOOKUP(RIGHT(A296,3)*1,[1]SEGMENTAÇÃO!A:I,9,0),"")</f>
        <v/>
      </c>
    </row>
    <row r="297" spans="1:15" x14ac:dyDescent="0.25">
      <c r="A297" s="60"/>
      <c r="B297" s="60"/>
      <c r="C297" s="76"/>
      <c r="D297" s="76"/>
      <c r="E297" s="60"/>
      <c r="F297" s="60"/>
      <c r="G297" s="60"/>
      <c r="H297" s="60"/>
      <c r="I297" s="60" t="str">
        <f t="shared" ref="I297:I360" si="11">IF(H297&lt;&gt;"",IF(LEFT(H297,2)="AL","13.800","34.500"),"")</f>
        <v/>
      </c>
      <c r="J297" s="60"/>
      <c r="K297" s="74" t="s">
        <v>328</v>
      </c>
      <c r="L297" s="76"/>
      <c r="M297" s="77"/>
      <c r="N297" s="60" t="str">
        <f>IF(A297&lt;&gt;"",VLOOKUP(RIGHT(A297,3)*1,[1]SEGMENTAÇÃO!A:H,8,0),"")</f>
        <v/>
      </c>
      <c r="O297" s="59" t="str">
        <f>IF(A297&lt;&gt;"",VLOOKUP(RIGHT(A297,3)*1,[1]SEGMENTAÇÃO!A:I,9,0),"")</f>
        <v/>
      </c>
    </row>
    <row r="298" spans="1:15" x14ac:dyDescent="0.25">
      <c r="A298" s="60"/>
      <c r="B298" s="60"/>
      <c r="C298" s="76"/>
      <c r="D298" s="76"/>
      <c r="E298" s="60"/>
      <c r="F298" s="60"/>
      <c r="G298" s="60"/>
      <c r="H298" s="60"/>
      <c r="I298" s="60" t="str">
        <f t="shared" si="11"/>
        <v/>
      </c>
      <c r="J298" s="60"/>
      <c r="K298" s="74" t="s">
        <v>328</v>
      </c>
      <c r="L298" s="76"/>
      <c r="M298" s="77"/>
      <c r="N298" s="60" t="str">
        <f>IF(A298&lt;&gt;"",VLOOKUP(RIGHT(A298,3)*1,[1]SEGMENTAÇÃO!A:H,8,0),"")</f>
        <v/>
      </c>
      <c r="O298" s="59" t="str">
        <f>IF(A298&lt;&gt;"",VLOOKUP(RIGHT(A298,3)*1,[1]SEGMENTAÇÃO!A:I,9,0),"")</f>
        <v/>
      </c>
    </row>
    <row r="299" spans="1:15" x14ac:dyDescent="0.25">
      <c r="A299" s="76"/>
      <c r="B299" s="76"/>
      <c r="C299" s="76"/>
      <c r="D299" s="76"/>
      <c r="E299" s="76"/>
      <c r="F299" s="76"/>
      <c r="G299" s="76"/>
      <c r="H299" s="60"/>
      <c r="I299" s="60" t="str">
        <f t="shared" si="11"/>
        <v/>
      </c>
      <c r="J299" s="60"/>
      <c r="K299" s="76" t="s">
        <v>328</v>
      </c>
      <c r="L299" s="76"/>
      <c r="M299" s="76"/>
      <c r="N299" s="60" t="str">
        <f>IF(A299&lt;&gt;"",VLOOKUP(RIGHT(A299,3)*1,[1]SEGMENTAÇÃO!A:H,8,0),"")</f>
        <v/>
      </c>
      <c r="O299" s="59" t="str">
        <f>IF(A299&lt;&gt;"",VLOOKUP(RIGHT(A299,3)*1,[1]SEGMENTAÇÃO!A:I,9,0),"")</f>
        <v/>
      </c>
    </row>
    <row r="300" spans="1:15" x14ac:dyDescent="0.25">
      <c r="A300" s="60"/>
      <c r="B300" s="60"/>
      <c r="C300" s="76"/>
      <c r="D300" s="76"/>
      <c r="E300" s="60"/>
      <c r="F300" s="60"/>
      <c r="G300" s="60"/>
      <c r="H300" s="60"/>
      <c r="I300" s="60" t="str">
        <f t="shared" si="11"/>
        <v/>
      </c>
      <c r="J300" s="60"/>
      <c r="K300" s="60" t="s">
        <v>328</v>
      </c>
      <c r="L300" s="76"/>
      <c r="M300" s="76"/>
      <c r="N300" s="60" t="str">
        <f>IF(A300&lt;&gt;"",VLOOKUP(RIGHT(A300,3)*1,[1]SEGMENTAÇÃO!A:H,8,0),"")</f>
        <v/>
      </c>
      <c r="O300" s="59" t="str">
        <f>IF(A300&lt;&gt;"",VLOOKUP(RIGHT(A300,3)*1,[1]SEGMENTAÇÃO!A:I,9,0),"")</f>
        <v/>
      </c>
    </row>
    <row r="301" spans="1:15" x14ac:dyDescent="0.25">
      <c r="A301" s="76"/>
      <c r="B301" s="76"/>
      <c r="C301" s="76"/>
      <c r="D301" s="76"/>
      <c r="E301" s="76"/>
      <c r="F301" s="76"/>
      <c r="G301" s="76"/>
      <c r="H301" s="60"/>
      <c r="I301" s="60" t="str">
        <f t="shared" si="11"/>
        <v/>
      </c>
      <c r="J301" s="60"/>
      <c r="K301" s="74" t="s">
        <v>328</v>
      </c>
      <c r="L301" s="76"/>
      <c r="M301" s="77"/>
      <c r="N301" s="60" t="str">
        <f>IF(A301&lt;&gt;"",VLOOKUP(RIGHT(A301,3)*1,[1]SEGMENTAÇÃO!A:H,8,0),"")</f>
        <v/>
      </c>
      <c r="O301" s="59" t="str">
        <f>IF(A301&lt;&gt;"",VLOOKUP(RIGHT(A301,3)*1,[1]SEGMENTAÇÃO!A:I,9,0),"")</f>
        <v/>
      </c>
    </row>
    <row r="302" spans="1:15" x14ac:dyDescent="0.25">
      <c r="A302" s="60"/>
      <c r="B302" s="60"/>
      <c r="C302" s="76"/>
      <c r="D302" s="76"/>
      <c r="E302" s="60"/>
      <c r="F302" s="60"/>
      <c r="G302" s="60"/>
      <c r="H302" s="60"/>
      <c r="I302" s="60" t="str">
        <f t="shared" si="11"/>
        <v/>
      </c>
      <c r="J302" s="60"/>
      <c r="K302" s="60" t="s">
        <v>328</v>
      </c>
      <c r="L302" s="76"/>
      <c r="M302" s="76"/>
      <c r="N302" s="60" t="str">
        <f>IF(A302&lt;&gt;"",VLOOKUP(RIGHT(A302,3)*1,[1]SEGMENTAÇÃO!A:H,8,0),"")</f>
        <v/>
      </c>
      <c r="O302" s="59" t="str">
        <f>IF(A302&lt;&gt;"",VLOOKUP(RIGHT(A302,3)*1,[1]SEGMENTAÇÃO!A:I,9,0),"")</f>
        <v/>
      </c>
    </row>
    <row r="303" spans="1:15" x14ac:dyDescent="0.25">
      <c r="A303" s="76"/>
      <c r="B303" s="76"/>
      <c r="C303" s="76"/>
      <c r="D303" s="76"/>
      <c r="E303" s="76"/>
      <c r="F303" s="76"/>
      <c r="G303" s="76"/>
      <c r="H303" s="60"/>
      <c r="I303" s="60" t="str">
        <f t="shared" si="11"/>
        <v/>
      </c>
      <c r="J303" s="60"/>
      <c r="K303" s="74" t="s">
        <v>328</v>
      </c>
      <c r="L303" s="76"/>
      <c r="M303" s="77"/>
      <c r="N303" s="60" t="str">
        <f>IF(A303&lt;&gt;"",VLOOKUP(RIGHT(A303,3)*1,[1]SEGMENTAÇÃO!A:H,8,0),"")</f>
        <v/>
      </c>
      <c r="O303" s="59" t="str">
        <f>IF(A303&lt;&gt;"",VLOOKUP(RIGHT(A303,3)*1,[1]SEGMENTAÇÃO!A:I,9,0),"")</f>
        <v/>
      </c>
    </row>
    <row r="304" spans="1:15" x14ac:dyDescent="0.25">
      <c r="A304" s="60"/>
      <c r="B304" s="60"/>
      <c r="C304" s="60"/>
      <c r="D304" s="60"/>
      <c r="E304" s="60"/>
      <c r="F304" s="60"/>
      <c r="G304" s="60"/>
      <c r="H304" s="60"/>
      <c r="I304" s="60" t="str">
        <f t="shared" si="11"/>
        <v/>
      </c>
      <c r="J304" s="60"/>
      <c r="K304" s="60" t="s">
        <v>328</v>
      </c>
      <c r="L304" s="60"/>
      <c r="M304" s="60"/>
      <c r="N304" s="60" t="str">
        <f>IF(A304&lt;&gt;"",VLOOKUP(RIGHT(A304,3)*1,[1]SEGMENTAÇÃO!A:H,8,0),"")</f>
        <v/>
      </c>
      <c r="O304" s="59" t="str">
        <f>IF(A304&lt;&gt;"",VLOOKUP(RIGHT(A304,3)*1,[1]SEGMENTAÇÃO!A:I,9,0),"")</f>
        <v/>
      </c>
    </row>
    <row r="305" spans="1:15" x14ac:dyDescent="0.25">
      <c r="A305" s="60"/>
      <c r="B305" s="60"/>
      <c r="C305" s="60"/>
      <c r="D305" s="60"/>
      <c r="E305" s="60"/>
      <c r="F305" s="60"/>
      <c r="G305" s="60"/>
      <c r="H305" s="60"/>
      <c r="I305" s="60" t="str">
        <f t="shared" si="11"/>
        <v/>
      </c>
      <c r="J305" s="60"/>
      <c r="K305" s="60" t="s">
        <v>328</v>
      </c>
      <c r="L305" s="60"/>
      <c r="M305" s="63"/>
      <c r="N305" s="60" t="str">
        <f>IF(A305&lt;&gt;"",VLOOKUP(RIGHT(A305,3)*1,[1]SEGMENTAÇÃO!A:H,8,0),"")</f>
        <v/>
      </c>
      <c r="O305" s="59" t="str">
        <f>IF(A305&lt;&gt;"",VLOOKUP(RIGHT(A305,3)*1,[1]SEGMENTAÇÃO!A:I,9,0),"")</f>
        <v/>
      </c>
    </row>
    <row r="306" spans="1:15" x14ac:dyDescent="0.25">
      <c r="A306" s="60"/>
      <c r="B306" s="60"/>
      <c r="C306" s="60"/>
      <c r="D306" s="60"/>
      <c r="E306" s="60"/>
      <c r="F306" s="60"/>
      <c r="G306" s="60"/>
      <c r="H306" s="60"/>
      <c r="I306" s="60" t="str">
        <f t="shared" si="11"/>
        <v/>
      </c>
      <c r="J306" s="60"/>
      <c r="K306" s="60" t="s">
        <v>328</v>
      </c>
      <c r="L306" s="60"/>
      <c r="M306" s="63"/>
      <c r="N306" s="60" t="str">
        <f>IF(A306&lt;&gt;"",VLOOKUP(RIGHT(A306,3)*1,[1]SEGMENTAÇÃO!A:H,8,0),"")</f>
        <v/>
      </c>
      <c r="O306" s="59" t="str">
        <f>IF(A306&lt;&gt;"",VLOOKUP(RIGHT(A306,3)*1,[1]SEGMENTAÇÃO!A:I,9,0),"")</f>
        <v/>
      </c>
    </row>
    <row r="307" spans="1:15" x14ac:dyDescent="0.25">
      <c r="A307" s="60"/>
      <c r="B307" s="60"/>
      <c r="C307" s="60"/>
      <c r="D307" s="60"/>
      <c r="E307" s="60"/>
      <c r="F307" s="60"/>
      <c r="G307" s="60"/>
      <c r="H307" s="60"/>
      <c r="I307" s="60" t="str">
        <f t="shared" si="11"/>
        <v/>
      </c>
      <c r="J307" s="60"/>
      <c r="K307" s="60" t="s">
        <v>328</v>
      </c>
      <c r="L307" s="60"/>
      <c r="M307" s="63"/>
      <c r="N307" s="60" t="str">
        <f>IF(A307&lt;&gt;"",VLOOKUP(RIGHT(A307,3)*1,[1]SEGMENTAÇÃO!A:H,8,0),"")</f>
        <v/>
      </c>
      <c r="O307" s="59" t="str">
        <f>IF(A307&lt;&gt;"",VLOOKUP(RIGHT(A307,3)*1,[1]SEGMENTAÇÃO!A:I,9,0),"")</f>
        <v/>
      </c>
    </row>
    <row r="308" spans="1:15" x14ac:dyDescent="0.25">
      <c r="A308" s="60"/>
      <c r="B308" s="60"/>
      <c r="C308" s="60"/>
      <c r="D308" s="60"/>
      <c r="E308" s="60"/>
      <c r="F308" s="60"/>
      <c r="G308" s="60"/>
      <c r="H308" s="60"/>
      <c r="I308" s="60" t="str">
        <f t="shared" si="11"/>
        <v/>
      </c>
      <c r="J308" s="60"/>
      <c r="K308" s="60" t="s">
        <v>328</v>
      </c>
      <c r="L308" s="60"/>
      <c r="M308" s="63"/>
      <c r="N308" s="60" t="str">
        <f>IF(A308&lt;&gt;"",VLOOKUP(RIGHT(A308,3)*1,[1]SEGMENTAÇÃO!A:H,8,0),"")</f>
        <v/>
      </c>
      <c r="O308" s="59" t="str">
        <f>IF(A308&lt;&gt;"",VLOOKUP(RIGHT(A308,3)*1,[1]SEGMENTAÇÃO!A:I,9,0),"")</f>
        <v/>
      </c>
    </row>
    <row r="309" spans="1:15" x14ac:dyDescent="0.25">
      <c r="A309" s="60"/>
      <c r="B309" s="60"/>
      <c r="C309" s="60"/>
      <c r="D309" s="60"/>
      <c r="E309" s="60"/>
      <c r="F309" s="60"/>
      <c r="G309" s="60"/>
      <c r="H309" s="60"/>
      <c r="I309" s="60" t="str">
        <f t="shared" si="11"/>
        <v/>
      </c>
      <c r="J309" s="60"/>
      <c r="K309" s="60" t="s">
        <v>328</v>
      </c>
      <c r="L309" s="60"/>
      <c r="M309" s="63"/>
      <c r="N309" s="60" t="str">
        <f>IF(A309&lt;&gt;"",VLOOKUP(RIGHT(A309,3)*1,[1]SEGMENTAÇÃO!A:H,8,0),"")</f>
        <v/>
      </c>
      <c r="O309" s="59" t="str">
        <f>IF(A309&lt;&gt;"",VLOOKUP(RIGHT(A309,3)*1,[1]SEGMENTAÇÃO!A:I,9,0),"")</f>
        <v/>
      </c>
    </row>
    <row r="310" spans="1:15" x14ac:dyDescent="0.25">
      <c r="A310" s="60"/>
      <c r="B310" s="60"/>
      <c r="C310" s="60"/>
      <c r="D310" s="60"/>
      <c r="E310" s="60"/>
      <c r="F310" s="60"/>
      <c r="G310" s="60"/>
      <c r="H310" s="60"/>
      <c r="I310" s="60" t="str">
        <f t="shared" si="11"/>
        <v/>
      </c>
      <c r="J310" s="60"/>
      <c r="K310" s="60" t="s">
        <v>328</v>
      </c>
      <c r="L310" s="60"/>
      <c r="M310" s="63"/>
      <c r="N310" s="60" t="str">
        <f>IF(A310&lt;&gt;"",VLOOKUP(RIGHT(A310,3)*1,[1]SEGMENTAÇÃO!A:H,8,0),"")</f>
        <v/>
      </c>
      <c r="O310" s="59" t="str">
        <f>IF(A310&lt;&gt;"",VLOOKUP(RIGHT(A310,3)*1,[1]SEGMENTAÇÃO!A:I,9,0),"")</f>
        <v/>
      </c>
    </row>
    <row r="311" spans="1:15" x14ac:dyDescent="0.25">
      <c r="A311" s="60"/>
      <c r="B311" s="60"/>
      <c r="C311" s="60"/>
      <c r="D311" s="60"/>
      <c r="E311" s="60"/>
      <c r="F311" s="60"/>
      <c r="G311" s="60"/>
      <c r="H311" s="60"/>
      <c r="I311" s="60" t="str">
        <f t="shared" si="11"/>
        <v/>
      </c>
      <c r="J311" s="60"/>
      <c r="K311" s="60" t="s">
        <v>328</v>
      </c>
      <c r="L311" s="60"/>
      <c r="M311" s="63"/>
      <c r="N311" s="60" t="str">
        <f>IF(A311&lt;&gt;"",VLOOKUP(RIGHT(A311,3)*1,[1]SEGMENTAÇÃO!A:H,8,0),"")</f>
        <v/>
      </c>
      <c r="O311" s="59" t="str">
        <f>IF(A311&lt;&gt;"",VLOOKUP(RIGHT(A311,3)*1,[1]SEGMENTAÇÃO!A:I,9,0),"")</f>
        <v/>
      </c>
    </row>
    <row r="312" spans="1:15" x14ac:dyDescent="0.25">
      <c r="A312" s="60"/>
      <c r="B312" s="60"/>
      <c r="C312" s="60"/>
      <c r="D312" s="60"/>
      <c r="E312" s="60"/>
      <c r="F312" s="60"/>
      <c r="G312" s="60"/>
      <c r="H312" s="60"/>
      <c r="I312" s="60" t="str">
        <f t="shared" si="11"/>
        <v/>
      </c>
      <c r="J312" s="60"/>
      <c r="K312" s="60" t="s">
        <v>328</v>
      </c>
      <c r="L312" s="60"/>
      <c r="M312" s="63"/>
      <c r="N312" s="60" t="str">
        <f>IF(A312&lt;&gt;"",VLOOKUP(RIGHT(A312,3)*1,[1]SEGMENTAÇÃO!A:H,8,0),"")</f>
        <v/>
      </c>
      <c r="O312" s="59" t="str">
        <f>IF(A312&lt;&gt;"",VLOOKUP(RIGHT(A312,3)*1,[1]SEGMENTAÇÃO!A:I,9,0),"")</f>
        <v/>
      </c>
    </row>
    <row r="313" spans="1:15" x14ac:dyDescent="0.25">
      <c r="A313" s="60"/>
      <c r="B313" s="60"/>
      <c r="C313" s="60"/>
      <c r="D313" s="60"/>
      <c r="E313" s="60"/>
      <c r="F313" s="60"/>
      <c r="G313" s="60"/>
      <c r="H313" s="60"/>
      <c r="I313" s="60" t="str">
        <f t="shared" si="11"/>
        <v/>
      </c>
      <c r="J313" s="60"/>
      <c r="K313" s="60" t="s">
        <v>328</v>
      </c>
      <c r="L313" s="60"/>
      <c r="M313" s="63"/>
      <c r="N313" s="60" t="str">
        <f>IF(A313&lt;&gt;"",VLOOKUP(RIGHT(A313,3)*1,[1]SEGMENTAÇÃO!A:H,8,0),"")</f>
        <v/>
      </c>
      <c r="O313" s="59" t="str">
        <f>IF(A313&lt;&gt;"",VLOOKUP(RIGHT(A313,3)*1,[1]SEGMENTAÇÃO!A:I,9,0),"")</f>
        <v/>
      </c>
    </row>
    <row r="314" spans="1:15" x14ac:dyDescent="0.25">
      <c r="A314" s="60"/>
      <c r="B314" s="60"/>
      <c r="C314" s="60"/>
      <c r="D314" s="60"/>
      <c r="E314" s="60"/>
      <c r="F314" s="60"/>
      <c r="G314" s="60"/>
      <c r="H314" s="60"/>
      <c r="I314" s="60" t="str">
        <f t="shared" si="11"/>
        <v/>
      </c>
      <c r="J314" s="60"/>
      <c r="K314" s="60" t="s">
        <v>328</v>
      </c>
      <c r="L314" s="60"/>
      <c r="M314" s="63"/>
      <c r="N314" s="60" t="str">
        <f>IF(A314&lt;&gt;"",VLOOKUP(RIGHT(A314,3)*1,[1]SEGMENTAÇÃO!A:H,8,0),"")</f>
        <v/>
      </c>
      <c r="O314" s="59" t="str">
        <f>IF(A314&lt;&gt;"",VLOOKUP(RIGHT(A314,3)*1,[1]SEGMENTAÇÃO!A:I,9,0),"")</f>
        <v/>
      </c>
    </row>
    <row r="315" spans="1:15" x14ac:dyDescent="0.25">
      <c r="A315" s="60"/>
      <c r="B315" s="60"/>
      <c r="C315" s="60"/>
      <c r="D315" s="60"/>
      <c r="E315" s="60"/>
      <c r="F315" s="60"/>
      <c r="G315" s="60"/>
      <c r="H315" s="60"/>
      <c r="I315" s="60" t="str">
        <f t="shared" si="11"/>
        <v/>
      </c>
      <c r="J315" s="60"/>
      <c r="K315" s="60" t="s">
        <v>328</v>
      </c>
      <c r="L315" s="60"/>
      <c r="M315" s="60"/>
      <c r="N315" s="60" t="str">
        <f>IF(A315&lt;&gt;"",VLOOKUP(RIGHT(A315,3)*1,[1]SEGMENTAÇÃO!A:H,8,0),"")</f>
        <v/>
      </c>
      <c r="O315" s="59" t="str">
        <f>IF(A315&lt;&gt;"",VLOOKUP(RIGHT(A315,3)*1,[1]SEGMENTAÇÃO!A:I,9,0),"")</f>
        <v/>
      </c>
    </row>
    <row r="316" spans="1:15" x14ac:dyDescent="0.25">
      <c r="A316" s="60"/>
      <c r="B316" s="60"/>
      <c r="C316" s="60"/>
      <c r="D316" s="60"/>
      <c r="E316" s="60"/>
      <c r="F316" s="60"/>
      <c r="G316" s="60"/>
      <c r="H316" s="60"/>
      <c r="I316" s="60" t="str">
        <f t="shared" si="11"/>
        <v/>
      </c>
      <c r="J316" s="60"/>
      <c r="K316" s="60" t="s">
        <v>328</v>
      </c>
      <c r="L316" s="60"/>
      <c r="M316" s="63"/>
      <c r="N316" s="60" t="str">
        <f>IF(A316&lt;&gt;"",VLOOKUP(RIGHT(A316,3)*1,[1]SEGMENTAÇÃO!A:H,8,0),"")</f>
        <v/>
      </c>
      <c r="O316" s="59" t="str">
        <f>IF(A316&lt;&gt;"",VLOOKUP(RIGHT(A316,3)*1,[1]SEGMENTAÇÃO!A:I,9,0),"")</f>
        <v/>
      </c>
    </row>
    <row r="317" spans="1:15" x14ac:dyDescent="0.25">
      <c r="A317" s="60"/>
      <c r="B317" s="60"/>
      <c r="C317" s="60"/>
      <c r="D317" s="60"/>
      <c r="E317" s="60"/>
      <c r="F317" s="60"/>
      <c r="G317" s="60"/>
      <c r="H317" s="60"/>
      <c r="I317" s="60" t="str">
        <f t="shared" si="11"/>
        <v/>
      </c>
      <c r="J317" s="60"/>
      <c r="K317" s="60" t="s">
        <v>328</v>
      </c>
      <c r="L317" s="60"/>
      <c r="M317" s="63"/>
      <c r="N317" s="60" t="str">
        <f>IF(A317&lt;&gt;"",VLOOKUP(RIGHT(A317,3)*1,[1]SEGMENTAÇÃO!A:H,8,0),"")</f>
        <v/>
      </c>
      <c r="O317" s="59" t="str">
        <f>IF(A317&lt;&gt;"",VLOOKUP(RIGHT(A317,3)*1,[1]SEGMENTAÇÃO!A:I,9,0),"")</f>
        <v/>
      </c>
    </row>
    <row r="318" spans="1:15" x14ac:dyDescent="0.25">
      <c r="A318" s="60"/>
      <c r="B318" s="60"/>
      <c r="C318" s="60"/>
      <c r="D318" s="60"/>
      <c r="E318" s="60"/>
      <c r="F318" s="60"/>
      <c r="G318" s="60"/>
      <c r="H318" s="60"/>
      <c r="I318" s="60" t="str">
        <f t="shared" si="11"/>
        <v/>
      </c>
      <c r="J318" s="60"/>
      <c r="K318" s="60" t="s">
        <v>328</v>
      </c>
      <c r="L318" s="60"/>
      <c r="M318" s="63"/>
      <c r="N318" s="60" t="str">
        <f>IF(A318&lt;&gt;"",VLOOKUP(RIGHT(A318,3)*1,[1]SEGMENTAÇÃO!A:H,8,0),"")</f>
        <v/>
      </c>
      <c r="O318" s="59" t="str">
        <f>IF(A318&lt;&gt;"",VLOOKUP(RIGHT(A318,3)*1,[1]SEGMENTAÇÃO!A:I,9,0),"")</f>
        <v/>
      </c>
    </row>
    <row r="319" spans="1:15" x14ac:dyDescent="0.25">
      <c r="A319" s="60"/>
      <c r="B319" s="60"/>
      <c r="C319" s="60"/>
      <c r="D319" s="60"/>
      <c r="E319" s="60"/>
      <c r="F319" s="60"/>
      <c r="G319" s="60"/>
      <c r="H319" s="60"/>
      <c r="I319" s="60" t="str">
        <f t="shared" si="11"/>
        <v/>
      </c>
      <c r="J319" s="60"/>
      <c r="K319" s="60" t="s">
        <v>328</v>
      </c>
      <c r="L319" s="60"/>
      <c r="M319" s="63"/>
      <c r="N319" s="60" t="str">
        <f>IF(A319&lt;&gt;"",VLOOKUP(RIGHT(A319,3)*1,[1]SEGMENTAÇÃO!A:H,8,0),"")</f>
        <v/>
      </c>
      <c r="O319" s="59" t="str">
        <f>IF(A319&lt;&gt;"",VLOOKUP(RIGHT(A319,3)*1,[1]SEGMENTAÇÃO!A:I,9,0),"")</f>
        <v/>
      </c>
    </row>
    <row r="320" spans="1:15" x14ac:dyDescent="0.25">
      <c r="A320" s="60"/>
      <c r="B320" s="60"/>
      <c r="C320" s="60"/>
      <c r="D320" s="60"/>
      <c r="E320" s="60"/>
      <c r="F320" s="60"/>
      <c r="G320" s="60"/>
      <c r="H320" s="60"/>
      <c r="I320" s="60" t="str">
        <f t="shared" si="11"/>
        <v/>
      </c>
      <c r="J320" s="60"/>
      <c r="K320" s="60" t="s">
        <v>328</v>
      </c>
      <c r="L320" s="60"/>
      <c r="M320" s="63"/>
      <c r="N320" s="60" t="str">
        <f>IF(A320&lt;&gt;"",VLOOKUP(RIGHT(A320,3)*1,[1]SEGMENTAÇÃO!A:H,8,0),"")</f>
        <v/>
      </c>
      <c r="O320" s="59" t="str">
        <f>IF(A320&lt;&gt;"",VLOOKUP(RIGHT(A320,3)*1,[1]SEGMENTAÇÃO!A:I,9,0),"")</f>
        <v/>
      </c>
    </row>
    <row r="321" spans="1:15" x14ac:dyDescent="0.25">
      <c r="A321" s="60"/>
      <c r="B321" s="60"/>
      <c r="C321" s="60"/>
      <c r="D321" s="60"/>
      <c r="E321" s="60"/>
      <c r="F321" s="60"/>
      <c r="G321" s="60"/>
      <c r="H321" s="60"/>
      <c r="I321" s="60" t="str">
        <f t="shared" si="11"/>
        <v/>
      </c>
      <c r="J321" s="60"/>
      <c r="K321" s="60" t="s">
        <v>328</v>
      </c>
      <c r="L321" s="60"/>
      <c r="M321" s="63"/>
      <c r="N321" s="60" t="str">
        <f>IF(A321&lt;&gt;"",VLOOKUP(RIGHT(A321,3)*1,[1]SEGMENTAÇÃO!A:H,8,0),"")</f>
        <v/>
      </c>
      <c r="O321" s="59" t="str">
        <f>IF(A321&lt;&gt;"",VLOOKUP(RIGHT(A321,3)*1,[1]SEGMENTAÇÃO!A:I,9,0),"")</f>
        <v/>
      </c>
    </row>
    <row r="322" spans="1:15" x14ac:dyDescent="0.25">
      <c r="A322" s="60"/>
      <c r="B322" s="60"/>
      <c r="C322" s="60"/>
      <c r="D322" s="60"/>
      <c r="E322" s="60"/>
      <c r="F322" s="60"/>
      <c r="G322" s="60"/>
      <c r="H322" s="60"/>
      <c r="I322" s="60" t="str">
        <f t="shared" si="11"/>
        <v/>
      </c>
      <c r="J322" s="60"/>
      <c r="K322" s="60" t="s">
        <v>328</v>
      </c>
      <c r="L322" s="60"/>
      <c r="M322" s="63"/>
      <c r="N322" s="60" t="str">
        <f>IF(A322&lt;&gt;"",VLOOKUP(RIGHT(A322,3)*1,[1]SEGMENTAÇÃO!A:H,8,0),"")</f>
        <v/>
      </c>
      <c r="O322" s="59" t="str">
        <f>IF(A322&lt;&gt;"",VLOOKUP(RIGHT(A322,3)*1,[1]SEGMENTAÇÃO!A:I,9,0),"")</f>
        <v/>
      </c>
    </row>
    <row r="323" spans="1:15" x14ac:dyDescent="0.25">
      <c r="A323" s="60"/>
      <c r="B323" s="60"/>
      <c r="C323" s="60"/>
      <c r="D323" s="60"/>
      <c r="E323" s="60"/>
      <c r="F323" s="60"/>
      <c r="G323" s="60"/>
      <c r="H323" s="60"/>
      <c r="I323" s="60" t="str">
        <f t="shared" si="11"/>
        <v/>
      </c>
      <c r="J323" s="60"/>
      <c r="K323" s="74" t="s">
        <v>328</v>
      </c>
      <c r="L323" s="60"/>
      <c r="M323" s="63"/>
      <c r="N323" s="60" t="str">
        <f>IF(A323&lt;&gt;"",VLOOKUP(RIGHT(A323,3)*1,[1]SEGMENTAÇÃO!A:H,8,0),"")</f>
        <v/>
      </c>
      <c r="O323" s="59" t="str">
        <f>IF(A323&lt;&gt;"",VLOOKUP(RIGHT(A323,3)*1,[1]SEGMENTAÇÃO!A:I,9,0),"")</f>
        <v/>
      </c>
    </row>
    <row r="324" spans="1:15" x14ac:dyDescent="0.25">
      <c r="A324" s="60"/>
      <c r="B324" s="60"/>
      <c r="C324" s="60"/>
      <c r="D324" s="60"/>
      <c r="E324" s="60"/>
      <c r="F324" s="60"/>
      <c r="G324" s="60"/>
      <c r="H324" s="60"/>
      <c r="I324" s="60" t="str">
        <f t="shared" si="11"/>
        <v/>
      </c>
      <c r="J324" s="60"/>
      <c r="K324" s="74" t="s">
        <v>328</v>
      </c>
      <c r="L324" s="60"/>
      <c r="M324" s="63"/>
      <c r="N324" s="60" t="str">
        <f>IF(A324&lt;&gt;"",VLOOKUP(RIGHT(A324,3)*1,[1]SEGMENTAÇÃO!A:H,8,0),"")</f>
        <v/>
      </c>
      <c r="O324" s="59" t="str">
        <f>IF(A324&lt;&gt;"",VLOOKUP(RIGHT(A324,3)*1,[1]SEGMENTAÇÃO!A:I,9,0),"")</f>
        <v/>
      </c>
    </row>
    <row r="325" spans="1:15" x14ac:dyDescent="0.25">
      <c r="A325" s="60"/>
      <c r="B325" s="60"/>
      <c r="C325" s="60"/>
      <c r="D325" s="60"/>
      <c r="E325" s="60"/>
      <c r="F325" s="60"/>
      <c r="G325" s="60"/>
      <c r="H325" s="60"/>
      <c r="I325" s="60" t="str">
        <f t="shared" si="11"/>
        <v/>
      </c>
      <c r="J325" s="60"/>
      <c r="K325" s="74" t="s">
        <v>328</v>
      </c>
      <c r="L325" s="60"/>
      <c r="M325" s="63"/>
      <c r="N325" s="60" t="str">
        <f>IF(A325&lt;&gt;"",VLOOKUP(RIGHT(A325,3)*1,[1]SEGMENTAÇÃO!A:H,8,0),"")</f>
        <v/>
      </c>
      <c r="O325" s="59" t="str">
        <f>IF(A325&lt;&gt;"",VLOOKUP(RIGHT(A325,3)*1,[1]SEGMENTAÇÃO!A:I,9,0),"")</f>
        <v/>
      </c>
    </row>
    <row r="326" spans="1:15" x14ac:dyDescent="0.25">
      <c r="A326" s="60"/>
      <c r="B326" s="60"/>
      <c r="C326" s="60"/>
      <c r="D326" s="60"/>
      <c r="E326" s="60"/>
      <c r="F326" s="60"/>
      <c r="G326" s="60"/>
      <c r="H326" s="60"/>
      <c r="I326" s="60" t="str">
        <f t="shared" si="11"/>
        <v/>
      </c>
      <c r="J326" s="60"/>
      <c r="K326" s="74" t="s">
        <v>328</v>
      </c>
      <c r="L326" s="60"/>
      <c r="M326" s="63"/>
      <c r="N326" s="60" t="str">
        <f>IF(A326&lt;&gt;"",VLOOKUP(RIGHT(A326,3)*1,[1]SEGMENTAÇÃO!A:H,8,0),"")</f>
        <v/>
      </c>
      <c r="O326" s="59" t="str">
        <f>IF(A326&lt;&gt;"",VLOOKUP(RIGHT(A326,3)*1,[1]SEGMENTAÇÃO!A:I,9,0),"")</f>
        <v/>
      </c>
    </row>
    <row r="327" spans="1:15" x14ac:dyDescent="0.25">
      <c r="A327" s="60"/>
      <c r="B327" s="60"/>
      <c r="C327" s="60"/>
      <c r="D327" s="60"/>
      <c r="E327" s="60"/>
      <c r="F327" s="60"/>
      <c r="G327" s="60"/>
      <c r="H327" s="60"/>
      <c r="I327" s="60" t="str">
        <f t="shared" si="11"/>
        <v/>
      </c>
      <c r="J327" s="60"/>
      <c r="K327" s="74" t="s">
        <v>328</v>
      </c>
      <c r="L327" s="60"/>
      <c r="M327" s="63"/>
      <c r="N327" s="60" t="str">
        <f>IF(A327&lt;&gt;"",VLOOKUP(RIGHT(A327,3)*1,[1]SEGMENTAÇÃO!A:H,8,0),"")</f>
        <v/>
      </c>
      <c r="O327" s="59" t="str">
        <f>IF(A327&lt;&gt;"",VLOOKUP(RIGHT(A327,3)*1,[1]SEGMENTAÇÃO!A:I,9,0),"")</f>
        <v/>
      </c>
    </row>
    <row r="328" spans="1:15" x14ac:dyDescent="0.25">
      <c r="A328" s="60"/>
      <c r="B328" s="60"/>
      <c r="C328" s="60"/>
      <c r="D328" s="60"/>
      <c r="E328" s="60"/>
      <c r="F328" s="60"/>
      <c r="G328" s="60"/>
      <c r="H328" s="60"/>
      <c r="I328" s="60" t="str">
        <f t="shared" si="11"/>
        <v/>
      </c>
      <c r="J328" s="60"/>
      <c r="K328" s="74" t="s">
        <v>328</v>
      </c>
      <c r="L328" s="60"/>
      <c r="M328" s="63"/>
      <c r="N328" s="60" t="str">
        <f>IF(A328&lt;&gt;"",VLOOKUP(RIGHT(A328,3)*1,[1]SEGMENTAÇÃO!A:H,8,0),"")</f>
        <v/>
      </c>
      <c r="O328" s="59" t="str">
        <f>IF(A328&lt;&gt;"",VLOOKUP(RIGHT(A328,3)*1,[1]SEGMENTAÇÃO!A:I,9,0),"")</f>
        <v/>
      </c>
    </row>
    <row r="329" spans="1:15" x14ac:dyDescent="0.25">
      <c r="A329" s="60"/>
      <c r="B329" s="60"/>
      <c r="C329" s="60"/>
      <c r="D329" s="60"/>
      <c r="E329" s="60"/>
      <c r="F329" s="60"/>
      <c r="G329" s="60"/>
      <c r="H329" s="60"/>
      <c r="I329" s="60" t="str">
        <f t="shared" si="11"/>
        <v/>
      </c>
      <c r="J329" s="60"/>
      <c r="K329" s="74" t="s">
        <v>328</v>
      </c>
      <c r="L329" s="60"/>
      <c r="M329" s="63"/>
      <c r="N329" s="60" t="str">
        <f>IF(A329&lt;&gt;"",VLOOKUP(RIGHT(A329,3)*1,[1]SEGMENTAÇÃO!A:H,8,0),"")</f>
        <v/>
      </c>
      <c r="O329" s="59" t="str">
        <f>IF(A329&lt;&gt;"",VLOOKUP(RIGHT(A329,3)*1,[1]SEGMENTAÇÃO!A:I,9,0),"")</f>
        <v/>
      </c>
    </row>
    <row r="330" spans="1:15" x14ac:dyDescent="0.25">
      <c r="A330" s="60"/>
      <c r="B330" s="60"/>
      <c r="C330" s="60"/>
      <c r="D330" s="60"/>
      <c r="E330" s="60"/>
      <c r="F330" s="60"/>
      <c r="G330" s="60"/>
      <c r="H330" s="60"/>
      <c r="I330" s="60" t="str">
        <f t="shared" si="11"/>
        <v/>
      </c>
      <c r="J330" s="60"/>
      <c r="K330" s="74" t="s">
        <v>328</v>
      </c>
      <c r="L330" s="60"/>
      <c r="M330" s="63"/>
      <c r="N330" s="60" t="str">
        <f>IF(A330&lt;&gt;"",VLOOKUP(RIGHT(A330,3)*1,[1]SEGMENTAÇÃO!A:H,8,0),"")</f>
        <v/>
      </c>
      <c r="O330" s="59" t="str">
        <f>IF(A330&lt;&gt;"",VLOOKUP(RIGHT(A330,3)*1,[1]SEGMENTAÇÃO!A:I,9,0),"")</f>
        <v/>
      </c>
    </row>
    <row r="331" spans="1:15" x14ac:dyDescent="0.25">
      <c r="A331" s="60"/>
      <c r="B331" s="60"/>
      <c r="C331" s="60"/>
      <c r="D331" s="60"/>
      <c r="E331" s="60"/>
      <c r="F331" s="60"/>
      <c r="G331" s="60"/>
      <c r="H331" s="60"/>
      <c r="I331" s="60" t="str">
        <f t="shared" si="11"/>
        <v/>
      </c>
      <c r="J331" s="60"/>
      <c r="K331" s="60" t="s">
        <v>328</v>
      </c>
      <c r="L331" s="60"/>
      <c r="M331" s="60"/>
      <c r="N331" s="60" t="str">
        <f>IF(A331&lt;&gt;"",VLOOKUP(RIGHT(A331,3)*1,[1]SEGMENTAÇÃO!A:H,8,0),"")</f>
        <v/>
      </c>
      <c r="O331" s="59" t="str">
        <f>IF(A331&lt;&gt;"",VLOOKUP(RIGHT(A331,3)*1,[1]SEGMENTAÇÃO!A:I,9,0),"")</f>
        <v/>
      </c>
    </row>
    <row r="332" spans="1:15" x14ac:dyDescent="0.25">
      <c r="A332" s="60"/>
      <c r="B332" s="60"/>
      <c r="C332" s="60"/>
      <c r="D332" s="60"/>
      <c r="E332" s="60"/>
      <c r="F332" s="60"/>
      <c r="G332" s="60"/>
      <c r="H332" s="60"/>
      <c r="I332" s="60" t="str">
        <f t="shared" si="11"/>
        <v/>
      </c>
      <c r="J332" s="60"/>
      <c r="K332" s="60" t="s">
        <v>328</v>
      </c>
      <c r="L332" s="60"/>
      <c r="M332" s="60"/>
      <c r="N332" s="60" t="str">
        <f>IF(A332&lt;&gt;"",VLOOKUP(RIGHT(A332,3)*1,[1]SEGMENTAÇÃO!A:H,8,0),"")</f>
        <v/>
      </c>
      <c r="O332" s="59" t="str">
        <f>IF(A332&lt;&gt;"",VLOOKUP(RIGHT(A332,3)*1,[1]SEGMENTAÇÃO!A:I,9,0),"")</f>
        <v/>
      </c>
    </row>
    <row r="333" spans="1:15" x14ac:dyDescent="0.25">
      <c r="A333" s="60"/>
      <c r="B333" s="60"/>
      <c r="C333" s="60"/>
      <c r="D333" s="60"/>
      <c r="E333" s="60"/>
      <c r="F333" s="60"/>
      <c r="G333" s="60"/>
      <c r="H333" s="60"/>
      <c r="I333" s="60" t="str">
        <f t="shared" si="11"/>
        <v/>
      </c>
      <c r="J333" s="60"/>
      <c r="K333" s="60" t="s">
        <v>328</v>
      </c>
      <c r="L333" s="60"/>
      <c r="M333" s="60"/>
      <c r="N333" s="60" t="str">
        <f>IF(A333&lt;&gt;"",VLOOKUP(RIGHT(A333,3)*1,[1]SEGMENTAÇÃO!A:H,8,0),"")</f>
        <v/>
      </c>
      <c r="O333" s="59" t="str">
        <f>IF(A333&lt;&gt;"",VLOOKUP(RIGHT(A333,3)*1,[1]SEGMENTAÇÃO!A:I,9,0),"")</f>
        <v/>
      </c>
    </row>
    <row r="334" spans="1:15" x14ac:dyDescent="0.25">
      <c r="A334" s="60"/>
      <c r="B334" s="60"/>
      <c r="C334" s="60"/>
      <c r="D334" s="60"/>
      <c r="E334" s="60"/>
      <c r="F334" s="60"/>
      <c r="G334" s="60"/>
      <c r="H334" s="60"/>
      <c r="I334" s="60" t="str">
        <f t="shared" si="11"/>
        <v/>
      </c>
      <c r="J334" s="60"/>
      <c r="K334" s="60" t="s">
        <v>328</v>
      </c>
      <c r="L334" s="60"/>
      <c r="M334" s="63"/>
      <c r="N334" s="60" t="str">
        <f>IF(A334&lt;&gt;"",VLOOKUP(RIGHT(A334,3)*1,[1]SEGMENTAÇÃO!A:H,8,0),"")</f>
        <v/>
      </c>
      <c r="O334" s="59" t="str">
        <f>IF(A334&lt;&gt;"",VLOOKUP(RIGHT(A334,3)*1,[1]SEGMENTAÇÃO!A:I,9,0),"")</f>
        <v/>
      </c>
    </row>
    <row r="335" spans="1:15" x14ac:dyDescent="0.25">
      <c r="A335" s="60"/>
      <c r="B335" s="60"/>
      <c r="C335" s="60"/>
      <c r="D335" s="60"/>
      <c r="E335" s="60"/>
      <c r="F335" s="60"/>
      <c r="G335" s="60"/>
      <c r="H335" s="60"/>
      <c r="I335" s="60" t="str">
        <f t="shared" si="11"/>
        <v/>
      </c>
      <c r="J335" s="60"/>
      <c r="K335" s="60" t="s">
        <v>328</v>
      </c>
      <c r="L335" s="60"/>
      <c r="M335" s="63"/>
      <c r="N335" s="60" t="str">
        <f>IF(A335&lt;&gt;"",VLOOKUP(RIGHT(A335,3)*1,[1]SEGMENTAÇÃO!A:H,8,0),"")</f>
        <v/>
      </c>
      <c r="O335" s="59" t="str">
        <f>IF(A335&lt;&gt;"",VLOOKUP(RIGHT(A335,3)*1,[1]SEGMENTAÇÃO!A:I,9,0),"")</f>
        <v/>
      </c>
    </row>
    <row r="336" spans="1:15" x14ac:dyDescent="0.25">
      <c r="A336" s="60"/>
      <c r="B336" s="60"/>
      <c r="C336" s="60"/>
      <c r="D336" s="60"/>
      <c r="E336" s="60"/>
      <c r="F336" s="60"/>
      <c r="G336" s="60"/>
      <c r="H336" s="60"/>
      <c r="I336" s="60" t="str">
        <f t="shared" si="11"/>
        <v/>
      </c>
      <c r="J336" s="60"/>
      <c r="K336" s="60" t="s">
        <v>328</v>
      </c>
      <c r="L336" s="60"/>
      <c r="M336" s="63"/>
      <c r="N336" s="60" t="str">
        <f>IF(A336&lt;&gt;"",VLOOKUP(RIGHT(A336,3)*1,[1]SEGMENTAÇÃO!A:H,8,0),"")</f>
        <v/>
      </c>
      <c r="O336" s="59" t="str">
        <f>IF(A336&lt;&gt;"",VLOOKUP(RIGHT(A336,3)*1,[1]SEGMENTAÇÃO!A:I,9,0),"")</f>
        <v/>
      </c>
    </row>
    <row r="337" spans="1:15" x14ac:dyDescent="0.25">
      <c r="A337" s="60"/>
      <c r="B337" s="60"/>
      <c r="C337" s="60"/>
      <c r="D337" s="60"/>
      <c r="E337" s="60"/>
      <c r="F337" s="60"/>
      <c r="G337" s="60"/>
      <c r="H337" s="60"/>
      <c r="I337" s="60" t="str">
        <f t="shared" si="11"/>
        <v/>
      </c>
      <c r="J337" s="60"/>
      <c r="K337" s="60" t="s">
        <v>328</v>
      </c>
      <c r="L337" s="60"/>
      <c r="M337" s="63"/>
      <c r="N337" s="60" t="str">
        <f>IF(A337&lt;&gt;"",VLOOKUP(RIGHT(A337,3)*1,[1]SEGMENTAÇÃO!A:H,8,0),"")</f>
        <v/>
      </c>
      <c r="O337" s="59" t="str">
        <f>IF(A337&lt;&gt;"",VLOOKUP(RIGHT(A337,3)*1,[1]SEGMENTAÇÃO!A:I,9,0),"")</f>
        <v/>
      </c>
    </row>
    <row r="338" spans="1:15" x14ac:dyDescent="0.25">
      <c r="A338" s="60"/>
      <c r="B338" s="60"/>
      <c r="C338" s="60"/>
      <c r="D338" s="60"/>
      <c r="E338" s="60"/>
      <c r="F338" s="60"/>
      <c r="G338" s="60"/>
      <c r="H338" s="60"/>
      <c r="I338" s="60" t="str">
        <f t="shared" si="11"/>
        <v/>
      </c>
      <c r="J338" s="60"/>
      <c r="K338" s="60" t="s">
        <v>328</v>
      </c>
      <c r="L338" s="60"/>
      <c r="M338" s="63"/>
      <c r="N338" s="60" t="str">
        <f>IF(A338&lt;&gt;"",VLOOKUP(RIGHT(A338,3)*1,[1]SEGMENTAÇÃO!A:H,8,0),"")</f>
        <v/>
      </c>
      <c r="O338" s="59" t="str">
        <f>IF(A338&lt;&gt;"",VLOOKUP(RIGHT(A338,3)*1,[1]SEGMENTAÇÃO!A:I,9,0),"")</f>
        <v/>
      </c>
    </row>
    <row r="339" spans="1:15" x14ac:dyDescent="0.25">
      <c r="A339" s="60"/>
      <c r="B339" s="60"/>
      <c r="C339" s="60"/>
      <c r="D339" s="60"/>
      <c r="E339" s="60"/>
      <c r="F339" s="60"/>
      <c r="G339" s="60"/>
      <c r="H339" s="60"/>
      <c r="I339" s="60" t="str">
        <f t="shared" si="11"/>
        <v/>
      </c>
      <c r="J339" s="60"/>
      <c r="K339" s="60" t="s">
        <v>328</v>
      </c>
      <c r="L339" s="60"/>
      <c r="M339" s="63"/>
      <c r="N339" s="60" t="str">
        <f>IF(A339&lt;&gt;"",VLOOKUP(RIGHT(A339,3)*1,[1]SEGMENTAÇÃO!A:H,8,0),"")</f>
        <v/>
      </c>
      <c r="O339" s="59" t="str">
        <f>IF(A339&lt;&gt;"",VLOOKUP(RIGHT(A339,3)*1,[1]SEGMENTAÇÃO!A:I,9,0),"")</f>
        <v/>
      </c>
    </row>
    <row r="340" spans="1:15" x14ac:dyDescent="0.25">
      <c r="A340" s="60"/>
      <c r="B340" s="60"/>
      <c r="C340" s="60"/>
      <c r="D340" s="60"/>
      <c r="E340" s="60"/>
      <c r="F340" s="60"/>
      <c r="G340" s="60"/>
      <c r="H340" s="60"/>
      <c r="I340" s="60" t="str">
        <f t="shared" si="11"/>
        <v/>
      </c>
      <c r="J340" s="60"/>
      <c r="K340" s="60" t="s">
        <v>328</v>
      </c>
      <c r="L340" s="60"/>
      <c r="M340" s="63"/>
      <c r="N340" s="60" t="str">
        <f>IF(A340&lt;&gt;"",VLOOKUP(RIGHT(A340,3)*1,[1]SEGMENTAÇÃO!A:H,8,0),"")</f>
        <v/>
      </c>
      <c r="O340" s="59" t="str">
        <f>IF(A340&lt;&gt;"",VLOOKUP(RIGHT(A340,3)*1,[1]SEGMENTAÇÃO!A:I,9,0),"")</f>
        <v/>
      </c>
    </row>
    <row r="341" spans="1:15" x14ac:dyDescent="0.25">
      <c r="A341" s="60"/>
      <c r="B341" s="60"/>
      <c r="C341" s="60"/>
      <c r="D341" s="60"/>
      <c r="E341" s="60"/>
      <c r="F341" s="60"/>
      <c r="G341" s="60"/>
      <c r="H341" s="60"/>
      <c r="I341" s="60" t="str">
        <f t="shared" si="11"/>
        <v/>
      </c>
      <c r="J341" s="60"/>
      <c r="K341" s="60" t="s">
        <v>328</v>
      </c>
      <c r="L341" s="60"/>
      <c r="M341" s="63"/>
      <c r="N341" s="60" t="str">
        <f>IF(A341&lt;&gt;"",VLOOKUP(RIGHT(A341,3)*1,[1]SEGMENTAÇÃO!A:H,8,0),"")</f>
        <v/>
      </c>
      <c r="O341" s="59" t="str">
        <f>IF(A341&lt;&gt;"",VLOOKUP(RIGHT(A341,3)*1,[1]SEGMENTAÇÃO!A:I,9,0),"")</f>
        <v/>
      </c>
    </row>
    <row r="342" spans="1:15" x14ac:dyDescent="0.25">
      <c r="A342" s="60"/>
      <c r="B342" s="60"/>
      <c r="C342" s="60"/>
      <c r="D342" s="60"/>
      <c r="E342" s="60"/>
      <c r="F342" s="60"/>
      <c r="G342" s="60"/>
      <c r="H342" s="60"/>
      <c r="I342" s="60" t="str">
        <f t="shared" si="11"/>
        <v/>
      </c>
      <c r="J342" s="60"/>
      <c r="K342" s="60" t="s">
        <v>328</v>
      </c>
      <c r="L342" s="60"/>
      <c r="M342" s="63"/>
      <c r="N342" s="60" t="str">
        <f>IF(A342&lt;&gt;"",VLOOKUP(RIGHT(A342,3)*1,[1]SEGMENTAÇÃO!A:H,8,0),"")</f>
        <v/>
      </c>
      <c r="O342" s="59" t="str">
        <f>IF(A342&lt;&gt;"",VLOOKUP(RIGHT(A342,3)*1,[1]SEGMENTAÇÃO!A:I,9,0),"")</f>
        <v/>
      </c>
    </row>
    <row r="343" spans="1:15" x14ac:dyDescent="0.25">
      <c r="A343" s="60"/>
      <c r="B343" s="60"/>
      <c r="C343" s="60"/>
      <c r="D343" s="60"/>
      <c r="E343" s="60"/>
      <c r="F343" s="60"/>
      <c r="G343" s="60"/>
      <c r="H343" s="60"/>
      <c r="I343" s="60" t="str">
        <f t="shared" si="11"/>
        <v/>
      </c>
      <c r="J343" s="60"/>
      <c r="K343" s="74" t="s">
        <v>328</v>
      </c>
      <c r="L343" s="60"/>
      <c r="M343" s="63"/>
      <c r="N343" s="60" t="str">
        <f>IF(A343&lt;&gt;"",VLOOKUP(RIGHT(A343,3)*1,[1]SEGMENTAÇÃO!A:H,8,0),"")</f>
        <v/>
      </c>
      <c r="O343" s="59" t="str">
        <f>IF(A343&lt;&gt;"",VLOOKUP(RIGHT(A343,3)*1,[1]SEGMENTAÇÃO!A:I,9,0),"")</f>
        <v/>
      </c>
    </row>
    <row r="344" spans="1:15" x14ac:dyDescent="0.25">
      <c r="A344" s="60"/>
      <c r="B344" s="60"/>
      <c r="C344" s="60"/>
      <c r="D344" s="60"/>
      <c r="E344" s="60"/>
      <c r="F344" s="60"/>
      <c r="G344" s="60"/>
      <c r="H344" s="60"/>
      <c r="I344" s="60" t="str">
        <f t="shared" si="11"/>
        <v/>
      </c>
      <c r="J344" s="60"/>
      <c r="K344" s="74" t="s">
        <v>328</v>
      </c>
      <c r="L344" s="60"/>
      <c r="M344" s="63"/>
      <c r="N344" s="60" t="str">
        <f>IF(A344&lt;&gt;"",VLOOKUP(RIGHT(A344,3)*1,[1]SEGMENTAÇÃO!A:H,8,0),"")</f>
        <v/>
      </c>
      <c r="O344" s="59" t="str">
        <f>IF(A344&lt;&gt;"",VLOOKUP(RIGHT(A344,3)*1,[1]SEGMENTAÇÃO!A:I,9,0),"")</f>
        <v/>
      </c>
    </row>
    <row r="345" spans="1:15" x14ac:dyDescent="0.25">
      <c r="A345" s="60"/>
      <c r="B345" s="60"/>
      <c r="C345" s="60"/>
      <c r="D345" s="60"/>
      <c r="E345" s="76"/>
      <c r="F345" s="76"/>
      <c r="G345" s="76"/>
      <c r="H345" s="60"/>
      <c r="I345" s="60" t="str">
        <f t="shared" si="11"/>
        <v/>
      </c>
      <c r="J345" s="60"/>
      <c r="K345" s="74" t="s">
        <v>328</v>
      </c>
      <c r="L345" s="60"/>
      <c r="M345" s="63"/>
      <c r="N345" s="60" t="str">
        <f>IF(A345&lt;&gt;"",VLOOKUP(RIGHT(A345,3)*1,[1]SEGMENTAÇÃO!A:H,8,0),"")</f>
        <v/>
      </c>
      <c r="O345" s="59" t="str">
        <f>IF(A345&lt;&gt;"",VLOOKUP(RIGHT(A345,3)*1,[1]SEGMENTAÇÃO!A:I,9,0),"")</f>
        <v/>
      </c>
    </row>
    <row r="346" spans="1:15" x14ac:dyDescent="0.25">
      <c r="A346" s="60"/>
      <c r="B346" s="60"/>
      <c r="C346" s="60"/>
      <c r="D346" s="60"/>
      <c r="E346" s="60"/>
      <c r="F346" s="60"/>
      <c r="G346" s="60"/>
      <c r="H346" s="60"/>
      <c r="I346" s="60" t="str">
        <f t="shared" si="11"/>
        <v/>
      </c>
      <c r="J346" s="60"/>
      <c r="K346" s="74" t="s">
        <v>328</v>
      </c>
      <c r="L346" s="60"/>
      <c r="M346" s="63"/>
      <c r="N346" s="60" t="str">
        <f>IF(A346&lt;&gt;"",VLOOKUP(RIGHT(A346,3)*1,[1]SEGMENTAÇÃO!A:H,8,0),"")</f>
        <v/>
      </c>
      <c r="O346" s="59" t="str">
        <f>IF(A346&lt;&gt;"",VLOOKUP(RIGHT(A346,3)*1,[1]SEGMENTAÇÃO!A:I,9,0),"")</f>
        <v/>
      </c>
    </row>
    <row r="347" spans="1:15" x14ac:dyDescent="0.25">
      <c r="A347" s="60"/>
      <c r="B347" s="60"/>
      <c r="C347" s="60"/>
      <c r="D347" s="60"/>
      <c r="E347" s="60"/>
      <c r="F347" s="60"/>
      <c r="G347" s="60"/>
      <c r="H347" s="60"/>
      <c r="I347" s="60" t="str">
        <f t="shared" si="11"/>
        <v/>
      </c>
      <c r="J347" s="60"/>
      <c r="K347" s="60" t="s">
        <v>328</v>
      </c>
      <c r="L347" s="60"/>
      <c r="M347" s="63"/>
      <c r="N347" s="60" t="str">
        <f>IF(A347&lt;&gt;"",VLOOKUP(RIGHT(A347,3)*1,[1]SEGMENTAÇÃO!A:H,8,0),"")</f>
        <v/>
      </c>
      <c r="O347" s="59" t="str">
        <f>IF(A347&lt;&gt;"",VLOOKUP(RIGHT(A347,3)*1,[1]SEGMENTAÇÃO!A:I,9,0),"")</f>
        <v/>
      </c>
    </row>
    <row r="348" spans="1:15" x14ac:dyDescent="0.25">
      <c r="A348" s="60"/>
      <c r="B348" s="60"/>
      <c r="C348" s="60"/>
      <c r="D348" s="60"/>
      <c r="E348" s="60"/>
      <c r="F348" s="60"/>
      <c r="G348" s="60"/>
      <c r="H348" s="60"/>
      <c r="I348" s="60" t="str">
        <f t="shared" si="11"/>
        <v/>
      </c>
      <c r="J348" s="60"/>
      <c r="K348" s="74" t="s">
        <v>328</v>
      </c>
      <c r="L348" s="60"/>
      <c r="M348" s="63"/>
      <c r="N348" s="60" t="str">
        <f>IF(A348&lt;&gt;"",VLOOKUP(RIGHT(A348,3)*1,[1]SEGMENTAÇÃO!A:H,8,0),"")</f>
        <v/>
      </c>
      <c r="O348" s="59" t="str">
        <f>IF(A348&lt;&gt;"",VLOOKUP(RIGHT(A348,3)*1,[1]SEGMENTAÇÃO!A:I,9,0),"")</f>
        <v/>
      </c>
    </row>
    <row r="349" spans="1:15" x14ac:dyDescent="0.25">
      <c r="A349" s="60"/>
      <c r="B349" s="60"/>
      <c r="C349" s="60"/>
      <c r="D349" s="60"/>
      <c r="E349" s="76"/>
      <c r="F349" s="76"/>
      <c r="G349" s="76"/>
      <c r="H349" s="60"/>
      <c r="I349" s="60" t="str">
        <f t="shared" si="11"/>
        <v/>
      </c>
      <c r="J349" s="60"/>
      <c r="K349" s="74" t="s">
        <v>328</v>
      </c>
      <c r="L349" s="60"/>
      <c r="M349" s="63"/>
      <c r="N349" s="60" t="str">
        <f>IF(A349&lt;&gt;"",VLOOKUP(RIGHT(A349,3)*1,[1]SEGMENTAÇÃO!A:H,8,0),"")</f>
        <v/>
      </c>
      <c r="O349" s="59" t="str">
        <f>IF(A349&lt;&gt;"",VLOOKUP(RIGHT(A349,3)*1,[1]SEGMENTAÇÃO!A:I,9,0),"")</f>
        <v/>
      </c>
    </row>
    <row r="350" spans="1:15" x14ac:dyDescent="0.25">
      <c r="A350" s="60"/>
      <c r="B350" s="60"/>
      <c r="C350" s="60"/>
      <c r="D350" s="60"/>
      <c r="E350" s="76"/>
      <c r="F350" s="76"/>
      <c r="G350" s="76"/>
      <c r="H350" s="60"/>
      <c r="I350" s="60" t="str">
        <f t="shared" si="11"/>
        <v/>
      </c>
      <c r="J350" s="60"/>
      <c r="K350" s="74" t="s">
        <v>328</v>
      </c>
      <c r="L350" s="60"/>
      <c r="M350" s="63"/>
      <c r="N350" s="60" t="str">
        <f>IF(A350&lt;&gt;"",VLOOKUP(RIGHT(A350,3)*1,[1]SEGMENTAÇÃO!A:H,8,0),"")</f>
        <v/>
      </c>
      <c r="O350" s="59" t="str">
        <f>IF(A350&lt;&gt;"",VLOOKUP(RIGHT(A350,3)*1,[1]SEGMENTAÇÃO!A:I,9,0),"")</f>
        <v/>
      </c>
    </row>
    <row r="351" spans="1:15" x14ac:dyDescent="0.25">
      <c r="A351" s="60"/>
      <c r="B351" s="60"/>
      <c r="C351" s="60"/>
      <c r="D351" s="60"/>
      <c r="E351" s="76"/>
      <c r="F351" s="76"/>
      <c r="G351" s="76"/>
      <c r="H351" s="60"/>
      <c r="I351" s="60" t="str">
        <f t="shared" si="11"/>
        <v/>
      </c>
      <c r="J351" s="60"/>
      <c r="K351" s="74" t="s">
        <v>328</v>
      </c>
      <c r="L351" s="60"/>
      <c r="M351" s="63"/>
      <c r="N351" s="60" t="str">
        <f>IF(A351&lt;&gt;"",VLOOKUP(RIGHT(A351,3)*1,[1]SEGMENTAÇÃO!A:H,8,0),"")</f>
        <v/>
      </c>
      <c r="O351" s="59" t="str">
        <f>IF(A351&lt;&gt;"",VLOOKUP(RIGHT(A351,3)*1,[1]SEGMENTAÇÃO!A:I,9,0),"")</f>
        <v/>
      </c>
    </row>
    <row r="352" spans="1:15" x14ac:dyDescent="0.25">
      <c r="A352" s="60"/>
      <c r="B352" s="60"/>
      <c r="C352" s="60"/>
      <c r="D352" s="60"/>
      <c r="E352" s="76"/>
      <c r="F352" s="76"/>
      <c r="G352" s="76"/>
      <c r="H352" s="60"/>
      <c r="I352" s="60" t="str">
        <f t="shared" si="11"/>
        <v/>
      </c>
      <c r="J352" s="60"/>
      <c r="K352" s="74" t="s">
        <v>328</v>
      </c>
      <c r="L352" s="60"/>
      <c r="M352" s="63"/>
      <c r="N352" s="60" t="str">
        <f>IF(A352&lt;&gt;"",VLOOKUP(RIGHT(A352,3)*1,[1]SEGMENTAÇÃO!A:H,8,0),"")</f>
        <v/>
      </c>
      <c r="O352" s="59" t="str">
        <f>IF(A352&lt;&gt;"",VLOOKUP(RIGHT(A352,3)*1,[1]SEGMENTAÇÃO!A:I,9,0),"")</f>
        <v/>
      </c>
    </row>
    <row r="353" spans="1:15" x14ac:dyDescent="0.25">
      <c r="A353" s="60"/>
      <c r="B353" s="60"/>
      <c r="C353" s="60"/>
      <c r="D353" s="60"/>
      <c r="E353" s="60"/>
      <c r="F353" s="60"/>
      <c r="G353" s="60"/>
      <c r="H353" s="60"/>
      <c r="I353" s="60" t="str">
        <f t="shared" si="11"/>
        <v/>
      </c>
      <c r="J353" s="60"/>
      <c r="K353" s="74" t="s">
        <v>328</v>
      </c>
      <c r="L353" s="60"/>
      <c r="M353" s="63"/>
      <c r="N353" s="60" t="str">
        <f>IF(A353&lt;&gt;"",VLOOKUP(RIGHT(A353,3)*1,[1]SEGMENTAÇÃO!A:H,8,0),"")</f>
        <v/>
      </c>
      <c r="O353" s="59" t="str">
        <f>IF(A353&lt;&gt;"",VLOOKUP(RIGHT(A353,3)*1,[1]SEGMENTAÇÃO!A:I,9,0),"")</f>
        <v/>
      </c>
    </row>
    <row r="354" spans="1:15" x14ac:dyDescent="0.25">
      <c r="A354" s="60"/>
      <c r="B354" s="60"/>
      <c r="C354" s="60"/>
      <c r="D354" s="60"/>
      <c r="E354" s="60"/>
      <c r="F354" s="60"/>
      <c r="G354" s="60"/>
      <c r="H354" s="60"/>
      <c r="I354" s="60" t="str">
        <f t="shared" si="11"/>
        <v/>
      </c>
      <c r="J354" s="60"/>
      <c r="K354" s="74" t="s">
        <v>328</v>
      </c>
      <c r="L354" s="60"/>
      <c r="M354" s="63"/>
      <c r="N354" s="60" t="str">
        <f>IF(A354&lt;&gt;"",VLOOKUP(RIGHT(A354,3)*1,[1]SEGMENTAÇÃO!A:H,8,0),"")</f>
        <v/>
      </c>
      <c r="O354" s="59" t="str">
        <f>IF(A354&lt;&gt;"",VLOOKUP(RIGHT(A354,3)*1,[1]SEGMENTAÇÃO!A:I,9,0),"")</f>
        <v/>
      </c>
    </row>
    <row r="355" spans="1:15" x14ac:dyDescent="0.25">
      <c r="A355" s="60"/>
      <c r="B355" s="60"/>
      <c r="C355" s="60"/>
      <c r="D355" s="60"/>
      <c r="E355" s="60"/>
      <c r="F355" s="60"/>
      <c r="G355" s="60"/>
      <c r="H355" s="60"/>
      <c r="I355" s="60" t="str">
        <f t="shared" si="11"/>
        <v/>
      </c>
      <c r="J355" s="60"/>
      <c r="K355" s="74" t="s">
        <v>328</v>
      </c>
      <c r="L355" s="60"/>
      <c r="M355" s="63"/>
      <c r="N355" s="60" t="str">
        <f>IF(A355&lt;&gt;"",VLOOKUP(RIGHT(A355,3)*1,[1]SEGMENTAÇÃO!A:H,8,0),"")</f>
        <v/>
      </c>
      <c r="O355" s="59" t="str">
        <f>IF(A355&lt;&gt;"",VLOOKUP(RIGHT(A355,3)*1,[1]SEGMENTAÇÃO!A:I,9,0),"")</f>
        <v/>
      </c>
    </row>
    <row r="356" spans="1:15" x14ac:dyDescent="0.25">
      <c r="A356" s="60"/>
      <c r="B356" s="60"/>
      <c r="C356" s="60"/>
      <c r="D356" s="60"/>
      <c r="E356" s="60"/>
      <c r="F356" s="60"/>
      <c r="G356" s="60"/>
      <c r="H356" s="60"/>
      <c r="I356" s="60" t="str">
        <f t="shared" si="11"/>
        <v/>
      </c>
      <c r="J356" s="60"/>
      <c r="K356" s="74" t="s">
        <v>328</v>
      </c>
      <c r="L356" s="60"/>
      <c r="M356" s="63"/>
      <c r="N356" s="60" t="str">
        <f>IF(A356&lt;&gt;"",VLOOKUP(RIGHT(A356,3)*1,[1]SEGMENTAÇÃO!A:H,8,0),"")</f>
        <v/>
      </c>
      <c r="O356" s="59" t="str">
        <f>IF(A356&lt;&gt;"",VLOOKUP(RIGHT(A356,3)*1,[1]SEGMENTAÇÃO!A:I,9,0),"")</f>
        <v/>
      </c>
    </row>
    <row r="357" spans="1:15" x14ac:dyDescent="0.25">
      <c r="A357" s="60"/>
      <c r="B357" s="60"/>
      <c r="C357" s="60"/>
      <c r="D357" s="60"/>
      <c r="E357" s="60"/>
      <c r="F357" s="60"/>
      <c r="G357" s="60"/>
      <c r="H357" s="60"/>
      <c r="I357" s="60" t="str">
        <f t="shared" si="11"/>
        <v/>
      </c>
      <c r="J357" s="60"/>
      <c r="K357" s="74" t="s">
        <v>328</v>
      </c>
      <c r="L357" s="60"/>
      <c r="M357" s="63"/>
      <c r="N357" s="60" t="str">
        <f>IF(A357&lt;&gt;"",VLOOKUP(RIGHT(A357,3)*1,[1]SEGMENTAÇÃO!A:H,8,0),"")</f>
        <v/>
      </c>
      <c r="O357" s="59" t="str">
        <f>IF(A357&lt;&gt;"",VLOOKUP(RIGHT(A357,3)*1,[1]SEGMENTAÇÃO!A:I,9,0),"")</f>
        <v/>
      </c>
    </row>
    <row r="358" spans="1:15" x14ac:dyDescent="0.25">
      <c r="A358" s="60"/>
      <c r="B358" s="60"/>
      <c r="C358" s="60"/>
      <c r="D358" s="60"/>
      <c r="E358" s="60"/>
      <c r="F358" s="60"/>
      <c r="G358" s="60"/>
      <c r="H358" s="60"/>
      <c r="I358" s="60" t="str">
        <f t="shared" si="11"/>
        <v/>
      </c>
      <c r="J358" s="60"/>
      <c r="K358" s="74" t="s">
        <v>328</v>
      </c>
      <c r="L358" s="60"/>
      <c r="M358" s="63"/>
      <c r="N358" s="60" t="str">
        <f>IF(A358&lt;&gt;"",VLOOKUP(RIGHT(A358,3)*1,[1]SEGMENTAÇÃO!A:H,8,0),"")</f>
        <v/>
      </c>
      <c r="O358" s="59" t="str">
        <f>IF(A358&lt;&gt;"",VLOOKUP(RIGHT(A358,3)*1,[1]SEGMENTAÇÃO!A:I,9,0),"")</f>
        <v/>
      </c>
    </row>
    <row r="359" spans="1:15" x14ac:dyDescent="0.25">
      <c r="A359" s="60"/>
      <c r="B359" s="60"/>
      <c r="C359" s="60"/>
      <c r="D359" s="60"/>
      <c r="E359" s="60"/>
      <c r="F359" s="60"/>
      <c r="G359" s="60"/>
      <c r="H359" s="60"/>
      <c r="I359" s="60" t="str">
        <f t="shared" si="11"/>
        <v/>
      </c>
      <c r="J359" s="60"/>
      <c r="K359" s="74" t="s">
        <v>328</v>
      </c>
      <c r="L359" s="60"/>
      <c r="M359" s="60"/>
      <c r="N359" s="60" t="str">
        <f>IF(A359&lt;&gt;"",VLOOKUP(RIGHT(A359,3)*1,[1]SEGMENTAÇÃO!A:H,8,0),"")</f>
        <v/>
      </c>
      <c r="O359" s="59" t="str">
        <f>IF(A359&lt;&gt;"",VLOOKUP(RIGHT(A359,3)*1,[1]SEGMENTAÇÃO!A:I,9,0),"")</f>
        <v/>
      </c>
    </row>
    <row r="360" spans="1:15" x14ac:dyDescent="0.25">
      <c r="A360" s="60"/>
      <c r="B360" s="60"/>
      <c r="C360" s="60"/>
      <c r="D360" s="60"/>
      <c r="E360" s="76"/>
      <c r="F360" s="76"/>
      <c r="G360" s="76"/>
      <c r="H360" s="60"/>
      <c r="I360" s="60" t="str">
        <f t="shared" si="11"/>
        <v/>
      </c>
      <c r="J360" s="60"/>
      <c r="K360" s="76" t="s">
        <v>328</v>
      </c>
      <c r="L360" s="60"/>
      <c r="M360" s="60"/>
      <c r="N360" s="60" t="str">
        <f>IF(A360&lt;&gt;"",VLOOKUP(RIGHT(A360,3)*1,[1]SEGMENTAÇÃO!A:H,8,0),"")</f>
        <v/>
      </c>
      <c r="O360" s="59" t="str">
        <f>IF(A360&lt;&gt;"",VLOOKUP(RIGHT(A360,3)*1,[1]SEGMENTAÇÃO!A:I,9,0),"")</f>
        <v/>
      </c>
    </row>
    <row r="361" spans="1:15" x14ac:dyDescent="0.25">
      <c r="A361" s="60"/>
      <c r="B361" s="60"/>
      <c r="C361" s="60"/>
      <c r="D361" s="60"/>
      <c r="E361" s="60"/>
      <c r="F361" s="60"/>
      <c r="G361" s="60"/>
      <c r="H361" s="60"/>
      <c r="I361" s="60" t="str">
        <f t="shared" ref="I361:I424" si="12">IF(H361&lt;&gt;"",IF(LEFT(H361,2)="AL","13.800","34.500"),"")</f>
        <v/>
      </c>
      <c r="J361" s="60"/>
      <c r="K361" s="74" t="s">
        <v>328</v>
      </c>
      <c r="L361" s="60"/>
      <c r="M361" s="63"/>
      <c r="N361" s="60" t="str">
        <f>IF(A361&lt;&gt;"",VLOOKUP(RIGHT(A361,3)*1,[1]SEGMENTAÇÃO!A:H,8,0),"")</f>
        <v/>
      </c>
      <c r="O361" s="59" t="str">
        <f>IF(A361&lt;&gt;"",VLOOKUP(RIGHT(A361,3)*1,[1]SEGMENTAÇÃO!A:I,9,0),"")</f>
        <v/>
      </c>
    </row>
    <row r="362" spans="1:15" x14ac:dyDescent="0.25">
      <c r="A362" s="60"/>
      <c r="B362" s="60"/>
      <c r="C362" s="60"/>
      <c r="D362" s="60"/>
      <c r="E362" s="60"/>
      <c r="F362" s="60"/>
      <c r="G362" s="60"/>
      <c r="H362" s="60"/>
      <c r="I362" s="60" t="str">
        <f t="shared" si="12"/>
        <v/>
      </c>
      <c r="J362" s="60"/>
      <c r="K362" s="60" t="s">
        <v>328</v>
      </c>
      <c r="L362" s="60"/>
      <c r="M362" s="60"/>
      <c r="N362" s="60" t="str">
        <f>IF(A362&lt;&gt;"",VLOOKUP(RIGHT(A362,3)*1,[1]SEGMENTAÇÃO!A:H,8,0),"")</f>
        <v/>
      </c>
      <c r="O362" s="59" t="str">
        <f>IF(A362&lt;&gt;"",VLOOKUP(RIGHT(A362,3)*1,[1]SEGMENTAÇÃO!A:I,9,0),"")</f>
        <v/>
      </c>
    </row>
    <row r="363" spans="1:15" x14ac:dyDescent="0.25">
      <c r="A363" s="60"/>
      <c r="B363" s="60"/>
      <c r="C363" s="60"/>
      <c r="D363" s="60"/>
      <c r="E363" s="60"/>
      <c r="F363" s="60"/>
      <c r="G363" s="60"/>
      <c r="H363" s="60"/>
      <c r="I363" s="60" t="str">
        <f t="shared" si="12"/>
        <v/>
      </c>
      <c r="J363" s="60"/>
      <c r="K363" s="60" t="s">
        <v>328</v>
      </c>
      <c r="L363" s="60"/>
      <c r="M363" s="60"/>
      <c r="N363" s="60" t="str">
        <f>IF(A363&lt;&gt;"",VLOOKUP(RIGHT(A363,3)*1,[1]SEGMENTAÇÃO!A:H,8,0),"")</f>
        <v/>
      </c>
      <c r="O363" s="59" t="str">
        <f>IF(A363&lt;&gt;"",VLOOKUP(RIGHT(A363,3)*1,[1]SEGMENTAÇÃO!A:I,9,0),"")</f>
        <v/>
      </c>
    </row>
    <row r="364" spans="1:15" x14ac:dyDescent="0.25">
      <c r="A364" s="60"/>
      <c r="B364" s="60"/>
      <c r="C364" s="60"/>
      <c r="D364" s="60"/>
      <c r="E364" s="60"/>
      <c r="F364" s="60"/>
      <c r="G364" s="60"/>
      <c r="H364" s="60"/>
      <c r="I364" s="60" t="str">
        <f t="shared" si="12"/>
        <v/>
      </c>
      <c r="J364" s="60"/>
      <c r="K364" s="60" t="s">
        <v>328</v>
      </c>
      <c r="L364" s="60"/>
      <c r="M364" s="60"/>
      <c r="N364" s="60" t="str">
        <f>IF(A364&lt;&gt;"",VLOOKUP(RIGHT(A364,3)*1,[1]SEGMENTAÇÃO!A:H,8,0),"")</f>
        <v/>
      </c>
      <c r="O364" s="59" t="str">
        <f>IF(A364&lt;&gt;"",VLOOKUP(RIGHT(A364,3)*1,[1]SEGMENTAÇÃO!A:I,9,0),"")</f>
        <v/>
      </c>
    </row>
    <row r="365" spans="1:15" x14ac:dyDescent="0.25">
      <c r="A365" s="60"/>
      <c r="B365" s="60"/>
      <c r="C365" s="60"/>
      <c r="D365" s="60"/>
      <c r="E365" s="60"/>
      <c r="F365" s="60"/>
      <c r="G365" s="60"/>
      <c r="H365" s="60"/>
      <c r="I365" s="60" t="str">
        <f t="shared" si="12"/>
        <v/>
      </c>
      <c r="J365" s="60"/>
      <c r="K365" s="60" t="s">
        <v>328</v>
      </c>
      <c r="L365" s="60"/>
      <c r="M365" s="60"/>
      <c r="N365" s="60" t="str">
        <f>IF(A365&lt;&gt;"",VLOOKUP(RIGHT(A365,3)*1,[1]SEGMENTAÇÃO!A:H,8,0),"")</f>
        <v/>
      </c>
      <c r="O365" s="59" t="str">
        <f>IF(A365&lt;&gt;"",VLOOKUP(RIGHT(A365,3)*1,[1]SEGMENTAÇÃO!A:I,9,0),"")</f>
        <v/>
      </c>
    </row>
    <row r="366" spans="1:15" x14ac:dyDescent="0.25">
      <c r="A366" s="60"/>
      <c r="B366" s="60"/>
      <c r="C366" s="60"/>
      <c r="D366" s="60"/>
      <c r="E366" s="60"/>
      <c r="F366" s="60"/>
      <c r="G366" s="60"/>
      <c r="H366" s="60"/>
      <c r="I366" s="60" t="str">
        <f t="shared" si="12"/>
        <v/>
      </c>
      <c r="J366" s="60"/>
      <c r="K366" s="60" t="s">
        <v>328</v>
      </c>
      <c r="L366" s="60"/>
      <c r="M366" s="60"/>
      <c r="N366" s="60" t="str">
        <f>IF(A366&lt;&gt;"",VLOOKUP(RIGHT(A366,3)*1,[1]SEGMENTAÇÃO!A:H,8,0),"")</f>
        <v/>
      </c>
      <c r="O366" s="59" t="str">
        <f>IF(A366&lt;&gt;"",VLOOKUP(RIGHT(A366,3)*1,[1]SEGMENTAÇÃO!A:I,9,0),"")</f>
        <v/>
      </c>
    </row>
    <row r="367" spans="1:15" x14ac:dyDescent="0.25">
      <c r="A367" s="60"/>
      <c r="B367" s="60"/>
      <c r="C367" s="60"/>
      <c r="D367" s="60"/>
      <c r="E367" s="60"/>
      <c r="F367" s="60"/>
      <c r="G367" s="60"/>
      <c r="H367" s="60"/>
      <c r="I367" s="60" t="str">
        <f t="shared" si="12"/>
        <v/>
      </c>
      <c r="J367" s="60"/>
      <c r="K367" s="60" t="s">
        <v>328</v>
      </c>
      <c r="L367" s="60"/>
      <c r="M367" s="63"/>
      <c r="N367" s="60" t="str">
        <f>IF(A367&lt;&gt;"",VLOOKUP(RIGHT(A367,3)*1,[1]SEGMENTAÇÃO!A:H,8,0),"")</f>
        <v/>
      </c>
      <c r="O367" s="59" t="str">
        <f>IF(A367&lt;&gt;"",VLOOKUP(RIGHT(A367,3)*1,[1]SEGMENTAÇÃO!A:I,9,0),"")</f>
        <v/>
      </c>
    </row>
    <row r="368" spans="1:15" x14ac:dyDescent="0.25">
      <c r="A368" s="60"/>
      <c r="B368" s="60"/>
      <c r="C368" s="60"/>
      <c r="D368" s="60"/>
      <c r="E368" s="60"/>
      <c r="F368" s="60"/>
      <c r="G368" s="60"/>
      <c r="H368" s="60"/>
      <c r="I368" s="60" t="str">
        <f t="shared" si="12"/>
        <v/>
      </c>
      <c r="J368" s="60"/>
      <c r="K368" s="74" t="s">
        <v>328</v>
      </c>
      <c r="L368" s="60"/>
      <c r="M368" s="63"/>
      <c r="N368" s="60" t="str">
        <f>IF(A368&lt;&gt;"",VLOOKUP(RIGHT(A368,3)*1,[1]SEGMENTAÇÃO!A:H,8,0),"")</f>
        <v/>
      </c>
      <c r="O368" s="59" t="str">
        <f>IF(A368&lt;&gt;"",VLOOKUP(RIGHT(A368,3)*1,[1]SEGMENTAÇÃO!A:I,9,0),"")</f>
        <v/>
      </c>
    </row>
    <row r="369" spans="1:15" x14ac:dyDescent="0.25">
      <c r="A369" s="60"/>
      <c r="B369" s="60"/>
      <c r="C369" s="60"/>
      <c r="D369" s="60"/>
      <c r="E369" s="60"/>
      <c r="F369" s="60"/>
      <c r="G369" s="60"/>
      <c r="H369" s="60"/>
      <c r="I369" s="60" t="str">
        <f t="shared" si="12"/>
        <v/>
      </c>
      <c r="J369" s="60"/>
      <c r="K369" s="74" t="s">
        <v>328</v>
      </c>
      <c r="L369" s="60"/>
      <c r="M369" s="63"/>
      <c r="N369" s="60" t="str">
        <f>IF(A369&lt;&gt;"",VLOOKUP(RIGHT(A369,3)*1,[1]SEGMENTAÇÃO!A:H,8,0),"")</f>
        <v/>
      </c>
      <c r="O369" s="59" t="str">
        <f>IF(A369&lt;&gt;"",VLOOKUP(RIGHT(A369,3)*1,[1]SEGMENTAÇÃO!A:I,9,0),"")</f>
        <v/>
      </c>
    </row>
    <row r="370" spans="1:15" x14ac:dyDescent="0.25">
      <c r="A370" s="60"/>
      <c r="B370" s="60"/>
      <c r="C370" s="60"/>
      <c r="D370" s="60"/>
      <c r="E370" s="60"/>
      <c r="F370" s="60"/>
      <c r="G370" s="60"/>
      <c r="H370" s="60"/>
      <c r="I370" s="60" t="str">
        <f t="shared" si="12"/>
        <v/>
      </c>
      <c r="J370" s="60"/>
      <c r="K370" s="60" t="s">
        <v>328</v>
      </c>
      <c r="L370" s="60"/>
      <c r="M370" s="63"/>
      <c r="N370" s="60" t="str">
        <f>IF(A370&lt;&gt;"",VLOOKUP(RIGHT(A370,3)*1,[1]SEGMENTAÇÃO!A:H,8,0),"")</f>
        <v/>
      </c>
      <c r="O370" s="59" t="str">
        <f>IF(A370&lt;&gt;"",VLOOKUP(RIGHT(A370,3)*1,[1]SEGMENTAÇÃO!A:I,9,0),"")</f>
        <v/>
      </c>
    </row>
    <row r="371" spans="1:15" x14ac:dyDescent="0.25">
      <c r="A371" s="60"/>
      <c r="B371" s="60"/>
      <c r="C371" s="60"/>
      <c r="D371" s="60"/>
      <c r="E371" s="60"/>
      <c r="F371" s="60"/>
      <c r="G371" s="60"/>
      <c r="H371" s="60"/>
      <c r="I371" s="60" t="str">
        <f t="shared" si="12"/>
        <v/>
      </c>
      <c r="J371" s="60"/>
      <c r="K371" s="60" t="s">
        <v>328</v>
      </c>
      <c r="L371" s="60"/>
      <c r="M371" s="63"/>
      <c r="N371" s="60" t="str">
        <f>IF(A371&lt;&gt;"",VLOOKUP(RIGHT(A371,3)*1,[1]SEGMENTAÇÃO!A:H,8,0),"")</f>
        <v/>
      </c>
      <c r="O371" s="59" t="str">
        <f>IF(A371&lt;&gt;"",VLOOKUP(RIGHT(A371,3)*1,[1]SEGMENTAÇÃO!A:I,9,0),"")</f>
        <v/>
      </c>
    </row>
    <row r="372" spans="1:15" x14ac:dyDescent="0.25">
      <c r="A372" s="60"/>
      <c r="B372" s="60"/>
      <c r="C372" s="60"/>
      <c r="D372" s="60"/>
      <c r="E372" s="60"/>
      <c r="F372" s="60"/>
      <c r="G372" s="60"/>
      <c r="H372" s="60"/>
      <c r="I372" s="60" t="str">
        <f t="shared" si="12"/>
        <v/>
      </c>
      <c r="J372" s="60"/>
      <c r="K372" s="60" t="s">
        <v>328</v>
      </c>
      <c r="L372" s="60"/>
      <c r="M372" s="60"/>
      <c r="N372" s="60" t="str">
        <f>IF(A372&lt;&gt;"",VLOOKUP(RIGHT(A372,3)*1,[1]SEGMENTAÇÃO!A:H,8,0),"")</f>
        <v/>
      </c>
      <c r="O372" s="59" t="str">
        <f>IF(A372&lt;&gt;"",VLOOKUP(RIGHT(A372,3)*1,[1]SEGMENTAÇÃO!A:I,9,0),"")</f>
        <v/>
      </c>
    </row>
    <row r="373" spans="1:15" x14ac:dyDescent="0.25">
      <c r="A373" s="60"/>
      <c r="B373" s="60"/>
      <c r="C373" s="60"/>
      <c r="D373" s="60"/>
      <c r="E373" s="60"/>
      <c r="F373" s="60"/>
      <c r="G373" s="60"/>
      <c r="H373" s="60"/>
      <c r="I373" s="60" t="str">
        <f t="shared" si="12"/>
        <v/>
      </c>
      <c r="J373" s="60"/>
      <c r="K373" s="60" t="s">
        <v>328</v>
      </c>
      <c r="L373" s="60"/>
      <c r="M373" s="60"/>
      <c r="N373" s="60" t="str">
        <f>IF(A373&lt;&gt;"",VLOOKUP(RIGHT(A373,3)*1,[1]SEGMENTAÇÃO!A:H,8,0),"")</f>
        <v/>
      </c>
      <c r="O373" s="59" t="str">
        <f>IF(A373&lt;&gt;"",VLOOKUP(RIGHT(A373,3)*1,[1]SEGMENTAÇÃO!A:I,9,0),"")</f>
        <v/>
      </c>
    </row>
    <row r="374" spans="1:15" x14ac:dyDescent="0.25">
      <c r="A374" s="60"/>
      <c r="B374" s="60"/>
      <c r="C374" s="60"/>
      <c r="D374" s="60"/>
      <c r="E374" s="60"/>
      <c r="F374" s="60"/>
      <c r="G374" s="60"/>
      <c r="H374" s="60"/>
      <c r="I374" s="60" t="str">
        <f t="shared" si="12"/>
        <v/>
      </c>
      <c r="J374" s="60"/>
      <c r="K374" s="74" t="s">
        <v>328</v>
      </c>
      <c r="L374" s="60"/>
      <c r="M374" s="63"/>
      <c r="N374" s="60" t="str">
        <f>IF(A374&lt;&gt;"",VLOOKUP(RIGHT(A374,3)*1,[1]SEGMENTAÇÃO!A:H,8,0),"")</f>
        <v/>
      </c>
      <c r="O374" s="59" t="str">
        <f>IF(A374&lt;&gt;"",VLOOKUP(RIGHT(A374,3)*1,[1]SEGMENTAÇÃO!A:I,9,0),"")</f>
        <v/>
      </c>
    </row>
    <row r="375" spans="1:15" x14ac:dyDescent="0.25">
      <c r="A375" s="60"/>
      <c r="B375" s="60"/>
      <c r="C375" s="60"/>
      <c r="D375" s="60"/>
      <c r="E375" s="60"/>
      <c r="F375" s="60"/>
      <c r="G375" s="60"/>
      <c r="H375" s="60"/>
      <c r="I375" s="60" t="str">
        <f t="shared" si="12"/>
        <v/>
      </c>
      <c r="J375" s="60"/>
      <c r="K375" s="74" t="s">
        <v>328</v>
      </c>
      <c r="L375" s="60"/>
      <c r="M375" s="63"/>
      <c r="N375" s="60" t="str">
        <f>IF(A375&lt;&gt;"",VLOOKUP(RIGHT(A375,3)*1,[1]SEGMENTAÇÃO!A:H,8,0),"")</f>
        <v/>
      </c>
      <c r="O375" s="59" t="str">
        <f>IF(A375&lt;&gt;"",VLOOKUP(RIGHT(A375,3)*1,[1]SEGMENTAÇÃO!A:I,9,0),"")</f>
        <v/>
      </c>
    </row>
    <row r="376" spans="1:15" x14ac:dyDescent="0.25">
      <c r="A376" s="60"/>
      <c r="B376" s="60"/>
      <c r="C376" s="60"/>
      <c r="D376" s="60"/>
      <c r="E376" s="60"/>
      <c r="F376" s="60"/>
      <c r="G376" s="60"/>
      <c r="H376" s="60"/>
      <c r="I376" s="60" t="str">
        <f t="shared" si="12"/>
        <v/>
      </c>
      <c r="J376" s="60"/>
      <c r="K376" s="74" t="s">
        <v>328</v>
      </c>
      <c r="L376" s="60"/>
      <c r="M376" s="63"/>
      <c r="N376" s="60" t="str">
        <f>IF(A376&lt;&gt;"",VLOOKUP(RIGHT(A376,3)*1,[1]SEGMENTAÇÃO!A:H,8,0),"")</f>
        <v/>
      </c>
      <c r="O376" s="59" t="str">
        <f>IF(A376&lt;&gt;"",VLOOKUP(RIGHT(A376,3)*1,[1]SEGMENTAÇÃO!A:I,9,0),"")</f>
        <v/>
      </c>
    </row>
    <row r="377" spans="1:15" x14ac:dyDescent="0.25">
      <c r="A377" s="60"/>
      <c r="B377" s="60"/>
      <c r="C377" s="60"/>
      <c r="D377" s="60"/>
      <c r="E377" s="60"/>
      <c r="F377" s="60"/>
      <c r="G377" s="60"/>
      <c r="H377" s="60"/>
      <c r="I377" s="60" t="str">
        <f t="shared" si="12"/>
        <v/>
      </c>
      <c r="J377" s="60"/>
      <c r="K377" s="74" t="s">
        <v>328</v>
      </c>
      <c r="L377" s="60"/>
      <c r="M377" s="63"/>
      <c r="N377" s="60" t="str">
        <f>IF(A377&lt;&gt;"",VLOOKUP(RIGHT(A377,3)*1,[1]SEGMENTAÇÃO!A:H,8,0),"")</f>
        <v/>
      </c>
      <c r="O377" s="59" t="str">
        <f>IF(A377&lt;&gt;"",VLOOKUP(RIGHT(A377,3)*1,[1]SEGMENTAÇÃO!A:I,9,0),"")</f>
        <v/>
      </c>
    </row>
    <row r="378" spans="1:15" x14ac:dyDescent="0.25">
      <c r="A378" s="60"/>
      <c r="B378" s="60"/>
      <c r="C378" s="60"/>
      <c r="D378" s="60"/>
      <c r="E378" s="60"/>
      <c r="F378" s="60"/>
      <c r="G378" s="60"/>
      <c r="H378" s="60"/>
      <c r="I378" s="60" t="str">
        <f t="shared" si="12"/>
        <v/>
      </c>
      <c r="J378" s="60"/>
      <c r="K378" s="74" t="s">
        <v>328</v>
      </c>
      <c r="L378" s="60"/>
      <c r="M378" s="63"/>
      <c r="N378" s="60" t="str">
        <f>IF(A378&lt;&gt;"",VLOOKUP(RIGHT(A378,3)*1,[1]SEGMENTAÇÃO!A:H,8,0),"")</f>
        <v/>
      </c>
      <c r="O378" s="59" t="str">
        <f>IF(A378&lt;&gt;"",VLOOKUP(RIGHT(A378,3)*1,[1]SEGMENTAÇÃO!A:I,9,0),"")</f>
        <v/>
      </c>
    </row>
    <row r="379" spans="1:15" x14ac:dyDescent="0.25">
      <c r="A379" s="60"/>
      <c r="B379" s="60"/>
      <c r="C379" s="60"/>
      <c r="D379" s="60"/>
      <c r="E379" s="60"/>
      <c r="F379" s="60"/>
      <c r="G379" s="60"/>
      <c r="H379" s="60"/>
      <c r="I379" s="60" t="str">
        <f t="shared" si="12"/>
        <v/>
      </c>
      <c r="J379" s="60"/>
      <c r="K379" s="74" t="s">
        <v>328</v>
      </c>
      <c r="L379" s="60"/>
      <c r="M379" s="63"/>
      <c r="N379" s="60" t="str">
        <f>IF(A379&lt;&gt;"",VLOOKUP(RIGHT(A379,3)*1,[1]SEGMENTAÇÃO!A:H,8,0),"")</f>
        <v/>
      </c>
      <c r="O379" s="59" t="str">
        <f>IF(A379&lt;&gt;"",VLOOKUP(RIGHT(A379,3)*1,[1]SEGMENTAÇÃO!A:I,9,0),"")</f>
        <v/>
      </c>
    </row>
    <row r="380" spans="1:15" x14ac:dyDescent="0.25">
      <c r="A380" s="60"/>
      <c r="B380" s="60"/>
      <c r="C380" s="60"/>
      <c r="D380" s="60"/>
      <c r="E380" s="60"/>
      <c r="F380" s="60"/>
      <c r="G380" s="60"/>
      <c r="H380" s="60"/>
      <c r="I380" s="60" t="str">
        <f t="shared" si="12"/>
        <v/>
      </c>
      <c r="J380" s="60"/>
      <c r="K380" s="74" t="s">
        <v>328</v>
      </c>
      <c r="L380" s="60"/>
      <c r="M380" s="63"/>
      <c r="N380" s="60" t="str">
        <f>IF(A380&lt;&gt;"",VLOOKUP(RIGHT(A380,3)*1,[1]SEGMENTAÇÃO!A:H,8,0),"")</f>
        <v/>
      </c>
      <c r="O380" s="59" t="str">
        <f>IF(A380&lt;&gt;"",VLOOKUP(RIGHT(A380,3)*1,[1]SEGMENTAÇÃO!A:I,9,0),"")</f>
        <v/>
      </c>
    </row>
    <row r="381" spans="1:15" x14ac:dyDescent="0.25">
      <c r="A381" s="60"/>
      <c r="B381" s="60"/>
      <c r="C381" s="60"/>
      <c r="D381" s="60"/>
      <c r="E381" s="60"/>
      <c r="F381" s="60"/>
      <c r="G381" s="60"/>
      <c r="H381" s="60"/>
      <c r="I381" s="60" t="str">
        <f t="shared" si="12"/>
        <v/>
      </c>
      <c r="J381" s="60"/>
      <c r="K381" s="74" t="s">
        <v>328</v>
      </c>
      <c r="L381" s="60"/>
      <c r="M381" s="63"/>
      <c r="N381" s="60" t="str">
        <f>IF(A381&lt;&gt;"",VLOOKUP(RIGHT(A381,3)*1,[1]SEGMENTAÇÃO!A:H,8,0),"")</f>
        <v/>
      </c>
      <c r="O381" s="59" t="str">
        <f>IF(A381&lt;&gt;"",VLOOKUP(RIGHT(A381,3)*1,[1]SEGMENTAÇÃO!A:I,9,0),"")</f>
        <v/>
      </c>
    </row>
    <row r="382" spans="1:15" x14ac:dyDescent="0.25">
      <c r="A382" s="60"/>
      <c r="B382" s="60"/>
      <c r="C382" s="60"/>
      <c r="D382" s="60"/>
      <c r="E382" s="60"/>
      <c r="F382" s="60"/>
      <c r="G382" s="60"/>
      <c r="H382" s="60"/>
      <c r="I382" s="60" t="str">
        <f t="shared" si="12"/>
        <v/>
      </c>
      <c r="J382" s="60"/>
      <c r="K382" s="74" t="s">
        <v>328</v>
      </c>
      <c r="L382" s="60"/>
      <c r="M382" s="63"/>
      <c r="N382" s="60" t="str">
        <f>IF(A382&lt;&gt;"",VLOOKUP(RIGHT(A382,3)*1,[1]SEGMENTAÇÃO!A:H,8,0),"")</f>
        <v/>
      </c>
      <c r="O382" s="59" t="str">
        <f>IF(A382&lt;&gt;"",VLOOKUP(RIGHT(A382,3)*1,[1]SEGMENTAÇÃO!A:I,9,0),"")</f>
        <v/>
      </c>
    </row>
    <row r="383" spans="1:15" x14ac:dyDescent="0.25">
      <c r="A383" s="60"/>
      <c r="B383" s="60"/>
      <c r="C383" s="60"/>
      <c r="D383" s="60"/>
      <c r="E383" s="60"/>
      <c r="F383" s="60"/>
      <c r="G383" s="60"/>
      <c r="H383" s="60"/>
      <c r="I383" s="60" t="str">
        <f t="shared" si="12"/>
        <v/>
      </c>
      <c r="J383" s="60"/>
      <c r="K383" s="74" t="s">
        <v>328</v>
      </c>
      <c r="L383" s="60"/>
      <c r="M383" s="63"/>
      <c r="N383" s="60" t="str">
        <f>IF(A383&lt;&gt;"",VLOOKUP(RIGHT(A383,3)*1,[1]SEGMENTAÇÃO!A:H,8,0),"")</f>
        <v/>
      </c>
      <c r="O383" s="59" t="str">
        <f>IF(A383&lt;&gt;"",VLOOKUP(RIGHT(A383,3)*1,[1]SEGMENTAÇÃO!A:I,9,0),"")</f>
        <v/>
      </c>
    </row>
    <row r="384" spans="1:15" x14ac:dyDescent="0.25">
      <c r="A384" s="60"/>
      <c r="B384" s="60"/>
      <c r="C384" s="60"/>
      <c r="D384" s="60"/>
      <c r="E384" s="60"/>
      <c r="F384" s="60"/>
      <c r="G384" s="60"/>
      <c r="H384" s="60"/>
      <c r="I384" s="60" t="str">
        <f t="shared" si="12"/>
        <v/>
      </c>
      <c r="J384" s="60"/>
      <c r="K384" s="74" t="s">
        <v>328</v>
      </c>
      <c r="L384" s="60"/>
      <c r="M384" s="63"/>
      <c r="N384" s="60" t="str">
        <f>IF(A384&lt;&gt;"",VLOOKUP(RIGHT(A384,3)*1,[1]SEGMENTAÇÃO!A:H,8,0),"")</f>
        <v/>
      </c>
      <c r="O384" s="59" t="str">
        <f>IF(A384&lt;&gt;"",VLOOKUP(RIGHT(A384,3)*1,[1]SEGMENTAÇÃO!A:I,9,0),"")</f>
        <v/>
      </c>
    </row>
    <row r="385" spans="1:15" x14ac:dyDescent="0.25">
      <c r="A385" s="60"/>
      <c r="B385" s="60"/>
      <c r="C385" s="60"/>
      <c r="D385" s="60"/>
      <c r="E385" s="60"/>
      <c r="F385" s="60"/>
      <c r="G385" s="60"/>
      <c r="H385" s="60"/>
      <c r="I385" s="60" t="str">
        <f t="shared" si="12"/>
        <v/>
      </c>
      <c r="J385" s="60"/>
      <c r="K385" s="60" t="s">
        <v>328</v>
      </c>
      <c r="L385" s="60"/>
      <c r="M385" s="63"/>
      <c r="N385" s="60" t="str">
        <f>IF(A385&lt;&gt;"",VLOOKUP(RIGHT(A385,3)*1,[1]SEGMENTAÇÃO!A:H,8,0),"")</f>
        <v/>
      </c>
      <c r="O385" s="59" t="str">
        <f>IF(A385&lt;&gt;"",VLOOKUP(RIGHT(A385,3)*1,[1]SEGMENTAÇÃO!A:I,9,0),"")</f>
        <v/>
      </c>
    </row>
    <row r="386" spans="1:15" x14ac:dyDescent="0.25">
      <c r="A386" s="60"/>
      <c r="B386" s="60"/>
      <c r="C386" s="60"/>
      <c r="D386" s="60"/>
      <c r="E386" s="60"/>
      <c r="F386" s="60"/>
      <c r="G386" s="60"/>
      <c r="H386" s="60"/>
      <c r="I386" s="60" t="str">
        <f t="shared" si="12"/>
        <v/>
      </c>
      <c r="J386" s="60"/>
      <c r="K386" s="74" t="s">
        <v>328</v>
      </c>
      <c r="L386" s="60"/>
      <c r="M386" s="63"/>
      <c r="N386" s="60" t="str">
        <f>IF(A386&lt;&gt;"",VLOOKUP(RIGHT(A386,3)*1,[1]SEGMENTAÇÃO!A:H,8,0),"")</f>
        <v/>
      </c>
      <c r="O386" s="59" t="str">
        <f>IF(A386&lt;&gt;"",VLOOKUP(RIGHT(A386,3)*1,[1]SEGMENTAÇÃO!A:I,9,0),"")</f>
        <v/>
      </c>
    </row>
    <row r="387" spans="1:15" x14ac:dyDescent="0.25">
      <c r="A387" s="60"/>
      <c r="B387" s="60"/>
      <c r="C387" s="60"/>
      <c r="D387" s="60"/>
      <c r="E387" s="60"/>
      <c r="F387" s="60"/>
      <c r="G387" s="60"/>
      <c r="H387" s="60"/>
      <c r="I387" s="60" t="str">
        <f t="shared" si="12"/>
        <v/>
      </c>
      <c r="J387" s="60"/>
      <c r="K387" s="74" t="s">
        <v>328</v>
      </c>
      <c r="L387" s="60"/>
      <c r="M387" s="63"/>
      <c r="N387" s="60" t="str">
        <f>IF(A387&lt;&gt;"",VLOOKUP(RIGHT(A387,3)*1,[1]SEGMENTAÇÃO!A:H,8,0),"")</f>
        <v/>
      </c>
      <c r="O387" s="59" t="str">
        <f>IF(A387&lt;&gt;"",VLOOKUP(RIGHT(A387,3)*1,[1]SEGMENTAÇÃO!A:I,9,0),"")</f>
        <v/>
      </c>
    </row>
    <row r="388" spans="1:15" x14ac:dyDescent="0.25">
      <c r="A388" s="60"/>
      <c r="B388" s="60"/>
      <c r="C388" s="60"/>
      <c r="D388" s="60"/>
      <c r="E388" s="60"/>
      <c r="F388" s="60"/>
      <c r="G388" s="60"/>
      <c r="H388" s="60"/>
      <c r="I388" s="60" t="str">
        <f t="shared" si="12"/>
        <v/>
      </c>
      <c r="J388" s="60"/>
      <c r="K388" s="74" t="s">
        <v>328</v>
      </c>
      <c r="L388" s="60"/>
      <c r="M388" s="63"/>
      <c r="N388" s="60" t="str">
        <f>IF(A388&lt;&gt;"",VLOOKUP(RIGHT(A388,3)*1,[1]SEGMENTAÇÃO!A:H,8,0),"")</f>
        <v/>
      </c>
      <c r="O388" s="59" t="str">
        <f>IF(A388&lt;&gt;"",VLOOKUP(RIGHT(A388,3)*1,[1]SEGMENTAÇÃO!A:I,9,0),"")</f>
        <v/>
      </c>
    </row>
    <row r="389" spans="1:15" x14ac:dyDescent="0.25">
      <c r="A389" s="60"/>
      <c r="B389" s="60"/>
      <c r="C389" s="60"/>
      <c r="D389" s="60"/>
      <c r="E389" s="60"/>
      <c r="F389" s="60"/>
      <c r="G389" s="60"/>
      <c r="H389" s="60"/>
      <c r="I389" s="60" t="str">
        <f t="shared" si="12"/>
        <v/>
      </c>
      <c r="J389" s="60"/>
      <c r="K389" s="60" t="s">
        <v>328</v>
      </c>
      <c r="L389" s="60"/>
      <c r="M389" s="63"/>
      <c r="N389" s="60" t="str">
        <f>IF(A389&lt;&gt;"",VLOOKUP(RIGHT(A389,3)*1,[1]SEGMENTAÇÃO!A:H,8,0),"")</f>
        <v/>
      </c>
      <c r="O389" s="59" t="str">
        <f>IF(A389&lt;&gt;"",VLOOKUP(RIGHT(A389,3)*1,[1]SEGMENTAÇÃO!A:I,9,0),"")</f>
        <v/>
      </c>
    </row>
    <row r="390" spans="1:15" x14ac:dyDescent="0.25">
      <c r="A390" s="60"/>
      <c r="B390" s="60"/>
      <c r="C390" s="60"/>
      <c r="D390" s="60"/>
      <c r="E390" s="60"/>
      <c r="F390" s="60"/>
      <c r="G390" s="60"/>
      <c r="H390" s="60"/>
      <c r="I390" s="60" t="str">
        <f t="shared" si="12"/>
        <v/>
      </c>
      <c r="J390" s="60"/>
      <c r="K390" s="60" t="s">
        <v>328</v>
      </c>
      <c r="L390" s="60"/>
      <c r="M390" s="60"/>
      <c r="N390" s="60" t="str">
        <f>IF(A390&lt;&gt;"",VLOOKUP(RIGHT(A390,3)*1,[1]SEGMENTAÇÃO!A:H,8,0),"")</f>
        <v/>
      </c>
      <c r="O390" s="59" t="str">
        <f>IF(A390&lt;&gt;"",VLOOKUP(RIGHT(A390,3)*1,[1]SEGMENTAÇÃO!A:I,9,0),"")</f>
        <v/>
      </c>
    </row>
    <row r="391" spans="1:15" x14ac:dyDescent="0.25">
      <c r="A391" s="60"/>
      <c r="B391" s="60"/>
      <c r="C391" s="60"/>
      <c r="D391" s="60"/>
      <c r="E391" s="60"/>
      <c r="F391" s="60"/>
      <c r="G391" s="60"/>
      <c r="H391" s="60"/>
      <c r="I391" s="60" t="str">
        <f t="shared" si="12"/>
        <v/>
      </c>
      <c r="J391" s="60"/>
      <c r="K391" s="60" t="s">
        <v>328</v>
      </c>
      <c r="L391" s="60"/>
      <c r="M391" s="60"/>
      <c r="N391" s="60" t="str">
        <f>IF(A391&lt;&gt;"",VLOOKUP(RIGHT(A391,3)*1,[1]SEGMENTAÇÃO!A:H,8,0),"")</f>
        <v/>
      </c>
      <c r="O391" s="59" t="str">
        <f>IF(A391&lt;&gt;"",VLOOKUP(RIGHT(A391,3)*1,[1]SEGMENTAÇÃO!A:I,9,0),"")</f>
        <v/>
      </c>
    </row>
    <row r="392" spans="1:15" x14ac:dyDescent="0.25">
      <c r="A392" s="76"/>
      <c r="B392" s="76"/>
      <c r="C392" s="76"/>
      <c r="D392" s="76"/>
      <c r="E392" s="76"/>
      <c r="F392" s="76"/>
      <c r="G392" s="76"/>
      <c r="H392" s="60"/>
      <c r="I392" s="60" t="str">
        <f t="shared" si="12"/>
        <v/>
      </c>
      <c r="J392" s="60"/>
      <c r="K392" s="74" t="s">
        <v>328</v>
      </c>
      <c r="L392" s="60"/>
      <c r="M392" s="63"/>
      <c r="N392" s="60" t="str">
        <f>IF(A392&lt;&gt;"",VLOOKUP(RIGHT(A392,3)*1,[1]SEGMENTAÇÃO!A:H,8,0),"")</f>
        <v/>
      </c>
      <c r="O392" s="59" t="str">
        <f>IF(A392&lt;&gt;"",VLOOKUP(RIGHT(A392,3)*1,[1]SEGMENTAÇÃO!A:I,9,0),"")</f>
        <v/>
      </c>
    </row>
    <row r="393" spans="1:15" x14ac:dyDescent="0.25">
      <c r="A393" s="60"/>
      <c r="B393" s="60"/>
      <c r="C393" s="76"/>
      <c r="D393" s="76"/>
      <c r="E393" s="60"/>
      <c r="F393" s="60"/>
      <c r="G393" s="60"/>
      <c r="H393" s="60"/>
      <c r="I393" s="60" t="str">
        <f t="shared" si="12"/>
        <v/>
      </c>
      <c r="J393" s="60"/>
      <c r="K393" s="74" t="s">
        <v>328</v>
      </c>
      <c r="L393" s="60"/>
      <c r="M393" s="63"/>
      <c r="N393" s="60" t="str">
        <f>IF(A393&lt;&gt;"",VLOOKUP(RIGHT(A393,3)*1,[1]SEGMENTAÇÃO!A:H,8,0),"")</f>
        <v/>
      </c>
      <c r="O393" s="59" t="str">
        <f>IF(A393&lt;&gt;"",VLOOKUP(RIGHT(A393,3)*1,[1]SEGMENTAÇÃO!A:I,9,0),"")</f>
        <v/>
      </c>
    </row>
    <row r="394" spans="1:15" x14ac:dyDescent="0.25">
      <c r="A394" s="76"/>
      <c r="B394" s="76"/>
      <c r="C394" s="76"/>
      <c r="D394" s="76"/>
      <c r="E394" s="60"/>
      <c r="F394" s="60"/>
      <c r="G394" s="60"/>
      <c r="H394" s="60"/>
      <c r="I394" s="60" t="str">
        <f t="shared" si="12"/>
        <v/>
      </c>
      <c r="J394" s="60"/>
      <c r="K394" s="74" t="s">
        <v>328</v>
      </c>
      <c r="L394" s="60"/>
      <c r="M394" s="63"/>
      <c r="N394" s="60" t="str">
        <f>IF(A394&lt;&gt;"",VLOOKUP(RIGHT(A394,3)*1,[1]SEGMENTAÇÃO!A:H,8,0),"")</f>
        <v/>
      </c>
      <c r="O394" s="59" t="str">
        <f>IF(A394&lt;&gt;"",VLOOKUP(RIGHT(A394,3)*1,[1]SEGMENTAÇÃO!A:I,9,0),"")</f>
        <v/>
      </c>
    </row>
    <row r="395" spans="1:15" x14ac:dyDescent="0.25">
      <c r="A395" s="76"/>
      <c r="B395" s="76"/>
      <c r="C395" s="76"/>
      <c r="D395" s="76"/>
      <c r="E395" s="60"/>
      <c r="F395" s="60"/>
      <c r="G395" s="60"/>
      <c r="H395" s="60"/>
      <c r="I395" s="60" t="str">
        <f t="shared" si="12"/>
        <v/>
      </c>
      <c r="J395" s="60"/>
      <c r="K395" s="74" t="s">
        <v>328</v>
      </c>
      <c r="L395" s="60"/>
      <c r="M395" s="63"/>
      <c r="N395" s="60" t="str">
        <f>IF(A395&lt;&gt;"",VLOOKUP(RIGHT(A395,3)*1,[1]SEGMENTAÇÃO!A:H,8,0),"")</f>
        <v/>
      </c>
      <c r="O395" s="59" t="str">
        <f>IF(A395&lt;&gt;"",VLOOKUP(RIGHT(A395,3)*1,[1]SEGMENTAÇÃO!A:I,9,0),"")</f>
        <v/>
      </c>
    </row>
    <row r="396" spans="1:15" x14ac:dyDescent="0.25">
      <c r="A396" s="76"/>
      <c r="B396" s="76"/>
      <c r="C396" s="76"/>
      <c r="D396" s="76"/>
      <c r="E396" s="76"/>
      <c r="F396" s="76"/>
      <c r="G396" s="76"/>
      <c r="H396" s="60"/>
      <c r="I396" s="60" t="str">
        <f t="shared" si="12"/>
        <v/>
      </c>
      <c r="J396" s="60"/>
      <c r="K396" s="74" t="s">
        <v>328</v>
      </c>
      <c r="L396" s="60"/>
      <c r="M396" s="63"/>
      <c r="N396" s="60" t="str">
        <f>IF(A396&lt;&gt;"",VLOOKUP(RIGHT(A396,3)*1,[1]SEGMENTAÇÃO!A:H,8,0),"")</f>
        <v/>
      </c>
      <c r="O396" s="59" t="str">
        <f>IF(A396&lt;&gt;"",VLOOKUP(RIGHT(A396,3)*1,[1]SEGMENTAÇÃO!A:I,9,0),"")</f>
        <v/>
      </c>
    </row>
    <row r="397" spans="1:15" x14ac:dyDescent="0.25">
      <c r="A397" s="76"/>
      <c r="B397" s="76"/>
      <c r="C397" s="76"/>
      <c r="D397" s="76"/>
      <c r="E397" s="76"/>
      <c r="F397" s="76"/>
      <c r="G397" s="76"/>
      <c r="H397" s="60"/>
      <c r="I397" s="60" t="str">
        <f t="shared" si="12"/>
        <v/>
      </c>
      <c r="J397" s="60"/>
      <c r="K397" s="74" t="s">
        <v>328</v>
      </c>
      <c r="L397" s="60"/>
      <c r="M397" s="63"/>
      <c r="N397" s="60" t="str">
        <f>IF(A397&lt;&gt;"",VLOOKUP(RIGHT(A397,3)*1,[1]SEGMENTAÇÃO!A:H,8,0),"")</f>
        <v/>
      </c>
      <c r="O397" s="59" t="str">
        <f>IF(A397&lt;&gt;"",VLOOKUP(RIGHT(A397,3)*1,[1]SEGMENTAÇÃO!A:I,9,0),"")</f>
        <v/>
      </c>
    </row>
    <row r="398" spans="1:15" x14ac:dyDescent="0.25">
      <c r="A398" s="76"/>
      <c r="B398" s="76"/>
      <c r="C398" s="76"/>
      <c r="D398" s="76"/>
      <c r="E398" s="76"/>
      <c r="F398" s="76"/>
      <c r="G398" s="76"/>
      <c r="H398" s="60"/>
      <c r="I398" s="60" t="str">
        <f t="shared" si="12"/>
        <v/>
      </c>
      <c r="J398" s="60"/>
      <c r="K398" s="74" t="s">
        <v>328</v>
      </c>
      <c r="L398" s="60"/>
      <c r="M398" s="63"/>
      <c r="N398" s="60" t="str">
        <f>IF(A398&lt;&gt;"",VLOOKUP(RIGHT(A398,3)*1,[1]SEGMENTAÇÃO!A:H,8,0),"")</f>
        <v/>
      </c>
      <c r="O398" s="59" t="str">
        <f>IF(A398&lt;&gt;"",VLOOKUP(RIGHT(A398,3)*1,[1]SEGMENTAÇÃO!A:I,9,0),"")</f>
        <v/>
      </c>
    </row>
    <row r="399" spans="1:15" x14ac:dyDescent="0.25">
      <c r="A399" s="76"/>
      <c r="B399" s="76"/>
      <c r="C399" s="76"/>
      <c r="D399" s="76"/>
      <c r="E399" s="76"/>
      <c r="F399" s="76"/>
      <c r="G399" s="76"/>
      <c r="H399" s="60"/>
      <c r="I399" s="60" t="str">
        <f t="shared" si="12"/>
        <v/>
      </c>
      <c r="J399" s="60"/>
      <c r="K399" s="74" t="s">
        <v>328</v>
      </c>
      <c r="L399" s="60"/>
      <c r="M399" s="63"/>
      <c r="N399" s="60" t="str">
        <f>IF(A399&lt;&gt;"",VLOOKUP(RIGHT(A399,3)*1,[1]SEGMENTAÇÃO!A:H,8,0),"")</f>
        <v/>
      </c>
      <c r="O399" s="59" t="str">
        <f>IF(A399&lt;&gt;"",VLOOKUP(RIGHT(A399,3)*1,[1]SEGMENTAÇÃO!A:I,9,0),"")</f>
        <v/>
      </c>
    </row>
    <row r="400" spans="1:15" x14ac:dyDescent="0.25">
      <c r="A400" s="76"/>
      <c r="B400" s="76"/>
      <c r="C400" s="76"/>
      <c r="D400" s="76"/>
      <c r="E400" s="76"/>
      <c r="F400" s="76"/>
      <c r="G400" s="76"/>
      <c r="H400" s="60"/>
      <c r="I400" s="60" t="str">
        <f t="shared" si="12"/>
        <v/>
      </c>
      <c r="J400" s="60"/>
      <c r="K400" s="74" t="s">
        <v>328</v>
      </c>
      <c r="L400" s="60"/>
      <c r="M400" s="63"/>
      <c r="N400" s="60" t="str">
        <f>IF(A400&lt;&gt;"",VLOOKUP(RIGHT(A400,3)*1,[1]SEGMENTAÇÃO!A:H,8,0),"")</f>
        <v/>
      </c>
      <c r="O400" s="59" t="str">
        <f>IF(A400&lt;&gt;"",VLOOKUP(RIGHT(A400,3)*1,[1]SEGMENTAÇÃO!A:I,9,0),"")</f>
        <v/>
      </c>
    </row>
    <row r="401" spans="1:15" x14ac:dyDescent="0.25">
      <c r="A401" s="76"/>
      <c r="B401" s="76"/>
      <c r="C401" s="76"/>
      <c r="D401" s="76"/>
      <c r="E401" s="60"/>
      <c r="F401" s="60"/>
      <c r="G401" s="60"/>
      <c r="H401" s="60"/>
      <c r="I401" s="60" t="str">
        <f t="shared" si="12"/>
        <v/>
      </c>
      <c r="J401" s="60"/>
      <c r="K401" s="74" t="s">
        <v>328</v>
      </c>
      <c r="L401" s="60"/>
      <c r="M401" s="63"/>
      <c r="N401" s="60" t="str">
        <f>IF(A401&lt;&gt;"",VLOOKUP(RIGHT(A401,3)*1,[1]SEGMENTAÇÃO!A:H,8,0),"")</f>
        <v/>
      </c>
      <c r="O401" s="59" t="str">
        <f>IF(A401&lt;&gt;"",VLOOKUP(RIGHT(A401,3)*1,[1]SEGMENTAÇÃO!A:I,9,0),"")</f>
        <v/>
      </c>
    </row>
    <row r="402" spans="1:15" x14ac:dyDescent="0.25">
      <c r="A402" s="76"/>
      <c r="B402" s="76"/>
      <c r="C402" s="60"/>
      <c r="D402" s="60"/>
      <c r="E402" s="60"/>
      <c r="F402" s="60"/>
      <c r="G402" s="60"/>
      <c r="H402" s="60"/>
      <c r="I402" s="60" t="str">
        <f t="shared" si="12"/>
        <v/>
      </c>
      <c r="J402" s="60"/>
      <c r="K402" s="74" t="s">
        <v>328</v>
      </c>
      <c r="L402" s="60"/>
      <c r="M402" s="63"/>
      <c r="N402" s="60" t="str">
        <f>IF(A402&lt;&gt;"",VLOOKUP(RIGHT(A402,3)*1,[1]SEGMENTAÇÃO!A:H,8,0),"")</f>
        <v/>
      </c>
      <c r="O402" s="59" t="str">
        <f>IF(A402&lt;&gt;"",VLOOKUP(RIGHT(A402,3)*1,[1]SEGMENTAÇÃO!A:I,9,0),"")</f>
        <v/>
      </c>
    </row>
    <row r="403" spans="1:15" x14ac:dyDescent="0.25">
      <c r="A403" s="76"/>
      <c r="B403" s="76"/>
      <c r="C403" s="60"/>
      <c r="D403" s="60"/>
      <c r="E403" s="76"/>
      <c r="F403" s="76"/>
      <c r="G403" s="76"/>
      <c r="H403" s="60"/>
      <c r="I403" s="60" t="str">
        <f t="shared" si="12"/>
        <v/>
      </c>
      <c r="J403" s="60"/>
      <c r="K403" s="74" t="s">
        <v>328</v>
      </c>
      <c r="L403" s="60"/>
      <c r="M403" s="63"/>
      <c r="N403" s="60" t="str">
        <f>IF(A403&lt;&gt;"",VLOOKUP(RIGHT(A403,3)*1,[1]SEGMENTAÇÃO!A:H,8,0),"")</f>
        <v/>
      </c>
      <c r="O403" s="59" t="str">
        <f>IF(A403&lt;&gt;"",VLOOKUP(RIGHT(A403,3)*1,[1]SEGMENTAÇÃO!A:I,9,0),"")</f>
        <v/>
      </c>
    </row>
    <row r="404" spans="1:15" x14ac:dyDescent="0.25">
      <c r="A404" s="76"/>
      <c r="B404" s="76"/>
      <c r="C404" s="60"/>
      <c r="D404" s="60"/>
      <c r="E404" s="60"/>
      <c r="F404" s="60"/>
      <c r="G404" s="60"/>
      <c r="H404" s="60"/>
      <c r="I404" s="60" t="str">
        <f t="shared" si="12"/>
        <v/>
      </c>
      <c r="J404" s="60"/>
      <c r="K404" s="74" t="s">
        <v>328</v>
      </c>
      <c r="L404" s="60"/>
      <c r="M404" s="63"/>
      <c r="N404" s="60" t="str">
        <f>IF(A404&lt;&gt;"",VLOOKUP(RIGHT(A404,3)*1,[1]SEGMENTAÇÃO!A:H,8,0),"")</f>
        <v/>
      </c>
      <c r="O404" s="59" t="str">
        <f>IF(A404&lt;&gt;"",VLOOKUP(RIGHT(A404,3)*1,[1]SEGMENTAÇÃO!A:I,9,0),"")</f>
        <v/>
      </c>
    </row>
    <row r="405" spans="1:15" x14ac:dyDescent="0.25">
      <c r="A405" s="76"/>
      <c r="B405" s="76"/>
      <c r="C405" s="60"/>
      <c r="D405" s="60"/>
      <c r="E405" s="60"/>
      <c r="F405" s="60"/>
      <c r="G405" s="60"/>
      <c r="H405" s="60"/>
      <c r="I405" s="60" t="str">
        <f t="shared" si="12"/>
        <v/>
      </c>
      <c r="J405" s="60"/>
      <c r="K405" s="60" t="s">
        <v>328</v>
      </c>
      <c r="L405" s="60"/>
      <c r="M405" s="60"/>
      <c r="N405" s="60" t="str">
        <f>IF(A405&lt;&gt;"",VLOOKUP(RIGHT(A405,3)*1,[1]SEGMENTAÇÃO!A:H,8,0),"")</f>
        <v/>
      </c>
      <c r="O405" s="59" t="str">
        <f>IF(A405&lt;&gt;"",VLOOKUP(RIGHT(A405,3)*1,[1]SEGMENTAÇÃO!A:I,9,0),"")</f>
        <v/>
      </c>
    </row>
    <row r="406" spans="1:15" x14ac:dyDescent="0.25">
      <c r="A406" s="76"/>
      <c r="B406" s="76"/>
      <c r="C406" s="60"/>
      <c r="D406" s="60"/>
      <c r="E406" s="60"/>
      <c r="F406" s="60"/>
      <c r="G406" s="60"/>
      <c r="H406" s="60"/>
      <c r="I406" s="60" t="str">
        <f t="shared" si="12"/>
        <v/>
      </c>
      <c r="J406" s="60"/>
      <c r="K406" s="60" t="s">
        <v>328</v>
      </c>
      <c r="L406" s="60"/>
      <c r="M406" s="60"/>
      <c r="N406" s="60" t="str">
        <f>IF(A406&lt;&gt;"",VLOOKUP(RIGHT(A406,3)*1,[1]SEGMENTAÇÃO!A:H,8,0),"")</f>
        <v/>
      </c>
      <c r="O406" s="59" t="str">
        <f>IF(A406&lt;&gt;"",VLOOKUP(RIGHT(A406,3)*1,[1]SEGMENTAÇÃO!A:I,9,0),"")</f>
        <v/>
      </c>
    </row>
    <row r="407" spans="1:15" x14ac:dyDescent="0.25">
      <c r="A407" s="76"/>
      <c r="B407" s="76"/>
      <c r="C407" s="60"/>
      <c r="D407" s="60"/>
      <c r="E407" s="60"/>
      <c r="F407" s="60"/>
      <c r="G407" s="60"/>
      <c r="H407" s="60"/>
      <c r="I407" s="60" t="str">
        <f t="shared" si="12"/>
        <v/>
      </c>
      <c r="J407" s="60"/>
      <c r="K407" s="60" t="s">
        <v>328</v>
      </c>
      <c r="L407" s="60"/>
      <c r="M407" s="60"/>
      <c r="N407" s="60" t="str">
        <f>IF(A407&lt;&gt;"",VLOOKUP(RIGHT(A407,3)*1,[1]SEGMENTAÇÃO!A:H,8,0),"")</f>
        <v/>
      </c>
      <c r="O407" s="59" t="str">
        <f>IF(A407&lt;&gt;"",VLOOKUP(RIGHT(A407,3)*1,[1]SEGMENTAÇÃO!A:I,9,0),"")</f>
        <v/>
      </c>
    </row>
    <row r="408" spans="1:15" x14ac:dyDescent="0.25">
      <c r="A408" s="60"/>
      <c r="B408" s="60"/>
      <c r="C408" s="60"/>
      <c r="D408" s="60"/>
      <c r="E408" s="60"/>
      <c r="F408" s="60"/>
      <c r="G408" s="60"/>
      <c r="H408" s="60"/>
      <c r="I408" s="60" t="str">
        <f t="shared" si="12"/>
        <v/>
      </c>
      <c r="J408" s="60"/>
      <c r="K408" s="60" t="s">
        <v>328</v>
      </c>
      <c r="L408" s="60"/>
      <c r="M408" s="63"/>
      <c r="N408" s="60" t="str">
        <f>IF(A408&lt;&gt;"",VLOOKUP(RIGHT(A408,3)*1,[1]SEGMENTAÇÃO!A:H,8,0),"")</f>
        <v/>
      </c>
      <c r="O408" s="59" t="str">
        <f>IF(A408&lt;&gt;"",VLOOKUP(RIGHT(A408,3)*1,[1]SEGMENTAÇÃO!A:I,9,0),"")</f>
        <v/>
      </c>
    </row>
    <row r="409" spans="1:15" x14ac:dyDescent="0.25">
      <c r="A409" s="60"/>
      <c r="B409" s="60"/>
      <c r="C409" s="60"/>
      <c r="D409" s="60"/>
      <c r="E409" s="60"/>
      <c r="F409" s="60"/>
      <c r="G409" s="60"/>
      <c r="H409" s="60"/>
      <c r="I409" s="60" t="str">
        <f t="shared" si="12"/>
        <v/>
      </c>
      <c r="J409" s="60"/>
      <c r="K409" s="74" t="s">
        <v>328</v>
      </c>
      <c r="L409" s="60"/>
      <c r="M409" s="63"/>
      <c r="N409" s="60" t="str">
        <f>IF(A409&lt;&gt;"",VLOOKUP(RIGHT(A409,3)*1,[1]SEGMENTAÇÃO!A:H,8,0),"")</f>
        <v/>
      </c>
      <c r="O409" s="59" t="str">
        <f>IF(A409&lt;&gt;"",VLOOKUP(RIGHT(A409,3)*1,[1]SEGMENTAÇÃO!A:I,9,0),"")</f>
        <v/>
      </c>
    </row>
    <row r="410" spans="1:15" x14ac:dyDescent="0.25">
      <c r="A410" s="67"/>
      <c r="B410" s="67"/>
      <c r="C410" s="67"/>
      <c r="D410" s="67"/>
      <c r="E410" s="67"/>
      <c r="F410" s="67"/>
      <c r="G410" s="67"/>
      <c r="H410" s="60"/>
      <c r="I410" s="60" t="str">
        <f t="shared" si="12"/>
        <v/>
      </c>
      <c r="J410" s="60"/>
      <c r="K410" s="75" t="s">
        <v>328</v>
      </c>
      <c r="L410" s="66"/>
      <c r="M410" s="65"/>
      <c r="N410" s="60" t="str">
        <f>IF(A410&lt;&gt;"",VLOOKUP(RIGHT(A410,3)*1,[1]SEGMENTAÇÃO!A:H,8,0),"")</f>
        <v/>
      </c>
      <c r="O410" s="59" t="str">
        <f>IF(A410&lt;&gt;"",VLOOKUP(RIGHT(A410,3)*1,[1]SEGMENTAÇÃO!A:I,9,0),"")</f>
        <v/>
      </c>
    </row>
    <row r="411" spans="1:15" x14ac:dyDescent="0.25">
      <c r="A411" s="60"/>
      <c r="B411" s="60"/>
      <c r="C411" s="60"/>
      <c r="D411" s="60"/>
      <c r="E411" s="60"/>
      <c r="F411" s="60"/>
      <c r="G411" s="60"/>
      <c r="H411" s="60"/>
      <c r="I411" s="60" t="str">
        <f t="shared" si="12"/>
        <v/>
      </c>
      <c r="J411" s="60"/>
      <c r="K411" s="74" t="s">
        <v>328</v>
      </c>
      <c r="L411" s="64"/>
      <c r="M411" s="63"/>
      <c r="N411" s="60" t="str">
        <f>IF(A411&lt;&gt;"",VLOOKUP(RIGHT(A411,3)*1,[1]SEGMENTAÇÃO!A:H,8,0),"")</f>
        <v/>
      </c>
      <c r="O411" s="59" t="str">
        <f>IF(A411&lt;&gt;"",VLOOKUP(RIGHT(A411,3)*1,[1]SEGMENTAÇÃO!A:I,9,0),"")</f>
        <v/>
      </c>
    </row>
    <row r="412" spans="1:15" x14ac:dyDescent="0.25">
      <c r="A412" s="60"/>
      <c r="B412" s="60"/>
      <c r="C412" s="60"/>
      <c r="D412" s="60"/>
      <c r="E412" s="60"/>
      <c r="F412" s="60"/>
      <c r="G412" s="60"/>
      <c r="H412" s="60"/>
      <c r="I412" s="60" t="str">
        <f t="shared" si="12"/>
        <v/>
      </c>
      <c r="J412" s="60"/>
      <c r="K412" s="74" t="s">
        <v>328</v>
      </c>
      <c r="L412" s="64"/>
      <c r="M412" s="63"/>
      <c r="N412" s="60" t="str">
        <f>IF(A412&lt;&gt;"",VLOOKUP(RIGHT(A412,3)*1,[1]SEGMENTAÇÃO!A:H,8,0),"")</f>
        <v/>
      </c>
      <c r="O412" s="59" t="str">
        <f>IF(A412&lt;&gt;"",VLOOKUP(RIGHT(A412,3)*1,[1]SEGMENTAÇÃO!A:I,9,0),"")</f>
        <v/>
      </c>
    </row>
    <row r="413" spans="1:15" x14ac:dyDescent="0.25">
      <c r="A413" s="60"/>
      <c r="B413" s="60"/>
      <c r="C413" s="60"/>
      <c r="D413" s="60"/>
      <c r="E413" s="60"/>
      <c r="F413" s="60"/>
      <c r="G413" s="60"/>
      <c r="H413" s="60"/>
      <c r="I413" s="60" t="str">
        <f t="shared" si="12"/>
        <v/>
      </c>
      <c r="J413" s="60"/>
      <c r="K413" s="74" t="s">
        <v>328</v>
      </c>
      <c r="L413" s="64"/>
      <c r="M413" s="63"/>
      <c r="N413" s="60" t="str">
        <f>IF(A413&lt;&gt;"",VLOOKUP(RIGHT(A413,3)*1,[1]SEGMENTAÇÃO!A:H,8,0),"")</f>
        <v/>
      </c>
      <c r="O413" s="59" t="str">
        <f>IF(A413&lt;&gt;"",VLOOKUP(RIGHT(A413,3)*1,[1]SEGMENTAÇÃO!A:I,9,0),"")</f>
        <v/>
      </c>
    </row>
    <row r="414" spans="1:15" x14ac:dyDescent="0.25">
      <c r="A414" s="60"/>
      <c r="B414" s="60"/>
      <c r="C414" s="60"/>
      <c r="D414" s="60"/>
      <c r="E414" s="60"/>
      <c r="F414" s="60"/>
      <c r="G414" s="60"/>
      <c r="H414" s="60"/>
      <c r="I414" s="60" t="str">
        <f t="shared" si="12"/>
        <v/>
      </c>
      <c r="J414" s="60"/>
      <c r="K414" s="74" t="s">
        <v>328</v>
      </c>
      <c r="L414" s="64"/>
      <c r="M414" s="63"/>
      <c r="N414" s="60" t="str">
        <f>IF(A414&lt;&gt;"",VLOOKUP(RIGHT(A414,3)*1,[1]SEGMENTAÇÃO!A:H,8,0),"")</f>
        <v/>
      </c>
      <c r="O414" s="59" t="str">
        <f>IF(A414&lt;&gt;"",VLOOKUP(RIGHT(A414,3)*1,[1]SEGMENTAÇÃO!A:I,9,0),"")</f>
        <v/>
      </c>
    </row>
    <row r="415" spans="1:15" x14ac:dyDescent="0.25">
      <c r="A415" s="60"/>
      <c r="B415" s="60"/>
      <c r="C415" s="60"/>
      <c r="D415" s="60"/>
      <c r="E415" s="60"/>
      <c r="F415" s="60"/>
      <c r="G415" s="60"/>
      <c r="H415" s="60"/>
      <c r="I415" s="60" t="str">
        <f t="shared" si="12"/>
        <v/>
      </c>
      <c r="J415" s="60"/>
      <c r="K415" s="74" t="s">
        <v>328</v>
      </c>
      <c r="L415" s="64"/>
      <c r="M415" s="63"/>
      <c r="N415" s="60" t="str">
        <f>IF(A415&lt;&gt;"",VLOOKUP(RIGHT(A415,3)*1,[1]SEGMENTAÇÃO!A:H,8,0),"")</f>
        <v/>
      </c>
      <c r="O415" s="59" t="str">
        <f>IF(A415&lt;&gt;"",VLOOKUP(RIGHT(A415,3)*1,[1]SEGMENTAÇÃO!A:I,9,0),"")</f>
        <v/>
      </c>
    </row>
    <row r="416" spans="1:15" x14ac:dyDescent="0.25">
      <c r="A416" s="60"/>
      <c r="B416" s="60"/>
      <c r="C416" s="60"/>
      <c r="D416" s="60"/>
      <c r="E416" s="60"/>
      <c r="F416" s="60"/>
      <c r="G416" s="60"/>
      <c r="H416" s="60"/>
      <c r="I416" s="60" t="str">
        <f t="shared" si="12"/>
        <v/>
      </c>
      <c r="J416" s="60"/>
      <c r="K416" s="74" t="s">
        <v>328</v>
      </c>
      <c r="L416" s="64"/>
      <c r="M416" s="63"/>
      <c r="N416" s="60" t="str">
        <f>IF(A416&lt;&gt;"",VLOOKUP(RIGHT(A416,3)*1,[1]SEGMENTAÇÃO!A:H,8,0),"")</f>
        <v/>
      </c>
      <c r="O416" s="59" t="str">
        <f>IF(A416&lt;&gt;"",VLOOKUP(RIGHT(A416,3)*1,[1]SEGMENTAÇÃO!A:I,9,0),"")</f>
        <v/>
      </c>
    </row>
    <row r="417" spans="1:15" x14ac:dyDescent="0.25">
      <c r="A417" s="60"/>
      <c r="B417" s="60"/>
      <c r="C417" s="60"/>
      <c r="D417" s="60"/>
      <c r="E417" s="60"/>
      <c r="F417" s="60"/>
      <c r="G417" s="60"/>
      <c r="H417" s="60"/>
      <c r="I417" s="60" t="str">
        <f t="shared" si="12"/>
        <v/>
      </c>
      <c r="J417" s="60"/>
      <c r="K417" s="74" t="s">
        <v>328</v>
      </c>
      <c r="L417" s="64"/>
      <c r="M417" s="63"/>
      <c r="N417" s="60" t="str">
        <f>IF(A417&lt;&gt;"",VLOOKUP(RIGHT(A417,3)*1,[1]SEGMENTAÇÃO!A:H,8,0),"")</f>
        <v/>
      </c>
      <c r="O417" s="59" t="str">
        <f>IF(A417&lt;&gt;"",VLOOKUP(RIGHT(A417,3)*1,[1]SEGMENTAÇÃO!A:I,9,0),"")</f>
        <v/>
      </c>
    </row>
    <row r="418" spans="1:15" ht="15.75" thickBot="1" x14ac:dyDescent="0.3">
      <c r="A418" s="69"/>
      <c r="B418" s="69"/>
      <c r="C418" s="69"/>
      <c r="D418" s="69"/>
      <c r="E418" s="69"/>
      <c r="F418" s="69"/>
      <c r="G418" s="69"/>
      <c r="H418" s="60"/>
      <c r="I418" s="60" t="str">
        <f t="shared" si="12"/>
        <v/>
      </c>
      <c r="J418" s="60"/>
      <c r="K418" s="68" t="s">
        <v>328</v>
      </c>
      <c r="L418" s="62"/>
      <c r="M418" s="61"/>
      <c r="N418" s="60" t="str">
        <f>IF(A418&lt;&gt;"",VLOOKUP(RIGHT(A418,3)*1,[1]SEGMENTAÇÃO!A:H,8,0),"")</f>
        <v/>
      </c>
      <c r="O418" s="59" t="str">
        <f>IF(A418&lt;&gt;"",VLOOKUP(RIGHT(A418,3)*1,[1]SEGMENTAÇÃO!A:I,9,0),"")</f>
        <v/>
      </c>
    </row>
    <row r="419" spans="1:15" x14ac:dyDescent="0.25">
      <c r="A419" s="73"/>
      <c r="B419" s="73"/>
      <c r="C419" s="73"/>
      <c r="D419" s="73"/>
      <c r="E419" s="73"/>
      <c r="F419" s="73"/>
      <c r="G419" s="73"/>
      <c r="H419" s="60"/>
      <c r="I419" s="60" t="str">
        <f t="shared" si="12"/>
        <v/>
      </c>
      <c r="J419" s="60"/>
      <c r="K419" s="73" t="s">
        <v>328</v>
      </c>
      <c r="L419" s="71"/>
      <c r="M419" s="70"/>
      <c r="N419" s="60" t="str">
        <f>IF(A419&lt;&gt;"",VLOOKUP(RIGHT(A419,3)*1,[1]SEGMENTAÇÃO!A:H,8,0),"")</f>
        <v/>
      </c>
      <c r="O419" s="59" t="str">
        <f>IF(A419&lt;&gt;"",VLOOKUP(RIGHT(A419,3)*1,[1]SEGMENTAÇÃO!A:I,9,0),"")</f>
        <v/>
      </c>
    </row>
    <row r="420" spans="1:15" ht="15.75" thickBot="1" x14ac:dyDescent="0.3">
      <c r="A420" s="69"/>
      <c r="B420" s="69"/>
      <c r="C420" s="69"/>
      <c r="D420" s="69"/>
      <c r="E420" s="69"/>
      <c r="F420" s="69"/>
      <c r="G420" s="69"/>
      <c r="H420" s="60"/>
      <c r="I420" s="60" t="str">
        <f t="shared" si="12"/>
        <v/>
      </c>
      <c r="J420" s="60"/>
      <c r="K420" s="68" t="s">
        <v>328</v>
      </c>
      <c r="L420" s="62"/>
      <c r="M420" s="61"/>
      <c r="N420" s="60" t="str">
        <f>IF(A420&lt;&gt;"",VLOOKUP(RIGHT(A420,3)*1,[1]SEGMENTAÇÃO!A:H,8,0),"")</f>
        <v/>
      </c>
      <c r="O420" s="59" t="str">
        <f>IF(A420&lt;&gt;"",VLOOKUP(RIGHT(A420,3)*1,[1]SEGMENTAÇÃO!A:I,9,0),"")</f>
        <v/>
      </c>
    </row>
    <row r="421" spans="1:15" x14ac:dyDescent="0.25">
      <c r="A421" s="73"/>
      <c r="B421" s="73"/>
      <c r="C421" s="73"/>
      <c r="D421" s="73"/>
      <c r="E421" s="73"/>
      <c r="F421" s="73"/>
      <c r="G421" s="73"/>
      <c r="H421" s="60"/>
      <c r="I421" s="60" t="str">
        <f t="shared" si="12"/>
        <v/>
      </c>
      <c r="J421" s="60"/>
      <c r="K421" s="72" t="s">
        <v>328</v>
      </c>
      <c r="L421" s="71"/>
      <c r="M421" s="70"/>
      <c r="N421" s="60" t="str">
        <f>IF(A421&lt;&gt;"",VLOOKUP(RIGHT(A421,3)*1,[1]SEGMENTAÇÃO!A:H,8,0),"")</f>
        <v/>
      </c>
      <c r="O421" s="59" t="str">
        <f>IF(A421&lt;&gt;"",VLOOKUP(RIGHT(A421,3)*1,[1]SEGMENTAÇÃO!A:I,9,0),"")</f>
        <v/>
      </c>
    </row>
    <row r="422" spans="1:15" ht="15.75" thickBot="1" x14ac:dyDescent="0.3">
      <c r="A422" s="69"/>
      <c r="B422" s="69"/>
      <c r="C422" s="69"/>
      <c r="D422" s="69"/>
      <c r="E422" s="69"/>
      <c r="F422" s="69"/>
      <c r="G422" s="69"/>
      <c r="H422" s="60"/>
      <c r="I422" s="60" t="str">
        <f t="shared" si="12"/>
        <v/>
      </c>
      <c r="J422" s="60"/>
      <c r="K422" s="68" t="s">
        <v>328</v>
      </c>
      <c r="L422" s="62"/>
      <c r="M422" s="61"/>
      <c r="N422" s="60" t="str">
        <f>IF(A422&lt;&gt;"",VLOOKUP(RIGHT(A422,3)*1,[1]SEGMENTAÇÃO!A:H,8,0),"")</f>
        <v/>
      </c>
      <c r="O422" s="59" t="str">
        <f>IF(A422&lt;&gt;"",VLOOKUP(RIGHT(A422,3)*1,[1]SEGMENTAÇÃO!A:I,9,0),"")</f>
        <v/>
      </c>
    </row>
    <row r="423" spans="1:15" x14ac:dyDescent="0.25">
      <c r="A423" s="67"/>
      <c r="B423" s="67"/>
      <c r="C423" s="67"/>
      <c r="D423" s="67"/>
      <c r="E423" s="67"/>
      <c r="F423" s="67"/>
      <c r="G423" s="67"/>
      <c r="H423" s="60"/>
      <c r="I423" s="60" t="str">
        <f t="shared" si="12"/>
        <v/>
      </c>
      <c r="J423" s="60"/>
      <c r="K423" s="67" t="s">
        <v>328</v>
      </c>
      <c r="L423" s="66"/>
      <c r="M423" s="65"/>
      <c r="N423" s="60" t="str">
        <f>IF(A423&lt;&gt;"",VLOOKUP(RIGHT(A423,3)*1,[1]SEGMENTAÇÃO!A:H,8,0),"")</f>
        <v/>
      </c>
      <c r="O423" s="59" t="str">
        <f>IF(A423&lt;&gt;"",VLOOKUP(RIGHT(A423,3)*1,[1]SEGMENTAÇÃO!A:I,9,0),"")</f>
        <v/>
      </c>
    </row>
    <row r="424" spans="1:15" x14ac:dyDescent="0.25">
      <c r="A424" s="60"/>
      <c r="B424" s="60"/>
      <c r="C424" s="60"/>
      <c r="D424" s="60"/>
      <c r="E424" s="60"/>
      <c r="F424" s="60"/>
      <c r="G424" s="60"/>
      <c r="H424" s="60"/>
      <c r="I424" s="60" t="str">
        <f t="shared" si="12"/>
        <v/>
      </c>
      <c r="J424" s="60"/>
      <c r="K424" s="60" t="s">
        <v>328</v>
      </c>
      <c r="L424" s="64"/>
      <c r="M424" s="63"/>
      <c r="N424" s="60" t="str">
        <f>IF(A424&lt;&gt;"",VLOOKUP(RIGHT(A424,3)*1,[1]SEGMENTAÇÃO!A:H,8,0),"")</f>
        <v/>
      </c>
      <c r="O424" s="59" t="str">
        <f>IF(A424&lt;&gt;"",VLOOKUP(RIGHT(A424,3)*1,[1]SEGMENTAÇÃO!A:I,9,0),"")</f>
        <v/>
      </c>
    </row>
    <row r="425" spans="1:15" x14ac:dyDescent="0.25">
      <c r="A425" s="60"/>
      <c r="B425" s="60"/>
      <c r="C425" s="60"/>
      <c r="D425" s="60"/>
      <c r="E425" s="60"/>
      <c r="F425" s="60"/>
      <c r="G425" s="60"/>
      <c r="H425" s="60"/>
      <c r="I425" s="60" t="str">
        <f t="shared" ref="I425:I426" si="13">IF(H425&lt;&gt;"",IF(LEFT(H425,2)="AL","13.800","34.500"),"")</f>
        <v/>
      </c>
      <c r="J425" s="60"/>
      <c r="K425" s="60" t="s">
        <v>328</v>
      </c>
      <c r="L425" s="64"/>
      <c r="M425" s="63"/>
      <c r="N425" s="60" t="str">
        <f>IF(A425&lt;&gt;"",VLOOKUP(RIGHT(A425,3)*1,[1]SEGMENTAÇÃO!A:H,8,0),"")</f>
        <v/>
      </c>
      <c r="O425" s="59" t="str">
        <f>IF(A425&lt;&gt;"",VLOOKUP(RIGHT(A425,3)*1,[1]SEGMENTAÇÃO!A:I,9,0),"")</f>
        <v/>
      </c>
    </row>
    <row r="426" spans="1:15" ht="15.75" thickBot="1" x14ac:dyDescent="0.3">
      <c r="A426" s="60"/>
      <c r="B426" s="60"/>
      <c r="C426" s="60"/>
      <c r="D426" s="60"/>
      <c r="E426" s="60"/>
      <c r="F426" s="60"/>
      <c r="G426" s="60"/>
      <c r="H426" s="60"/>
      <c r="I426" s="60" t="str">
        <f t="shared" si="13"/>
        <v/>
      </c>
      <c r="J426" s="60"/>
      <c r="K426" s="60" t="s">
        <v>328</v>
      </c>
      <c r="L426" s="62"/>
      <c r="M426" s="61"/>
      <c r="N426" s="60" t="str">
        <f>IF(A426&lt;&gt;"",VLOOKUP(RIGHT(A426,3)*1,[1]SEGMENTAÇÃO!A:H,8,0),"")</f>
        <v/>
      </c>
      <c r="O426" s="59" t="str">
        <f>IF(A426&lt;&gt;"",VLOOKUP(RIGHT(A426,3)*1,[1]SEGMENTAÇÃO!A:I,9,0),"")</f>
        <v/>
      </c>
    </row>
  </sheetData>
  <autoFilter ref="A1:O426" xr:uid="{9BBEE98A-DFAF-4E21-9528-ED7954E491DE}"/>
  <conditionalFormatting sqref="A2:A93">
    <cfRule type="duplicateValues" dxfId="1" priority="2"/>
  </conditionalFormatting>
  <conditionalFormatting sqref="A90:A91">
    <cfRule type="duplicateValues" dxfId="0" priority="1"/>
  </conditionalFormatting>
  <dataValidations disablePrompts="1" count="1">
    <dataValidation type="list" allowBlank="1" showInputMessage="1" showErrorMessage="1" sqref="L2:L168 L170:L426" xr:uid="{8002BDC1-8B2E-462C-B488-A8BA0B073558}">
      <formula1>"msalmeir,ibranco,embs4,cduarte,rfreitas,jveloso,rbrito,rpm21"</formula1>
    </dataValidation>
  </dataValidations>
  <hyperlinks>
    <hyperlink ref="A171" r:id="rId1" display="../Ajustes Religadores e Reguladores de Poste/5801773013.pdf" xr:uid="{D5285AF3-E260-4C3E-BC49-9138BBC57AE6}"/>
  </hyperlinks>
  <pageMargins left="0.511811024" right="0.511811024" top="0.78740157499999996" bottom="0.78740157499999996" header="0.31496062000000002" footer="0.31496062000000002"/>
  <pageSetup paperSize="9" orientation="portrait"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2C69AF333E13E4EB919682D5E252D96" ma:contentTypeVersion="31" ma:contentTypeDescription="Crie um novo documento." ma:contentTypeScope="" ma:versionID="4a26cd6296a4657b54266c08fb602cc3">
  <xsd:schema xmlns:xsd="http://www.w3.org/2001/XMLSchema" xmlns:xs="http://www.w3.org/2001/XMLSchema" xmlns:p="http://schemas.microsoft.com/office/2006/metadata/properties" xmlns:ns2="d4b7c54a-c95c-45b1-a0ec-9f878b3f9d74" xmlns:ns3="4e1108be-d15a-485d-8259-50667f8093fa" targetNamespace="http://schemas.microsoft.com/office/2006/metadata/properties" ma:root="true" ma:fieldsID="682096db914500dae33c0deb3a2a9c7e" ns2:_="" ns3:_="">
    <xsd:import namespace="d4b7c54a-c95c-45b1-a0ec-9f878b3f9d74"/>
    <xsd:import namespace="4e1108be-d15a-485d-8259-50667f8093f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MediaServiceLocation"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element ref="ns3:Observa_x00e7__x00e3_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b7c54a-c95c-45b1-a0ec-9f878b3f9d74" elementFormDefault="qualified">
    <xsd:import namespace="http://schemas.microsoft.com/office/2006/documentManagement/types"/>
    <xsd:import namespace="http://schemas.microsoft.com/office/infopath/2007/PartnerControls"/>
    <xsd:element name="SharedWithUsers" ma:index="8"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hes de Compartilhado Com" ma:internalName="SharedWithDetails" ma:readOnly="true">
      <xsd:simpleType>
        <xsd:restriction base="dms:Note">
          <xsd:maxLength value="255"/>
        </xsd:restriction>
      </xsd:simpleType>
    </xsd:element>
    <xsd:element name="TaxCatchAll" ma:index="23" nillable="true" ma:displayName="Taxonomy Catch All Column" ma:hidden="true" ma:list="{6d11c5a5-a68c-4142-b688-1663361a0bb4}" ma:internalName="TaxCatchAll" ma:showField="CatchAllData" ma:web="d4b7c54a-c95c-45b1-a0ec-9f878b3f9d7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e1108be-d15a-485d-8259-50667f8093f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Marcações de imagem" ma:readOnly="false" ma:fieldId="{5cf76f15-5ced-4ddc-b409-7134ff3c332f}" ma:taxonomyMulti="true" ma:sspId="39c4b66d-fcb2-4727-8ac1-aa661c0d971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Observa_x00e7__x00e3_o" ma:index="27" nillable="true" ma:displayName="Observação" ma:internalName="Observa_x00e7__x00e3_o">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e1108be-d15a-485d-8259-50667f8093fa">
      <Terms xmlns="http://schemas.microsoft.com/office/infopath/2007/PartnerControls"/>
    </lcf76f155ced4ddcb4097134ff3c332f>
    <TaxCatchAll xmlns="d4b7c54a-c95c-45b1-a0ec-9f878b3f9d74" xsi:nil="true"/>
    <Observa_x00e7__x00e3_o xmlns="4e1108be-d15a-485d-8259-50667f8093fa" xsi:nil="true"/>
  </documentManagement>
</p:properties>
</file>

<file path=customXml/item4.xml>��
</file>

<file path=customXml/itemProps1.xml><?xml version="1.0" encoding="utf-8"?>
<ds:datastoreItem xmlns:ds="http://schemas.openxmlformats.org/officeDocument/2006/customXml" ds:itemID="{C0A46ADE-E5A8-46A6-9D93-CC80AA05FA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4b7c54a-c95c-45b1-a0ec-9f878b3f9d74"/>
    <ds:schemaRef ds:uri="4e1108be-d15a-485d-8259-50667f8093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4EE96F3-A5BC-461A-97AB-DF5E3AC77873}">
  <ds:schemaRefs>
    <ds:schemaRef ds:uri="http://schemas.microsoft.com/sharepoint/v3/contenttype/forms"/>
  </ds:schemaRefs>
</ds:datastoreItem>
</file>

<file path=customXml/itemProps3.xml><?xml version="1.0" encoding="utf-8"?>
<ds:datastoreItem xmlns:ds="http://schemas.openxmlformats.org/officeDocument/2006/customXml" ds:itemID="{2BECDB3D-BE10-4238-862B-60CF1F89A7D2}">
  <ds:schemaRefs>
    <ds:schemaRef ds:uri="http://schemas.microsoft.com/office/2006/metadata/properties"/>
    <ds:schemaRef ds:uri="http://schemas.microsoft.com/office/infopath/2007/PartnerControls"/>
    <ds:schemaRef ds:uri="4e1108be-d15a-485d-8259-50667f8093fa"/>
    <ds:schemaRef ds:uri="d4b7c54a-c95c-45b1-a0ec-9f878b3f9d74"/>
  </ds:schemaRefs>
</ds:datastoreItem>
</file>

<file path=customXml/itemProps4.xml><?xml version="1.0" encoding="utf-8"?>
<ds:datastoreItem xmlns:ds="http://schemas.openxmlformats.org/officeDocument/2006/customXml" ds:itemID="{1C6C3C3F-2EBE-4833-A273-A08545947D6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11</vt:i4>
      </vt:variant>
      <vt:variant>
        <vt:lpstr>Intervalos Nomeados</vt:lpstr>
      </vt:variant>
      <vt:variant>
        <vt:i4>2</vt:i4>
      </vt:variant>
    </vt:vector>
  </HeadingPairs>
  <TitlesOfParts>
    <vt:vector size="13" baseType="lpstr">
      <vt:lpstr>1007ALLan</vt:lpstr>
      <vt:lpstr>BASE SS_OS</vt:lpstr>
      <vt:lpstr>Plan1</vt:lpstr>
      <vt:lpstr>Detalhes1</vt:lpstr>
      <vt:lpstr>Dados Apresentação</vt:lpstr>
      <vt:lpstr>Planilha3</vt:lpstr>
      <vt:lpstr>Planilha1</vt:lpstr>
      <vt:lpstr>Custos</vt:lpstr>
      <vt:lpstr>Check</vt:lpstr>
      <vt:lpstr>Ajustes RL Poste</vt:lpstr>
      <vt:lpstr>Ajustes Reguladores de Tensão</vt:lpstr>
      <vt:lpstr>'Ajustes Reguladores de Tensão'!embs4</vt:lpstr>
      <vt:lpstr>embs4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Sandro Padilha Dias Junior</dc:creator>
  <cp:keywords/>
  <dc:description/>
  <cp:lastModifiedBy>Joao Antonio Lagares Milhomem de Souza</cp:lastModifiedBy>
  <cp:revision/>
  <dcterms:created xsi:type="dcterms:W3CDTF">2015-06-05T18:19:34Z</dcterms:created>
  <dcterms:modified xsi:type="dcterms:W3CDTF">2026-08-26T22:04:13Z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0x01010042C69AF333E13E4EB919682D5E252D96</vt:lpwstr>
  </property>
  <property fmtid="{D5CDD505-2E9C-101B-9397-08002B2CF9AE}" pid="3" name="MediaServiceImageTags">
    <vt:lpwstr/>
  </property>
</Properties>
</file>
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3.xml" ContentType="application/vnd.openxmlformats-officedocument.spreadsheetml.table+xml"/>
  <Override PartName="/xl/queryTables/queryTable3.xml" ContentType="application/vnd.openxmlformats-officedocument.spreadsheetml.queryTable+xml"/>
  <Override PartName="/xl/drawings/drawing1.xml" ContentType="application/vnd.openxmlformats-officedocument.drawing+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tables/table5.xml" ContentType="application/vnd.openxmlformats-officedocument.spreadsheetml.table+xml"/>
  <Override PartName="/xl/queryTables/queryTable4.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8"/>
  <workbookPr hidePivotFieldList="1"/>
  <mc:AlternateContent xmlns:mc="http://schemas.openxmlformats.org/markup-compatibility/2006">
    <mc:Choice Requires="x15">
      <x15ac:absPath xmlns:x15ac="http://schemas.microsoft.com/office/spreadsheetml/2010/11/ac" url="https://energisa-my.sharepoint.com/personal/allan_souza_energisa_com_br1/Documents/"/>
    </mc:Choice>
  </mc:AlternateContent>
  <xr:revisionPtr revIDLastSave="0" documentId="8_{2A704F57-41FF-4958-BBE7-457998DC6A93}" xr6:coauthVersionLast="47" xr6:coauthVersionMax="47" xr10:uidLastSave="{00000000-0000-0000-0000-000000000000}"/>
  <bookViews>
    <workbookView xWindow="20370" yWindow="-120" windowWidth="29040" windowHeight="15720" firstSheet="5" activeTab="5" xr2:uid="{00000000-000D-0000-FFFF-FFFF00000000}"/>
  </bookViews>
  <sheets>
    <sheet name="Gerencial" sheetId="19" state="hidden" r:id="rId1"/>
    <sheet name="Pendentes" sheetId="14" r:id="rId2"/>
    <sheet name="Premissas por Equipamento" sheetId="16" state="hidden" r:id="rId3"/>
    <sheet name="Planilha1" sheetId="23" r:id="rId4"/>
    <sheet name="Concluídas" sheetId="17" r:id="rId5"/>
    <sheet name="Criticidade por Equipamento" sheetId="13" r:id="rId6"/>
    <sheet name="Planilha2" sheetId="22" r:id="rId7"/>
    <sheet name="Localidades" sheetId="15" state="hidden" r:id="rId8"/>
    <sheet name="Premissas" sheetId="3" r:id="rId9"/>
    <sheet name="Matriz de Criticidade" sheetId="10" r:id="rId10"/>
  </sheets>
  <externalReferences>
    <externalReference r:id="rId11"/>
  </externalReferences>
  <definedNames>
    <definedName name="_xlnm._FilterDatabase" localSheetId="6" hidden="1">Planilha2!$A$1:$AA$117</definedName>
    <definedName name="DadosExternos_1" localSheetId="1" hidden="1">Pendentes!$A$1:$W$94</definedName>
    <definedName name="DadosExternos_2" localSheetId="7" hidden="1">Localidades!$A$1:$G$276</definedName>
    <definedName name="DadosExternos_3" localSheetId="2" hidden="1">'Premissas por Equipamento'!$A$1:$W$117</definedName>
    <definedName name="DadosExternos_4" localSheetId="4" hidden="1">'Concluídas'!$A$1:$L$40</definedName>
  </definedNames>
  <calcPr calcId="191028"/>
  <pivotCaches>
    <pivotCache cacheId="33" r:id="rId12"/>
    <pivotCache cacheId="34"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1" i="13" l="1"/>
  <c r="L131" i="13"/>
  <c r="U131" i="13"/>
  <c r="B118" i="13"/>
  <c r="B119" i="13"/>
  <c r="B120" i="13"/>
  <c r="B121" i="13"/>
  <c r="B122" i="13"/>
  <c r="B123" i="13"/>
  <c r="B124" i="13"/>
  <c r="B125" i="13"/>
  <c r="B126" i="13"/>
  <c r="B127" i="13"/>
  <c r="B128" i="13"/>
  <c r="B129" i="13"/>
  <c r="B130" i="13"/>
  <c r="F118" i="13"/>
  <c r="F119" i="13"/>
  <c r="F120" i="13"/>
  <c r="F121" i="13"/>
  <c r="F122" i="13"/>
  <c r="F123" i="13"/>
  <c r="F124" i="13"/>
  <c r="F125" i="13"/>
  <c r="F126" i="13"/>
  <c r="F127" i="13"/>
  <c r="F128" i="13"/>
  <c r="F129" i="13"/>
  <c r="F130" i="13"/>
  <c r="L118" i="13"/>
  <c r="L119" i="13"/>
  <c r="L120" i="13"/>
  <c r="L121" i="13"/>
  <c r="L122" i="13"/>
  <c r="L123" i="13"/>
  <c r="L124" i="13"/>
  <c r="L125" i="13"/>
  <c r="L126" i="13"/>
  <c r="L127" i="13"/>
  <c r="L128" i="13"/>
  <c r="L129" i="13"/>
  <c r="L130" i="13"/>
  <c r="U118" i="13"/>
  <c r="U119" i="13"/>
  <c r="U120" i="13"/>
  <c r="U121" i="13"/>
  <c r="U122" i="13"/>
  <c r="U123" i="13"/>
  <c r="U124" i="13"/>
  <c r="U125" i="13"/>
  <c r="U126" i="13"/>
  <c r="U127" i="13"/>
  <c r="U128" i="13"/>
  <c r="U129" i="13"/>
  <c r="U130" i="13"/>
  <c r="L101" i="13"/>
  <c r="L99" i="13"/>
  <c r="L98" i="13"/>
  <c r="L97" i="13"/>
  <c r="L95" i="13"/>
  <c r="L91" i="13"/>
  <c r="B3" i="13"/>
  <c r="B4" i="13"/>
  <c r="B5" i="13"/>
  <c r="B6" i="13"/>
  <c r="B7" i="13"/>
  <c r="B8" i="13"/>
  <c r="B9" i="13"/>
  <c r="B10" i="13"/>
  <c r="B11" i="13"/>
  <c r="B12" i="13"/>
  <c r="B13" i="13"/>
  <c r="B14" i="13"/>
  <c r="B15" i="13"/>
  <c r="B16" i="13"/>
  <c r="B17" i="13"/>
  <c r="B18" i="13"/>
  <c r="B19" i="13"/>
  <c r="B20" i="13"/>
  <c r="B21" i="13"/>
  <c r="B22" i="13"/>
  <c r="B23" i="13"/>
  <c r="B24" i="13"/>
  <c r="B25" i="13"/>
  <c r="B26" i="13"/>
  <c r="B27" i="13"/>
  <c r="B28" i="13"/>
  <c r="B29" i="13"/>
  <c r="B30" i="13"/>
  <c r="B31" i="13"/>
  <c r="B32" i="13"/>
  <c r="B33" i="13"/>
  <c r="B34" i="13"/>
  <c r="B35" i="13"/>
  <c r="B36" i="13"/>
  <c r="B37" i="13"/>
  <c r="B38" i="13"/>
  <c r="B39" i="13"/>
  <c r="B40" i="13"/>
  <c r="B41" i="13"/>
  <c r="B42" i="13"/>
  <c r="B43" i="13"/>
  <c r="B44" i="13"/>
  <c r="B45" i="13"/>
  <c r="B46" i="13"/>
  <c r="B47" i="13"/>
  <c r="B48" i="13"/>
  <c r="B49" i="13"/>
  <c r="B50" i="13"/>
  <c r="B51" i="13"/>
  <c r="B52" i="13"/>
  <c r="B53" i="13"/>
  <c r="B54" i="13"/>
  <c r="B55" i="13"/>
  <c r="B56" i="13"/>
  <c r="B57" i="13"/>
  <c r="B58" i="13"/>
  <c r="B59" i="13"/>
  <c r="B60" i="13"/>
  <c r="B61" i="13"/>
  <c r="B62" i="13"/>
  <c r="B63" i="13"/>
  <c r="B64" i="13"/>
  <c r="B65" i="13"/>
  <c r="B66" i="13"/>
  <c r="B67" i="13"/>
  <c r="B68" i="13"/>
  <c r="B69" i="13"/>
  <c r="B70" i="13"/>
  <c r="B71" i="13"/>
  <c r="B72" i="13"/>
  <c r="B73" i="13"/>
  <c r="B74" i="13"/>
  <c r="B75" i="13"/>
  <c r="B76" i="13"/>
  <c r="B77" i="13"/>
  <c r="B78" i="13"/>
  <c r="B79" i="13"/>
  <c r="B80" i="13"/>
  <c r="B81" i="13"/>
  <c r="B82" i="13"/>
  <c r="B83" i="13"/>
  <c r="B84" i="13"/>
  <c r="B85" i="13"/>
  <c r="B86" i="13"/>
  <c r="B87" i="13"/>
  <c r="B88" i="13"/>
  <c r="B89" i="13"/>
  <c r="B90" i="13"/>
  <c r="B91" i="13"/>
  <c r="B92" i="13"/>
  <c r="B93" i="13"/>
  <c r="B94" i="13"/>
  <c r="B95" i="13"/>
  <c r="B96" i="13"/>
  <c r="B97" i="13"/>
  <c r="B98" i="13"/>
  <c r="B99" i="13"/>
  <c r="B100" i="13"/>
  <c r="B101" i="13"/>
  <c r="B102" i="13"/>
  <c r="B103" i="13"/>
  <c r="B104" i="13"/>
  <c r="B105" i="13"/>
  <c r="B106" i="13"/>
  <c r="B107" i="13"/>
  <c r="B108" i="13"/>
  <c r="B109" i="13"/>
  <c r="B110" i="13"/>
  <c r="B111" i="13"/>
  <c r="B112" i="13"/>
  <c r="B113" i="13"/>
  <c r="B114" i="13"/>
  <c r="B115" i="13"/>
  <c r="B116" i="13"/>
  <c r="B117" i="13"/>
  <c r="L59" i="13"/>
  <c r="L55" i="13"/>
  <c r="L46" i="13"/>
  <c r="L3" i="13"/>
  <c r="L4" i="13"/>
  <c r="L5" i="13"/>
  <c r="L6" i="13"/>
  <c r="L7" i="13"/>
  <c r="L8" i="13"/>
  <c r="L9" i="13"/>
  <c r="L10" i="13"/>
  <c r="L11" i="13"/>
  <c r="L12" i="13"/>
  <c r="L13" i="13"/>
  <c r="L14" i="13"/>
  <c r="L15" i="13"/>
  <c r="L16" i="13"/>
  <c r="L17" i="13"/>
  <c r="L18" i="13"/>
  <c r="L19" i="13"/>
  <c r="L20" i="13"/>
  <c r="L21" i="13"/>
  <c r="L22" i="13"/>
  <c r="L23" i="13"/>
  <c r="L24" i="13"/>
  <c r="L25" i="13"/>
  <c r="L26" i="13"/>
  <c r="L27" i="13"/>
  <c r="L28" i="13"/>
  <c r="L29" i="13"/>
  <c r="L30" i="13"/>
  <c r="L31" i="13"/>
  <c r="L32" i="13"/>
  <c r="L33" i="13"/>
  <c r="L34" i="13"/>
  <c r="L35" i="13"/>
  <c r="L36" i="13"/>
  <c r="L37" i="13"/>
  <c r="L38" i="13"/>
  <c r="L39" i="13"/>
  <c r="L40" i="13"/>
  <c r="L41" i="13"/>
  <c r="L42" i="13"/>
  <c r="L43" i="13"/>
  <c r="L44" i="13"/>
  <c r="L45" i="13"/>
  <c r="L47" i="13"/>
  <c r="L48" i="13"/>
  <c r="L49" i="13"/>
  <c r="L50" i="13"/>
  <c r="L51" i="13"/>
  <c r="L52" i="13"/>
  <c r="L53" i="13"/>
  <c r="L54" i="13"/>
  <c r="L56" i="13"/>
  <c r="L57" i="13"/>
  <c r="L60" i="13"/>
  <c r="L61" i="13"/>
  <c r="L62" i="13"/>
  <c r="L63" i="13"/>
  <c r="L64" i="13"/>
  <c r="L65" i="13"/>
  <c r="L66" i="13"/>
  <c r="L67" i="13"/>
  <c r="L68" i="13"/>
  <c r="L69" i="13"/>
  <c r="L70" i="13"/>
  <c r="L71" i="13"/>
  <c r="L72" i="13"/>
  <c r="L73" i="13"/>
  <c r="L74" i="13"/>
  <c r="L75" i="13"/>
  <c r="L76" i="13"/>
  <c r="L77" i="13"/>
  <c r="L78" i="13"/>
  <c r="L79" i="13"/>
  <c r="L80" i="13"/>
  <c r="L81" i="13"/>
  <c r="L82" i="13"/>
  <c r="L83" i="13"/>
  <c r="L84" i="13"/>
  <c r="L85" i="13"/>
  <c r="L86" i="13"/>
  <c r="L87" i="13"/>
  <c r="L88" i="13"/>
  <c r="L89" i="13"/>
  <c r="L90" i="13"/>
  <c r="L92" i="13"/>
  <c r="L93" i="13"/>
  <c r="L94" i="13"/>
  <c r="L96" i="13"/>
  <c r="L100" i="13"/>
  <c r="L102" i="13"/>
  <c r="L103" i="13"/>
  <c r="L104" i="13"/>
  <c r="L105" i="13"/>
  <c r="L106" i="13"/>
  <c r="L107" i="13"/>
  <c r="L108" i="13"/>
  <c r="L109" i="13"/>
  <c r="L110" i="13"/>
  <c r="L111" i="13"/>
  <c r="L112" i="13"/>
  <c r="L113" i="13"/>
  <c r="L114" i="13"/>
  <c r="L115" i="13"/>
  <c r="L116" i="13"/>
  <c r="L117" i="13"/>
  <c r="F3" i="13"/>
  <c r="F4" i="13"/>
  <c r="F5" i="13"/>
  <c r="F6" i="13"/>
  <c r="F7" i="13"/>
  <c r="F8" i="13"/>
  <c r="F9" i="13"/>
  <c r="F10" i="13"/>
  <c r="F11" i="13"/>
  <c r="F12" i="13"/>
  <c r="F13" i="13"/>
  <c r="F14" i="13"/>
  <c r="F15" i="13"/>
  <c r="F16" i="13"/>
  <c r="F17" i="13"/>
  <c r="F18" i="13"/>
  <c r="F19" i="13"/>
  <c r="F20" i="13"/>
  <c r="F21" i="13"/>
  <c r="F22" i="13"/>
  <c r="F23" i="13"/>
  <c r="F24" i="13"/>
  <c r="F25" i="13"/>
  <c r="F26" i="13"/>
  <c r="F27" i="13"/>
  <c r="F28" i="13"/>
  <c r="F29" i="13"/>
  <c r="F31" i="13"/>
  <c r="F32" i="13"/>
  <c r="F33" i="13"/>
  <c r="F34" i="13"/>
  <c r="F35" i="13"/>
  <c r="F36" i="13"/>
  <c r="F37" i="13"/>
  <c r="F38" i="13"/>
  <c r="F39" i="13"/>
  <c r="F40" i="13"/>
  <c r="F41" i="13"/>
  <c r="F42" i="13"/>
  <c r="F43" i="13"/>
  <c r="F44" i="13"/>
  <c r="F45" i="13"/>
  <c r="F46" i="13"/>
  <c r="F47" i="13"/>
  <c r="F48" i="13"/>
  <c r="F49" i="13"/>
  <c r="F50" i="13"/>
  <c r="F51" i="13"/>
  <c r="F52" i="13"/>
  <c r="F53" i="13"/>
  <c r="F54" i="13"/>
  <c r="F55" i="13"/>
  <c r="F56" i="13"/>
  <c r="F57" i="13"/>
  <c r="F58" i="13"/>
  <c r="F59" i="13"/>
  <c r="F60" i="13"/>
  <c r="F61" i="13"/>
  <c r="F62" i="13"/>
  <c r="F63" i="13"/>
  <c r="F64" i="13"/>
  <c r="F65" i="13"/>
  <c r="F66" i="13"/>
  <c r="F67" i="13"/>
  <c r="F68" i="13"/>
  <c r="F69" i="13"/>
  <c r="F70" i="13"/>
  <c r="F71" i="13"/>
  <c r="F72" i="13"/>
  <c r="F73" i="13"/>
  <c r="F74" i="13"/>
  <c r="F75" i="13"/>
  <c r="F76" i="13"/>
  <c r="F77" i="13"/>
  <c r="F78" i="13"/>
  <c r="F79" i="13"/>
  <c r="F80" i="13"/>
  <c r="F81" i="13"/>
  <c r="F82" i="13"/>
  <c r="F83" i="13"/>
  <c r="F84" i="13"/>
  <c r="F85" i="13"/>
  <c r="F86" i="13"/>
  <c r="F87" i="13"/>
  <c r="F88" i="13"/>
  <c r="F89" i="13"/>
  <c r="F90" i="13"/>
  <c r="F91" i="13"/>
  <c r="F92" i="13"/>
  <c r="F93" i="13"/>
  <c r="F94" i="13"/>
  <c r="F95" i="13"/>
  <c r="F96" i="13"/>
  <c r="F97" i="13"/>
  <c r="F98" i="13"/>
  <c r="F99" i="13"/>
  <c r="F100" i="13"/>
  <c r="F101" i="13"/>
  <c r="F102" i="13"/>
  <c r="F103" i="13"/>
  <c r="F104" i="13"/>
  <c r="F105" i="13"/>
  <c r="F106" i="13"/>
  <c r="F107" i="13"/>
  <c r="F108" i="13"/>
  <c r="F109" i="13"/>
  <c r="F110" i="13"/>
  <c r="F111" i="13"/>
  <c r="F112" i="13"/>
  <c r="F113" i="13"/>
  <c r="F114" i="13"/>
  <c r="F115" i="13"/>
  <c r="F116" i="13"/>
  <c r="F117" i="13"/>
  <c r="U59" i="13" l="1"/>
  <c r="D98" i="22" l="1" a="1"/>
  <c r="D98" i="22" s="1"/>
  <c r="D83" i="22" a="1"/>
  <c r="D83" i="22" s="1"/>
  <c r="D77" i="22" a="1"/>
  <c r="D77" i="22" s="1"/>
  <c r="D59" i="22" a="1"/>
  <c r="D59" i="22" s="1"/>
  <c r="D37" i="22" a="1"/>
  <c r="D37" i="22" s="1"/>
  <c r="D35" i="22" a="1"/>
  <c r="D35" i="22" s="1"/>
  <c r="D23" i="22" a="1"/>
  <c r="D23" i="22" s="1"/>
  <c r="D14" i="22" a="1"/>
  <c r="D14" i="22" s="1"/>
  <c r="U105" i="13" l="1"/>
  <c r="U106" i="13"/>
  <c r="U107" i="13"/>
  <c r="U108" i="13"/>
  <c r="U109" i="13"/>
  <c r="U110" i="13"/>
  <c r="U111" i="13"/>
  <c r="U112" i="13"/>
  <c r="U113" i="13"/>
  <c r="U114" i="13"/>
  <c r="U115" i="13"/>
  <c r="U116" i="13"/>
  <c r="U117" i="13"/>
  <c r="I4" i="19" l="1"/>
  <c r="I5" i="19"/>
  <c r="I6" i="19"/>
  <c r="I7" i="19"/>
  <c r="I3" i="19"/>
  <c r="I8" i="19" s="1"/>
  <c r="U9" i="13" l="1"/>
  <c r="U46" i="13"/>
  <c r="U38" i="13"/>
  <c r="U95" i="13"/>
  <c r="U48" i="13"/>
  <c r="U17" i="13"/>
  <c r="U97" i="13"/>
  <c r="U47" i="13"/>
  <c r="U19" i="13"/>
  <c r="U45" i="13"/>
  <c r="U71" i="13"/>
  <c r="U4" i="13"/>
  <c r="U12" i="13" l="1"/>
  <c r="U6" i="13"/>
  <c r="U15" i="13"/>
  <c r="U64" i="13"/>
  <c r="U91" i="13"/>
  <c r="U73" i="13"/>
  <c r="U13" i="13"/>
  <c r="U27" i="13"/>
  <c r="U43" i="13"/>
  <c r="U33" i="13"/>
  <c r="U90" i="13"/>
  <c r="U99" i="13"/>
  <c r="U74" i="13"/>
  <c r="U37" i="13"/>
  <c r="U68" i="13"/>
  <c r="U75" i="13"/>
  <c r="U83" i="13"/>
  <c r="U98" i="13"/>
  <c r="U22" i="13"/>
  <c r="L2" i="13" l="1"/>
  <c r="F2" i="13"/>
  <c r="U7" i="13" l="1"/>
  <c r="U10" i="13"/>
  <c r="U104" i="13"/>
  <c r="U35" i="13"/>
  <c r="U41" i="13"/>
  <c r="U94" i="13"/>
  <c r="U60" i="13"/>
  <c r="U2" i="13"/>
  <c r="B2" i="13"/>
  <c r="U69" i="13"/>
  <c r="U89" i="13"/>
  <c r="U56" i="13"/>
  <c r="U100" i="13"/>
  <c r="U70" i="13"/>
  <c r="U65" i="13"/>
  <c r="U92" i="13"/>
  <c r="U72" i="13"/>
  <c r="U93" i="13"/>
  <c r="U31" i="13"/>
  <c r="U67" i="13"/>
  <c r="U30" i="13"/>
  <c r="U102" i="13"/>
  <c r="U103" i="13"/>
  <c r="U101" i="13"/>
  <c r="U96" i="13"/>
  <c r="U81" i="13"/>
  <c r="U88" i="13"/>
  <c r="U87" i="13"/>
  <c r="U86" i="13"/>
  <c r="U85" i="13"/>
  <c r="U84" i="13"/>
  <c r="U82" i="13"/>
  <c r="U80" i="13"/>
  <c r="U79" i="13"/>
  <c r="U78" i="13"/>
  <c r="U77" i="13"/>
  <c r="U76" i="13"/>
  <c r="U66" i="13"/>
  <c r="U63" i="13"/>
  <c r="U62" i="13"/>
  <c r="U61" i="13"/>
  <c r="U58" i="13"/>
  <c r="U57" i="13"/>
  <c r="U55" i="13"/>
  <c r="U52" i="13"/>
  <c r="U51" i="13"/>
  <c r="U54" i="13"/>
  <c r="U49" i="13"/>
  <c r="U53" i="13"/>
  <c r="U50" i="13"/>
  <c r="U44" i="13"/>
  <c r="U42" i="13"/>
  <c r="U34" i="13"/>
  <c r="U40" i="13"/>
  <c r="U39" i="13"/>
  <c r="U36" i="13"/>
  <c r="U25" i="13"/>
  <c r="U29" i="13"/>
  <c r="U28" i="13"/>
  <c r="U32" i="13"/>
  <c r="U26" i="13"/>
  <c r="U24" i="13"/>
  <c r="U23" i="13"/>
  <c r="U21" i="13"/>
  <c r="U18" i="13"/>
  <c r="U20" i="13"/>
  <c r="U16" i="13"/>
  <c r="U14" i="13"/>
  <c r="U11" i="13"/>
  <c r="U8" i="13"/>
  <c r="U3" i="13"/>
  <c r="U5"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tc={FA3BD34B-2A07-467F-8B11-22E1D1AB5C33}</author>
    <author>tc={15DCDDF5-AEE2-4B96-AD0E-11D15B25A282}</author>
    <author>tc={6D07E0F6-4DF0-4ADE-9949-3A718B5AFBAE}</author>
    <author>tc={D5B2FBD9-7E55-4394-8714-701EBCC35144}</author>
    <author>tc={B1C788A8-7A79-44EE-A54B-CBC5AFDBD9F4}</author>
    <author>tc={92D052E1-98AB-486D-9A79-11DA2A2DACF3}</author>
    <author>tc={E8206474-6697-48E9-A31E-69138945C5CA}</author>
    <author>tc={0041C59C-F9F9-4C83-993D-D122C9399368}</author>
    <author>tc={72850F46-6F99-4AE9-AA9C-0D35C56ACC60}</author>
    <author>tc={390B3EE9-C964-4BBF-8A8C-EF83FE61AE2A}</author>
    <author>tc={824C3832-6F9A-4886-A556-58C556E545B8}</author>
    <author>tc={9EFFF02E-E71A-4EAA-B7B0-BDEC52ED4DEF}</author>
    <author>tc={08741313-3F60-4F2B-856E-7E8FFB04A879}</author>
    <author>tc={A5CAD942-B372-4B9A-8A2D-F37251F74BF3}</author>
    <author>tc={272641DD-DFB7-4672-8214-D86F06479939}</author>
    <author>tc={6F55BA77-480E-40E4-B08D-D74D81B7284E}</author>
    <author>tc={D0D64B82-4998-4C28-9AD4-CD7B13F39588}</author>
    <author>tc={60FB343E-7068-4516-969E-F4791E8E04F1}</author>
    <author>tc={715334F1-1F6D-435D-BF76-109CE1206DB1}</author>
    <author>tc={C907F8D6-B9B1-4147-8FED-064820BD0B3A}</author>
    <author>tc={E94CBFE0-6B9E-4BC2-A75F-87CF5CC98DEC}</author>
    <author>tc={87BE34AA-9A33-499D-A2AA-B55D8E797EF8}</author>
  </authors>
  <commentList>
    <comment ref="A4" authorId="0" shapeId="0" xr:uid="{FA3BD34B-2A07-467F-8B11-22E1D1AB5C33}">
      <text>
        <t>[Threaded comment]
Your version of Excel allows you to read this threaded comment; however, any edits to it will get removed if the file is opened in a newer version of Excel. Learn more: https://go.microsoft.com/fwlink/?linkid=870924
Comment:
    Equipamento alinhado com o Jean para colocar os cabos compatibilizadores , vamos só instalar o controle e o suporte</t>
      </text>
    </comment>
    <comment ref="J6" authorId="1" shapeId="0" xr:uid="{15DCDDF5-AEE2-4B96-AD0E-11D15B25A282}">
      <text>
        <t>[Threaded comment]
Your version of Excel allows you to read this threaded comment; however, any edits to it will get removed if the file is opened in a newer version of Excel. Learn more: https://go.microsoft.com/fwlink/?linkid=870924
Comment:
    Artech</t>
      </text>
    </comment>
    <comment ref="J7" authorId="2" shapeId="0" xr:uid="{6D07E0F6-4DF0-4ADE-9949-3A718B5AFBAE}">
      <text>
        <t>[Threaded comment]
Your version of Excel allows you to read this threaded comment; however, any edits to it will get removed if the file is opened in a newer version of Excel. Learn more: https://go.microsoft.com/fwlink/?linkid=870924
Comment:
    Redirecionar tanque do 7955946007 
Reply:
    7955520116 - Redirecionar para esse</t>
      </text>
    </comment>
    <comment ref="J10" authorId="3" shapeId="0" xr:uid="{D5B2FBD9-7E55-4394-8714-701EBCC35144}">
      <text>
        <t>[Threaded comment]
Your version of Excel allows you to read this threaded comment; however, any edits to it will get removed if the file is opened in a newer version of Excel. Learn more: https://go.microsoft.com/fwlink/?linkid=870924
Comment:
    Tanque de Caseara e o Controle do Estoque Sono</t>
      </text>
    </comment>
    <comment ref="H11" authorId="4" shapeId="0" xr:uid="{B1C788A8-7A79-44EE-A54B-CBC5AFDBD9F4}">
      <text>
        <t>[Threaded comment]
Your version of Excel allows you to read this threaded comment; however, any edits to it will get removed if the file is opened in a newer version of Excel. Learn more: https://go.microsoft.com/fwlink/?linkid=870924
Comment:
    21/08 Se a DB Machado for pro Sul</t>
      </text>
    </comment>
    <comment ref="H16" authorId="5" shapeId="0" xr:uid="{92D052E1-98AB-486D-9A79-11DA2A2DACF3}">
      <text>
        <t>[Threaded comment]
Your version of Excel allows you to read this threaded comment; however, any edits to it will get removed if the file is opened in a newer version of Excel. Learn more: https://go.microsoft.com/fwlink/?linkid=870924
Comment:
    22/08 Se a DB Machado for pro Sul</t>
      </text>
    </comment>
    <comment ref="A26" authorId="6" shapeId="0" xr:uid="{E8206474-6697-48E9-A31E-69138945C5CA}">
      <text>
        <t xml:space="preserve">[Threaded comment]
Your version of Excel allows you to read this threaded comment; however, any edits to it will get removed if the file is opened in a newer version of Excel. Learn more: https://go.microsoft.com/fwlink/?linkid=870924
Comment:
    Foi redirecionado para priorizar o RL 7933726256 </t>
      </text>
    </comment>
    <comment ref="A34" authorId="7" shapeId="0" xr:uid="{0041C59C-F9F9-4C83-993D-D122C9399368}">
      <text>
        <t>[Threaded comment]
Your version of Excel allows you to read this threaded comment; however, any edits to it will get removed if the file is opened in a newer version of Excel. Learn more: https://go.microsoft.com/fwlink/?linkid=870924
Comment:
    Equipamento alinhado com o Jean para colocar os cabos compatibilizadores</t>
      </text>
    </comment>
    <comment ref="A39" authorId="8" shapeId="0" xr:uid="{72850F46-6F99-4AE9-AA9C-0D35C56ACC60}">
      <text>
        <t>[Threaded comment]
Your version of Excel allows you to read this threaded comment; however, any edits to it will get removed if the file is opened in a newer version of Excel. Learn more: https://go.microsoft.com/fwlink/?linkid=870924
Comment:
    Joelson vai mandar uma equipe de campo ver</t>
      </text>
    </comment>
    <comment ref="G39" authorId="9" shapeId="0" xr:uid="{390B3EE9-C964-4BBF-8A8C-EF83FE61AE2A}">
      <text>
        <t>[Threaded comment]
Your version of Excel allows you to read this threaded comment; however, any edits to it will get removed if the file is opened in a newer version of Excel. Learn more: https://go.microsoft.com/fwlink/?linkid=870924
Comment:
    Conversar Com o Sandro Para Podermos mandar o e-mail para o Juridico</t>
      </text>
    </comment>
    <comment ref="G44" authorId="10" shapeId="0" xr:uid="{824C3832-6F9A-4886-A556-58C556E545B8}">
      <text>
        <t>[Threaded comment]
Your version of Excel allows you to read this threaded comment; however, any edits to it will get removed if the file is opened in a newer version of Excel. Learn more: https://go.microsoft.com/fwlink/?linkid=870924
Comment:
    Ocorreu simultaneo era caso de furto</t>
      </text>
    </comment>
    <comment ref="A56" authorId="11" shapeId="0" xr:uid="{9EFFF02E-E71A-4EAA-B7B0-BDEC52ED4DEF}">
      <text>
        <t>[Threaded comment]
Your version of Excel allows you to read this threaded comment; however, any edits to it will get removed if the file is opened in a newer version of Excel. Learn more: https://go.microsoft.com/fwlink/?linkid=870924
Comment:
    Nota baixada erroneamente pelo DMSL, aguardando retorno da Lorrane.</t>
      </text>
    </comment>
    <comment ref="A67" authorId="12" shapeId="0" xr:uid="{08741313-3F60-4F2B-856E-7E8FFB04A879}">
      <text>
        <t>[Threaded comment]
Your version of Excel allows you to read this threaded comment; however, any edits to it will get removed if the file is opened in a newer version of Excel. Learn more: https://go.microsoft.com/fwlink/?linkid=870924
Comment:
    Verificar com a PROT sobre os ajustes, equipamento já em operação.</t>
      </text>
    </comment>
    <comment ref="A71" authorId="13" shapeId="0" xr:uid="{A5CAD942-B372-4B9A-8A2D-F37251F74BF3}">
      <text>
        <t>[Threaded comment]
Your version of Excel allows you to read this threaded comment; however, any edits to it will get removed if the file is opened in a newer version of Excel. Learn more: https://go.microsoft.com/fwlink/?linkid=870924
Comment:
    Equipamento em operação, necessário confirmar com o COCM Palmas</t>
      </text>
    </comment>
    <comment ref="A74" authorId="14" shapeId="0" xr:uid="{272641DD-DFB7-4672-8214-D86F06479939}">
      <text>
        <t>[Threaded comment]
Your version of Excel allows you to read this threaded comment; however, any edits to it will get removed if the file is opened in a newer version of Excel. Learn more: https://go.microsoft.com/fwlink/?linkid=870924
Comment:
    Linha viva substituiu a CH danificada, confirmar com o Zenilson se esta em operação.</t>
      </text>
    </comment>
    <comment ref="A79" authorId="15" shapeId="0" xr:uid="{6F55BA77-480E-40E4-B08D-D74D81B7284E}">
      <text>
        <t>[Threaded comment]
Your version of Excel allows you to read this threaded comment; however, any edits to it will get removed if the file is opened in a newer version of Excel. Learn more: https://go.microsoft.com/fwlink/?linkid=870924
Comment:
    Equipamento fora de operação, baixada erroneamente pelo COCM.</t>
      </text>
    </comment>
    <comment ref="A82" authorId="16" shapeId="0" xr:uid="{D0D64B82-4998-4C28-9AD4-CD7B13F39588}">
      <text>
        <t>[Threaded comment]
Your version of Excel allows you to read this threaded comment; however, any edits to it will get removed if the file is opened in a newer version of Excel. Learn more: https://go.microsoft.com/fwlink/?linkid=870924
Comment:
    Confirmar informação de remanejamento inserida na SS.</t>
      </text>
    </comment>
    <comment ref="A93" authorId="17" shapeId="0" xr:uid="{60FB343E-7068-4516-969E-F4791E8E04F1}">
      <text>
        <t>[Threaded comment]
Your version of Excel allows you to read this threaded comment; however, any edits to it will get removed if the file is opened in a newer version of Excel. Learn more: https://go.microsoft.com/fwlink/?linkid=870924
Comment:
    Nota baixada erroneamente pelo DMSL, aguardando retorno da Lorrane.</t>
      </text>
    </comment>
    <comment ref="A97" authorId="18" shapeId="0" xr:uid="{715334F1-1F6D-435D-BF76-109CE1206DB1}">
      <text>
        <t>[Threaded comment]
Your version of Excel allows you to read this threaded comment; however, any edits to it will get removed if the file is opened in a newer version of Excel. Learn more: https://go.microsoft.com/fwlink/?linkid=870924
Comment:
    Equipamento não abre a tela de controle de sinais, Zenilson verificar.</t>
      </text>
    </comment>
    <comment ref="A102" authorId="19" shapeId="0" xr:uid="{C907F8D6-B9B1-4147-8FED-064820BD0B3A}">
      <text>
        <t>[Threaded comment]
Your version of Excel allows you to read this threaded comment; however, any edits to it will get removed if the file is opened in a newer version of Excel. Learn more: https://go.microsoft.com/fwlink/?linkid=870924
Comment:
    Equipamento não abre a tela de controle de sinais, Zenilson verificar.</t>
      </text>
    </comment>
    <comment ref="A104" authorId="20" shapeId="0" xr:uid="{E94CBFE0-6B9E-4BC2-A75F-87CF5CC98DEC}">
      <text>
        <t>[Threaded comment]
Your version of Excel allows you to read this threaded comment; however, any edits to it will get removed if the file is opened in a newer version of Excel. Learn more: https://go.microsoft.com/fwlink/?linkid=870924
Comment:
    Paramos aqui</t>
      </text>
    </comment>
    <comment ref="G110" authorId="21" shapeId="0" xr:uid="{87BE34AA-9A33-499D-A2AA-B55D8E797EF8}">
      <text>
        <t>[Threaded comment]
Your version of Excel allows you to read this threaded comment; however, any edits to it will get removed if the file is opened in a newer version of Excel. Learn more: https://go.microsoft.com/fwlink/?linkid=870924
Comment:
    Tenho um Controle ou consigo reaproveitar o tanque em outro, dependendo da criticidade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tc={DF772875-8A42-4BAA-AFB3-6FFE8C3AB7EB}</author>
  </authors>
  <commentList>
    <comment ref="B14" authorId="0" shapeId="0" xr:uid="{DF772875-8A42-4BAA-AFB3-6FFE8C3AB7EB}">
      <text>
        <t>[Threaded comment]
Your version of Excel allows you to read this threaded comment; however, any edits to it will get removed if the file is opened in a newer version of Excel. Learn more: https://go.microsoft.com/fwlink/?linkid=870924
Comment:
    02125725
Reply:
    17/07/2026</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119C98-B38C-4879-9A70-4A9FB72408C1}" keepAlive="1" name="Consulta - Concluídas" description="Conexão com a consulta 'Concluídas' na pasta de trabalho." type="5" refreshedVersion="8" background="1" saveData="1">
    <dbPr connection="Provider=Microsoft.Mashup.OleDb.1;Data Source=$Workbook$;Location=Concluídas;Extended Properties=&quot;&quot;" command="SELECT * FROM [Concluídas]"/>
  </connection>
  <connection id="2" xr16:uid="{8CBBA375-42DC-4BE9-AE7B-8E9721924E16}" keepAlive="1" name="Consulta - Localidades" description="Conexão com a consulta 'Localidades' na pasta de trabalho." type="5" refreshedVersion="8" background="1" saveData="1">
    <dbPr connection="Provider=Microsoft.Mashup.OleDb.1;Data Source=$Workbook$;Location=Localidades;Extended Properties=&quot;&quot;" command="SELECT * FROM [Localidades]"/>
  </connection>
  <connection id="3" xr16:uid="{D51265C0-A74B-4CFC-83FE-479C8A514C75}" keepAlive="1" name="Consulta - Pendentes" description="Conexão com a consulta 'Pendentes' na pasta de trabalho." type="5" refreshedVersion="8" background="1" saveData="1">
    <dbPr connection="Provider=Microsoft.Mashup.OleDb.1;Data Source=$Workbook$;Location=Pendentes;Extended Properties=&quot;&quot;" command="SELECT * FROM [Pendentes]"/>
  </connection>
  <connection id="4" xr16:uid="{7061224A-39BD-48A6-8A1C-47547A22151D}" keepAlive="1" name="Consulta - Premissas por Equipamento" description="Conexão com a consulta 'Premissas por Equipamento' na pasta de trabalho." type="5" refreshedVersion="8" background="1" saveData="1">
    <dbPr connection="Provider=Microsoft.Mashup.OleDb.1;Data Source=$Workbook$;Location=&quot;Premissas por Equipamento&quot;;Extended Properties=&quot;&quot;" command="SELECT * FROM [Premissas por Equipamento]"/>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<sst xmlns="http://schemas.openxmlformats.org/spreadsheetml/2006/main" count="6627" uniqueCount="1225">
  <si>
    <t>DESTINO_SS</t>
  </si>
  <si>
    <t>(Vários itens)</t>
  </si>
  <si>
    <t>Criticidade</t>
  </si>
  <si>
    <t>Quantidade</t>
  </si>
  <si>
    <t>Total</t>
  </si>
  <si>
    <t>RL</t>
  </si>
  <si>
    <t>RT</t>
  </si>
  <si>
    <t>Qtd</t>
  </si>
  <si>
    <t>Cód</t>
  </si>
  <si>
    <t>Muito Alta</t>
  </si>
  <si>
    <t>58</t>
  </si>
  <si>
    <t>79</t>
  </si>
  <si>
    <t>Total Geral</t>
  </si>
  <si>
    <t>Alta</t>
  </si>
  <si>
    <t>Média</t>
  </si>
  <si>
    <t>Baixa</t>
  </si>
  <si>
    <t>Em definição</t>
  </si>
  <si>
    <t>ANO_SS</t>
  </si>
  <si>
    <t>SS_ORIGINAL</t>
  </si>
  <si>
    <t>COD_RELIGADOR</t>
  </si>
  <si>
    <t>TIPO</t>
  </si>
  <si>
    <t>DTA_ABERTURA</t>
  </si>
  <si>
    <t>COD_LOC</t>
  </si>
  <si>
    <t>LOCALIDADE</t>
  </si>
  <si>
    <t>POLO</t>
  </si>
  <si>
    <t>REGIONAL</t>
  </si>
  <si>
    <t>ALIMENTADOR</t>
  </si>
  <si>
    <t>DESCRICAO</t>
  </si>
  <si>
    <t>Premissa 1</t>
  </si>
  <si>
    <t>Premissa 2</t>
  </si>
  <si>
    <t>Premissa 3</t>
  </si>
  <si>
    <t>Premissa 4</t>
  </si>
  <si>
    <t>Premissa 5</t>
  </si>
  <si>
    <t>Premissa 6</t>
  </si>
  <si>
    <t>Premissa 7</t>
  </si>
  <si>
    <t>Premissa 8</t>
  </si>
  <si>
    <t>Priorização</t>
  </si>
  <si>
    <t>Observação após análise</t>
  </si>
  <si>
    <t>ETO-RD-PO 00213/2026</t>
  </si>
  <si>
    <t>ETO-RD-PO</t>
  </si>
  <si>
    <t>SILVANOPOLIS</t>
  </si>
  <si>
    <t>PORTO NACIONAL</t>
  </si>
  <si>
    <t>CENTRO</t>
  </si>
  <si>
    <t>LD02072001</t>
  </si>
  <si>
    <t>22/07/2026 PARECER COEP: EQUIPAMENTO ENTREGUE AOS COCM´SPRAZO DE 7 DIAS CONTANDO O SLA.PARECER COEP: EQUIPAMENTO ENTREGUE AOS COCM´S FAVOR SUSBSTTUIR , E AGUARDO O PRAZO DE PREVISÃO DE SUBSTIUIÇÃOboa noite,segue SS para as devidas tratativas com equipe de manutenção com apoio de equipe de linha viva substituir regulador de tensão 5854566043 queimado célula fase c, LD Porto / Silvanópolis mesmo deverá ser substituído com apoio de equipe de linha viva PARECER DMSL: Foi realizado inspeção visual e ensaios de isolação, relação de transformação e resistência de enrolamento. A fase B está danificada e será necessário substituir a mesma. Malha de aterramento está relativamente boa e conectada. Fase A e C passaram nos ensaios. Substituir fase B.</t>
  </si>
  <si>
    <t>-</t>
  </si>
  <si>
    <t>Aumento de reclamações no atendimento de Silvanópolis por Porto Nacional no período seco (Outra fonte com defeito também)</t>
  </si>
  <si>
    <t>ETO-RD-GR 00735/2026</t>
  </si>
  <si>
    <t>ETO-RD-GR</t>
  </si>
  <si>
    <t>TUPIRAMA</t>
  </si>
  <si>
    <t>GUARAI</t>
  </si>
  <si>
    <t>NORTE</t>
  </si>
  <si>
    <t>AL01065015</t>
  </si>
  <si>
    <t>16/07/2026 PARECER COEP: ALINHADO COM O JEAN DO DMSL E O KELLITON , KELLITON IRÁ FAZER A INSTALAÇÃO DO CONTROLE RUA E O JEAN IRÁ REALIZAR O COMISSIONAMENTO , FAZENDO A COMPATIBILIZAÇÃO DOS CABOS ASSIM COMO FICARÁ UM CONTROLE RUA NO NOSSO ESTOQUE SOBRESSALENTE PARA ATENDER O DE ARAPOEMA, ATÉ A CHEGADA DOS CABOS QUE O JEAN ME DEU REPORTE DE QUE SERIA ATÉ O DIA 16/08 , FAVOR COCM'S REALIZAREM A INSTALAÇÃO E GUARDAR CONTROLE RUA SOBRESSALENTE PARA ARAPOEMAPEÇA ENVIADA: CONTROLEPARECER DMSL: *FEEDBACK EQUIP. ESPECIAIS**Nº DO EQUIPAMENTO:* 5800859011*TIPO EQUIPAMENTO:* RT ITB *TIPO DE COMUNICAÇÃO:* Não *DATA DA MANUTENÇÃO:* 09/06/2026*SID:* 3195/2026*DESCRIÇÃO:* _ Foi identificado relé da fase C com defeito conforme orientação da supervisão e necessário realiza retrofit para instalação de controle rua.*FICOU EM OPERAÇÃO* Não*PENDÊNCIA:* Realizado Retrofit *DADOS DIVERGENTES DA PROGRAMAÇÃO:* Não*BATERIA SUBSTITUÍDA?:* Não*TIPO DE BATERIA:**EQUIPE:* Edeglan e Brunno.Observação: trocar por um controle RUA.------------------------------------------------------------------------------------------Enviar equipe do DMSL, para  fazer correção no RT 5800859011, o mesmo está com o displey da fase C apagado , dificutando  realizar  manobras no mesmo, emvirtude  disso o mesmo ficou BAY PASSADO EM CAMPO</t>
  </si>
  <si>
    <t>Atendimento de parte da RDU Guaraí por fonte alternativa</t>
  </si>
  <si>
    <t>ETO-COEP 00124/2026</t>
  </si>
  <si>
    <t>ETO-COEP</t>
  </si>
  <si>
    <t>ARAGUAINA</t>
  </si>
  <si>
    <t>AL04010004</t>
  </si>
  <si>
    <t>PARECER COEP: Verificar Disponibilidade de equipamento no Scada e enviar modelo e tensão para a compra.RELIGADOR COM RELÉ DANIFICADO, REALIZAR SUBSTITUIÇÃO</t>
  </si>
  <si>
    <t>Transferência de cargas na RDU de Araguaína (2797 UCs)</t>
  </si>
  <si>
    <t>ETO-COEP 00040/2026</t>
  </si>
  <si>
    <t>TAQUARALTO</t>
  </si>
  <si>
    <t>AL05099059</t>
  </si>
  <si>
    <t>PARECER COEP: EQUIPAMENTO SELECIONADO PARA COMPRADMSL:Serviço Executado: Foi feita uma análise técnica no equipamento, devido à falta de comunicação. Também foi identificado que o tanque do equipamento está danificado, sendo assim,  necessário substituir o tanque e o rádio do equipamento, que está queimado, sendo necessário substituir também.</t>
  </si>
  <si>
    <t>Transferência dos bairros Morada do Sol, Vale do Sol, Morada do Sol II, Nova Esperança, Sõa João, Araras I e II e Jardim Laila em Taquaralto (6033 UCs)</t>
  </si>
  <si>
    <t>ETO-TELE 01025/2026</t>
  </si>
  <si>
    <t>ETO-TELE</t>
  </si>
  <si>
    <t>PALMAS</t>
  </si>
  <si>
    <t>AL08060122</t>
  </si>
  <si>
    <t>PARECER DA PROTEÇÃO:FAVOR COMISSIONAR RELIGADOR. AJUSTES PERMANECEM OS MESMOS E DISPONÍVEIS NO APP DA PROTEÇÃO.Estagiário Rafael P Marques.******************30/06 PARECER COEP: EQUIPAMENTO ENTREGUE, SEGUE SS PARA O COCM´S , PARA REALIZAR O ATENDIMENTO,FAVOR ADICIONAR O PARECER PARA MANDAR PARA PROTEÇÃOBom dia,Segue SS para verificação RL sem comunicação com painel apagado equipe DEOP fez primeiro ataque sem sucesso RL 7931610122 RDU de Palmas.Feedback Equipamentos Especiais DMSL: *RLG 7931610122 RDU Palmas*Noja rc10 Data: 14/10/2025SID: 5412Dados de comunicação divergentes da programação: Não. Serviço Executado: Houve um curto no equipamento danificando a parte ativa, e antena! Será necessário fazer a substituição somente da parte ativa (tanque) e da antena.Equipamento ficou em operação?: Não Pendência: Sim, substituir a parte ativa.Bateria(s) substituída(s)?: NãoData Fabricação/Instalação da(s) bateria(s): 2024Equipe: Benvindo, Juliano e Sérgio.***** Parecer do COCM CENTRO*****Equipamento Substituido em campo pela Ordem de ServiÇO DLP-MPPA01 243/2026, ONDE OS RELATORIO ESTÃO ANEXADO.--------------------------------------------------------Parecer DMSL:Equipamento substituído porém não informado se antena também foi substituída. Levar antena para caso da mesmo não ter sido substituída.</t>
  </si>
  <si>
    <t>Transferência entre 284R SE Palmas IV e 2294R SE Palmas II</t>
  </si>
  <si>
    <t>ETO-RD-DP 00479/2026</t>
  </si>
  <si>
    <t>ETO-RD-DP</t>
  </si>
  <si>
    <t>ALMAS</t>
  </si>
  <si>
    <t>DIANOPOLIS</t>
  </si>
  <si>
    <t>SUL</t>
  </si>
  <si>
    <t>LD04002091</t>
  </si>
  <si>
    <t>PARECER DMSL: não foi regularizado a instalação do equipamento, nota repassada conforme alinhado com o supervisor.____________________________________________COCMS 26.03.26. SS REPASSADA PARA COEP PROVIDENCIAR MATERIAL. NÃO TEMOS AS PÇ EM ESTOQUE PARA FAZER A SUBSTITUIÇÃO. Solicitação de serviço para reposição de equipamentos furtados .COEP: Equipamento fornecido ao COCM-S para regularização.COCMS: Equipamento substituido conforme solicitado. Gentileza comissionar.PARECER DA PROTEÇÃO:SEGUE NOTA REPASSADA PARA DMSL COMISSIONAR.ENG° IRLLEY CASTELO BRANCOPARECER DMSL(23/09/2025): Feito a parte de comunicação, fechando enlace, configuração do rádio GE. Feito a medição de aterramento. Após uma inspeção, foi identificado que o regulador de tensão está instalado errado, carga está para o lado de fonte e fonte está do lado de carga. O certo é a fonte vim de almas, atualmente está vindo de natividade. Favor fazer a instalação correta.</t>
  </si>
  <si>
    <t>Atendimento da região da Engegold, Nativa, cidade Natividade e Chapada da Natividade</t>
  </si>
  <si>
    <t>ETO-COEP 00131/2026</t>
  </si>
  <si>
    <t>RIO SONO</t>
  </si>
  <si>
    <t>LD02424015</t>
  </si>
  <si>
    <t>13/07 PARECER COEP: SELECIONADO PARA COMPRA CONTROLE favor verificar RL 7947203070, sem comunicaçao, feito 1° ataque pela equipe 070OP01 e nao retornou a comunicaçao , linformaçao no Scada de bateria.PARECER DMSL: Foi feito análise técnica, a placa do equipamento está queimada nessesario subistituir o equipamento completo -Carliel e Benvindo-05/02</t>
  </si>
  <si>
    <t>Transferência da RDU de Lizarda (1650 UCs) para fonte alternativa</t>
  </si>
  <si>
    <t>ETO-RD-DP 00409/2026</t>
  </si>
  <si>
    <t>AURORA DO TOCANTINS</t>
  </si>
  <si>
    <t>AL01015049</t>
  </si>
  <si>
    <t>EQUIPAMENTO ENTREGUE, SOLICITO PREVISÃO PARA SUBSTITUIÇÃO:PARECER COEP: PREVISÃO DE ENTREGA AOS COCM'S 01/07Manutenção no RL 7908705049PARECER DMSL(28/08/2025): Equipe foi fazer manutenção no RL e constatou que o tanque e o relé do mesmo se encontra queimado, providenciar substituição.PARECER COCMS 30/04/2026CRIADO OBRA 0512600135 PARA REQUISIÇÃO MATERIAL</t>
  </si>
  <si>
    <t>Proteção da baixa do TF de força da SE Aurora</t>
  </si>
  <si>
    <t>ETO-COEP 00059/2026</t>
  </si>
  <si>
    <t>GOIANORTE</t>
  </si>
  <si>
    <t>LD02022033</t>
  </si>
  <si>
    <t>PARECER COEP: EQUIPAMENTO SELECIONADO PARA COMPRAPARECER DMSL: FEEDBACK EQUIP. ESPECIAISNº DO EQUIPAMENTO:  7925744087TIPO EQUIPAMENTO: Noja RC 10TIPO DE COMUNICAÇÃO: Radio GE IPDATA DA MANUTENÇÃO: 19/02/2026SID: 735/2026 DESCRIÇÃO: foi identificado água dentro da parte interna do tanque e cabo umbilical encharcado de água foi passado essas informações para COS.FICOU EM OPERAÇÃO?: Não PENDÊNCIA: Sim substituir tanque e cabo umbilicalDADOS DIVERGENTES DA PROGRAMAÇÃO: NãoBATERIA SUBSTITUÍDA?: Não DATA DA BATERIA: 07/05/2025TIPO DE BATERIA: Lítio EQUIPE: Edeglan e Janio-------------------------------------------------------------------------------------------------RELIGADOR SEM COMUNICAÇÃO, APOS PRIMEIRO ATAQUE RETORNA E FICAR INDEFINIDO.</t>
  </si>
  <si>
    <t>Transferência de Goianorte, fonte principal operando</t>
  </si>
  <si>
    <t>ETO-PROT 00154/2026</t>
  </si>
  <si>
    <t>ETO-PROT</t>
  </si>
  <si>
    <t>PARAISO DO TOCANTINS</t>
  </si>
  <si>
    <t>AL01062013</t>
  </si>
  <si>
    <t>15/07 PARECER COCM: EQUIPAMENTO FOI SUBSTITUÍDO OBRA 021260042210/07 PARECER COEP: EQUIPAMENTO ENTREGUE AOS COCM´S FAVOR INFORMAR PRAZO DE SUBSTUIÇÃO PARA O DMSL E REPASSAR DEPOIS PARA PROTEÇÃO REALIZAR OS AJUSTES E DESCREVER NA SS O SERVIÇO REALIZADOPARECER COEP: PREVISÃO DE ENTREGA AOS COCM'S 01/07Segue nota para correção de anomalia e provável substituição de religador , religador 7900117013 -RDU - Paraiso .OBS: equipe DMSL Elisfran estava atualizando firmware no equipamento  , porém relé parou de funcionar devido essa atualização , sendo necessário sua substituição .em campo o modelo e   cooper Form6 , segundo tecnico deve ser substituído por um Noja .Repassado para o COEP para aquisição do equipamento e posterior repasse para o COCM.</t>
  </si>
  <si>
    <t>Transferência do 214R de Paraíso I, Centro Comercial de Paraíso</t>
  </si>
  <si>
    <t>ETO-COEP 00120/2026</t>
  </si>
  <si>
    <t>BABACULANDIA</t>
  </si>
  <si>
    <t>LD05010004</t>
  </si>
  <si>
    <t>PARECER COEP: PROBLEMA NO ENVIO COCM'S CONTROLE ENVIADO FOI O NOJA , DEVIDO A FALTA DO MODELO NA SS (GRAVE)PARECER DMSL: *FEEDBACK EQUIP. ESPECIAIS**Nº DO EQUIPAMENTO:* 7929376022 *DATA DA MANUTENÇÃO:* 02/04/2026*SID:* 1677/2026*DESCRIÇÃO:* Trocar controle completo*PENDÊNCIA:* Sim.*DADOS DIVERGENTES DA PROGRAMAÇÃO:* Não*BATERIA SUBSTITUÍDA?:* Não*EQUIPE:* Adeilton e Edicleber __________________________________________________________POR GENTILEZA ATENDER SOLICITAÇÃO PRIMEIRO ATAQUE IDENTIFICOU QUE RELE ESTA EM CURTO NOTA ABERTA 224/2026 FOI BAIXADA POREM NÃO FOI CORRIGIDO PROBLEMA EM CAMPO.</t>
  </si>
  <si>
    <t>Transferência de Babaçulândia, fonte principal operando</t>
  </si>
  <si>
    <t>ETO-PROT 00145/2026</t>
  </si>
  <si>
    <t>MATEIROS</t>
  </si>
  <si>
    <t>PONTE ALTA TOCANTINS</t>
  </si>
  <si>
    <t>LD03046026</t>
  </si>
  <si>
    <t>07/07 Equipamento foi substituido na OS: ETO-RD-PO 1859/2026 OBRA 031260035101/07 PARECER COEP: REDIRECIONADO PARA O POSTO DO COCM´S EQUIPAMENTO CHEGOU NO LOCAL, FAVOR ENTRAR EM CONTATO COM O DMSL, DEVIDO A URGÊNCIA DO EQUIPAMENTO EM OPERAÇÃO.30/06 PARECER COEP: DEVIDO A ALINHAMENTO COM COI UTILIZAREMOS PARTE ATIVA QUE ORIGINALMENTE FOI ENCOMENDADA PARA 7933726256PARECER DMSL: N° do Equipamento: _RLG 7933726256 MateirosTipo de Equipamento: _RLG NOJA RC 10 REL IIData: _06/05/2026SID: _2288/2026-Serviço Executado: _Equipamento com defeito na parte ativa, será necessário fazer a substituição da parte ativa e fazer melhoria na malha de terra!Equipamento ficou em operação?: _NaoPendência: _SimBateria(s) substituída(s)? NÃOData Fabricação/Instalação da(s) bateria(s):_06/2025Equipe: _Benvindo e Almir-------------------------------------------------------------------------------Religador 7933726256, sem comunicação apos primeiroa ataque não retornou as comunicação.</t>
  </si>
  <si>
    <t>Transferência da cidade de Mateiros (733 UCs) para o gerador</t>
  </si>
  <si>
    <t>ETO-TELE 01024/2026</t>
  </si>
  <si>
    <t>AL01099059</t>
  </si>
  <si>
    <t>PARECER DA PROTEÇÃO:RECOMISSIONAR RELIGADOR, AJUSTES DE PROTEÇÃO PERMANECEM OS MESMOS.Estagiário Rafael P Marques****************************PARECER COEP: EQUIPAMENTO ENTREGUE, SEGUE SS PARA O COCM´S , PARA REALIZAR O ATENDIMENTO,FAVOR ADICIONAR O PARECER PARA MANDAR PARA PROTEÇÃOSegue SS para verficar religador de poste 7933766059.Religador esta com defeito na parte ativa no tanque Porte gentilezaenviar equipe verificar.Endereço: TaquariPARECER DMSL: RLG 7933766059 RELÉ NOJA RC 10Mestre 2 Rep. taquaruçu GESID: 5457/2025Data: 15/10/2025Serviço Executado: Houve um curto na parte ativa do equipamento danificando a mesma, será necessário fazer a substituição somente do tanque, parte ativa.*Equipamento ficou em operação?:*Nao Pendência: Sim, substituir parte ativa.Equipe: Benvindo, Juliano e Sérgio.****** Parecer do COCM Centro***Equipámento Substituido em Campo pela Ordem de ServIÇO DLP-MPPA01 244/2026, ONDE OS RELATORIO ESTÃO ANEXADO..</t>
  </si>
  <si>
    <t>Seccionamento de trecho do Setor Taquari</t>
  </si>
  <si>
    <t>ETO-SE-PA 00107/2026</t>
  </si>
  <si>
    <t>ETO-SE-PA</t>
  </si>
  <si>
    <t>PARECER DA PROTEÇÃO:16/07/2026 AJUSTES DISPONIBILIZADOS NO APP DA PROTEÇÃO15/07/2026 EQUIPAMENTO SUBSTITUIDO NA OS ETO-RD-PO 1860 OBRA 031260035414/07/2026 PARECER COCM/ COEP: DE ACORDO COM O EDSON CURCINO FOI FEITA S SUBSTITUIÇÃO DO EQUIPAMENTO , SEGUE PARA PROTEÇÃO ELABORAR AJUSTE10/07 PARECER COEP: EQUIPAMENTO DESLOCADO QUE ESTAVA EM GUARAÍ FOI ALINHADO COM O VALMOR QUE SERIA SUBSTITUIDO DIA 07/07/2026 , FAVOR PASSAR PARA PROTEÇÃO 7900594026PARECER COEP: AGUARDANDO COCM'S PARA ABRIR REQUISIÇÃOPARECER DMSL 10/06/2026: Tem uma nota aberta para esse equipamento solicitando a substituição desde 20/10/2025, como a nota não foi atendida estamos repassando para área responsável. Nota em aberto repassada ETO-COEP 210/2025.Segue nota para verificar intermitência de comunicação nos religadores 7908301026 , 7911120026, 7947959026 , 7908692026, 7900594026 rural- Ponte Alta .</t>
  </si>
  <si>
    <t>Religador responsável pela proteção da barra da SE Ponte Alta (2381 UCs)</t>
  </si>
  <si>
    <t>ETO-COEP 00141/2026</t>
  </si>
  <si>
    <t>LD01072001</t>
  </si>
  <si>
    <t>22/07/2026 EQUIPAMENTO SLEECIONADO PARA COMPRAPARECER DMSL: *Segue feedback**Equipamento:* RLG 7927413001  *RELÉ TAVRIDA*Data:* 16/04/2026*SID:* 1817/2026*Serviço executado:* Placa de alimentação do equipamento com defeito, VERIFICAR SE É POSSIVEL  substituir o equipamento completo.*Equipamento ficou em operação?*_Não*Pendência:*_Sim*Bateria(s) substituída(s)?*_Nao *Equipe:* Benvindo e Kaique-------------------------------------------------------------------------------------------------Religador 7927413001 sem comunicação foi realizado primeiro ataque porem a comunicação não retornou. Favor enviar equipe para devidas trattivas</t>
  </si>
  <si>
    <t>Transferência do Distrito Ind de Porto Nacional e GAs</t>
  </si>
  <si>
    <t>ETO-RD-PS 00302/2026</t>
  </si>
  <si>
    <t>ETO-RD-PS</t>
  </si>
  <si>
    <t>PIUM</t>
  </si>
  <si>
    <t>LD02025012</t>
  </si>
  <si>
    <t>10/07 PARECER COEP: EQUIPAMENTO ENTREGUE AOS COCM´S FAVOR INFORMAR PRAZO DE SUBSTUIÇÃO PARA O DMSL E REPASSAR DEPOIS PARA PROTEÇÃO REALIZAR OS AJUSTES E DESCREVER NA SS O SERVIÇO REALIZADO06/07 PARECER COEP: PREVISÃO DE ENTREGA DE ACORDO COM CALENDÁRIO LOGISITCO NOVO 06/07NOTA DMSL: Favor substituir o tanque, ele não está efetuando os comandos enviados. Não substituir o controle pois o mesmo funciona como repetidor de outros equipamentos.Segue nota para verificar falha de fechamento religador 7908686014- Pium .OBS: equipamento não fechou local e remoto , fica sinalizando no painel para verificar alarmes !</t>
  </si>
  <si>
    <t>Fonte principal de Pium, RL de transferência operando</t>
  </si>
  <si>
    <t>ETO-TELE 00896/2026</t>
  </si>
  <si>
    <t>ESPERANTINA</t>
  </si>
  <si>
    <t>AUGUSTINOPOLIS</t>
  </si>
  <si>
    <t>LD02109039</t>
  </si>
  <si>
    <t>PARECER DCMD:Serviço realizado , substituição da parte ativa  do RELIGADOR 7943790134 - Favor realizar comissionamento</t>
  </si>
  <si>
    <t>Transferência de Esperantina, fonte principal operando</t>
  </si>
  <si>
    <t>ETO-COEP 00087/2026</t>
  </si>
  <si>
    <t>SANTA RITA DO TOCANTINS</t>
  </si>
  <si>
    <t>LD03040003</t>
  </si>
  <si>
    <t>10/07/2026 EQUIPAMENTO SELECIONADO PARA COMPRA PARTE ATIVA30/06.PARECER COEP: ALINHADO COM O ALLAN REMANEJAMOS PARTE ATIVA PARA ATENDER 7933726256PARECER COEP: Aproveitar controle cooper se possível em outro local, previsão de chegada do material dia 01/07 para substituiçãoFavor verificar o RL 7900453110, pois o mesmo aceita comando de fechamento, porém fecha em campo e no SCADA continua aberto e só abre através de equipe em campo.  Parecer Dmsl:Equipamento está com defeito na parte ativa, não aceita o comando de fechamento. Será necessário substituir o equipamento completo.Equipamento ficou em operação?: _SIM_a pedido do COS ficou em operação, a operação está ciente da necessidade de substituir.Pendência: Sim, será necessário substituir o equipamento.</t>
  </si>
  <si>
    <t>Transferência de Santa Rita, fonte principal operando</t>
  </si>
  <si>
    <t>ETO-COEP 00143/2026</t>
  </si>
  <si>
    <t>PARECER DMSL: Análise técnica realizada. Constatado que o equipamento está em Bypass. Foi aberta nota para substituição da parte ativa,  abri nota para substituir completo  o equipamento</t>
  </si>
  <si>
    <t>ETO-COEP 00048/2026</t>
  </si>
  <si>
    <t>GOIATINS</t>
  </si>
  <si>
    <t>LD03105019</t>
  </si>
  <si>
    <t>30/06 PARECER COEP: AGUARDANDO RETORNO DO DMSLPARECER DMSL: A PEDIDO DA PCM DO NORTE LARA SOARES REALIZEI A CRIAÇÃO DESSA SS, EM RAZAO DA ANTIGAETO-TELE 337/2026 QUE FOI BAIXADA POR ENGANO DE TAL FORMA SEGUE A MESMA PARA REALIZAR AS TRATATIVAS. PENDENCIA: Religador continua by passado, equipamento está com defeito na parte ativa</t>
  </si>
  <si>
    <t>Transferência de Goiatins e GAs (2492 UCs)</t>
  </si>
  <si>
    <t>ETO-COEP 00149/2026</t>
  </si>
  <si>
    <t>AL01102271</t>
  </si>
  <si>
    <t>01/07 PARECER COEP: FOI CONFIRMADO COM A OPERAÇÃO QUE O EQUIPAMENTO SEGUIU O FLUXO INTEIRO DE COMISSIONAMENTO, PROTEÇÃO, FAVOR EXPLICAR O QUE FOI REALIZADO E SE EQUIPAMENTO ESTÁ OPERANDO, SENÃO ESTIVER EXPLICAR O QUE FOI FEITO NELE30/06PARECER COEP: REPASSAR DIRETAMENTE PARA OS COCM'SRegulador 5803327001 fora de operação, by passado em campo com painel de comunicação com cabos desconectados tensão 13.8.parecer DMSL: Feedback Equip. EspeciaisRT 5803327001RELÉ RUASid: 4844Data: 19/09/2025Serviço realizado:*Equipamento foi remanejado, 7 km da sua localização sentido Palmas necessário comissionamento completo*Equipamento com um dos cabos umbilicais danificado.* aterramento bucha FC não esta interligada corretamente * para-raios estão no mesmo aterramento da bucha FC.* Tranques  muito alto e próximo da rede  não permitindo o comissionamento com segurança.* Controle alto  demais tem que baixar Equipamento ficou em operação?: nãoPendência: sim, precisa comissionar completoOBS</t>
  </si>
  <si>
    <t>Em caso de perca da fonte principal é necessário esse RT para alimentação da Frísia</t>
  </si>
  <si>
    <t>ETO-PROT 00143/2026</t>
  </si>
  <si>
    <t>PALMEIRANTE</t>
  </si>
  <si>
    <t>COLINAS DO TOCANTINS</t>
  </si>
  <si>
    <t>LD02105019</t>
  </si>
  <si>
    <t>07/07/2026 PARECER COEP: MATERIAL ENVIADO , CONFORME ALINHANDO COM O WANDER REALIZAR SUBSTIUIÇÂO DO EQUIPAMENTO, FAVOR ESCREVER PARECER COCM ANTES DE PASSAR PARA PROTEÇÂO, DO QUE FOI REALIZADO01/07/2026 PARECER COEP: PROBLEMA NO ENVIO DO MATERIAL PARECER DMSL: Religador está com o tanque danificado. Não responde a comandos abertura e fechamento local ou remoto, pois está com sinal de curto circuito. Necessário trocar o equipamento. Para raio do trafo está queimado. Chave de saída da fase C está com o olhal quebrado, necessário substituir a chave. Equipamento ficou bypassado em campo. Aberto entrada e saída, com exceção da fase C de saída que ficou fechada. Favor, substituir equipamento completo por NOJA RC10 e sanar demais pendencias.Senhores Favor verificar RL 7900230155  o mesmo sinalizou aberto  no SCADA porem a cidade de Palmeirante estava normal , feito um reset no rl e o mesmo subiu fechado.08/07/2026 PARECER DCMD: EQUIPE ETO-LVGR01  DE GUARAI ESTEVE NO RL 7900230155 DIA 25-06-2026 E FEZ TODAS A PENDENCIAS DO RL, OBS: EQUIPE SO NAO CONECTOU O CABO DO TRAFO NO RL. RL ESTA PRONTO PARA O COMISSIONAMENTO</t>
  </si>
  <si>
    <t>Fonte principal de Palmeirante, RL de transferência operando</t>
  </si>
  <si>
    <t>ETO-TELE 00997/2026</t>
  </si>
  <si>
    <t>RL teve nota baixada (ETO-TELE 970/2026) pore´m eqp continua fora de operação, solicito programação para equipe verificar em campo</t>
  </si>
  <si>
    <t>Isolação de trecho e transferência das cidades de São Felix e Mateiros para gerador, além de atendimento de clientes rurais</t>
  </si>
  <si>
    <t>ETO-RD-GR 00766/2026</t>
  </si>
  <si>
    <t>ARAPOEMA</t>
  </si>
  <si>
    <t>LD02010153</t>
  </si>
  <si>
    <t>16/07/2026 PARECER COEP: ALINHADO COM O KELLITON REALIZAR SUBSTITUIÇÃO DO CONTROLE DE TUPIRAMA, ALINHADO COM O JEAN QUE OS CABOS COMPATIBILIZADORES VÃO CHEGAR 16/08 , ATÉ ESSA DATA MANTER ESSA SS E CONTROLE RUA, DEPOIS REPASSAR PARA O DMSLPARECER COEP: AVALIAR COM O LEANDRO, PROVAVELMENTE SÓ COMPRAPARECER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etc.Segue nota para veriifcar falha em regulador de tensão N: 5800371025 dentro S/E Arapoema , equipamento esta com 2 reles com falha  marca toshiba .</t>
  </si>
  <si>
    <t>Aumento de reclamações no atendimento de Arapoema no período seco</t>
  </si>
  <si>
    <t>ETO-PROT 00144/2026</t>
  </si>
  <si>
    <t>CENTENARIO</t>
  </si>
  <si>
    <t>LD01065015</t>
  </si>
  <si>
    <t>PARECER DMSL:PENDÊNCIA: Realizar melhoria no aterramento por ser tratar de um terreno muito arenoso, e há pendências por parte do time da proteção, os ajustes do RT não estão disponíveis para inserção no referido equipamento.DATA DA MANUTENÇÃO: 12/03/202EQUIPE: Brunno e Edeglan.***********************PARECER DA PROTEÇÃO:FAVOR COMISSIONAR REGULADOR 5865120195 – LD Santa Maria Ramal Centenário e Recursolândia – 34,5kV. AJUSTE REALIZADO, DISPONÍVEL NO APP DA PROTEÇÃO.*********************** INSTALADO NA OBRA 0702400720 GENTILEZA, REALIZAR O COMISSIONAMENTO.LAUDO EM ANEXO.COORD EO: 889017, 901685708-07-2026 PARECER: FOI FEITO A MELHORIA NO REGULADOR CONFORME FOTOS EM ANEXO.</t>
  </si>
  <si>
    <t>Atendimento das RDUs de Centenário, Recursolândia e clientes rurais</t>
  </si>
  <si>
    <t>ETO-COEP 00078/2026</t>
  </si>
  <si>
    <t>LD03062013</t>
  </si>
  <si>
    <t>PARECER COEP: EQUIPAMENTO SELECIONADO PARA COMPRAPARECER DMSL: Feedback Equip. EspeciaisRLG 7926089013,RELÉ NOJA RC10SID 1805/2026DATA 15/04/2026Serviço Executado: Favor realizar a troca da parte ativa do equipamento --reprogramar para atualizar a base juntamente com escada Equipamento ficou em operação: Não Pendência: sim atualizar a base e  subistituir o tanque Bateria(s) substituída(s)? Não Data de Fabricação/Instalação da(s) bateria(s): Equipe: Carliel e João Vitor Fernando e Elson---------------------------------------------------------------------------------ATUALIZAR AJUSTES DO RL 7926089013 LD PARAISO I  A  PIUM. IMPLEMENTAÇÃO DA FUNÇÃO 27, SUBTENSÃO.AJUSTES DISPONIVEIS NO APP DA PROTEÇÃO.</t>
  </si>
  <si>
    <t>Transferência da RDU de Chapada de Areia (937 UCs) para fonte alternativa</t>
  </si>
  <si>
    <t>ETO-PROT 00152/2026</t>
  </si>
  <si>
    <t>PARANA</t>
  </si>
  <si>
    <t>PEIXE</t>
  </si>
  <si>
    <t>LD01010021</t>
  </si>
  <si>
    <t>10/07 PARECER COEP: EQUIPAMENTO ENTREGUE AOS COCM´S FAVOR INFORMAR PRAZO DE SUBSTUIÇÃO PARA O DMSL E REPASSAR DEPOIS PARA PROTEÇÃO REALIZAR OS AJUSTES E DESCREVER NA SS O SERVIÇO REALIZADOPARECER COEP: EM ROTA DE ENTREGA, VERIFICAR PREVISÃO DE CHEGADARealizar a substituição do tanque do equipamento.</t>
  </si>
  <si>
    <t>Primeiro RL do 414R de Paranã, RL a jusante na LD também está bay-passado (630 UCs)</t>
  </si>
  <si>
    <t>ETO-PROT 00151/2026</t>
  </si>
  <si>
    <t>AL03062013</t>
  </si>
  <si>
    <t>15/07 PARECER COCM, FOI ATENDIDA PELA OS ETO-RD-PS 1616/2026 OBRA-021260053910/07 PARECER COEP: EQUIPAMENTO ENTREGUE AOS COCM´S FAVOR INFORMAR PRAZO DE SUBSTUIÇÃO PARA O DMSL E REPASSAR DEPOIS PARA PROTEÇÃO REALIZAR OS AJUSTES E DESCREVER NA SS O SERVIÇO REALIZADOPARECER COEP: EM PROCESSO DE ENTREGAPARECER DMSL: RT 5801866013Serviço Executado: Feito a medição da malha de terra. Identificado infiltração na caixa de passagem da célula da fase C do banco regulador de tensão, será necessário fazer a substituição da mesma! Ficar atento na hora da substituição, deverá ser substituída a célula do lado da BR.Obs.: Será necessário baixar todo o banco pelo menos um metro, as buchas estão muito próximas a parte energizada não oferecem segurança para equipe no momento do ensaio elétrico.Equipamento ficou em operação?: Não Possui nobreak: SimPossui antena: SimPossui rádio:SimPendência: SimData da bateria:  Equipe: Benvindo e Kaique._______________________________________________RT 5801866013BY PASSADO DEVIDO DEFEITO EM CELULA BEMVINDO ESTEVE NO LOCAL JUNTO AO COD .NECESSARIO TRATATIVA PARA MESMA .FASE DANIFICADO C</t>
  </si>
  <si>
    <t>Atendimento da RDU Luzimangues Industrial por fonte alternativa</t>
  </si>
  <si>
    <t>ETO-RD-PS 00323/2025</t>
  </si>
  <si>
    <t>MIRACEMA DO TOCANTINS</t>
  </si>
  <si>
    <t>LD05050008</t>
  </si>
  <si>
    <t>REALIZAR TESTES NO EQUIPAMENTO E CONFERIR MEDIÇÕES DA MALHA DE ATERRAMENTO. ESTANDO OK, COMISSIONAR EQUIPAMENTO E COLOCA-LO EM OPERAÇÃO.AJUSTES DISPONIVEIS NO APP DA PROTEÇÃdmsl : N° do Equipamento:*RT 5853360007 MIRACEMASID: 2493/2025Data: 13/05/2025Serviço Executado Provavelmente ocorreu uma descarga no equipamento comprometendo a malha!Será necessário fazer melhoria da malha de aterramento, fazer toda interligação da mesma! Feito ensaios de isolação das 3 células do equipamento, isolação está ok, quando retornar para colocar em operação levar 3 baterias de 7a.Equipamento ficou em operação?: Não Equipe: Benvindo e Jardel</t>
  </si>
  <si>
    <t>Aumento de reclamações no atendimento de Miracema no período seco</t>
  </si>
  <si>
    <t>ETO-PROT 00153/2026</t>
  </si>
  <si>
    <t>FIGUEIROPOLIS</t>
  </si>
  <si>
    <t>FORMOSO DO ARAGUAIA</t>
  </si>
  <si>
    <t>AL02033047</t>
  </si>
  <si>
    <t>10/07 PARECER COEP: EQUIPAMENTO ENTREGUE AOS COCM´S FAVOR INFORMAR PRAZO DE SUBSTUIÇÃO PARA O DMSL E REPASSAR DEPOIS PARA PROTEÇÃO REALIZAR OS AJUSTES E DESCREVER NA SS O SERVIÇO REALIZADOPARECER COEP: AGUARDANDO COCM'S GERAREM AS OBRAS PARA PODER ENTREGAR MATERIALFavor providenciar manutenção no RL 7900573047, o mesmo estar em curto conforme fotos anexadas. Equipamento ficou bay passado em campo.PARECER DMSL: Equipe: FABIO AP./JOÃO MARCOSData Executada: 15/10/2025Serviço Executado:Foi constatado que o equipamento esta queimado na parte ativa placa, tanque e relé. Por favor fazer a substituição pelo Noja RC10.</t>
  </si>
  <si>
    <t>Transferência da Bunge, Saneatins e secadora</t>
  </si>
  <si>
    <t>ETO-RD-PO 00208/2026</t>
  </si>
  <si>
    <t>14/07/2026 - PARECER COEP: REALOCAR TANQUE 34,5 SOBRESSALENTE DE PARAÍSO PARA ATENDER  PARECER DMSL: Data: 10/03/2026,Serviço Executado: Foi substituído o relé do equipamento, o mesmo estava danificado. Trocado o DPS, o mesmo estava queimado devido ao tanque estar furado. O equipamento ficou em bypass.Equipamento ficou em operação? NãoPendência? Sim, substituir a parte ativa com cordão umbilical.Equipe: Carliel e João VitorSEGUE SS PARA REGULARIZAR AUTOMAÇÃO DO RL 7953610256 NA INTERLIGAÇÃO COM A COELBA (CHAPADA DA MANGABEIRA) - EQUIPE INFOMOU CURTO INTERNO NO GABINETE DJ AC NÃO FECHA</t>
  </si>
  <si>
    <t>Atenidmento da COELBA (Alto potencial de compensação)</t>
  </si>
  <si>
    <t>ETO-RD-DP 00404/2026</t>
  </si>
  <si>
    <t>CHAPADA DA NATIVIDADE</t>
  </si>
  <si>
    <t>01/07 PARECER COEP: DENER INFORMOU QUE TEM AS PEÇAS SOBRESSALENTES DE OBRA PARA UTILIZAR, REPASSEREI AO POSTO DO ETO-RD-DP PARA AS TRATATIVAS, FAVOR INFORMAR PREVISÃO DE SUBSTIUIÇÃO E PREENCHER A PLANILHA ASSIM COMO PREENCHER A DESCRIÃO ANTES DE PASSAR PARA PROTEÇÃO FAZER OS AJUSTES30/06PARECER COEP: AGUARDANDO COCM'S CRIAREM OBRA PARA ENTREGA DO MATERIALSegue nota para normalizar falha em regulador N:5800438116 - Chapada da natividade .equipamento está com fase B e C travada .OBS: a fase B esta sinalizando falha , equipamento não insere TAP negativo na fase B e C , o mesmo ficou no TAP zerado e bloqueado .PARECER DMSL (18/08/2025): Foi feito teste de elevar e abaixar nas fases B e C e o mesmo só aceita elevar os taps, constatando que o mercanismo da chave reversoura polaridade está com defeito. Número de série fase B EI7030 e Número de série fase C EI7040. Substituir as fases B e C.Foi constatado que a placa F do controle está com defeito.</t>
  </si>
  <si>
    <t>Atendimento da região da Engegold, Nativa, cidade Natividade e Chapada da Natividade (Fonte alternativa)</t>
  </si>
  <si>
    <t>ETO-COEP 00151/2026</t>
  </si>
  <si>
    <t>BANDEIRANTES DO TOCANTINS</t>
  </si>
  <si>
    <t>LD01054060</t>
  </si>
  <si>
    <t>PARECER DMSL 13/07/2026: Realizados ensaios de isolação nas três células, e foi identificado curto na fase A, sendo necessário a sua substituição. Os cabos das buchas ficaram desconectados para melhor identificação no momento da sua substituiçãSEGUE PARA O DMSL AVALIAR ANTES DE SEGUIRMOS COM O SERVIÇOSEGUE PARA REALIZAR TROCA---------------------------------------------------------Boa noite,Segue SS para tratativas regulador de tensão 5840227063 fase C em curto</t>
  </si>
  <si>
    <t>Atendimento da RDU Bandeirantes e clientes rurais</t>
  </si>
  <si>
    <t>ETO-TELE 00881/2026</t>
  </si>
  <si>
    <t>MARIANOPOLIS</t>
  </si>
  <si>
    <t>DIVINOPOLIS</t>
  </si>
  <si>
    <t>LD05062013</t>
  </si>
  <si>
    <t>PARECER DMSL: FAVOR SOLUCIONAR PENDENCIAS RT: 5851753086Relé R.U.A  Data: _19/05/2026Sid: 2740/2026Possui rádio?: SimPossui antena?: SimPossui módulo nobreak?: SimServiço Executado: * Feito testes no equipamento,o mesmo está normal.* Será necessário fazer melhorias na malha de terra e colocar em operação.Equipamento ficou em operação? Não Pendência: Sim. É necessário fazer melhorias na malha de aterramento.Bateria(s) substituída(s)? _nao Data Fabricação/Instalação da(s) bateria(s): 12/2025Equipe: Jean e BenvindoPARECER DCMD: FEITO MELHORIA NA MALHA DO ATERRAMENTO, FAVOR ENVIAR EQUIPE PARA COLOCA-LO EM OPERAÇÃORT 5851753086MESMO ESTA BY-PASSADO EM CAMPO EQUIPE SINERGIA 086OP01 ESTEVE NO LOCAL APARENTIMENTE SEM DEFEITO APARENTE MESMO FOI BY PASSADO POR TER TIRADO LINHA.DESDE ENTAO MESMO NAO VOLTOU PARA OPERAÇÃO .FAVOR VERIFICAR PARA TESTES POSSIVEIS .PARA QUE O MESMO VOLTA COM DISPONIBILIDADE PARA OPERAÇÃO .</t>
  </si>
  <si>
    <t>Atendimento da RDU Marianópolis e clientes rurais</t>
  </si>
  <si>
    <t>ETO-TELE 00986/2026</t>
  </si>
  <si>
    <t>LD04040003</t>
  </si>
  <si>
    <t>COCM SUL - 07/07/2026 - FOI REALIZADO MELHORIA DE ATERRAMENTO E FEITO A MANUTENÇÕES E TODAS AS CHAVES E SUBSTITUIDO OS CONECTORES.PARECER COEP: MELHORIA DE ATERRAMENTO É COCM'S, FAVOR ENCAMINHAR DIRETAMENTE PARA ELES, COCM'S REALIZAR MELHORIA DE ATERRAMENTO POR FAVORPor genteliiza verificar RT 5846328094 situação de equipamento, se encontra by passado em campoPARECER DMSL:Favor, realizar melhoria de aterramento que se encontra alta e substituir todos os conectores das buchas por conectores estrangulador.</t>
  </si>
  <si>
    <t>Atendimento da RDU Sucupira e clientes rurais</t>
  </si>
  <si>
    <t>ETO-COEP 00184/2025</t>
  </si>
  <si>
    <t>20/07 PARECER COEP: EQUIPAMENTO SELECIONADO PARA COMPRAApós testes no RLG 7903112004 foi constatado defeito no mesmo e como se trata de um modelo COOPER FORM6 que está obsoleto e não possuímos peças sobressalentes, faz-se necessária substituição completa por modelo NOJA RC10.</t>
  </si>
  <si>
    <t>Transferência de Babaçulândia, 4 RLs sendo 2 operando</t>
  </si>
  <si>
    <t>ETO-COEP 00120/2025</t>
  </si>
  <si>
    <t>PALMEIRAS DO TOCANTINS</t>
  </si>
  <si>
    <t>TOCANTINOPOLIS</t>
  </si>
  <si>
    <t>LD01084002</t>
  </si>
  <si>
    <t>30/06 PARECER COEP: AGUARDANDO O RETORNO DO DMSL , PARA ENTENDER SE O PROBLEMA É NA COMUNICAÇÃO OU PARTE ATIVA, JÁ QUE O EQUIPAMENTO EM QUESTÃO SEGUE COMUNICANDOPARECER DMSL: Após testes, equipe DMSL constatou que o relé e a parte ativa do equipamento 7920024127 estão com defeito, sendo necessária a substituição completa por um modelo NOJA RC 10. Favor, subsituir também a chave de saída da fase A que está com o anel de abertura quebrado.RL 7920024127 está desarmando em campo e no SCADA continua fechado, só sinaliza aberto no SCADA quando a equipe faz o resert no equipamento em campo.</t>
  </si>
  <si>
    <t>Transferência de Palmeiras, 3 fontes operando</t>
  </si>
  <si>
    <t>ETO-COEP 00029/2026</t>
  </si>
  <si>
    <t>PARECER COEP: EQUIPAMENTO SELECIONADO PARA COMPRARELIGADOR BY PASSADO POR DEFEITO, NECESSÁRIO AVALIAÇÃO DO PROBLEMA.parecer dmsl:O religador apresenta defeito no tanque, sendo necessário substituir o tanque o mesmo está tirando a linha, e troca os  isoladores. Quando retornar, trazer uma fonte para o equipamento, a mesma foi removida.FICOU EM OPERAÇÃO? NãoPENDÊNCIA: Sim, aguardando peças para substituição.</t>
  </si>
  <si>
    <t>Opção de isolação de São Félix e Mateiros para alimentação por gerador</t>
  </si>
  <si>
    <t>ETO-PROT 00156/2026</t>
  </si>
  <si>
    <t>PARECER COEP: EQUIPAMENTO ENTREGUE, SEGUE SS PARA O COCM´S , PARA REALIZAR O ATENDIMENTO,FAVOR ADICIONAR O PARECER PARA MANDAR PARA PROTEÇÃOSS ANTIGA: 1500/2025 PARECER DMSL: Serviço Executado: Foi verificado que o tanque do equipamento está danificado, sendo necessário substituir o tanque do equipamento.Equipamento ficou em operação?: NãoPendência: Sim, instalar fonte, disjuntor e DPS, e substituir o tanque.***** Parecer COCM******Subsituido Tranque do RL pela Ordem de Serviço DLP-MPPA01 247/2026 RELATORIO EM ANEXO DA O.S EXECUTORA</t>
  </si>
  <si>
    <t>Transferência dos Grupos A -  VLI e Frisia</t>
  </si>
  <si>
    <t>ETO-RD-PO 00097/2026</t>
  </si>
  <si>
    <t>MONTE DO CARMO</t>
  </si>
  <si>
    <t>LD01051035</t>
  </si>
  <si>
    <t>PARECER DMSL: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quando retornar para colocar em operação levar 3 baterias de 7a e rele rua.Obs.: Fizeram melhoria na malha de terra, mas não está dentro do aceitável! As outras pendências continuam, favor corrigir. Equipamento ficou em operação?: Não  - Equipe: Benvindo e Kaique- SS ANTIGA ETO-TELE 358/2026</t>
  </si>
  <si>
    <t>Aumento de reclamações no atendimento de Silvanópolis por Monte do Carmo no período seco</t>
  </si>
  <si>
    <t>ETO-COEP 00150/2026</t>
  </si>
  <si>
    <t>LD01100001</t>
  </si>
  <si>
    <t>PARECER DMSL DATA 16/07/2026: será necessário fazer a substituição da parte ativa do equipamento.PARECER COEP: Equipamento Funcionando no SCADA , favor reavaliar a necessidade de substituição e se necessário mandar o modelo do equipamento.Segue nota para substituir Taque do RL-7930428001 na LD Porto Nacional / São João, Identificado pela Int-20253617520441 equipamento dando passagem na fase A ficou bay-passado até substituição, Tensão 34,5kva, Acesso livre.</t>
  </si>
  <si>
    <t>Transferência dos Grupos A -  Ramal do Rossato (TF 225kVA e TF 750kVA)</t>
  </si>
  <si>
    <t>ETO-RD-PS 00289/2026</t>
  </si>
  <si>
    <t>PUGMIL</t>
  </si>
  <si>
    <t>LD01062013</t>
  </si>
  <si>
    <t>PARECER COEP:NÃO É POSSÍVEL RETORNAR COM O CONTROLE COMPLETO , MAS DARIA PARA FAZER A MELHORIA NA MALHA DE ATERRAMENTO , ENCAMINHANDO PARA OS COCM'S PARA REALIZAREM A MELHORIAparecer DMSL: :Nobreack com defeito, rele queimado, cabo de comunicação entre o rádio e o rele danificado, malha de aterramento está com a resistência alta!Feito reparo no cabo, substituído nobreack, e rele. Se possível retornar com controle completo pq o q está em campo teve infiltração de água, abrir chamado no scada para atualizar base do equipamento pois o mesmo está com a base antiga, fazer correção da malha de aterramento.Equipamento ficou em operação?: Não Pendência: sim, levar controle novo, fazer correção da malha de terra, levar suporte para fixar antena. OBS</t>
  </si>
  <si>
    <t>Aumento de reclamações no atendimento de Pugmil no período seco</t>
  </si>
  <si>
    <t>ETO-COEP 00173/2025</t>
  </si>
  <si>
    <t>SANTA FE DO ARAGUAIA</t>
  </si>
  <si>
    <t>LD03010004</t>
  </si>
  <si>
    <t>PARECER COEP: EQUIPAMENTO SELECIONADO PARA COMPRAPARECER DMSL:  Equipamento 7900535058 encontra-se com o relé danificado, firmware corrompido, o mesmo não inicia. Devido ao fato de não possuirmos mais peças de reposição para religador cooper, se faz necessário a  substituição de todo conjunto por um Noja RC10.envar equipe para verificar rlo 7900535058 foi feito primeiro ataque com equipe 040op36 o mesmo esta com RELE TRAVADO E FICOU FORA DE OPERAÇÃO, ATENDE RDR DE SANTA FÉ SAIDA DA CIDADEEQUIPE INFORMOU ABELHAS NA CAIXA DO PAINEL DE COMANDO</t>
  </si>
  <si>
    <t>Atendimento 3 povoados, na perca 4 ficam fora (900 UCs)</t>
  </si>
  <si>
    <t>ETO-COEP 00221/2025</t>
  </si>
  <si>
    <t>LD03028074</t>
  </si>
  <si>
    <t>PARECER COEP: EQUIPAMENTO SELECIONADO PARA COMPRASubstituir as 3 células- Melhoria na malha de aterramento - Melhoria no circuito de aterramento qua aterra as células.- Substituir conectores paralelos</t>
  </si>
  <si>
    <t>Atendimento da COELBA e GA Alessandro Maurício (1600 kVA)</t>
  </si>
  <si>
    <t>ETO-COEP 00063/2026</t>
  </si>
  <si>
    <t>CASEARA</t>
  </si>
  <si>
    <t>LD01434149</t>
  </si>
  <si>
    <t>14/07/2026 PARECER COEP: EQUIPAMENTO SELECIONADO PARA COMPRA Equipamento ficou em operação?: NãoPendência: Sim será necessário substituir a placaServiço Executado:  curto na placa foi tentando recuperar a mesma porém não teve sucesso!Bateria(s)substituída(s)? NÃOEquipe: Kaique e benvido</t>
  </si>
  <si>
    <t>Atendimento de cargas rurais entre Caseaarra e Araguacema (221 UCs)</t>
  </si>
  <si>
    <t>ETO-COEP 00129/2026</t>
  </si>
  <si>
    <t>SAO VALERIO DA NATIVIDADE</t>
  </si>
  <si>
    <t>LD01066094</t>
  </si>
  <si>
    <t>PARECER COEP: REAVALIAR DISPONIBILIDADE DO EQUIPAMENTO NO SCADA ASSIM COMO , FORNECER MODELO DO EQUIPAMENTO E FAIXA DE TENSÃO PARA COMPRA / AQUISIÇÃOTanque com defeito, realizar substituição do tanque.</t>
  </si>
  <si>
    <t>Fonte principal do Ramal Serranópolis (181 UCs), RL de transferência operando</t>
  </si>
  <si>
    <t>ETO-PROT 00135/2026</t>
  </si>
  <si>
    <t>ARAGUATINS</t>
  </si>
  <si>
    <t>AL03109039</t>
  </si>
  <si>
    <t>PARECER COEP: Equipamento em operação, instalado com sucesso, segue para Proteção para ajustesPARECER DMSL: Após testes, equipe DMSL constatou que o RLG 7922995039 encontra-se com parte ativa e controle danificados. Favor, realizar substituição completa do equipamento.Troca do sistema de comunicação do equipamento</t>
  </si>
  <si>
    <t>Atendimento do PA Esperança Viva (396 UCs)</t>
  </si>
  <si>
    <t>ETO-COEP 00024/2026</t>
  </si>
  <si>
    <t>30/06 PARECER COEP: EQUIPAMENTO SELECIONADO PARA COMPRAREALIZAR SUBSTITUIÇÃO DO TANQUE, O MESMO ESTÁ COM DEFEITO.</t>
  </si>
  <si>
    <t>Atendimento da COELBA</t>
  </si>
  <si>
    <t>ETO-COEP 00133/2026</t>
  </si>
  <si>
    <t>LD04062013</t>
  </si>
  <si>
    <t>14/07/2026 PARECER COEP : SUBSTIUIR CONTROLE COMPLETOPARECER DMSL: Equipamento com a placa de alimentação ca em curto, será necessário substituir a placa do equipamento. (Antiga nota era pra ter sido repassada porém foi baixada indevidamente pela equipe)</t>
  </si>
  <si>
    <t>Transferência de cargas do 444R da SE Paraíso I</t>
  </si>
  <si>
    <t>ETO-COEP 00045/2026</t>
  </si>
  <si>
    <t>LD03036052</t>
  </si>
  <si>
    <t>PARECER COEP: EQUIPAMENTO SELECIONADO PARA COMPRAreligador foi bay passado devido mesmo esta saindo fumaca do painel e sem comunicação 7927396052.PARECER DMSL: Após testes, equipe DMSL constatou que apenas o tanque do RLG 7927396052 encontra-se queimado. Favor, substituir parte ativa do equipamento.NS Tanque: 0320123040198</t>
  </si>
  <si>
    <t>Equipamento localizado Fonte principal de atendimento a SE Cobrape</t>
  </si>
  <si>
    <t>ETO-COEP 00058/2026</t>
  </si>
  <si>
    <t>PEDRO AFONSO</t>
  </si>
  <si>
    <t>LD01414015</t>
  </si>
  <si>
    <t>PARECER COEP: EQUIPAMENTO SELECIONADO PARA COMPRAPARECER DMSL: FEEDBACK EQUIP. ESPECIAISNº DO EQUIPAMENTO: 7925733015TIPO EQUIPAMENTO: Noja RC10TIPO DE COMUNICAÇÃO: Rádio GEDATA DA MANUTENÇÃO: 24/03/2026SID: 1475/2026DESCRIÇÃO: Tanque do equipamento em CurtoFICOU EM OPERAÇÃO?: Não PENDÊNCIA: Sim, repassar a nota para DCMD substituir tanque.DADOS DIVERGENTES DA PROGRAMAÇÃO: NãoBATERIA SUBSTITUÍDA?: Não TIPO DE BATERIA: Lítio EQUIPE: Edicleber e Jhonata(DEOP)------------------------------------------------------------------------------------------------------religador 7925733015 com defeito, equipe fez abertura da chave de saida do mesmo e ele não aceita fehcamento devido provavel curto-circuito interno, enviar equipe para verificar o mesmo ficou by-pass fechado</t>
  </si>
  <si>
    <t>Transferência do Ramal Agrovila (73 UCs)</t>
  </si>
  <si>
    <t>ETO-COEP 00125/2026</t>
  </si>
  <si>
    <t>PARECER COEP: É PARA REALIZAR A SUBSTITUIÇÃO DO RELIGADOR OU DAS BUCHAS, CASO SEJA BUCHAS , REPASSAR PARA OS COCM'S , CASO NÃO SEJA ESPECIFIQUE O MODELO , E A TENSÃO, FICO NO AGUARDO DO RETORNONota para manutenção substituir religador 7900525015 que está com as buchas de entrada danificadas fase A estourada e bc danificadas Local LD Pedro Afonso A Chaparral</t>
  </si>
  <si>
    <t>Tranferência do Ramal do Chaparral (251 UCs)</t>
  </si>
  <si>
    <t>ETO-COEP 00038/2026</t>
  </si>
  <si>
    <t>SANTA ROSA DO TOCANTINS</t>
  </si>
  <si>
    <t>14/07/2026 PARECER COEP: EQUIPAMENTO SELECIONADO PARA COMPRADMSL:Serviço Executado: Houve um curto no equipamento danificando a parte ativa, será necessário fazer a substituição do equipamento completo ( parte ativa e controle) colocar o um cabo pp novo do trafo até o Dj pois o mesmo está sem condições de uso. Obs:. Foi retirado rádio e rele Equipamento ficou em operação?: Não Pendência: Sim, substituir o equipamento completo.</t>
  </si>
  <si>
    <t>Atendimento de zona rural em Santa Rosa (160 UCs)</t>
  </si>
  <si>
    <t>ETO-PROT 00155/2026</t>
  </si>
  <si>
    <t>LD02059122</t>
  </si>
  <si>
    <t>PARECER COEP: EQUIPAMENTO COM MELHORIA DE ATERRAMENTO É COM A ETO-RD-PA , NÃO PASSA PELO FLUXO DE AQUISIÇÃO DO COEP, FAVOR REALIZAR MELHORIA DE ATERRAMENTO ETO-RD-PAPARECER DMSL 19/05/2026: É necessário fazer melhorias na malha de aterramento.segue nota para RL 794252059 o mesmo esta sem comunicaçao, foi feito primeiro ataque, porem a comunicaçao nao voltou, obs ramal do marasca.**** Parcecer do COCM CENTRO-****FEITO A MALHAR DE ATERRAMENTO ATENDIDA PELA ORDEM DE SERVIÇO DLP-MLPA02 91/2026 COM RELATORIO EM ANEXO A O.S</t>
  </si>
  <si>
    <t>Atendimento do Ramal do Marasca e GAs (108 UCs)</t>
  </si>
  <si>
    <t>ETO-COEP 00123/2026</t>
  </si>
  <si>
    <t>PARECER COEP: EQUIPAMENTO SELECIONADO PARA COMPRATroca do sistema de comunicação do equipamentoDMSL 28/07/2025: Equipamento com tanque, modulo e rele com defeito, solicitar troca do equipamento ao DCMD.Fotos vão ser enviadas por e-mail</t>
  </si>
  <si>
    <t>Transferência entre 424R Araguatins e 434R Augustinópolis</t>
  </si>
  <si>
    <t>ETO-COEP 00156/2026</t>
  </si>
  <si>
    <t>BARROLANDIA</t>
  </si>
  <si>
    <t>AL02017017</t>
  </si>
  <si>
    <t>20/07 PARECER COCM: NÃO RECEBEMOS MATERIAL10/07 PARECER COEP: EQUIPAMENTO ENTREGUE AOS COCM´S FAVOR INFORMAR PRAZO DE SUBSTUIÇÃO PARA O DMSL E REPASSAR DEPOIS PARA PROTEÇÃO REALIZAR OS AJUSTES E DESCREVER NA SS O SERVIÇO REALIZADOPARECER COEP: EQUIPAMENTO EM ROTA DE ENTREGASEM COMUNICAÇÃO, FALHA DE ALIMENTAÇÃO - REALIZADO PRIMEIRO ATAQUE SEM SUCESSO.PARECER DMSL: 17/09/2025 Equipamento ficou em operação? Não Pendência: sim. Equipamento ficou Bay passado levar controle  COMPLETO para trocar. ellisfran</t>
  </si>
  <si>
    <t>Atendimento do Assentamento Irmã Adelaide</t>
  </si>
  <si>
    <t>ETO-TELE 01002/2026</t>
  </si>
  <si>
    <t>13/07/2026 PARECER COEP: EQUIPAMENTO REMANEJADO FAVOR FAZER O COMISSIONAMENTORELIGADOR N° 7908196047 REMANEJADO NA OBRA 0402401150 GENTILEZA, REALIZAR O COMISSIONAMENTO. LAUDO EM ANEXO. COORD EO: 698485, 8657287PARECER DA PROTEÇÃO:AJUSTE DISPONIBILIZADO NO APP DA PROTEÇÃO, NOTA REPASSADA PARA DMSL COMISSIONAR, POLO GURUPI, RL APENAS REMANEJADO DA REDE VELHA PARA REDE NOVA, EQUIPAMENTO COOPER, SE MANTEVE O MESMO NÚMERO DE ATIVO.ENG° IRLLEY CASTELO BRANCO.PARECER DMSL: Constatado curto-circuito no tanque do religador, impedindo as operações de abertura e fechamento do equipamento. Solicita-se a substituição completa do religador, incluindo tanque e unidade de controle.</t>
  </si>
  <si>
    <t>Seccionamento do Rural e energização do 224R</t>
  </si>
  <si>
    <t>ETO-COEP 00134/2026</t>
  </si>
  <si>
    <t>13/07/2026 PARECER COEP: SUBSTITUIR CONTOLE OU MANDAR MANUTENCIONAR EM CASO DE PRIORIDADE ALTAPARECER DMSL: Necessário substituir a placa de alimentação ca, a mesma está em curto não conseguimos recuperar. (Antiga nota era pra ter sido repassada porém foi baixada indevidamente pela equipe)</t>
  </si>
  <si>
    <t>Alimentação do serviço auxiliar da Investco e clientes rurais (260 UCs)</t>
  </si>
  <si>
    <t>ETO-COEP 00148/2026</t>
  </si>
  <si>
    <t>PARECER DMSL 16/07: Nota solicitada ao DMSL com a informação de que o tanque precisa ser substituído. Estou encaminhando a nota para a área responsável.Segue nota para envia manutenção substituir tanque do RL-7923927122 em curto, Anomalia identificada desarme das LD, s Palmas / Aparecida e Palmas Taquaruçu, Acesso livre, Tensão 34,5kv, Local RL de Interligação entre 424R / 414R.</t>
  </si>
  <si>
    <t>Transferência entre 414R e 424R SE Palmas II</t>
  </si>
  <si>
    <t>ETO-COEP 00158/2025</t>
  </si>
  <si>
    <t>PINDORAMA DO TOCANTINS</t>
  </si>
  <si>
    <t>30/06 PARECER COEP: EQUIPAMENTO SELECIONADO PARA COMPRARELIGADOR COM DEFEITO 7942485096, ESTA DANDO PASSAGEM ESTANDO ABERTO. NÃO ACEITA COMANDOS. FICOU BY PASSADO EM CAMPO PARA MANUTENÇÃO.PARECER DMSL: Ao testar o tanque, foi constatado que o mesmo está danificado e precisa ser substituído.Substituir somente o tanque. Deixar claro na nota para o dcmd substituir somente o tanque. Não tem necessidade de substituir o controle.</t>
  </si>
  <si>
    <t>Transferência da PCH Bagagem</t>
  </si>
  <si>
    <t>ETO-COEP 00132/2026</t>
  </si>
  <si>
    <t>LD01025012</t>
  </si>
  <si>
    <t>PARECER COEP: EQUIPAMENTO SELECIONADO PARA COMPRA , DEVERIA SER SUBSTITUIDO PARTE ATIVAPARECER DMSL: Serviço Executado: _ indentificado o problema na parte ativa será  necessário fazer a substituição da mesmo, feito a medição do aterramento. Preciso substituir para raio da fase c.Equipamento ficou em operação?: _NAOPendência: _SimBateria(s) substituída(s)? _NãoData Fabricação/Instalação da(s) bateria(s):_Equipe: _Benvindo e kaique----------------------------------------------------------------------------------RL com defeito no rele, fica só reiniciando ficou By passado OS atendimento primeiro ataque 106530226</t>
  </si>
  <si>
    <t>Atendimento de Clientes rurais (483 UCs)</t>
  </si>
  <si>
    <t>ETO-COEP 00143/2025</t>
  </si>
  <si>
    <t>30/06 PARECER COEP: EQUIPAMENTO COMPLETOSegue para verificação RL sem comunicação feito primeiro ataque sem sucesso.PARECER DMSL:Data:* _08/07/2025Serviço Executado: Placa de alimentação danificada, devido a curto, não temos material sobressalente para manutenção! Favor substituir o equipamento completo.Obs.: O rádio ficou dentro do controle, favor orientar a equipe que for substituir colocar dentro do controle novo.Equipamento ficou em operação?: Não Pendência: Sim, substituir equipamento completo.</t>
  </si>
  <si>
    <t>Alimentação de Monte do Carmo por Porto Nacional</t>
  </si>
  <si>
    <t>ETO-COEP 00128/2026</t>
  </si>
  <si>
    <t>SAO SALVADOR DO TOCANTINS</t>
  </si>
  <si>
    <t>LD02066094</t>
  </si>
  <si>
    <t>PARECER COEP: EQUIPAMENTO SELECIONADO  PARA COMPRAPARECER DMSL: Tinha uma nota aberta 422/2025 e logo após a equipe resolver a comunicação ela foi baixada, porém a equipe relatou que ''na estrada ontem o COS nos avisou para voltar que na hora de colocar em operação ele tirou a linha fora. Hoje retornamos nele e fizemos ensaios elétricos e foi constatado que o tanque está em curto. Passa direto aí para o Dcmd para substituição do tanque.''</t>
  </si>
  <si>
    <t>Fonte principal do Ramal do Retiro (246UCs), RL transferência by-passado</t>
  </si>
  <si>
    <t>ETO-COEP 00061/2026</t>
  </si>
  <si>
    <t>PARECER COEP: EQUIPAMENTO SELECIONADO PARA COMPRAPARECER DMSL: Serviço Executado: Foi feito análise técnica, testes funcionais e identificado que a parte ativa do equipamento está com defeito. Necessário substituir a parte ativa.FICOU EM OPERAÇÃO? Não- EQUIPE: Carliel e BenvindoSegue SS para verificaçao Rl esta danificado dando passagem de tensão mesmo aberto Sim, quando retornar trazer uma fonte pois a mesma foi removida.</t>
  </si>
  <si>
    <t>Localizado na fonte principal de atendimento de Divinópolis e Abreulândia</t>
  </si>
  <si>
    <t>ETO-COEP 00114/2026</t>
  </si>
  <si>
    <t>DUERE</t>
  </si>
  <si>
    <t>GURUPI</t>
  </si>
  <si>
    <t>AL01031076</t>
  </si>
  <si>
    <t>30/06 PARECER COEP: AGUARDANDO RETORNO DO DMSL PARA ENTENDER EXATAMENTE O QUE TENHO QUE SUBSTITUIRAberto nota para substituir tanque danificado e chave de entrada fase B danificadaPARECER DMSL: Foi confirmado pela equipe DMSL o defeito do tanque, favor seguir com a substituição e correção da chave de entrada fase B danificada.</t>
  </si>
  <si>
    <t>Atendimento do Ramal do Bacuri (168 UCs)</t>
  </si>
  <si>
    <t>ETO-RD-DP 00457/2026</t>
  </si>
  <si>
    <t>LD05002091</t>
  </si>
  <si>
    <t>20/07 PARECER COEP: EQUIPAMENTO ENTREGUE , FAVOR EDITAR A SS COM A DATA PREVISTA DE SUBSTITUIÇÃO NO PARECER DOS COCM´S Realizar substituição da FASE B.Célula da fase B estava com a tampa do contador de tape aberta, pegou chuva e molhou os contatos danificando a peça toda.</t>
  </si>
  <si>
    <t>Atendimento da LD Vale Rio Doce (Nova Aura Mineradora)</t>
  </si>
  <si>
    <t>ETO-COEP 00095/2026</t>
  </si>
  <si>
    <t>24/07 PARECER COEP:EQUIPAMENTO EM LOGISTICA DE ENTREGA Favor levar outro regulador de tensão, pois o mesmo foi furtado em campo.</t>
  </si>
  <si>
    <t>Atendimento de clientes rurais na LD Peixe Angical - Peixe</t>
  </si>
  <si>
    <t>ETO-RD-PS 00327/2026</t>
  </si>
  <si>
    <t>LD01047073</t>
  </si>
  <si>
    <t>PARECER COEP: AGUARDANDO RETORNO DO DMSL, EQUIPAMENTO FOI INSTALADO NOVO NA OBRA 0212501060, ENTENDER O PORQUE NÃO FOI REALIZADO COMISSIONAMENTOPARECER DMSL: Substituir Equipamento completo problema na placa de alimentação e na parte ativa, falta colocar placa de identificação correta na topologia, baixar o controle.Equipamento ficou em operação?: naoPendência: simBateria(s) substituída(s)? NÃOEquipe: Kaique/ Benvindo13/07/2026 PARECER COEP: SUBSTITUIÇÃO REALZIADA , FAVOR COMISSIONARPARECER DMSL (22/07/26): Solicito que o laudo de substituição seja anexado, e a SS seja repassada para proteção atribuir a ordem de ajuste, antes de repassar para ETO-TELE.----------------------------------------------PARECER DA PROTEÇÃO: Prosseguir com o comissionamento. Ajustes de religador permanecem os mesmos, disponíveis no APP da Proteção.********************************RELIGADOR N°7919270014 REMANEJADO NA OBRA 0212501060 GENTILEZA, REALIZAR O COMISSIONAMENTO. LAUDO EM ANEXO. COORD EO: 617422, 8830787</t>
  </si>
  <si>
    <t>Atendimento de Clientes rurais (48 UCs)</t>
  </si>
  <si>
    <t>ETO-COEP 00051/2026</t>
  </si>
  <si>
    <t>PARECER COEP: EQUIPAMENTO SELECIONADO PARA COMPRAPARECER DMSL: Data: 12/03/2026 Serviço Executado:- Análise técnica constatou:- Parte ativa do equipamento danificada: necessita substituição- Trafo danificado: foi feitos testes nas buchas secundárias o mesmo não chega tensão    - Vazamento de óleo    - Necessita substituiçãoEquipamento ficou em operação? NãoPendências:- Solicitar limpeza de faixa para acesso ao equipamento- Trocar parte ativa do equipamento- Substituir o trafoEquipe: Carliel e João VitorSegue nota para envia equipe verificar falha de comunicação e automação no RL-7926442035 feito primeiro ataque com equipe 035OP02, porém sem sucesso. </t>
  </si>
  <si>
    <t>Atenidmento do PA Principado (200 UCs)</t>
  </si>
  <si>
    <t>ETO-COEP 00144/2026</t>
  </si>
  <si>
    <t>PARECER DMSL 09/07/2026: GENTILEZA VERIFICAR HAVIA UMA NOTA ABERTA, EQUIPE RETORNOU EM CAMPO E NÃO FOI REALIZADAserviço realizado na SS ENC-RD-PS 1397/2025, REPASSANDO PARA COMISSIONARRL 7938137007 NO RL INSTALAR BATERIA NOVA E RADIO A PEDIDO DE KAROLINY DMSLACESSO LIVREPARECER DMSL: * equipamento esta com a bucha da fase A com problemas(solta), necessário substituir* Trafo do serviço auxiliar esta vazando óleo, necessário substituir- Material ainda não foi entregue para substituição 15/07/2026</t>
  </si>
  <si>
    <t>Transferência do Irmã Adelaide (470 UCs)</t>
  </si>
  <si>
    <t>ETO-RD-DP 00403/2026</t>
  </si>
  <si>
    <t>DCMD 26.03.2026. SS REPASSADA PARA COEP PROVIDENCIAR MATERIAL. NÃO TEMOS O MATERIAL EM ESTOQUE PARA SUBSTITUIÇÃO. COEP: Equipamento fornecido ao COCM-S para regularização.PARECER COEP: EQUIPAMENTOS JÁ FORNECIDOS PARA OS COCM'S PARA REGULARIZAÇÃOPARECER DA PROTEÇÃO:EQUIPAMENTOS FURTADOS. PARA AQUISIÇÃO DAS CELULAS DE REPOSIÇÃO, FAVOR CONSULTAR OS DADOS DE PLACA EM ANEXO.PARECER DA PROTEÇÃO:COMISISONAR RT 5856156091 LD DIANOPOLIS A NATIVIDADE. NECESSARIO REALIZAR MEDIÇÕES DA RESISTENCIA DA MALHA DE ATERRAMENTO.AJUSTES DISPONIVEIS NO APP DA PROTEÇÃO.RELIGADOR N° 5856156091 INSTALADO NA OBRA 0502400526 GENTILEZA, REALIZAR O COMISSIONAMENTO. LAUDO EM ANEXO. COORD EO: 899501, 8714782</t>
  </si>
  <si>
    <t>Equipamento novo furtado antes de ser colocado em operação</t>
  </si>
  <si>
    <t>ETO-TELE 01032/2026</t>
  </si>
  <si>
    <t>SAO BENTO DO TOCANTINS</t>
  </si>
  <si>
    <t>LD03005098</t>
  </si>
  <si>
    <t>27/07/2026 PARECER COEP: FIZEMOS UMA VISITA AO EQUIPAMENTO , EQUIPAMENTO SE ENCONTRA EM OPERAÇÃO E SEM SINAL DE AVARIA FAVOR AVALIAR PARECER DMSL A SS FOTOS COM O LUANDERSSON OU JOAO ANTONIO LAGARES 20/07 PARECER COEP: EQUIPAMENTO SELECIONADO PARA COMPRA , DEVIDO AO ERRO NA INSTALAÇÃO E O FURTOPARECER DMSL: 16/06/2025-SERVIÇO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t>
  </si>
  <si>
    <t>Equipamento novo furtado antes de ser colocado em operação, não inserido no SCADA</t>
  </si>
  <si>
    <t>ETO-TELE 00982/2026</t>
  </si>
  <si>
    <t>LD01035052</t>
  </si>
  <si>
    <t>SEGUE SOLICITAÇÃO DE SERVIÇO PARA REALIZAR VERIFICAÇÃO DO RL 7955832052 EQUIPAMENTO DE INTEELIGAÇÃO O MESMO ESTA SEM COMUNICAÇÃO ...FOI REALIZADO PRIMEIRO ATAQUE COM EQUIPE SINERGIA DE FORMOSO EO EQUIPAMENTO NÃO VOLTOU</t>
  </si>
  <si>
    <t>Falta definir</t>
  </si>
  <si>
    <t>ETO-COEP 00138/2026</t>
  </si>
  <si>
    <t>LD03414149</t>
  </si>
  <si>
    <t>PARECER DMSL 07/07/2026: equipamento tem que ser subistuido pois não faz comando, parte ativa com defeito FEITO O PRIMEIRO ATAQUE NO RELIGADOR 7930359149 E MESMO NÃO ACEITA COMANDO NEM LOCAL E NEM REMOTO SEGUNDO EQUIPE 149OP02 E PLACA DO RL ESTA CARBONIZADA COM SINAL DE CURTO.</t>
  </si>
  <si>
    <t>ETO-TELE 00932/2026</t>
  </si>
  <si>
    <t>AL01041003</t>
  </si>
  <si>
    <t>Segue SS de religador 7902098003 sem comunicação. Foi realizado o primeiro ataque porem o mesmo não retornou a comunicação.</t>
  </si>
  <si>
    <t>ETO-COEP 00147/2026</t>
  </si>
  <si>
    <t>ITAPIRATINS</t>
  </si>
  <si>
    <t>LD03038009</t>
  </si>
  <si>
    <t>20/07 PARECER COEP: EQUIPAMENTO SELECIONADO PARA COMPRASegue nota para substituir relé religador avariado marca noja , equipamento N: 7953211079 - Itapiratins .Obs: informação repassado pelo técnico DMSL Bruno .</t>
  </si>
  <si>
    <t>ETO-TELE 00929/2026</t>
  </si>
  <si>
    <t>MAURILANDIA DO TOCANTINS</t>
  </si>
  <si>
    <t>AL02043081</t>
  </si>
  <si>
    <t>FEITO PRIMEIRO ATAQUE COM A EQUIPE LOCAL E NÃO VOLTOU A COMUNICAR. PROVIDENCIAR MANUTENÇÃO PARA O MESMO.</t>
  </si>
  <si>
    <t>ETO-TELE 00938/2026</t>
  </si>
  <si>
    <t>Segue nota para verificar falha intermitência na comunicação RL 7908300096 RDU- Pindorama .</t>
  </si>
  <si>
    <t>ETO-TELE 00892/2026</t>
  </si>
  <si>
    <t>Segue RL 7953570026 O MESMO FOI FEITO PRIMEIRO ATAQUE, painel do religador acendeu porem não voltou a comunicação junto ao SCADA, equipe fez teste em comando local, tudo normal porem sem retorno de comunicação, rl na SE DE PONTE ALTA</t>
  </si>
  <si>
    <t>DG-RD-PO 00444/2026</t>
  </si>
  <si>
    <t>DG-RD-PO</t>
  </si>
  <si>
    <t>Segue nota para recuperar malha de aterramento no RL 7911120026 RDU- Ponte Alta .OBS: Provavelmente foi furtado cabos de aterramento   .</t>
  </si>
  <si>
    <t>ETO-TELE 01019/2026</t>
  </si>
  <si>
    <t>Segue nota para verificar falha de comunicação no religador 7908716091 - Rural -  Almas  .Equipamento perdeu a comunicação quando faltou CA , porém mesmo ao retorna o CA não retornou à comunicação !</t>
  </si>
  <si>
    <t>ETO-TELE 01005/2026</t>
  </si>
  <si>
    <t>Segue nota para verificar falha e constantes travamento no regulador de tensão 5848305116 - chapada da Natividade .Foi identificado que regulador está com divergência em TAP"S analógico e digital .Foi executado comandos no relé para comutar TAP na fase AB foi executado no relé , porém não alterou analógico e nem fez barulho algum , a princípio a fase C está normal .</t>
  </si>
  <si>
    <t>ETO-TELE 01007/2026</t>
  </si>
  <si>
    <t>ARRAIAS</t>
  </si>
  <si>
    <t>LD01110005</t>
  </si>
  <si>
    <t>Favor verifcar Religador 7961368005 , equipamento sem comunicação , feito primeiro ataque com equipe operacional , porem não ouve retorno .</t>
  </si>
  <si>
    <t>ETO-TELE 01026/2026</t>
  </si>
  <si>
    <t>LD05028074</t>
  </si>
  <si>
    <t>Segue nota para verificar falha de comunicação no religador 7929663074  rural - Dianópolis  .Equipamento perde a comunicação quando falta CA !</t>
  </si>
  <si>
    <t>ETO-TELE 01029/2026</t>
  </si>
  <si>
    <t>CAMPOS LINDOS</t>
  </si>
  <si>
    <t>PS01112193</t>
  </si>
  <si>
    <t>Religador sem comunicação, apos primeiro ataque não retornou a comunicação.</t>
  </si>
  <si>
    <t>ETO-TELE 00999/2026</t>
  </si>
  <si>
    <t>LD02040003</t>
  </si>
  <si>
    <t>RELIGADOR DE POSTE 7955792076 SEM COMUNIÇÃO COM COI ,FEITO PRIMEIRO ATAQUE COM EQUIPE OPERACIONAL O MESMO NÃO RETORNOU A COMUNICAÇÃO ENVIAR EQUIPE ESPECIAL VERIFICAR EM CAMPO</t>
  </si>
  <si>
    <t>ETO-TELE 00985/2026</t>
  </si>
  <si>
    <t>COUTO MAGALHAES</t>
  </si>
  <si>
    <t>AL01024113</t>
  </si>
  <si>
    <t>Segue nota para averiguar ajuste regulador de tensão N: 5839141113 - RDU - Couto Magalhães , e verificar falha de comunicação   .Equipe operacional verificou que vários transformadores urbanos estão com nível de tensão baixa .Foi feito primeiro ataque regulador está comutando normalmente as 3 fases , porém não está no nível adequado !Em campo regulador estava no Tap R1 - 02 , R2 + 01 , R3 +03Medições feitas :Transformador 5700010113     - NA: 205 NB: 206 NC: 210Transformador 5700011113      - NA: 204 NB: 206 NC: 209Transformador 5700333113       -NA: 205 NB: 207 NC: 208OBS: solicitar equipe para realizar medição aterramento ,  e verificar ajuste junto ao time proteção .  verificar falha de comunicação no equipamento .</t>
  </si>
  <si>
    <t>ETO-TELE 00998/2026</t>
  </si>
  <si>
    <t>AL10059122</t>
  </si>
  <si>
    <t>rl 7908683122  retirado de operaçao devido falha na base do rele  equipamento.</t>
  </si>
  <si>
    <t>ETO-TELE 01027/2026</t>
  </si>
  <si>
    <t>LD03010021</t>
  </si>
  <si>
    <t>Segue SS para verificar falha de comunicação no religador 7923110021. Equipe foi no local realizar primeiro ataque e informou que o radio de comunicação encontra-se com defeito</t>
  </si>
  <si>
    <t>ETO-TELE 01018/2026</t>
  </si>
  <si>
    <t>Segue nota para falha de comunicação no religador 7900001096 - Rural - Pindorama .Equipamento perdeu a comunicação quando faltou CA , porém mesmo ao retorna o CA não retornou a comunicação !Feito primeiro ataque sem sucesso !</t>
  </si>
  <si>
    <t>ETO-TELE 01020/2026</t>
  </si>
  <si>
    <t>Segue nota para verificar falha de comunicação no religador 7900451096 - Rural -  Pindorama  .Equipamento perde a comunicação quando falta CA !</t>
  </si>
  <si>
    <t>ETO-TELE 01021/2026</t>
  </si>
  <si>
    <t>Boa noite .Segue nota para verificar falha de comunicação no religador 7900259096 -  Pindorama .Equipamento perde a comunicação quando falta CA !</t>
  </si>
  <si>
    <t>ETO-TELE 01008/2026</t>
  </si>
  <si>
    <t>por favor deslocar equipe da manutenção no RL 7962734119 por que foi feito o primeiro ataque no mesmo mais não voltou comunção no sistema escada</t>
  </si>
  <si>
    <t>Ativo</t>
  </si>
  <si>
    <t>Tipo</t>
  </si>
  <si>
    <t>Localidade</t>
  </si>
  <si>
    <t>Polo</t>
  </si>
  <si>
    <t>Regional</t>
  </si>
  <si>
    <t>SS aberta</t>
  </si>
  <si>
    <t>Parecer COEP</t>
  </si>
  <si>
    <t>Observação</t>
  </si>
  <si>
    <t>Check de concluídas</t>
  </si>
  <si>
    <t>Defeito identificado</t>
  </si>
  <si>
    <t>Descrição SS</t>
  </si>
  <si>
    <t>CONCLUÍDA</t>
  </si>
  <si>
    <t>Ok</t>
  </si>
  <si>
    <t/>
  </si>
  <si>
    <t>Aumento de reclamações no atendimento de Goiatins e GAs relevantes na região</t>
  </si>
  <si>
    <t>Substituido 24/07/2026</t>
  </si>
  <si>
    <t>Laudo da empreteira</t>
  </si>
  <si>
    <t>Em andamento</t>
  </si>
  <si>
    <t>Célula</t>
  </si>
  <si>
    <t>Equipamento entregue ao COCM</t>
  </si>
  <si>
    <t>Previsão de Substituição 28/07</t>
  </si>
  <si>
    <t xml:space="preserve">Controle </t>
  </si>
  <si>
    <t>ARAGUACU</t>
  </si>
  <si>
    <t>ALVORADA</t>
  </si>
  <si>
    <t>Aumento de reclamações no atendimento de Araguaçu no período seco</t>
  </si>
  <si>
    <t>Em processo de aquisição</t>
  </si>
  <si>
    <t>Estava aguardando retorno DMSL</t>
  </si>
  <si>
    <t>Completo</t>
  </si>
  <si>
    <t>Tanque e rádio</t>
  </si>
  <si>
    <t>Concluído DCMD</t>
  </si>
  <si>
    <t>Previsão de substituição 16/07</t>
  </si>
  <si>
    <t>Tanque e antena</t>
  </si>
  <si>
    <t>ARAGUACEMA</t>
  </si>
  <si>
    <t>Transferência da RDU de Araguacema (1506 UCs)</t>
  </si>
  <si>
    <t>Controle</t>
  </si>
  <si>
    <t>Previsão de instalação 30/07/2026</t>
  </si>
  <si>
    <t>Células + controle</t>
  </si>
  <si>
    <t>Transferência dos bairros JD Santa Helena, Jd Filadelfiae Setor Caraja em Araguaína (2053 UCs), AL 254R de AR I e AL 214R de AR III</t>
  </si>
  <si>
    <t>Mandar reformar</t>
  </si>
  <si>
    <t>Tanque e cabo umbilical</t>
  </si>
  <si>
    <t>Previsão de entrega 15/07</t>
  </si>
  <si>
    <t>Em processo logístico</t>
  </si>
  <si>
    <t>Previsão de entrega 16/07</t>
  </si>
  <si>
    <t>Tanque + controle</t>
  </si>
  <si>
    <t>Previsão de substituição 20/07</t>
  </si>
  <si>
    <t>Em fase de ajustes</t>
  </si>
  <si>
    <t>Destinada parte ativa do RL 7900453110</t>
  </si>
  <si>
    <t xml:space="preserve">Tanque </t>
  </si>
  <si>
    <t>ETO-PROT  000148/2026</t>
  </si>
  <si>
    <t>Previsão de substituição 10/07</t>
  </si>
  <si>
    <t>RIO DOS BOIS</t>
  </si>
  <si>
    <t>Fonte principal de Rio dos Bois, RL de transferência operando</t>
  </si>
  <si>
    <t xml:space="preserve">Atendimento da RDU de Bom Jesus e parcial da RDU de Pedro Afonso </t>
  </si>
  <si>
    <t>PARECER DMSL: *Segue feedback**Equipamento:* RLG 7927413001  *RELÉ TAVRIDA*Data:* 16/04/2026*SID:* 1817/2026*Serviço executado:* Placa de alimentação do equipamento com defeito, VERIFICAR SE É POSSIVEL  substituir o equipamento completo.*Equipamento ficou em operação?*_Não*Pendência:*_Sim*Bateria(s) substituída(s)?*_Nao *Equipe:* Benvindo e Kaique-------------------------------------------------------------------------------------------------Religador 7927413001 sem comunicação foi realizado primeiro ataque porem a comunicação não retornou. Favor enviar equipe para devidas trattivas</t>
  </si>
  <si>
    <t>Tanque</t>
  </si>
  <si>
    <t>Aumento de reclamações no atendimento de São Felix e Mateiros no período seco</t>
  </si>
  <si>
    <t>Aguardando comissionamento</t>
  </si>
  <si>
    <t>Previsão de chegada 20/10/2026</t>
  </si>
  <si>
    <t>Aguardando atualização de informação DMSL</t>
  </si>
  <si>
    <t>Aguardando confirmação em campo sobre o equipamento</t>
  </si>
  <si>
    <t>Foi realizado os serviços apontados pelo DMSL?</t>
  </si>
  <si>
    <t>Controle e aterramento</t>
  </si>
  <si>
    <t>01/07 PARECER COEP: FOI CONFIRMADO COM A OPERAÇÃO QUE O EQUIPAMENTO SEGUIU O FLUXO INTEIRO DE COMISSIONAMENTO, PROTEÇÃO, FAVOR EXPLICAR O QUE FOI REALIZADO E SE EQUIPAMENTO ESTÁ OPERANDO, SENÃO ESTIVER EXPLICAR O QUE FOI FEITO NELE30/06PARECER COEP: REPASSAR DIRETAMENTE PARA OS COCM'SRegulador 5803327001 fora de operação, by passado em campo com painel de comunicação com cabos desconectados tensão 13.8.parecer DMSL: Feedback Equip. EspeciaisRT 5803327001RELÉ RUASid: 4844Data: 19/09/2025Serviço realizado:*Equipamento foi remanejado, 7 km da sua localização sentido Palmas necessário comissionamento completo*Equipamento com um dos cabos umbilicais danificado.* aterramento bucha FC não esta interligada corretamente * para-raios estão no mesmo aterrament2o da bucha FC.* Tranques  muito alto e próximo da rede  não permitindo o comissionamento com segurança.* Controle alto  demais tem que baixar Equipamento ficou em operação?: nãoPendência: sim, precisa comissionar completoOBS</t>
  </si>
  <si>
    <t>Tanque e PR do trafo e chave</t>
  </si>
  <si>
    <t>APARECIDA DO RIO NEGRO</t>
  </si>
  <si>
    <t>Atendimento da RDU de Aparecida do Rio Negro</t>
  </si>
  <si>
    <t>ARAGOMINAS</t>
  </si>
  <si>
    <t>Proteção da baixa do TF de força da SE Aragominas</t>
  </si>
  <si>
    <t>Fonte principal de Marianópolis, RL transferência operando</t>
  </si>
  <si>
    <t>Primeiro ataque DMSL</t>
  </si>
  <si>
    <t>Aguardando previsão de substituição</t>
  </si>
  <si>
    <t>Melhoria de aterramento</t>
  </si>
  <si>
    <t>Problema na autorização de passagem</t>
  </si>
  <si>
    <t xml:space="preserve">Cliente não autorizou entrar na propriedade </t>
  </si>
  <si>
    <t>WANDERLANDIA</t>
  </si>
  <si>
    <t>Aumento de reclamações no atendimento de Wanderlândia no período seco</t>
  </si>
  <si>
    <t>NATIVIDADE</t>
  </si>
  <si>
    <t>Equipamento para apoio na transferência de cargas na região de Natividade</t>
  </si>
  <si>
    <t>Aguardando obra COCM</t>
  </si>
  <si>
    <t>Previsão de substituição 30/07 (Falta confirmar conm Dener e a empreteira)</t>
  </si>
  <si>
    <t>TAIPAS DO TOCANTINS</t>
  </si>
  <si>
    <t>Atendimento de Taipas</t>
  </si>
  <si>
    <t>SEGUE PARA O DMSL AVALIAR ANTES DE SEGUIRMOS COM O SERVIÇOSEGUE PARA REALIZAR TROCA---------------------------------------------------------Boa noite,Segue SS para tratativas regulador de tensão 5840227063 fase C em curto</t>
  </si>
  <si>
    <t>Previsão de entrega 16/07, 1 tanque NOJA sobrando</t>
  </si>
  <si>
    <t>Tanque + controle e chave</t>
  </si>
  <si>
    <t>Transferência de Aragominas, 3 fontes operando</t>
  </si>
  <si>
    <t>Atendimento do PA Mumbuca (106 UCs), no desarme a jusante penaliza parte da RDU de Tocantinópolis (1384 UCs)</t>
  </si>
  <si>
    <t>Transferência do Grupo A - Xavante (TF 1087,5 kVA) e outros GA menores</t>
  </si>
  <si>
    <t>Em processo de Aquisição</t>
  </si>
  <si>
    <t>Transferência do Grupo A - Engegold (TF 7500 kVA)</t>
  </si>
  <si>
    <t>Vai ser feito um poço para realizar a melhoria de aterramento 28/07/2026</t>
  </si>
  <si>
    <t>Atendimento de parte da RDU de Guaraí e ramal da PRF/Repetidora</t>
  </si>
  <si>
    <t>Transferência do Ramal do Retiro (246UCs), fonte principal by-passado</t>
  </si>
  <si>
    <t>Aguardando desativação do Regulador da Obra de Construção</t>
  </si>
  <si>
    <t>Previsão até dia 20/08</t>
  </si>
  <si>
    <t>Células + melhoria de aterramento</t>
  </si>
  <si>
    <t>Em operação</t>
  </si>
  <si>
    <t>30/06 PARECER COEP: AGUARDANDO RETORNO DO DMSL.REALIZAR SUBSTITUIÇÃO DO TANQUE, O MESMO ESTÁ COM DEFEITO.</t>
  </si>
  <si>
    <t>Atendimento do Grupo A - Matosul (TF 1500 kVA)</t>
  </si>
  <si>
    <t>ETO-RD-AR 1070/2026</t>
  </si>
  <si>
    <t>Confirmar com o DMSL</t>
  </si>
  <si>
    <t>Transferência de Palmeiras, 3 RLs sendo 2 operando</t>
  </si>
  <si>
    <t>MONTE SANTO DO TOCANTINS</t>
  </si>
  <si>
    <t>444R de Paraíso I, atendimento de Monte Santo, devido defeito a RDU está manobrada para o 454R</t>
  </si>
  <si>
    <t>NOVO JARDIM</t>
  </si>
  <si>
    <t>Desmobilizado</t>
  </si>
  <si>
    <t>Equipamento obsoleto com a entrada da SE Serras Gerais</t>
  </si>
  <si>
    <t>NOVA OLINDA</t>
  </si>
  <si>
    <t>Previsão de entrega 20/07</t>
  </si>
  <si>
    <t>Atendimento dos ramais PA Remansão e Água Branca</t>
  </si>
  <si>
    <t>Equipamento Em operação Confimardo com o Operador com Joelson</t>
  </si>
  <si>
    <t>Aguardando confirmação sobre execução do COCM</t>
  </si>
  <si>
    <t>10/07 PARECER COEP: EQUIPAMENTO ENTREGUE AOS COCM´S FAVOR INFORMAR PRAZO DE SUBSTUIÇÃO PARA O DMSL E REPASSAR DEPOIS PARA PROTEÇÃO REALIZAR OS AJUSTES E DESCREVER NA SS O SERVIÇO REALIZADOPARECER COEP: EQUIPAMENTO EM ROTA DE ENTREGASEM COMUNICAÇÃO, FALHA DE ALIMENTAÇÃO - REALIZADO PRIMEIRO ATAQUE SEM SUCESSO.PARECER DMSL: 17/09/2025 Equipamento ficou em operação? Não Pendência: sim. Equipamento ficou Bay passado levar controle  COMPLETO para trocar. ellisfran</t>
  </si>
  <si>
    <t>Atendimento do Ramal do Gato (288 UCs) e UFV Videira, no desarme a jusante penaliza a cidade de Pindorama</t>
  </si>
  <si>
    <t>DOIS IRMAOS DO TOCANTINS</t>
  </si>
  <si>
    <t>Atendimento do Ramal do Boleu (13 UCs), no desarme a jusante penaliza parte 303 UCs rurais</t>
  </si>
  <si>
    <t>Fonte alternativa de atendimento do Ramal Bacuri (217 UCs)</t>
  </si>
  <si>
    <t>Atendimento do PA Novo Plano (102 UCs)</t>
  </si>
  <si>
    <t>Tanque e controle</t>
  </si>
  <si>
    <t>Atendimento do PA Xobo (194 UCs)</t>
  </si>
  <si>
    <t>LAGOA DO TOCANTINS</t>
  </si>
  <si>
    <t>ETO-TELE 973/2026</t>
  </si>
  <si>
    <t>Completo sem o radio</t>
  </si>
  <si>
    <t>Atendimento do Ramal do Rio Preto (197 UCs)</t>
  </si>
  <si>
    <t>(REPASSAR PARA ANALISE DMSL)</t>
  </si>
  <si>
    <t>PARECER COEP: AGUARDANDO COCM´s GERAREM A OBRA COM ABERTURA CONTABIL DENER SOARESRealizar substituição da FASE B.Célula da fase B estava com a tampa do contador de tape aberta, pegou chuva e molhou os contatos danificando a peça toda.</t>
  </si>
  <si>
    <t>Levar para analise de reguladores furtados no Sul</t>
  </si>
  <si>
    <t>Display</t>
  </si>
  <si>
    <t>Atendimento do PA Piedade (125 UCs)</t>
  </si>
  <si>
    <t>Problema no envio do Material</t>
  </si>
  <si>
    <t>bateria, rádio,Tanque</t>
  </si>
  <si>
    <t>Furtado novamente</t>
  </si>
  <si>
    <t>Por estrategia não será enviado neste momento equipamento, iremos utilizar em outros reguladores, alinhado com Allan casos de 400 KVA</t>
  </si>
  <si>
    <t>3 celula</t>
  </si>
  <si>
    <t>PIRAQUE</t>
  </si>
  <si>
    <t>REPASSAR O DMSL (EQUIPAMENTO OPERANDO NO SCADA)</t>
  </si>
  <si>
    <t>Equipamento não identificado no SCADA e Mapa TS</t>
  </si>
  <si>
    <t>BRASILANDIA DO TOCANTINS</t>
  </si>
  <si>
    <t>TAGUATINGA</t>
  </si>
  <si>
    <t>Rótulos de Linha</t>
  </si>
  <si>
    <t>Contagem de Ativo</t>
  </si>
  <si>
    <t>Previsão de substituição 07/08</t>
  </si>
  <si>
    <t>Previsão de substituição 27/08</t>
  </si>
  <si>
    <t>Previsão de substituição 28/07</t>
  </si>
  <si>
    <t>Substituido 24/07, pendente laudo</t>
  </si>
  <si>
    <t>Concluído</t>
  </si>
  <si>
    <t>Previsão de entrega 10/08</t>
  </si>
  <si>
    <t>Substituido 27/07, pendente laudo</t>
  </si>
  <si>
    <t>Previsão de entrega 10/08, 1 tanque NOJA sobrando</t>
  </si>
  <si>
    <t>Previsão de entrega 16/08</t>
  </si>
  <si>
    <t>Aguardando parecer DMSL</t>
  </si>
  <si>
    <t>DTA_CONCLUSAO</t>
  </si>
  <si>
    <t>ETO-TELE 00829/2026</t>
  </si>
  <si>
    <t>Segue nota para verificar falha de comunicação no regulador 5833578028 - Rural - Natividade.equipe operacional foi no local, feito reset , porém não conseguiram normalizar sua comunicação .</t>
  </si>
  <si>
    <t>ETO-TELE 00814/2026</t>
  </si>
  <si>
    <t>favor verificar religador 7913657147 foi feito primeiro ataque ja duas vezes e encontra disjuntor desligado liga em seguida desarma.</t>
  </si>
  <si>
    <t>ETO-TELE 00511/2026</t>
  </si>
  <si>
    <t>Foi feito primeiro ataque no RL 7944353028 e a equipe repassou que o dusjuntor estava desarmado. Foi feito rearme do disjuntor e so voltou a comunicção apos uns 50 minutos , o mesmo ficou bay passado em campo .</t>
  </si>
  <si>
    <t>ETO-TELE 00785/2026</t>
  </si>
  <si>
    <t>AL01028074</t>
  </si>
  <si>
    <t>Religador  7931863074  sem comunicação , feito primeiro ataque o mesmo não  retornou a comunicar.  favor disponibilizar equipe para devidas tratativas</t>
  </si>
  <si>
    <t>ETO-TELE 00768/2026</t>
  </si>
  <si>
    <t>CONCEICAO DO TOCANTINS</t>
  </si>
  <si>
    <t>senhores religador 7964803072 sem comunicaçao feito primeiro ataque sem sucesso , mesmo atende rdu de conceiçao</t>
  </si>
  <si>
    <t>ETO-TELE 00877/2026</t>
  </si>
  <si>
    <t>segue rl 7903572004 sem comunicação equipe fez primeiro ataque e identificou cabos PP DE ALIMENTAÇÃO  C/A oxidado e rompido, display apagado, enviar equipe para fazer correções, RL N/A urgencia devido ser de transferencia de cargas do dj 244R ARA 1 e 224R ARA 3</t>
  </si>
  <si>
    <t>ETO-COEP 00181/2025</t>
  </si>
  <si>
    <t>PARECER DMSL: Após testes realizados, foi constado que o RLG 7943790134 encontra-se com a parte ativa danificada. Favor, realizar substituição do mesmo.Troca do sistema de comunicação do equipamento</t>
  </si>
  <si>
    <t>ETO-TELE 00856/2026</t>
  </si>
  <si>
    <t>AL01008032</t>
  </si>
  <si>
    <t>Verificar situação de equipamento by passado, falta comissionamento ???</t>
  </si>
  <si>
    <t>ETO-TELE 00818/2026</t>
  </si>
  <si>
    <t>REGULADOR COM RELÉ APAGADO - REALIZADO PRIMEIRO ATAQUE COORDENADO COM DMSL, PORÉM NÃO FOI POSSÍVEL RESOLVER PROBLEMA.</t>
  </si>
  <si>
    <t>ETO-TELE 00835/2026</t>
  </si>
  <si>
    <t>PEQUIZEIRO</t>
  </si>
  <si>
    <t>LD03020023</t>
  </si>
  <si>
    <t>REALIZADO PRIMEIRO ATAQUE O MESMO RETORNOU A FICAR SEM COMUNICAÇÃO, EQUIPE RELATA QUE NÃO ESTA CHEGANDO TENSÃO NO PAINEL, PROVAVEL FALTA DE NEUTRO DENTRO DO COMANDO.</t>
  </si>
  <si>
    <t>ETO-TELE 00879/2026</t>
  </si>
  <si>
    <t>AL02065015</t>
  </si>
  <si>
    <t>PARECER DCMD:Servio realizado , favor comissionar Obra: 0712600316PARECER DMSL: A antena do rádio do RLG 7957620015 fica próximo da BT, onde a mesma veio a encostar no cabo da fase o que ocasionou um curto-circuito no rádio, que passou para todos os componentes do controle. Sendo asim se faz necessário a substituição do controle por inteiro, pois o curto danificou o rádio, módulo sim, relé e fonte. Fornecer também além do controle completo, a antena e o cabo umbilical que apresenta sinais de danos.rl 7957620015 com anomalia na antena de comunicação do mesmo, e painel não acende equipe fez primeira ataque e o mesmo não retornou comunicação, rl ficou by passado NECESSITA URGENCIA O MESMO PERTENCE CIRCUITO DO ALIMENTADOR 2 DE PEDRO AFONSO ATEDE RDU DE BOM JESUS</t>
  </si>
  <si>
    <t>ETO-TELE 00609/2026</t>
  </si>
  <si>
    <t>religador 7964802072 sem comunicaçao foi feito primeiro ataque sem sucesso . rural de conceiçao</t>
  </si>
  <si>
    <t>ETO-RD-DP 00359/2026</t>
  </si>
  <si>
    <t>Foi  Constatado RL 7955635116 Em curto Quando fechado com cargas ou faz alguma manobra .   equipe informou que o problema a na chave de entrada quando faz manobra o mesmo da arco , favor verificar as conexoes de entrada e saida do do mesmo .PARECER DMSL: REALIZAR MANUTENÇÃO NOS PARA-RAIO RETIRANDO DE PRÓXIMO DA MÃO FRANCESA, POIS ESTÁ CAUSANDO CURTO DEVIDO A PASSARASOS. O EQUIPAMENTO FICOU BYPASSADO, APÓS MANUTENÇÃO, FAVOR COLOCAR O EQUIPAMENTO EM OPERAÇÃO.</t>
  </si>
  <si>
    <t>ETO-TELE 00771/2026</t>
  </si>
  <si>
    <t>NOVO ACORDO</t>
  </si>
  <si>
    <t>LD01059122</t>
  </si>
  <si>
    <t>Por favor Deslocar equipe DMSL para substituir disjuntor danificado do religador 7907536092 que esta sem condiçoes de receber comandos remoto</t>
  </si>
  <si>
    <t>ETO-TELE 00973/2026</t>
  </si>
  <si>
    <t>PARECER COEP: FAVOR AVALIAR SE REALMENTE SERÁ A SUBSTITUIÇÃO DO EQUIPAMENTO COMPLETO JÁ QUE O PROBLEMA OCORRE NA FASE B E O EQUIPAMENTO PARECE ESTAR EM OPERAÇÃO E COMUNICANDO COM O SCADAVerificar RL 7910027196- sem comunicaçãoEquipe foi no local e realizou primeiro ataque sem suscesso   PARECER DMSL EQUIPOAMENTO FICOU EM OPERACAO, RESTABELCIDO PELA KAROL  ação remota com a velp Porém ele também DEVE SER REALIZADO substituição por conta da fase B 7910027196 ta com a leitura incorreta na tensão da fase B.( Subsituição do Equipamento Completo exceto o Radio)Time do COEP, Assim que Tiver Compra do Equipamento, Favor Tranferir a SS Posto ETO RD PA, para que Possamos seguir com a Substituição!</t>
  </si>
  <si>
    <t>ETO-TELE 00897/2026</t>
  </si>
  <si>
    <t>AL09059122</t>
  </si>
  <si>
    <t>Segue nota para envia equipe colocar RL-7931604122 em operação e verificar constante falha de comunicação e automação no equipamento, Obs. RL foi isolador após abalroamento na sua estrutura pela ocorrência Int-20264460073558 dia 30/05/2026</t>
  </si>
  <si>
    <t>ETO-TELE 00836/2026</t>
  </si>
  <si>
    <t>PONTE ALTA BOM JESUS</t>
  </si>
  <si>
    <t>AL01070027</t>
  </si>
  <si>
    <t>favor veriifcar religador 7929763027 foi feito primeiro ataque voltaou a comunicar logo depois perdeu a comunicação novamente.atende rdu de ponte alta do abom jesus.</t>
  </si>
  <si>
    <t>ETO-TELE 00895/2026</t>
  </si>
  <si>
    <t>LD06002091</t>
  </si>
  <si>
    <t>FOI CONSTATADO RL 7908203091, SEM COMUNICAÇÃO EM CURTO AO LIGAR O DISJUNTOR , FAVOR DISPONIBILIZAR EQUIPE PARA DEVIDAS TRATATIVAS</t>
  </si>
  <si>
    <t>ETO-TELE 00872/2026</t>
  </si>
  <si>
    <t>LD04010004</t>
  </si>
  <si>
    <t>PARECER DCMD: EQUIPAMENTO SUBSTITUIDO DIA 27/05/2026 LAUDO EM ANEXOPARECER DMSL: RLG 7900018004 encontra-se com defeito no controle. Por se tratar de modelo obsoleto e não termos peça de reposição para religador cooper, se faz necessário a substituição completa por um modelo NOJA RC10.Religador 7900018004 sem comunicação, feito o primeiro ataque não retornou as comunicação.</t>
  </si>
  <si>
    <t>ETO-TELE 00876/2026</t>
  </si>
  <si>
    <t>AL01078038</t>
  </si>
  <si>
    <t>segue religador 7929658038 sem comunicçao feito primeiro ataque , sem sucesso obs. mesmo estar sinalizando falaha na bateria com led vermelho, na rdu de taguatinga</t>
  </si>
  <si>
    <t>ETO-TELE 00834/2026</t>
  </si>
  <si>
    <t>COLMEIA</t>
  </si>
  <si>
    <t>LD04038009</t>
  </si>
  <si>
    <t>feito o primeiro ataque e dijuntor esta em curto enviar equipe para recuperar religador que esta sem comunicao 033po01</t>
  </si>
  <si>
    <t>ETO-TELE 00875/2026</t>
  </si>
  <si>
    <t>segue nota do RL 7926785070 o mesmo esta sem comunicaçao, RL esta com uma mancha escura no visor. equipe 070op01 fez o primeiro ataque porem a comunicaçao nao voltou</t>
  </si>
  <si>
    <t>ETO-TELE 00930/2026</t>
  </si>
  <si>
    <t>LD03014045</t>
  </si>
  <si>
    <t>FEITO O PRIMEIRO ATAQUE NO RL 7900510045 E O MESMO NÃO RETORNOU A COMUNICAR. PROVIDENCIAR A MANUTENÇÃO DO MESMO</t>
  </si>
  <si>
    <t>ETO-TELE 00947/2026</t>
  </si>
  <si>
    <t>favor enviar equipe no Regulador 5800440256, o mesmo esta travado e com a comunicaçao intermitente</t>
  </si>
  <si>
    <t>ETO-TELE 00936/2026</t>
  </si>
  <si>
    <t>AL01054060</t>
  </si>
  <si>
    <t>PARECER COEP:TRAFO FURTADO JÁ INSTALADO, FAVOR REALIZAR COMISSIONAMENTO-------------------------------------------------------PARECER DMSL:Realizar a substituição do transformador. (Furtado)Equipe: Adeilton e EdicleberSID 1874/202617/04/2026______________________________________PARECER DMSL: Chamado de desenvolvimento 30484170 criado. Favor, programar comissionamento a partir do dia 20/02/26. POLOCOLPARECER DA PROTEÇÃO:Planilha com as informações anexada. É sugerido que sejam conferidas as medições da malha de aterramento do equipamento antes da sua inserção no sistema. Isso é fundamental para garantir a segurança e a eficiência do equipamento.Os ajustes estão disponíveis no APP da proteção.Estagiário Rafael Pereira Marques._____________________RELIGADOR N° 7962635060 INSTALADO NA OBRA 0602401143 GENTILEZA, REALIZAR O COMISSIONAMENTO. LAUDO EM ANEXO. COORD EO: 789405, 9172143</t>
  </si>
  <si>
    <t>ETO-TELE 00963/2026</t>
  </si>
  <si>
    <t>AL05010004</t>
  </si>
  <si>
    <t>PARECER COEP: Equipamento está em operação no Scada, preciso da especificação do modelo do equipamento para realizar a compraPARECER DMSL:Realizar substituição do equipamento todo e parte ativa.Equipe: Adeilton e EdicleberData: 12/03-----------------------------------------------------------------------------Religador sem comunicação, apos  primeiro ataque o mesmo não retornou as comunicação.</t>
  </si>
  <si>
    <t>ETO-TELE 00941/2026</t>
  </si>
  <si>
    <t>FEITO O PRIMEIRO ATAQUE NO RL 7954668084 E O DISPLAY ESTÁ QUEIMADO, NÃO LIGA.OS (99) 106230846PRECISA SER FEITO A ANÀLISE DO DMSL, PARA A COMPRA DO EQUIPAMENTO</t>
  </si>
  <si>
    <t>ETO-TELE 00960/2026</t>
  </si>
  <si>
    <t>LD02010021</t>
  </si>
  <si>
    <t>PARECER COEP: Equipamento em operação no SCADA, favor reavaliar necessidade de substituição ,assim como especificar modelo das peças a serem substituidas e os defeitos.REALIZAR SUBSTITUIÇÃO DO TANQUE.</t>
  </si>
  <si>
    <t>ETO-TELE 00962/2026</t>
  </si>
  <si>
    <t>PARECER COEP: Equipamento em operação no SCADA, se for necessário , favor especificar peça e modelo para substituiçãoTanque do RLG 7936038076 queimado, favor substituir o mesmo.NS do tanque: 0320118112616</t>
  </si>
  <si>
    <t>ETO-TELE 00959/2026</t>
  </si>
  <si>
    <t>PARECER COEP: Equipamento em operação no SCADA, favor revisitar ou explicar defeito e modelo do equipamento.Substituição de tanque e controle, os mesmos estão com defeitos.</t>
  </si>
  <si>
    <t>ETO-TELE 00961/2026</t>
  </si>
  <si>
    <t>PARECER COEP: Equipamento em operação no Scada, além de não especificar o defeito, ainda não especificou marca e modelo para substituiçãoSolicitação de serviço para substituição de parte ativa de RL [7955520116] danificada conforme imagens anexadas.</t>
  </si>
  <si>
    <t>ETO-TELE 00861/2026</t>
  </si>
  <si>
    <t>SEGUE SS DE RELIGADOR COM CURTO INTERNO, DJUNTOR DE BT NÃO ACEITA.</t>
  </si>
  <si>
    <t>ETO-PROT 00134/2026</t>
  </si>
  <si>
    <t>LD01414027</t>
  </si>
  <si>
    <t>Segue nota para verificar falha em regulador de tensão N: 5820790038- Rural - Taguatinga .A mineradora Nativo está constantemente reclamando de tensão baixa, porém equipamento está regulando inserindo taps negativosE tensão ficando entorno de 19,7 kv .Favor analisar ajustes , ou possíveis falhas como aterramento . Parecer da proteção:Alterado a tensão de referência de 20.120 para 21.000.Eng° Irlley Castelo Branco.</t>
  </si>
  <si>
    <t>ETO-TELE 00978/2026</t>
  </si>
  <si>
    <t>LD02020023</t>
  </si>
  <si>
    <t>FOI REALIZADO O PRIMEIRO ATAQUE E O MESMO NÃO RETORNOU A COMUNICAÇÃO</t>
  </si>
  <si>
    <t>ETO-PROT 00147/2026</t>
  </si>
  <si>
    <t>Segue nota para verificar ajustes no regulador de tensão 5800657026 S/E Ponte Alta , motivo constantes reclamações de tensão na LD , foi identificado que no período das 17:30 às 22:00 a tensão reduz muito , os reguladores de tensão na LD não conseguem controlar o nivel de tensão ficando a tensão entorno de 18,5 KV ,  principalmente na fase A no regulador 5864441026 . No regulador 5800440256 a fase que fica mais baixa e a fase C .Obs: Nesse período crítico o nível de tensão no Dj 414 da S/E Ponte alta fica entorno de 33 KV , porém o regulador de tensão da S/E ponte Alta N: 5800657026 foi identificado que estava em Tap's  abaixo do 4 , tendo possibilidade de melhorar o nível de tensão .Foi feito testes reguladores comutou normal , porém não ficou no nível ideal !Parecer da proteção:Qualquer alteração no Regulador de Tensão (RT) da SE Ponte Alta impactará diretamente o barramento de 13,8 kV. Atualmente, o transformador encontra-se ajustado no TAP 4 (33,638 kV), e uma mudança nesse ajuste poderá ocasionar novas reclamações de tensão por parte dos consumidores atendidos nesse nível de tensão.Por outro lado, caso o transformador 34,5/13,8 kV seja ajustado para a posição nominal, poderemos ter reclamações de tensão baixa na rede de distribuição urbana (RDU), considerando que não possuímos controle sobre os TAPs dos transformadores de distribuição. Em contrapartida, essa alteração proporcionaria maior margem operacional para o ajuste do RT do sistema de 34,5 kV.Diante desse cenário, é imprescindível embasar qualquer tomada de decisão em dados de campo. Como primeira etapa, sugiro realizar um levantamento amostral dos TAPs dos transformadores de distribuição localizados na região central da cidade de Ponte Alta, de forma a identificar a posição em que atualmente estão operando.Além disso, considero importante realizarmos uma reunião técnica para conduzir um estudo de engenharia mais aprofundado. As decisões relativas aos ajustes operacionais devem ser</t>
  </si>
  <si>
    <t>ETO-RD-PS 00303/2026</t>
  </si>
  <si>
    <t>10/07 PARECER COEP: EQUIPAMENTO ENTREGUE AOS COCM´S FAVOR INFORMAR PRAZO DE SUBSTUIÇÃO PARA O DMSL E REPASSAR DEPOIS PARA PROTEÇÃO REALIZAR OS AJUSTES E DESCREVER NA SS O SERVIÇO REALIZADOPARECER COEP: EM PROCESSO DE ENTREGAPARECER DMSL: RT 5801866013Serviço Executado: Feito a medição da malha de terra. Identificado infiltração na caixa de passagem da célula da fase C do banco regulador de tensão, será necessário fazer a substituição da mesma! Ficar atento na hora da substituição, deverá ser substituída a célula do lado da BR.Obs.: Será necessário baixar todo o banco pelo menos um metro, as buchas estão muito próximas a parte energizada não oferecem segurança para equipe no momento do ensaio elétrico.Equipamento ficou em operação?: Não Possui nobreak: SimPossui antena: SimPossui rádio:SimPendência: SimData da bateria:  Equipe: Benvindo e Kaique._______________________________________________RT 5801866013BY PASSADO DEVIDO DEFEITO EM CELULA BEMVINDO ESTEVE NO LOCAL JUNTO AO COD .NECESSARIO TRATATIVA PARA MESMA .FASE DANIFICADO C</t>
  </si>
  <si>
    <t>ETO-TELE 00924/2026</t>
  </si>
  <si>
    <t>SEGUE SS PARA REGULARIZAR FALTA DE COMUNICAÇÃO DO RELIGADOR 7925713040</t>
  </si>
  <si>
    <t>ETO-TELE 00954/2026</t>
  </si>
  <si>
    <t>AL02084002</t>
  </si>
  <si>
    <t>FEITO PRIMEIRO ATAQUE E RELIGADOR 7934697002, NÃO REALIZA COMANDOS. FOI BY PASSADO.PROVIDENCIAR MANUTENÇÃO.</t>
  </si>
  <si>
    <t>ETO-RD-AR 01131/2026</t>
  </si>
  <si>
    <t>ETO-RD-AR</t>
  </si>
  <si>
    <t>20/07 PARECER COEP: EQUIPAMENTO ENTREGUE AOS COCM´S , AGUARDO A PREVISÃO DE SUSBTITUIÇÃO NA PLANILHA E SUBSTIUIÇÃO DEPOIS SEGUIR COM O FLUXO , DESCREVER A ATIVIDADE REALIZADA E DATA, PASSAR PARA A PROTEÇÃO COM LAUDO EM ANEXO E DEPOIS COMISSIONAR14/07 PARECER COEP: EQUIPAMENTO EM ROTA DE ENTREGAPARECER DMSL: Célula da fase A encontra-se com vazamento de óleo no pé da torneira. Necessário substituição da célula.Aberto nota para verificar vazamento de óleo fase A no RT 5844630060 - RDU Nova Olinda</t>
  </si>
  <si>
    <t>Legenda</t>
  </si>
  <si>
    <t>(*)</t>
  </si>
  <si>
    <t>Não houve ataque do DMSL</t>
  </si>
  <si>
    <t>Concluído DCMD24/07</t>
  </si>
  <si>
    <t>Pendente laudo da empreteira</t>
  </si>
  <si>
    <t>Pendente</t>
  </si>
  <si>
    <t xml:space="preserve">Tanque e antena </t>
  </si>
  <si>
    <t>Previsão de substituição 07/08// Nova previsão de entrega 21/08 se a DB Machado for para o Sul</t>
  </si>
  <si>
    <t>Concuído DCMD</t>
  </si>
  <si>
    <t>Construir Reporte</t>
  </si>
  <si>
    <t>Previsão de substituição 07/08 // 22/08 Se a DB Machado for pro Sul</t>
  </si>
  <si>
    <t xml:space="preserve">Destinada parte ativa do RL 7900453110 </t>
  </si>
  <si>
    <t>Verificar se já foi repassado</t>
  </si>
  <si>
    <t>Previsão de entrega 20/10</t>
  </si>
  <si>
    <t>Concluído DCMD e DMSL</t>
  </si>
  <si>
    <t xml:space="preserve">Concluído DCMD </t>
  </si>
  <si>
    <t>Cancelada errada pelo DMSL</t>
  </si>
  <si>
    <t>Concluído poço para melhoria de aterramento aberto</t>
  </si>
  <si>
    <t>Atendimento de cargas rurais entre Caseara e Araguacema (221 UCs)</t>
  </si>
  <si>
    <t>Equipamento em Logistica</t>
  </si>
  <si>
    <t>Vamos retirar de uma obra de construção de uma linha antiga e usar na manutenção</t>
  </si>
  <si>
    <t>Linha viva substiui as chaves pode ser que esteja dentro de operação</t>
  </si>
  <si>
    <t>Equipamento entregue aos COCM's</t>
  </si>
  <si>
    <t>Previsão de entrega 20/07 // Foi entregue a eles verificar o porque eles baixaram</t>
  </si>
  <si>
    <t>Equipamento Fora de operação</t>
  </si>
  <si>
    <t>1 controle NOJA sobrando</t>
  </si>
  <si>
    <t>Trafo auxiliar e tanque</t>
  </si>
  <si>
    <t>Trafo auxiliar e completo</t>
  </si>
  <si>
    <t>Furtado 2 vezes</t>
  </si>
  <si>
    <t>Equipamento não inserido no SCADA</t>
  </si>
  <si>
    <t xml:space="preserve"> </t>
  </si>
  <si>
    <t>Melhoria de aterramento concluída</t>
  </si>
  <si>
    <t>Novo</t>
  </si>
  <si>
    <t>x</t>
  </si>
  <si>
    <t>SOBRANDO</t>
  </si>
  <si>
    <t>EDSON CURCINO/PORTO NACIONAL</t>
  </si>
  <si>
    <t>Conferir EMD</t>
  </si>
  <si>
    <t>ETO-COEP 00160/2025</t>
  </si>
  <si>
    <t>PARECER COEP: EQUIPAMENTO SELECIONADO PARA COMPRAboa noite,segue SS para as devidas tratativas com equipe de manutenção com apoio de equipe de linha viva substituir regulador de tensão 5854566043 queimado célula fase c, LD Porto / Silvanópolis mesmo deverá ser substituído com apoio de equipe de linha viva PARECER DMSL: Foi realizado inspeção visual e ensaios de isolação, relação de transformação e resistência de enrolamento. A fase B está danificada e será necessário substituir a mesma. Malha de aterramento está relativamente boa e conectada. Fase A e C passaram nos ensaios. Substituir fase B.</t>
  </si>
  <si>
    <t>ETO-COEP 00115/2026</t>
  </si>
  <si>
    <t>PARECER COEP: PREVISÃO DE ENTREGA 16/07/2026PEÇA ENVIADA: CONTROLEPARECER DMSL: *FEEDBACK EQUIP. ESPECIAIS**Nº DO EQUIPAMENTO:* 5800859011*TIPO EQUIPAMENTO:* RT ITB *TIPO DE COMUNICAÇÃO:* Não *DATA DA MANUTENÇÃO:* 09/06/2026*SID:* 3195/2026*DESCRIÇÃO:* _ Foi identificado relé da fase C com defeito conforme orientação da supervisão e necessário realiza retrofit para instalação de controle rua.*FICOU EM OPERAÇÃO* Não*PENDÊNCIA:* Realizado Retrofit *DADOS DIVERGENTES DA PROGRAMAÇÃO:* Não*BATERIA SUBSTITUÍDA?:* Não*TIPO DE BATERIA:**EQUIPE:* Edeglan e Brunno.Observação: trocar por um controle RUA.------------------------------------------------------------------------------------------Enviar equipe do DMSL, para  fazer correção no RT 5800859011, o mesmo está com o displey da fase C apagado , dificutando  realizar  manobras no mesmo, emvirtude  disso o mesmo ficou BAY PASSADO EM CAMPO</t>
  </si>
  <si>
    <t>ETO-RD-PA 00433/2026</t>
  </si>
  <si>
    <t>30/06 PARECER COEP: EQUIPAMENTO ENTREGUE, SEGUE SS PARA O COCM´S , PARA REALIZAR O ATENDIMENTO,FAVOR ADICIONAR O PARECER PARA MANDAR PARA PROTEÇÃOBom dia,Segue SS para verificação RL sem comunicação com painel apagado equipe DEOP fez primeiro ataque sem sucesso RL 7931610122 RDU de Palmas.Feedback Equipamentos Especiais DMSL: *RLG 7931610122 RDU Palmas*Noja rc10 Data: 14/10/2025SID: 5412Dados de comunicação divergentes da programação: Não. Serviço Executado: Houve um curto no equipamento danificando a parte ativa, e antena! Será necessário fazer a substituição somente da parte ativa (tanque) e da antena.Equipamento ficou em operação?: Não Pendência: Sim, substituir a parte ativa.Bateria(s) substituída(s)?: NãoData Fabricação/Instalação da(s) bateria(s): 2024Equipe: Benvindo, Juliano e Sérgio.</t>
  </si>
  <si>
    <t>ETO-COEP 00130/2026</t>
  </si>
  <si>
    <t>JOELSON SILVA DE SOUZA/ PARAÍSO</t>
  </si>
  <si>
    <t xml:space="preserve">PROBLEMA NA REQUISIÇÃO DO TANQUE QUE FOI DA 34,5 E NÃO FOI PEDIDO O CONTROLE </t>
  </si>
  <si>
    <t>ETO-COEP 00084/2026</t>
  </si>
  <si>
    <t>10/07 PARECER COEP: EQUIPAMENTO ENTREGUE AOS COCM´S FAVOR INFORMAR PRAZO DE SUBSTUIÇÃO PARA O DMSL E REPASSAR DEPOIS PARA PROTEÇÃO REALIZAR OS AJUSTES E DESCREVER NA SS O SERVIÇO REALIZADOPARECER COEP: PREVISÃO DE ENTREGA AOS COCM'S 01/07Segue nota para correção de anomalia e provável substituição de religador , religador 7900117013 -RDU - Paraiso .OBS: equipe DMSL Elisfran estava atualizando firmware no equipamento  , porém relé parou de funcionar devido essa atualização , sendo necessário sua substituição .em campo o modelo e   cooper Form6 , segundo tecnico deve ser substituído por um Noja .Repassado para o COEP para aquisição do equipamento e posterior repasse para o COCM.</t>
  </si>
  <si>
    <t>Previsão para substituição 20/07</t>
  </si>
  <si>
    <t>Ajuste de Proteção</t>
  </si>
  <si>
    <t>ETO-RD-PA 00431/2026</t>
  </si>
  <si>
    <t>Previsão de substituição 15/07</t>
  </si>
  <si>
    <t>PARECER COEP: EQUIPAMENTO ENTREGUE, SEGUE SS PARA O COCM´S , PARA REALIZAR O ATENDIMENTO,FAVOR ADICIONAR O PARECER PARA MANDAR PARA PROTEÇÃOSegue SS para verficar religador de poste 7933766059.Religador esta com defeito na parte ativa no tanque Porte gentilezaenviar equipe verificar.Endereço: TaquariPARECER DMSL: RLG 7933766059 RELÉ NOJA RC 10Mestre 2 Rep. taquaruçu GESID: 5457/2025Data: 15/10/2025Serviço Executado: Houve um curto na parte ativa do equipamento danificando a mesma, será necessário fazer a substituição somente do tanque, parte ativa.*Equipamento ficou em operação?:*Nao Pendência: Sim, substituir parte ativa.Equipe: Benvindo, Juliano e Sérgio.</t>
  </si>
  <si>
    <t>Já foi realizado vai ser passado para proteção até 15/07</t>
  </si>
  <si>
    <t>ETO-RD-PO 00185/2026</t>
  </si>
  <si>
    <t>Previsão para substituição 10/07</t>
  </si>
  <si>
    <t>10/07 PARECER COEP: EQUIPAMENTO DESLOCADO QUE ESTAVA EM GUARAÍ FOI ALINHADO COM O VALMOR QUE SERIA SUBSTITUIDO DIA 07/07/2026 , FAVOR PASSAR PARA PROTEÇÃO 7900594026PARECER COEP: AGUARDANDO COCM'S PARA ABRIR REQUISIÇÃOPARECER DMSL 10/06/2026: Tem uma nota aberta para esse equipamento solicitando a substituição desde 20/10/2025, como a nota não foi atendida estamos repassando para área responsável. Nota em aberto repassada ETO-COEP 210/2025.Segue nota para verificar intermitência de comunicação nos religadores 7908301026 , 7911120026, 7947959026 , 7908692026, 7900594026 rural- Ponte Alta .</t>
  </si>
  <si>
    <t>Em processo de compra , precisou de analise nova DMSL</t>
  </si>
  <si>
    <t>ETO-RD-PO 00118/2026</t>
  </si>
  <si>
    <t xml:space="preserve"> PREVISAO DE SUBSTITUIÇÃO 23/07/2026</t>
  </si>
  <si>
    <t>Compra</t>
  </si>
  <si>
    <t>Foi redirecionado para priorizar o RL 7933726256</t>
  </si>
  <si>
    <t>Aguardando confirmação</t>
  </si>
  <si>
    <t>ETO-RD-PA 00434/2026</t>
  </si>
  <si>
    <t>ETO-TELE 970/2026 concluída e equipamento fora de operação</t>
  </si>
  <si>
    <t>ETO-COEP 00187/2025</t>
  </si>
  <si>
    <t>PARECER COEP: AVALIAR COM O LEANDRO, PROVAVELMENTE SÓ COMPRAPARECER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etc.Segue nota para veriifcar falha em regulador de tensão N: 5800371025 dentro S/E Arapoema , equipamento esta com 2 reles com falha  marca toshiba .</t>
  </si>
  <si>
    <t xml:space="preserve">(INICIALMENTE PARA AQUISIÇÃO) MAS PODEMOS UTILIZAR O TANQUE NELE </t>
  </si>
  <si>
    <t>ETO-RD-GU 00711/2026</t>
  </si>
  <si>
    <t>CONCLUÍDO</t>
  </si>
  <si>
    <t>EDSON CURCINOPORTO NACIONAL 14/07/2026</t>
  </si>
  <si>
    <t>ETO-RD-GR 00712/2026</t>
  </si>
  <si>
    <t>(Tanque da 34,5 Faltando)</t>
  </si>
  <si>
    <t>ETO-COEP 00050/2026</t>
  </si>
  <si>
    <t>PARECER COEP: AGUARDANDO COCM'S GERAREM A OBRA PARA ENTREGA DO MATERIALPARECER DMSL: Data: 10/03/2026,Serviço Executado: Foi substituído o relé do equipamento, o mesmo estava danificado. Trocado o DPS, o mesmo estava queimado devido ao tanque estar furado. O equipamento ficou em bypass.Equipamento ficou em operação? NãoPendência? Sim, substituir a parte ativa com cordão umbilical.Equipe: Carliel e João VitorSEGUE SS PARA REGULARIZAR AUTOMAÇÃO DO RL 7953610256 NA INTERLIGAÇÃO COM A COELBA (CHAPADA DA MANGABEIRA) - EQUIPE INFOMOU CURTO INTERNO NO GABINETE DJ AC NÃO FECHA</t>
  </si>
  <si>
    <t>ETO-COEP 00117/2026</t>
  </si>
  <si>
    <t>PARECER COEP: AGUARDANDO RETORNO DO DMSLREGULADOR 5800090147 SEM COMUNICAÇÃO E TRAVANDO TAP´S - REALIZAO PRIMEIRO ATAQUE SEM SUCESSO.PARECER DMSL: Favor, substituir a célula da fase C do RT 5800090147 pois o microswitch que renconhece o neutro do regulador está com defeito.Equipamento ficou operando devido ser possível manobrar de forma manual.</t>
  </si>
  <si>
    <t>ETO-TELE 00942/2026</t>
  </si>
  <si>
    <t>PARECER COEP: AGUARAR RETORNo RETORNO DMSLApós testes no RLG 7903112004 foi constatado defeito no mesmo e como se trata de um modelo COOPER FORM6 que está obsoleto e não possuímos peças sobressalentes, faz-se necessária substituição completa por modelo NOJA RC10.</t>
  </si>
  <si>
    <t>Cobrar Marcelo ou Felipe</t>
  </si>
  <si>
    <t>ETO-RD-PA 00432/2026</t>
  </si>
  <si>
    <t>PARECER COEP: EQUIPAMENTO ENTREGUE, SEGUE SS PARA O COCM´S , PARA REALIZAR O ATENDIMENTO,FAVOR ADICIONAR O PARECER PARA MANDAR PARA PROTEÇÃOSS ANTIGA: 1500/2025 PARECER DMSL: Serviço Executado: Foi verificado que o tanque do equipamento está danificado, sendo necessário substituir o tanque do equipamento.Equipamento ficou em operação?: NãoPendência: Sim, instalar fonte, disjuntor e DPS, e substituir o tanque.</t>
  </si>
  <si>
    <t>TELE</t>
  </si>
  <si>
    <t>ETO-TELE 00965/2026</t>
  </si>
  <si>
    <t>PARECER COEP: Equipamento Funcionando no SCADA , favor reavaliar a necessidade de substituição e se necessário mandar o modelo do equipamento.Segue nota para substituir Taque do RL-7930428001 na LD Porto Nacional / São João, Identificado pela Int-20253617520441 equipamento dando passagem na fase A ficou bay-passado até substituição, Tensão 34,5kva, Acesso livre.</t>
  </si>
  <si>
    <t>Aguardando obra COCM e PARECER DO DMSL</t>
  </si>
  <si>
    <t>MELHORIA DE ATERRAMENTO +11MIL (PRAZO SUSTITUIÇÃO)</t>
  </si>
  <si>
    <t>Melhoria de aterramento, controle precisa de aquisição</t>
  </si>
  <si>
    <t>Controle e melhoria de aterramento</t>
  </si>
  <si>
    <t>ETO-COEP 00127/2026</t>
  </si>
  <si>
    <t>PARECER COEP: Equipamento em operaçãpo no SCADAPARECER DMSL: Após testes, foi constatado que o RT  5850308009 encontra-se com controle danificado, sendo necessária substituição do mesmo.Regulador de tensão 5850308009 quando esta em Automatico esta deixa um fase muito baixa. foi deixado uma fase Manual e transferida parte do alimentaor.</t>
  </si>
  <si>
    <t>ETO-TELE 977/2026</t>
  </si>
  <si>
    <t>(EQUIPAMENTO PARA ANALISE DO DMSL)</t>
  </si>
  <si>
    <t>30/06 PARECER COEP: AGUARDANDO RETORNO DO DMSL , PARA VIABILIZAR TROCA APENAS DA PLACA , POIS EXISTEM 5 NO SALDO DE ESTOQUEEquipamento ficou em operação?: NãoPendência: Sim será necessário substituir a placaServiço Executado:  curto na placa foi tentando recuperar a mesma porém não teve sucesso!Bateria(s)substituída(s)? NÃOEquipe: Kaique e benvido</t>
  </si>
  <si>
    <t>(COMPRA)</t>
  </si>
  <si>
    <t>3 células e conectores</t>
  </si>
  <si>
    <t>Em Análise DMSL</t>
  </si>
  <si>
    <t>PARECER COEP: AGUARDANDO RETORNO DMSL, SERIA A COMPRA DA PARTE ATIVA+ CONTROLE+RADIO +RELE?DMSL:Serviço Executado: Houve um curto no equipamento danificando a parte ativa, será necessário fazer a substituição do equipamento completo ( parte ativa e controle) colocar o um cabo pp novo do trafo até o Dj pois o mesmo está sem condições de uso. Obs:. Foi retirado rádio e rele Equipamento ficou em operação?: Não Pendência: Sim, substituir o equipamento completo.</t>
  </si>
  <si>
    <t>Concluído , em operação repassado ETO-PROT 135/2026</t>
  </si>
  <si>
    <t>ETO-RD-PA 00427/2026</t>
  </si>
  <si>
    <t>PARECER COEP: EQUIPAMENTO COM MELHORIA DE ATERRAMENTO É COM A ETO-RD-PA , NÃO PASSA PELO FLUXO DE AQUISIÇÃO DO COEP, FAVOR REALIZAR MELHORIA DE ATERRAMENTO ETO-RD-PAPARECER DMSL 19/05/2026: É necessário fazer melhorias na malha de aterramento.segue nota para RL 794252059 o mesmo esta sem comunicaçao, foi feito primeiro ataque, porem a comunicaçao nao voltou, obs ramal do marasca.</t>
  </si>
  <si>
    <t>ETO-TELE 968/2026</t>
  </si>
  <si>
    <t>ETO-TELE 971/2026</t>
  </si>
  <si>
    <t>ETO- TELE 967/2026</t>
  </si>
  <si>
    <t>Tanque, relé e modulo</t>
  </si>
  <si>
    <t>PARECER COEP: QUAL O MODELO DO EQUIPAMENTO? QUAL A FAIXA DE TENSÃO ? O QUE SERIA SISTEMA DE COMUNICAÇÃO COMPLETO?Troca do sistema de comunicação do equipamentoDMSL 28/07/2025: Equipamento com tanque, modulo e rele com defeito, solicitar troca do equipamento ao DCMD.Fotos vão ser enviadas por e-mail</t>
  </si>
  <si>
    <t>Data entrega 10/07 , ENVIOU UM TANQUE AO INVES DO CONTROLE, ENVIAR CONTROLE DA 24 NOJA</t>
  </si>
  <si>
    <t xml:space="preserve">SOBRA TANQUE 34,5 </t>
  </si>
  <si>
    <t>ETO-RD-PS 00301/2026</t>
  </si>
  <si>
    <t>Previsão de entrega aos COCM's 01/07</t>
  </si>
  <si>
    <t>Relé, controle e ajuste</t>
  </si>
  <si>
    <t>10/07 PARECER COEP: EQUIPAMENTO ENTREGUE , FAVOR REALIZAR SUBSTIUIÇÃO, DEPOIS ENCAMINHAR PARA PROTEÇÃO REALIZAR OS AJUSTES E DEPOIS PARA COMISSIONAMENTO, FAVOR INFORMAR O PRAZO DA PREVISÃO DMSL PARA IREM JUNTOS20/06PARECER COEP: EMD 510216PREVISÃO DE CHEGADA COCM'S 01/07RELIGADOR COM RELÉ QUEIMADO - EQUIPAMENTO BY PASSADO. PARECER DMSL:N° do Equipamento: 7957126085Data: 17/06/2025Localidade: RDU Monte SantoServiço Executado:"Os para raios da fase B e C estão fechando arco na cruzeta. Curto desceu para o controle danificando os componentes. Necessário substituir controle completo, substituir cabo de alimentação da BT e abaixar o tanque para afastar das cruzetas. Solicitar também ao DCMD para verificar se os para raios estão danificados."Ana Maria e Rayr já tinha ido no local anteriormente, na data 14/05/25 e fizeram o diagnostico acima. Equipamento ficou em operação?: NÃO</t>
  </si>
  <si>
    <t>ETO-COEP 00167/2025</t>
  </si>
  <si>
    <t>1 celula</t>
  </si>
  <si>
    <t>PARECER COEP: EQUIPAMENTO EM ROTA DE ENTREGAPARECER DMSL: Célula da fase A encontra-se com vazamento de óleo no pé da torneira. Necessário substituição da célula.Aberto nota para verificar vazamento de óleo fase A no RT 5844630060 - RDU Nova Olinda</t>
  </si>
  <si>
    <t>ETO-RD-PS 00304/2026</t>
  </si>
  <si>
    <t>Aguardando a criação da Obra para abrir a requisição</t>
  </si>
  <si>
    <t>ETO-PROT 00136</t>
  </si>
  <si>
    <t>PARA AQUISIÇÃO</t>
  </si>
  <si>
    <t>ETO-TELE 972/2026</t>
  </si>
  <si>
    <t>PARECER COEP: PROBLEMA IDENTIFICADO É NA PARTE ATIVA? OU NO RELIGADOR? FAVOR VERIFICAR SE EQUIPAMENTO ESTÁ EM OPERAÇÃO NO SCADA, OU SE É NECESSARIO APENAS A MELHORIA DE ATERRAMENTO PARECER DMSL: Serviço Executado: _ indentificado o problema na parte ativa será  necessário fazer a substituição da mesmo, feito a medição do aterramento. Preciso substituir para raio da fase c.Equipamento ficou em operação?: _NAOPendência: _SimBateria(s) substituída(s)? _NãoData Fabricação/Instalação da(s) bateria(s):_Equipe: _Benvindo e kaique----------------------------------------------------------------------------------RL com defeito no rele, fica só reiniciando ficou By passado OS atendimento primeiro ataque 106530226</t>
  </si>
  <si>
    <t>ETO-COEP 00079/2025</t>
  </si>
  <si>
    <t>SEM PARECER TÉCNICO DMSL</t>
  </si>
  <si>
    <t>tanque</t>
  </si>
  <si>
    <t>30/06 PARECER COEP: EQUIPAMENTO SEM PARECER TECNICO DO DMSLSegue nota para envia manutenção substituir tanque do RL-7923927122 em curto, Anomalia identificada desarme das LD, s Palmas / Aparecida e Palmas Taquaruçu, Acesso livre, Tensão 34,5kv, Local RL de Interligação entre 424R / 414R.</t>
  </si>
  <si>
    <t>Revisar</t>
  </si>
  <si>
    <t>(REPASSAR NOVAMENTE A ANÁLISE DO DMSL)</t>
  </si>
  <si>
    <t>Parte ativa danificada</t>
  </si>
  <si>
    <t>ETO-TELE 974/2026</t>
  </si>
  <si>
    <t>PARECER COEP: FAVOR REAVALIAR DISPONIBILIDADE DO EQUIPAMENTO DO SCADA E DIZER MARCA ,MODELO E TENSÃO DO EQUIPAMENTOPARECER DMSL: Tinha uma nota aberta 422/2025 e logo após a equipe resolver a comunicação ela foi baixada, porém a equipe relatou que ''na estrada ontem o COS nos avisou para voltar que na hora de colocar em operação ele tirou a linha fora. Hoje retornamos nele e fizemos ensaios elétricos e foi constatado que o tanque está em curto. Passa direto aí para o Dcmd para substituição do tanque.''</t>
  </si>
  <si>
    <t>Parte ativa danificada (tanque)</t>
  </si>
  <si>
    <t>ETO-TELE 964/2026</t>
  </si>
  <si>
    <t>ETO-TELE 969/2026</t>
  </si>
  <si>
    <t>Em proceso de Aquisição</t>
  </si>
  <si>
    <t>Em Operação confirmado com os COCM's</t>
  </si>
  <si>
    <t>ETO-COEP 00223/2025</t>
  </si>
  <si>
    <t>Em processo logistico</t>
  </si>
  <si>
    <t>Aguardando geração da EMD</t>
  </si>
  <si>
    <t>Levar para analise de religadores furtados no Sul</t>
  </si>
  <si>
    <t>PARECER COEP: EQUIPAMENTO FURTADO LEVAR PARA ANÁLISE COM O LEANDRO, NO ENTANTO SEGUE NA CATEGORIA DE COMPRA.Favor levar outro regulador de tensão, pois o mesmo foi furtado em campo.</t>
  </si>
  <si>
    <t>ETO-TELE 01001/2026</t>
  </si>
  <si>
    <t>13/07/2026 PARECER COEP: SUBSTITUIÇÃO REALZIADA , FAVOR COMISSIONARPARECER COEP: AGUARDANDO RETORNO DO DMSL, EQUIPAMENTO FOI INSTALADO NOVO NA OBRA 0212501060, ENTENDER O PORQUE NÃO FOI REALIZADO COMISSIONAMENTOPARECER DMSL: Substituir Equipamento completo problema na placa de alimentação e na parte ativa, falta colocar placa de identificação correta na topologia, baixar o controle.Equipamento ficou em operação?: naoPendência: simBateria(s) substituída(s)? NÃOEquipe: Kaique/ Benvindo----------------------------------------------PARECER DA PROTEÇÃO: Prosseguir com o comissionamento. Ajustes de religador permanecem os mesmos, disponíveis no APP da Proteção.********************************RELIGADOR N°7919270014 REMANEJADO NA OBRA 0212501060 GENTILEZA, REALIZAR O COMISSIONAMENTO. LAUDO EM ANEXO. COORD EO: 617422, 8830787</t>
  </si>
  <si>
    <t>JOELSON PARA´SIO 14/07/2026</t>
  </si>
  <si>
    <t>ETO-RD-PA 00452/2026</t>
  </si>
  <si>
    <t>PROBLEMA NO ENVIO DO MATERIAL</t>
  </si>
  <si>
    <t>TANQUE DA 13,8 + RÁDIO</t>
  </si>
  <si>
    <t>bateria, rádio, trafo (entender sobre bucha da fase A)</t>
  </si>
  <si>
    <t>PARECER DMSL 09/07/2026: GENTILEZA VERIFICAR HAVIA UMA NOTA ABERTA, EQUIPE RETORNOU EM CAMPO E NÃO FOI REALIZADAserviço realizado na SS ENC-RD-PS 1397/2025, REPASSANDO PARA COMISSIONARRL 7938137007 NO RL INSTALAR BATERIA NOVA E RADIO A PEDIDO DE KAROLINY DMSLACESSO LIVREPARECER DMSL: * equipamento esta com a bucha da fase A com problemas(solta), necessário substituir* Trafo do serviço auxiliar esta vazando óleo, necessário substituir</t>
  </si>
  <si>
    <t>ETO-RD-DP 403/2025, AGUARDO DO RETORNO</t>
  </si>
  <si>
    <t>Comissionar</t>
  </si>
  <si>
    <t>ETO-COEP 00123/2025</t>
  </si>
  <si>
    <t>PARECER COEP: ERRO NA INSTALAÇÃO EQUIPAMENTO SELECIONADO PARA COMPRAPARECER DMSL: 16/06/2025-SERVIÇO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t>
  </si>
  <si>
    <t>ETO-TELE 00940/2026</t>
  </si>
  <si>
    <t>Enviar equipe verificar relé 79, de religamento do Religador 7953211079, o mesmo  não está executando o seu clclo de religamento, desde modo penalizando cargas desnecessariamente, um total de 1438 Clientes penalizados</t>
  </si>
  <si>
    <t>Previsão de Substiuição17/07/2026</t>
  </si>
  <si>
    <t>NumLocal</t>
  </si>
  <si>
    <t>SiglaLocal</t>
  </si>
  <si>
    <t>NomeLocal</t>
  </si>
  <si>
    <t>SiglaPolo</t>
  </si>
  <si>
    <t>NomePoloDEOP</t>
  </si>
  <si>
    <t>NomePoloDESC</t>
  </si>
  <si>
    <t>SiglaRegional</t>
  </si>
  <si>
    <t>ABR</t>
  </si>
  <si>
    <t>ABREULANDIA</t>
  </si>
  <si>
    <t>DIV</t>
  </si>
  <si>
    <t>AGU</t>
  </si>
  <si>
    <t>AGUIARNOPOLIS</t>
  </si>
  <si>
    <t>TOC</t>
  </si>
  <si>
    <t>ALI</t>
  </si>
  <si>
    <t>ALIANCA DO TOCANTINS</t>
  </si>
  <si>
    <t>GUR</t>
  </si>
  <si>
    <t>ALM</t>
  </si>
  <si>
    <t>DIA</t>
  </si>
  <si>
    <t>ALT</t>
  </si>
  <si>
    <t>ALTAMIRA</t>
  </si>
  <si>
    <t>ALTO DO ZUMBI</t>
  </si>
  <si>
    <t>AUG</t>
  </si>
  <si>
    <t>ALTO LINDO</t>
  </si>
  <si>
    <t>GUA</t>
  </si>
  <si>
    <t>ALV</t>
  </si>
  <si>
    <t>FOR</t>
  </si>
  <si>
    <t>AMA</t>
  </si>
  <si>
    <t>AMARALINA</t>
  </si>
  <si>
    <t>ANA</t>
  </si>
  <si>
    <t>ANANAS</t>
  </si>
  <si>
    <t>ANG</t>
  </si>
  <si>
    <t>ANGICO</t>
  </si>
  <si>
    <t>APA</t>
  </si>
  <si>
    <t>TAQ</t>
  </si>
  <si>
    <t>API</t>
  </si>
  <si>
    <t>APINAJE</t>
  </si>
  <si>
    <t>PEI</t>
  </si>
  <si>
    <t>ARA</t>
  </si>
  <si>
    <t>ARACULANDIA</t>
  </si>
  <si>
    <t>ARAGUANA</t>
  </si>
  <si>
    <t>COL</t>
  </si>
  <si>
    <t>ARR</t>
  </si>
  <si>
    <t>AUR</t>
  </si>
  <si>
    <t>AXI</t>
  </si>
  <si>
    <t>AXIXA DO TOCANTINS</t>
  </si>
  <si>
    <t>AZU</t>
  </si>
  <si>
    <t>AZUIS</t>
  </si>
  <si>
    <t>BAB</t>
  </si>
  <si>
    <t>BAI</t>
  </si>
  <si>
    <t>BAIANOPOLIS</t>
  </si>
  <si>
    <t>BAN</t>
  </si>
  <si>
    <t>BAR</t>
  </si>
  <si>
    <t>BARRA DA AROEIRA</t>
  </si>
  <si>
    <t>BARRA DA GROTA</t>
  </si>
  <si>
    <t>BARRA DO OURO</t>
  </si>
  <si>
    <t>MIR</t>
  </si>
  <si>
    <t>BEL</t>
  </si>
  <si>
    <t>BELA VISTA</t>
  </si>
  <si>
    <t>BER</t>
  </si>
  <si>
    <t>BERNARDO SAYAO</t>
  </si>
  <si>
    <t>BIE</t>
  </si>
  <si>
    <t>BIELANDIA</t>
  </si>
  <si>
    <t>BOA</t>
  </si>
  <si>
    <t>BOA ESPERANCA</t>
  </si>
  <si>
    <t>BOM</t>
  </si>
  <si>
    <t>BOM JESUS DO TOCANTINS</t>
  </si>
  <si>
    <t>BON</t>
  </si>
  <si>
    <t>BONFIM</t>
  </si>
  <si>
    <t>BRA</t>
  </si>
  <si>
    <t>BRASILENE</t>
  </si>
  <si>
    <t>BRE</t>
  </si>
  <si>
    <t>BREJINHO</t>
  </si>
  <si>
    <t>BREJINHO DE NAZARE</t>
  </si>
  <si>
    <t>POR</t>
  </si>
  <si>
    <t>BUR</t>
  </si>
  <si>
    <t>BURITI DO TOCANTINS</t>
  </si>
  <si>
    <t>BURITIRANA</t>
  </si>
  <si>
    <t>CAC</t>
  </si>
  <si>
    <t>CACHOEIRINHA</t>
  </si>
  <si>
    <t>CAM</t>
  </si>
  <si>
    <t>CAMPINA VERDE</t>
  </si>
  <si>
    <t>PAR</t>
  </si>
  <si>
    <t>CAMPO MAIOR</t>
  </si>
  <si>
    <t>CAN</t>
  </si>
  <si>
    <t>CANELAS</t>
  </si>
  <si>
    <t>PAL</t>
  </si>
  <si>
    <t>CANTO DA VAZANTE</t>
  </si>
  <si>
    <t>CAR</t>
  </si>
  <si>
    <t>CARIRI DO TOCANTINS</t>
  </si>
  <si>
    <t>CARMOLANDIA</t>
  </si>
  <si>
    <t>CARRASCO BONITO</t>
  </si>
  <si>
    <t>CAS</t>
  </si>
  <si>
    <t>CAT</t>
  </si>
  <si>
    <t>CATINGUEIRO</t>
  </si>
  <si>
    <t>CEN</t>
  </si>
  <si>
    <t>CENTRO DE URUE</t>
  </si>
  <si>
    <t>CENTRO DO ZE MULATO</t>
  </si>
  <si>
    <t>CENTRO DOS FERREIRAS</t>
  </si>
  <si>
    <t>CENTRO DOS FIRMINOS</t>
  </si>
  <si>
    <t>CENTRO DOS MAMEDES</t>
  </si>
  <si>
    <t>CENTRO JOSE ESTEVES</t>
  </si>
  <si>
    <t>CHA</t>
  </si>
  <si>
    <t>CHAPADA DE AREIA</t>
  </si>
  <si>
    <t>COM</t>
  </si>
  <si>
    <t>COMBINADO</t>
  </si>
  <si>
    <t>CON</t>
  </si>
  <si>
    <t>COU</t>
  </si>
  <si>
    <t>COUTO VELHO</t>
  </si>
  <si>
    <t>CRI</t>
  </si>
  <si>
    <t>CRISTALANDIA</t>
  </si>
  <si>
    <t>CRIXAS DO TOCANTINS</t>
  </si>
  <si>
    <t>DAR</t>
  </si>
  <si>
    <t>DARCINOPOLIS</t>
  </si>
  <si>
    <t>DOI</t>
  </si>
  <si>
    <t>DOR</t>
  </si>
  <si>
    <t>DORILANDIA</t>
  </si>
  <si>
    <t>DUE</t>
  </si>
  <si>
    <t>ESC</t>
  </si>
  <si>
    <t>ESCOLA BRASIL</t>
  </si>
  <si>
    <t>ESP</t>
  </si>
  <si>
    <t>FAT</t>
  </si>
  <si>
    <t>FATIMA</t>
  </si>
  <si>
    <t>FIG</t>
  </si>
  <si>
    <t>FIL</t>
  </si>
  <si>
    <t>FILADELFIA</t>
  </si>
  <si>
    <t>FLO</t>
  </si>
  <si>
    <t>FLORESTA</t>
  </si>
  <si>
    <t>FOL</t>
  </si>
  <si>
    <t>FOLHA GROSSA</t>
  </si>
  <si>
    <t>FOLHA SECA</t>
  </si>
  <si>
    <t>FORTALEZA DO TABOCAO</t>
  </si>
  <si>
    <t>FRA</t>
  </si>
  <si>
    <t>FRANCOESA</t>
  </si>
  <si>
    <t>GOI</t>
  </si>
  <si>
    <t>GOIANY DOS CAMPOS</t>
  </si>
  <si>
    <t>GRO</t>
  </si>
  <si>
    <t>GROTA D'AGUA</t>
  </si>
  <si>
    <t>GROTA DO MEIO</t>
  </si>
  <si>
    <t>GROTAO</t>
  </si>
  <si>
    <t>GROTAO DE AXIXA</t>
  </si>
  <si>
    <t>ILH</t>
  </si>
  <si>
    <t>ILHA DO BANANAL</t>
  </si>
  <si>
    <t>IPU</t>
  </si>
  <si>
    <t>IPUEIRAS</t>
  </si>
  <si>
    <t>ITA</t>
  </si>
  <si>
    <t>ITACAJA</t>
  </si>
  <si>
    <t>ITAGUATINS</t>
  </si>
  <si>
    <t>ITAPORA DO TOCANTINS</t>
  </si>
  <si>
    <t>ITAUBA</t>
  </si>
  <si>
    <t>JAC</t>
  </si>
  <si>
    <t>JACILANDIA</t>
  </si>
  <si>
    <t>JAU</t>
  </si>
  <si>
    <t>JAU DO TOCANTINS</t>
  </si>
  <si>
    <t>JUA</t>
  </si>
  <si>
    <t>JUARINA</t>
  </si>
  <si>
    <t>JUV</t>
  </si>
  <si>
    <t>JUVERLANDIA</t>
  </si>
  <si>
    <t>LAG</t>
  </si>
  <si>
    <t>LAGO VERDE</t>
  </si>
  <si>
    <t>LAGOA DA CONFUSAO</t>
  </si>
  <si>
    <t>LAGOA DA PEDRA</t>
  </si>
  <si>
    <t>LAGOA DO ROMAO</t>
  </si>
  <si>
    <t>LAGOA SAO SALVADOR</t>
  </si>
  <si>
    <t>LAJ</t>
  </si>
  <si>
    <t>LAJEADO</t>
  </si>
  <si>
    <t>LAV</t>
  </si>
  <si>
    <t>LAVANDEIRA</t>
  </si>
  <si>
    <t>LIZ</t>
  </si>
  <si>
    <t>LIZARDA</t>
  </si>
  <si>
    <t>LUZ</t>
  </si>
  <si>
    <t>LUZINOPOLIS</t>
  </si>
  <si>
    <t>MAC</t>
  </si>
  <si>
    <t>MACAUBA</t>
  </si>
  <si>
    <t>MAN</t>
  </si>
  <si>
    <t>MANGUEIRA</t>
  </si>
  <si>
    <t>MANSINHA</t>
  </si>
  <si>
    <t>MAR</t>
  </si>
  <si>
    <t>MARAJA</t>
  </si>
  <si>
    <t>MARILANDIA</t>
  </si>
  <si>
    <t>MARTINOPOLIS</t>
  </si>
  <si>
    <t>MAT</t>
  </si>
  <si>
    <t>PON</t>
  </si>
  <si>
    <t>MATO REDONDO</t>
  </si>
  <si>
    <t>MAU</t>
  </si>
  <si>
    <t>MIM</t>
  </si>
  <si>
    <t>MIMOSA DOS MOREIRA</t>
  </si>
  <si>
    <t>MIN</t>
  </si>
  <si>
    <t>MINEIROPOLIS</t>
  </si>
  <si>
    <t>MIRANDOPOLIS</t>
  </si>
  <si>
    <t>MIRANORTE</t>
  </si>
  <si>
    <t>MON</t>
  </si>
  <si>
    <t>MOR</t>
  </si>
  <si>
    <t>MORADA NOVA</t>
  </si>
  <si>
    <t>MORRO SAO JOAO</t>
  </si>
  <si>
    <t>MUR</t>
  </si>
  <si>
    <t>MURICILANDIA</t>
  </si>
  <si>
    <t>NAT</t>
  </si>
  <si>
    <t>NAZ</t>
  </si>
  <si>
    <t>NAZARE</t>
  </si>
  <si>
    <t>NOV</t>
  </si>
  <si>
    <t>NOVA PINHEROPOLIS</t>
  </si>
  <si>
    <t>NOVA ROSALANDIA</t>
  </si>
  <si>
    <t>NOVO ALEGRE</t>
  </si>
  <si>
    <t>NOVO HORIZONTE</t>
  </si>
  <si>
    <t>NOVO HORIZONTE DO TOCANTINS</t>
  </si>
  <si>
    <t>NOVO HORIZONTE DO TOCANTINS I</t>
  </si>
  <si>
    <t>NOVO PLANO</t>
  </si>
  <si>
    <t>OLH</t>
  </si>
  <si>
    <t>OLHO D'AGUA</t>
  </si>
  <si>
    <t>OLI</t>
  </si>
  <si>
    <t>OLIVEIRA DE FATIMA</t>
  </si>
  <si>
    <t>PALMEIROPOLIS</t>
  </si>
  <si>
    <t>PAU</t>
  </si>
  <si>
    <t>PAU D'ARCO</t>
  </si>
  <si>
    <t>PED</t>
  </si>
  <si>
    <t>PEDRA DE AMOLAR</t>
  </si>
  <si>
    <t>PEIXELANDIA</t>
  </si>
  <si>
    <t>PEQ</t>
  </si>
  <si>
    <t>PEQUIZEIRO DO AXIXA</t>
  </si>
  <si>
    <t>PIA</t>
  </si>
  <si>
    <t>PIACAVA</t>
  </si>
  <si>
    <t>PIN</t>
  </si>
  <si>
    <t>PIR</t>
  </si>
  <si>
    <t>PIU</t>
  </si>
  <si>
    <t>PONTA DO ASFALTO</t>
  </si>
  <si>
    <t>PORTO ALEGRE DO TOCANTINS</t>
  </si>
  <si>
    <t>PORTO LEMOS</t>
  </si>
  <si>
    <t>POV</t>
  </si>
  <si>
    <t>POVOADO BANDEIRA</t>
  </si>
  <si>
    <t>POVOADO BURITI SAO MIGUEL</t>
  </si>
  <si>
    <t>POVOADO CACHOEIRINHA</t>
  </si>
  <si>
    <t>POVOADO CANA BRAVA</t>
  </si>
  <si>
    <t>POVOADO CENTRO DOS BORGES</t>
  </si>
  <si>
    <t>POVOADO CENTRO NOVO</t>
  </si>
  <si>
    <t>POVOADO CEORTA</t>
  </si>
  <si>
    <t>POVOADO CHAPADINHA</t>
  </si>
  <si>
    <t>POVOADO DEZENOVE</t>
  </si>
  <si>
    <t>POVOADO DO BROCO</t>
  </si>
  <si>
    <t>POVOADO DO RODEADORO</t>
  </si>
  <si>
    <t>POVOADO DOS BARROS</t>
  </si>
  <si>
    <t>POVOADO GENIPAPO</t>
  </si>
  <si>
    <t>POVOADO IMBURANA</t>
  </si>
  <si>
    <t>POVOADO JACARE</t>
  </si>
  <si>
    <t>POVOADO MATA GRANDE</t>
  </si>
  <si>
    <t>POVOADO MATINHA</t>
  </si>
  <si>
    <t>POVOADO MUMBUCA</t>
  </si>
  <si>
    <t>POVOADO OLHO D'AGUA</t>
  </si>
  <si>
    <t>POVOADO OLHO D'AGUA MEIO</t>
  </si>
  <si>
    <t>POVOADO PAPACONHA</t>
  </si>
  <si>
    <t>POVOADO PASSARINHO</t>
  </si>
  <si>
    <t>POVOADO PONTES</t>
  </si>
  <si>
    <t>POVOADO RIBEIRAO GRANDE II</t>
  </si>
  <si>
    <t>POVOADO RIBEIRAO GRANDE III</t>
  </si>
  <si>
    <t>POVOADO RIBEIRAOZINHO</t>
  </si>
  <si>
    <t>POVOADO SAO FRANCISCO</t>
  </si>
  <si>
    <t>POVOADO SAO JOAO</t>
  </si>
  <si>
    <t>POVOADO SAO PEDRO</t>
  </si>
  <si>
    <t>POVOADO SOROROCA</t>
  </si>
  <si>
    <t>PRA</t>
  </si>
  <si>
    <t>PRAIA NORTE</t>
  </si>
  <si>
    <t>PRE</t>
  </si>
  <si>
    <t>PRESIDENTE KENNEDY</t>
  </si>
  <si>
    <t>PRI</t>
  </si>
  <si>
    <t>PRINCIPE</t>
  </si>
  <si>
    <t>PUG</t>
  </si>
  <si>
    <t>QUI</t>
  </si>
  <si>
    <t>QUIXABEIRA</t>
  </si>
  <si>
    <t>REC</t>
  </si>
  <si>
    <t>RECURSOLANDIA</t>
  </si>
  <si>
    <t>RET</t>
  </si>
  <si>
    <t>RETIRO</t>
  </si>
  <si>
    <t>RIA</t>
  </si>
  <si>
    <t>RIACHINHO</t>
  </si>
  <si>
    <t>RIB</t>
  </si>
  <si>
    <t>RIBEIRAO GRANDE</t>
  </si>
  <si>
    <t>RIO</t>
  </si>
  <si>
    <t>RIO DA CONCEICAO</t>
  </si>
  <si>
    <t>ROS</t>
  </si>
  <si>
    <t>ROSALANDIA</t>
  </si>
  <si>
    <t>SAL</t>
  </si>
  <si>
    <t>SALVACAO</t>
  </si>
  <si>
    <t>SAM</t>
  </si>
  <si>
    <t>SAMPAIO</t>
  </si>
  <si>
    <t>SAN</t>
  </si>
  <si>
    <t>SANDOLANDIA</t>
  </si>
  <si>
    <t>SANTA CECILIA</t>
  </si>
  <si>
    <t>SANTA INEZ</t>
  </si>
  <si>
    <t>SANTA MARIA DO TOCANTINS</t>
  </si>
  <si>
    <t>SANTA ROSA PARAISO</t>
  </si>
  <si>
    <t>SANTA TEREZA DO TOCANTINS</t>
  </si>
  <si>
    <t>SANTA TEREZINHA DO TOCANTINS</t>
  </si>
  <si>
    <t>SANTANA</t>
  </si>
  <si>
    <t>SAO</t>
  </si>
  <si>
    <t>SAO FELIX DO TOCANTINS</t>
  </si>
  <si>
    <t>SAO FRANCISCO</t>
  </si>
  <si>
    <t>SAO JOAO</t>
  </si>
  <si>
    <t>SAO JOAO DO ARAGUAIA</t>
  </si>
  <si>
    <t>SAO JOAO DO JAVAE</t>
  </si>
  <si>
    <t>SAO LUIZ DAS PALMEIRAS</t>
  </si>
  <si>
    <t>SAO MIGUEL DO TOCANTINS</t>
  </si>
  <si>
    <t>SAO RAIMUNDO</t>
  </si>
  <si>
    <t>SAO SEBASTIAO</t>
  </si>
  <si>
    <t>SAO SEBASTIAO DO TOCANTINS</t>
  </si>
  <si>
    <t>SER</t>
  </si>
  <si>
    <t>SERRANOPOLIS</t>
  </si>
  <si>
    <t>SIL</t>
  </si>
  <si>
    <t>SIT</t>
  </si>
  <si>
    <t>SITIO NOVO DO TOCANTINS</t>
  </si>
  <si>
    <t>SOB</t>
  </si>
  <si>
    <t>SOBRADINHO</t>
  </si>
  <si>
    <t>SUC</t>
  </si>
  <si>
    <t>SUCUPIRA</t>
  </si>
  <si>
    <t>SUM</t>
  </si>
  <si>
    <t>SUMAUMA</t>
  </si>
  <si>
    <t>TAG</t>
  </si>
  <si>
    <t>TAI</t>
  </si>
  <si>
    <t>TAL</t>
  </si>
  <si>
    <t>TALISMA</t>
  </si>
  <si>
    <t>TAQUARUSSU DO PORTO</t>
  </si>
  <si>
    <t>TOCANTINIA</t>
  </si>
  <si>
    <t>TRA</t>
  </si>
  <si>
    <t>TRANSARAGUAIA</t>
  </si>
  <si>
    <t>TRE</t>
  </si>
  <si>
    <t>TREVO DA PRAIA</t>
  </si>
  <si>
    <t>TUC</t>
  </si>
  <si>
    <t>TUCUNS</t>
  </si>
  <si>
    <t>TUP</t>
  </si>
  <si>
    <t>TUPIRATA</t>
  </si>
  <si>
    <t>TUPIRATINS</t>
  </si>
  <si>
    <t>VIL</t>
  </si>
  <si>
    <t>VILA DEPASA</t>
  </si>
  <si>
    <t>VILA LUZIMANGUES</t>
  </si>
  <si>
    <t>VILA SAO MIGUEL</t>
  </si>
  <si>
    <t>VILA UNIAO</t>
  </si>
  <si>
    <t>VILA UNIAO-TALISMA</t>
  </si>
  <si>
    <t>VIN</t>
  </si>
  <si>
    <t>VINTE MIL</t>
  </si>
  <si>
    <t>VINTE MIL - AUGUSTINOPOLIS</t>
  </si>
  <si>
    <t>VINTE MIL - AUGUSTINOPOLIS.</t>
  </si>
  <si>
    <t>WAN</t>
  </si>
  <si>
    <t>XAM</t>
  </si>
  <si>
    <t>XAMBIOA</t>
  </si>
  <si>
    <t>RELIGADOR</t>
  </si>
  <si>
    <t>REGULADOR</t>
  </si>
  <si>
    <t>1º critério</t>
  </si>
  <si>
    <t>Localização</t>
  </si>
  <si>
    <t>Funcionamento por fonte alternativa</t>
  </si>
  <si>
    <t>condições</t>
  </si>
  <si>
    <t>Clientes UB</t>
  </si>
  <si>
    <t>Clientes RR</t>
  </si>
  <si>
    <t xml:space="preserve">Não </t>
  </si>
  <si>
    <t>Sim</t>
  </si>
  <si>
    <t>Não tem</t>
  </si>
  <si>
    <t>pesos</t>
  </si>
  <si>
    <t>2º critério</t>
  </si>
  <si>
    <t>Quantidade de clientes</t>
  </si>
  <si>
    <t>Atendimento de RDU</t>
  </si>
  <si>
    <t>Acima de 1000</t>
  </si>
  <si>
    <t>Até 1000</t>
  </si>
  <si>
    <t>Outro RL (RDU)</t>
  </si>
  <si>
    <t>Até 500</t>
  </si>
  <si>
    <t>Não</t>
  </si>
  <si>
    <t>3º critério</t>
  </si>
  <si>
    <t>Clientes Grupo A</t>
  </si>
  <si>
    <t>Risco do Imagem</t>
  </si>
  <si>
    <t>GA relevante</t>
  </si>
  <si>
    <t>Não relevante</t>
  </si>
  <si>
    <t>Não tem GA</t>
  </si>
  <si>
    <t>4º critério</t>
  </si>
  <si>
    <t>Risco de imagem</t>
  </si>
  <si>
    <t>5º critério</t>
  </si>
  <si>
    <t>Contém fonte alternativa</t>
  </si>
  <si>
    <t>Sensibilidade da operação</t>
  </si>
  <si>
    <t>Tem transferência</t>
  </si>
  <si>
    <t>6º critério</t>
  </si>
  <si>
    <t>Religador de Transferência</t>
  </si>
  <si>
    <t>7º critério</t>
  </si>
  <si>
    <t>Ramal radial</t>
  </si>
  <si>
    <t>8º critério</t>
  </si>
  <si>
    <t>Matriz de criticidade</t>
  </si>
  <si>
    <t>Nível</t>
  </si>
  <si>
    <t>Tipo de equipamento</t>
  </si>
  <si>
    <t>X &gt;= 80</t>
  </si>
  <si>
    <t>X &gt; 80</t>
  </si>
  <si>
    <t>50 &lt;= X &lt; 80</t>
  </si>
  <si>
    <t>60 &lt;= X &lt;= 80</t>
  </si>
  <si>
    <t>30 &lt;= X &lt; 50</t>
  </si>
  <si>
    <t>30 &lt; X &lt; 60</t>
  </si>
  <si>
    <t>X &lt; 30</t>
  </si>
  <si>
    <t>X &lt;= 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</si>
</sst>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family val="2"/>
      <scheme val="minor"/>
    </font>
    <font>
      <b/>
      <sz val="11"/>
      <color theme="0"/>
      <name val="Calibri"/>
      <family val="2"/>
      <scheme val="minor"/>
    </font>
    <font>
      <b/>
      <sz val="11"/>
      <color theme="1"/>
      <name val="Calibri"/>
      <family val="2"/>
      <scheme val="minor"/>
    </font>
    <font>
      <sz val="11"/>
      <name val="Calibri"/>
      <family val="2"/>
      <scheme val="minor"/>
    </font>
    <font>
      <b/>
      <sz val="10"/>
      <color theme="0"/>
      <name val="Calibri"/>
      <family val="2"/>
    </font>
    <font>
      <b/>
      <sz val="10"/>
      <color theme="1"/>
      <name val="Calibri"/>
      <family val="2"/>
      <scheme val="minor"/>
    </font>
    <font>
      <sz val="10"/>
      <name val="Calibri"/>
      <family val="2"/>
    </font>
    <font>
      <sz val="11"/>
      <color rgb="FFFF0000"/>
      <name val="Calibri"/>
      <family val="2"/>
      <scheme val="minor"/>
    </font>
    <font>
      <sz val="9"/>
      <color theme="1"/>
      <name val="Segoe UI"/>
      <family val="2"/>
    </font>
    <font>
      <u/>
      <sz val="11"/>
      <color theme="10"/>
      <name val="Calibri"/>
      <family val="2"/>
      <scheme val="minor"/>
    </font>
  </fonts>
  <fills count="15">
    <fill>
      <patternFill patternType="none"/>
    </fill>
    <fill>
      <patternFill patternType="gray125"/>
    </fill>
    <fill>
      <patternFill patternType="solid">
        <fgColor theme="3" tint="9.9978637043366805E-2"/>
        <bgColor indexed="64"/>
      </patternFill>
    </fill>
    <fill>
      <patternFill patternType="solid">
        <fgColor theme="0" tint="-0.499984740745262"/>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rgb="FFFFFF00"/>
        <bgColor indexed="64"/>
      </patternFill>
    </fill>
    <fill>
      <patternFill patternType="solid">
        <fgColor rgb="FFFFC000"/>
        <bgColor indexed="64"/>
      </patternFill>
    </fill>
    <fill>
      <patternFill patternType="solid">
        <fgColor rgb="FF009FC2"/>
        <bgColor indexed="64"/>
      </patternFill>
    </fill>
    <fill>
      <patternFill patternType="solid">
        <fgColor theme="0" tint="-0.34998626667073579"/>
        <bgColor indexed="64"/>
      </patternFill>
    </fill>
    <fill>
      <patternFill patternType="solid">
        <fgColor theme="9"/>
        <bgColor indexed="64"/>
      </patternFill>
    </fill>
    <fill>
      <patternFill patternType="solid">
        <fgColor rgb="FFFF0000"/>
        <bgColor indexed="64"/>
      </patternFill>
    </fill>
    <fill>
      <patternFill patternType="solid">
        <fgColor theme="0"/>
        <bgColor indexed="64"/>
      </patternFill>
    </fill>
    <fill>
      <patternFill patternType="solid">
        <fgColor theme="7"/>
        <bgColor indexed="64"/>
      </patternFill>
    </fill>
    <fill>
      <patternFill patternType="solid">
        <fgColor rgb="FF00B0F0"/>
        <bgColor indexed="64"/>
      </patternFill>
    </fill>
  </fills>
  <borders count="18">
    <border>
      <left/>
      <right/>
      <top/>
      <bottom/>
      <diagonal/>
    </border>
    <border>
      <left/>
      <right/>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style="thin">
        <color theme="0" tint="-0.14999847407452621"/>
      </right>
      <top style="thin">
        <color theme="0" tint="-0.14999847407452621"/>
      </top>
      <bottom/>
      <diagonal/>
    </border>
    <border>
      <left style="thin">
        <color theme="0"/>
      </left>
      <right style="thin">
        <color theme="0"/>
      </right>
      <top style="thin">
        <color theme="0"/>
      </top>
      <bottom style="thin">
        <color theme="0"/>
      </bottom>
      <diagonal/>
    </border>
    <border>
      <left style="thin">
        <color theme="0"/>
      </left>
      <right/>
      <top/>
      <bottom style="thin">
        <color theme="0"/>
      </bottom>
      <diagonal/>
    </border>
    <border>
      <left/>
      <right style="thin">
        <color theme="0"/>
      </right>
      <top style="thin">
        <color theme="0"/>
      </top>
      <bottom/>
      <diagonal/>
    </border>
    <border>
      <left/>
      <right style="thin">
        <color theme="0" tint="-0.14999847407452621"/>
      </right>
      <top/>
      <bottom/>
      <diagonal/>
    </border>
    <border>
      <left/>
      <right style="thin">
        <color theme="0" tint="-0.14999847407452621"/>
      </right>
      <top style="thin">
        <color theme="0"/>
      </top>
      <bottom/>
      <diagonal/>
    </border>
    <border>
      <left style="thin">
        <color theme="0" tint="-0.14999847407452621"/>
      </left>
      <right style="thin">
        <color theme="0"/>
      </right>
      <top style="thin">
        <color theme="0"/>
      </top>
      <bottom style="thin">
        <color theme="0"/>
      </bottom>
      <diagonal/>
    </border>
    <border>
      <left style="thin">
        <color theme="0"/>
      </left>
      <right style="thin">
        <color theme="0" tint="-0.14999847407452621"/>
      </right>
      <top style="thin">
        <color theme="0"/>
      </top>
      <bottom style="thin">
        <color theme="0"/>
      </bottom>
      <diagonal/>
    </border>
    <border>
      <left/>
      <right style="thin">
        <color theme="0" tint="-0.14999847407452621"/>
      </right>
      <top style="thin">
        <color theme="0" tint="-0.14999847407452621"/>
      </top>
      <bottom style="thin">
        <color theme="0"/>
      </bottom>
      <diagonal/>
    </border>
    <border>
      <left style="thin">
        <color theme="0"/>
      </left>
      <right style="thin">
        <color theme="0" tint="-0.14999847407452621"/>
      </right>
      <top/>
      <bottom style="thin">
        <color theme="0"/>
      </bottom>
      <diagonal/>
    </border>
    <border>
      <left style="thin">
        <color theme="0"/>
      </left>
      <right/>
      <top/>
      <bottom/>
      <diagonal/>
    </border>
    <border>
      <left/>
      <right style="thin">
        <color theme="0"/>
      </right>
      <top style="thin">
        <color theme="0"/>
      </top>
      <bottom style="thin">
        <color theme="0"/>
      </bottom>
      <diagonal/>
    </border>
    <border>
      <left/>
      <right style="thin">
        <color theme="0"/>
      </right>
      <top/>
      <bottom style="thin">
        <color theme="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66">
    <xf numFmtId="0" fontId="0" fillId="0" borderId="0" xfId="0"/>
    <xf numFmtId="0" fontId="1" fillId="2" borderId="0" xfId="0" applyFont="1" applyFill="1"/>
    <xf numFmtId="0" fontId="2" fillId="0" borderId="0" xfId="0" applyFont="1"/>
    <xf numFmtId="0" fontId="1" fillId="3" borderId="0" xfId="0" applyFont="1" applyFill="1"/>
    <xf numFmtId="0" fontId="0" fillId="0" borderId="0" xfId="0" applyAlignment="1">
      <alignment horizontal="center"/>
    </xf>
    <xf numFmtId="0" fontId="0" fillId="0" borderId="0" xfId="0" applyAlignment="1">
      <alignment horizontal="center" vertical="center"/>
    </xf>
    <xf numFmtId="0" fontId="2" fillId="4" borderId="1" xfId="0" applyFont="1" applyFill="1" applyBorder="1" applyAlignment="1">
      <alignment horizontal="center"/>
    </xf>
    <xf numFmtId="14" fontId="0" fillId="0" borderId="0" xfId="0" applyNumberFormat="1"/>
    <xf numFmtId="0" fontId="0" fillId="0" borderId="3" xfId="0" applyBorder="1" applyAlignment="1">
      <alignment horizontal="center"/>
    </xf>
    <xf numFmtId="14" fontId="0" fillId="0" borderId="0" xfId="0" applyNumberFormat="1" applyAlignment="1">
      <alignment horizontal="center"/>
    </xf>
    <xf numFmtId="0" fontId="0" fillId="0" borderId="0" xfId="0" applyAlignment="1">
      <alignment horizontal="left"/>
    </xf>
    <xf numFmtId="0" fontId="3" fillId="0" borderId="0" xfId="0" applyFont="1" applyAlignment="1">
      <alignment horizontal="center"/>
    </xf>
    <xf numFmtId="0" fontId="0" fillId="7" borderId="0" xfId="0" applyFill="1" applyAlignment="1">
      <alignment horizontal="center"/>
    </xf>
    <xf numFmtId="0" fontId="0" fillId="0" borderId="0" xfId="0" pivotButton="1"/>
    <xf numFmtId="0" fontId="4" fillId="8" borderId="6" xfId="0" applyFont="1" applyFill="1" applyBorder="1" applyAlignment="1">
      <alignment horizontal="center" vertical="center"/>
    </xf>
    <xf numFmtId="0" fontId="5" fillId="0" borderId="9" xfId="0" applyFont="1" applyBorder="1" applyAlignment="1">
      <alignment horizontal="center"/>
    </xf>
    <xf numFmtId="0" fontId="5" fillId="0" borderId="8" xfId="0" applyFont="1" applyBorder="1" applyAlignment="1">
      <alignment horizontal="center"/>
    </xf>
    <xf numFmtId="0" fontId="4" fillId="8" borderId="10" xfId="0" applyFont="1" applyFill="1" applyBorder="1" applyAlignment="1">
      <alignment horizontal="center" vertical="center"/>
    </xf>
    <xf numFmtId="0" fontId="4" fillId="8" borderId="11" xfId="0" applyFont="1" applyFill="1" applyBorder="1" applyAlignment="1">
      <alignment horizontal="center" vertical="center"/>
    </xf>
    <xf numFmtId="0" fontId="4" fillId="8" borderId="13" xfId="0" applyFont="1" applyFill="1" applyBorder="1" applyAlignment="1">
      <alignment horizontal="center" vertical="center"/>
    </xf>
    <xf numFmtId="0" fontId="0" fillId="0" borderId="14" xfId="0" applyBorder="1"/>
    <xf numFmtId="0" fontId="4" fillId="8" borderId="15" xfId="0" applyFont="1" applyFill="1" applyBorder="1" applyAlignment="1">
      <alignment horizontal="center" vertical="center"/>
    </xf>
    <xf numFmtId="0" fontId="4" fillId="9" borderId="15" xfId="0" applyFont="1" applyFill="1" applyBorder="1" applyAlignment="1">
      <alignment horizontal="center" vertical="center"/>
    </xf>
    <xf numFmtId="0" fontId="6" fillId="0" borderId="9" xfId="0" applyFont="1" applyBorder="1" applyAlignment="1">
      <alignment horizontal="center" vertical="center" wrapText="1"/>
    </xf>
    <xf numFmtId="0" fontId="6" fillId="0" borderId="8" xfId="0" applyFont="1" applyBorder="1" applyAlignment="1">
      <alignment horizontal="center" vertical="center" wrapText="1"/>
    </xf>
    <xf numFmtId="0" fontId="6" fillId="0" borderId="4" xfId="0" applyFont="1" applyBorder="1" applyAlignment="1">
      <alignment horizontal="center" vertical="center" wrapText="1"/>
    </xf>
    <xf numFmtId="0" fontId="6" fillId="0" borderId="12" xfId="0" applyFont="1" applyBorder="1" applyAlignment="1">
      <alignment horizontal="center" vertical="center" wrapText="1"/>
    </xf>
    <xf numFmtId="0" fontId="2" fillId="6" borderId="0" xfId="0" applyFont="1" applyFill="1"/>
    <xf numFmtId="0" fontId="0" fillId="11" borderId="0" xfId="0" applyFill="1" applyAlignment="1">
      <alignment horizontal="center"/>
    </xf>
    <xf numFmtId="0" fontId="0" fillId="0" borderId="0" xfId="0" applyAlignment="1">
      <alignment horizontal="left" vertical="center"/>
    </xf>
    <xf numFmtId="0" fontId="0" fillId="0" borderId="0" xfId="0" applyAlignment="1">
      <alignment horizontal="right"/>
    </xf>
    <xf numFmtId="0" fontId="0" fillId="0" borderId="0" xfId="0" applyAlignment="1">
      <alignment horizontal="right" vertical="center"/>
    </xf>
    <xf numFmtId="0" fontId="0" fillId="12" borderId="0" xfId="0" applyFill="1"/>
    <xf numFmtId="0" fontId="0" fillId="13" borderId="0" xfId="0" applyFill="1"/>
    <xf numFmtId="0" fontId="0" fillId="10" borderId="0" xfId="0" applyFill="1"/>
    <xf numFmtId="0" fontId="7" fillId="11" borderId="0" xfId="0" applyFont="1" applyFill="1"/>
    <xf numFmtId="0" fontId="0" fillId="11" borderId="0" xfId="0" applyFill="1"/>
    <xf numFmtId="49" fontId="0" fillId="11" borderId="17" xfId="0" applyNumberFormat="1" applyFill="1" applyBorder="1" applyAlignment="1">
      <alignment horizontal="center" vertical="center"/>
    </xf>
    <xf numFmtId="14" fontId="0" fillId="0" borderId="0" xfId="0" applyNumberFormat="1" applyAlignment="1">
      <alignment horizontal="center" vertical="center"/>
    </xf>
    <xf numFmtId="0" fontId="0" fillId="14" borderId="0" xfId="0" applyFill="1" applyAlignment="1">
      <alignment horizontal="center"/>
    </xf>
    <xf numFmtId="0" fontId="0" fillId="12" borderId="0" xfId="0" applyFill="1" applyAlignment="1">
      <alignment horizontal="center"/>
    </xf>
    <xf numFmtId="16" fontId="0" fillId="0" borderId="0" xfId="0" applyNumberFormat="1" applyAlignment="1">
      <alignment horizontal="center"/>
    </xf>
    <xf numFmtId="0" fontId="0" fillId="0" borderId="0" xfId="0" applyAlignment="1">
      <alignment horizontal="left" wrapText="1"/>
    </xf>
    <xf numFmtId="0" fontId="0" fillId="7" borderId="0" xfId="0" applyFill="1" applyAlignment="1">
      <alignment horizontal="center" vertical="center"/>
    </xf>
    <xf numFmtId="0" fontId="0" fillId="7" borderId="0" xfId="0" applyFill="1" applyAlignment="1">
      <alignment horizontal="left" vertical="center"/>
    </xf>
    <xf numFmtId="0" fontId="0" fillId="7" borderId="0" xfId="0" applyFill="1" applyAlignment="1">
      <alignment horizontal="right" vertical="center"/>
    </xf>
    <xf numFmtId="0" fontId="0" fillId="7" borderId="0" xfId="0" applyFill="1"/>
    <xf numFmtId="0" fontId="8" fillId="0" borderId="0" xfId="0" applyFont="1"/>
    <xf numFmtId="0" fontId="0" fillId="0" borderId="0" xfId="0" applyAlignment="1">
      <alignment horizontal="left" indent="1"/>
    </xf>
    <xf numFmtId="0" fontId="9" fillId="0" borderId="0" xfId="1" applyAlignment="1">
      <alignment horizontal="center"/>
    </xf>
    <xf numFmtId="0" fontId="0" fillId="0" borderId="0" xfId="0" applyAlignment="1">
      <alignment horizontal="center" wrapText="1"/>
    </xf>
    <xf numFmtId="0" fontId="1" fillId="5" borderId="2" xfId="0" applyFont="1" applyFill="1" applyBorder="1" applyAlignment="1">
      <alignment horizontal="center"/>
    </xf>
    <xf numFmtId="0" fontId="1" fillId="5" borderId="3" xfId="0" applyFont="1" applyFill="1" applyBorder="1" applyAlignment="1">
      <alignment horizontal="center"/>
    </xf>
    <xf numFmtId="0" fontId="4" fillId="8" borderId="5" xfId="0" applyFont="1" applyFill="1" applyBorder="1" applyAlignment="1">
      <alignment horizontal="center" vertical="center"/>
    </xf>
    <xf numFmtId="0" fontId="4" fillId="9" borderId="7" xfId="0" applyFont="1" applyFill="1" applyBorder="1" applyAlignment="1">
      <alignment horizontal="center" vertical="center"/>
    </xf>
    <xf numFmtId="0" fontId="4" fillId="9" borderId="16" xfId="0" applyFont="1" applyFill="1" applyBorder="1" applyAlignment="1">
      <alignment horizontal="center" vertical="center"/>
    </xf>
    <xf numFmtId="0" fontId="4" fillId="8" borderId="14" xfId="0" applyFont="1" applyFill="1" applyBorder="1" applyAlignment="1">
      <alignment horizontal="center" vertical="center"/>
    </xf>
    <xf numFmtId="0" fontId="4" fillId="8" borderId="6" xfId="0" applyFont="1" applyFill="1" applyBorder="1" applyAlignment="1">
      <alignment horizontal="center" vertical="center"/>
    </xf>
    <xf numFmtId="0" fontId="1" fillId="2" borderId="0" xfId="0" applyFont="1" applyFill="1" applyAlignment="1">
      <alignment horizontal="center"/>
    </xf>
    <xf numFmtId="0" fontId="2" fillId="4" borderId="0" xfId="0" applyFont="1" applyFill="1" applyAlignment="1">
      <alignment horizontal="center"/>
    </xf>
    <xf numFmtId="0" fontId="2" fillId="4" borderId="0" xfId="0" applyFont="1" applyFill="1" applyAlignment="1">
      <alignment horizontal="center" vertical="center"/>
    </xf>
    <xf numFmtId="0" fontId="2" fillId="4" borderId="1" xfId="0" applyFont="1" applyFill="1" applyBorder="1" applyAlignment="1">
      <alignment horizontal="center" vertical="center"/>
    </xf>
    <xf numFmtId="0" fontId="0" fillId="0" borderId="0" xfId="0" applyNumberFormat="1" applyAlignment="1">
      <alignment horizontal="center" vertical="center"/>
    </xf>
    <xf numFmtId="0" fontId="0" fillId="0" borderId="0" xfId="0" applyNumberFormat="1" applyAlignment="1">
      <alignment horizontal="center"/>
    </xf>
    <xf numFmtId="0" fontId="0" fillId="0" borderId="0" xfId="0" applyNumberFormat="1" applyAlignment="1"/>
    <xf numFmtId="0" fontId="0" fillId="0" borderId="0" xfId="0" applyNumberFormat="1"/>
  </cellXfs>
  <cellStyles count="2">
    <cellStyle name="Hyperlink" xfId="1" xr:uid="{00000000-000B-0000-0000-000008000000}"/>
    <cellStyle name="Normal" xfId="0" builtinId="0"/>
  </cellStyles>
  <dxfs count="7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general" vertical="bottom" textRotation="0" wrapText="0" indent="0" justifyLastLine="0" shrinkToFit="0" readingOrder="0"/>
    </dxf>
    <dxf>
      <alignment horizontal="right" vertical="center" textRotation="0" wrapText="0" indent="0" justifyLastLine="0" shrinkToFit="0" readingOrder="0"/>
    </dxf>
    <dxf>
      <alignment horizontal="left" vertical="center"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bottom" textRotation="0" wrapText="0" indent="0" justifyLastLine="0" shrinkToFit="0" readingOrder="0"/>
    </dxf>
    <dxf>
      <font>
        <color rgb="FF006100"/>
      </font>
      <fill>
        <patternFill>
          <bgColor rgb="FFC6EFCE"/>
        </patternFill>
      </fill>
    </dxf>
    <dxf>
      <font>
        <color rgb="FF9C0006"/>
      </font>
      <fill>
        <patternFill>
          <bgColor rgb="FFFFC7CE"/>
        </patternFill>
      </fill>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left" vertical="bottom" textRotation="0" wrapText="1"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0" formatCode="General"/>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dxf>
    <dxf>
      <alignment horizontal="center" vertical="center"/>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20</xdr:col>
      <xdr:colOff>219635</xdr:colOff>
      <xdr:row>132</xdr:row>
      <xdr:rowOff>79081</xdr:rowOff>
    </xdr:from>
    <xdr:to>
      <xdr:col>22</xdr:col>
      <xdr:colOff>3283484</xdr:colOff>
      <xdr:row>180</xdr:row>
      <xdr:rowOff>88606</xdr:rowOff>
    </xdr:to>
    <xdr:pic>
      <xdr:nvPicPr>
        <xdr:cNvPr id="2" name="Imagem 1">
          <a:extLst>
            <a:ext uri="{FF2B5EF4-FFF2-40B4-BE49-F238E27FC236}">
              <a16:creationId xmlns:a16="http://schemas.microsoft.com/office/drawing/2014/main" id="{326ECA2D-1DD7-1CA4-1D42-AD2E7971A88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994314" y="25034581"/>
          <a:ext cx="4751134" cy="9153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22</xdr:col>
      <xdr:colOff>4027715</xdr:colOff>
      <xdr:row>132</xdr:row>
      <xdr:rowOff>84846</xdr:rowOff>
    </xdr:from>
    <xdr:to>
      <xdr:col>22</xdr:col>
      <xdr:colOff>8708572</xdr:colOff>
      <xdr:row>165</xdr:row>
      <xdr:rowOff>95250</xdr:rowOff>
    </xdr:to>
    <xdr:pic>
      <xdr:nvPicPr>
        <xdr:cNvPr id="9" name="Imagem 2">
          <a:extLst>
            <a:ext uri="{FF2B5EF4-FFF2-40B4-BE49-F238E27FC236}">
              <a16:creationId xmlns:a16="http://schemas.microsoft.com/office/drawing/2014/main" id="{9818471B-1CA5-1BBA-9446-A03FE2C8209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489679" y="25040346"/>
          <a:ext cx="4680857" cy="62969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matheus_groliveira_energisa_com_br/Documents/OBRAS%20EQ%20ESPECIAL.xlsx" TargetMode="External"/><Relationship Id="rId2" Type="http://schemas.openxmlformats.org/officeDocument/2006/relationships/externalLinkPath" Target="https://energisa-my.sharepoint.com/personal/matheus_groliveira_energisa_com_br/Documents/OBRAS%20EQ%20ESPECIAL.xlsx" TargetMode="External"/><Relationship Id="rId1" Type="http://schemas.openxmlformats.org/officeDocument/2006/relationships/externalLinkPath" Target="/personal/matheus_groliveira_energisa_com_br/Documents/OBRAS%20EQ%20ESPECI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lanilha1"/>
    </sheetNames>
    <sheetDataSet>
      <sheetData sheetId="0">
        <row r="2">
          <cell r="C2" t="str">
            <v>Ativo</v>
          </cell>
        </row>
        <row r="3">
          <cell r="C3">
            <v>7957620015</v>
          </cell>
          <cell r="T3" t="str">
            <v>0712600316</v>
          </cell>
        </row>
        <row r="4">
          <cell r="C4">
            <v>7955520116</v>
          </cell>
          <cell r="T4" t="str">
            <v>0512600178</v>
          </cell>
        </row>
        <row r="5">
          <cell r="C5">
            <v>7900594026</v>
          </cell>
          <cell r="T5" t="str">
            <v>0312600354</v>
          </cell>
        </row>
        <row r="6">
          <cell r="C6">
            <v>7953610256</v>
          </cell>
        </row>
        <row r="7">
          <cell r="C7">
            <v>7943790134</v>
          </cell>
          <cell r="T7" t="str">
            <v>0662600266</v>
          </cell>
        </row>
        <row r="8">
          <cell r="C8">
            <v>7938137007</v>
          </cell>
          <cell r="T8" t="str">
            <v>0212600423</v>
          </cell>
        </row>
        <row r="9">
          <cell r="C9">
            <v>7934698002</v>
          </cell>
          <cell r="T9" t="str">
            <v>0662600265</v>
          </cell>
        </row>
        <row r="10">
          <cell r="C10">
            <v>7933766059</v>
          </cell>
          <cell r="T10" t="str">
            <v>0112600424</v>
          </cell>
        </row>
        <row r="11">
          <cell r="C11">
            <v>7933726256</v>
          </cell>
          <cell r="T11" t="str">
            <v>0312600351</v>
          </cell>
        </row>
        <row r="12">
          <cell r="C12">
            <v>7931610122</v>
          </cell>
          <cell r="T12" t="str">
            <v>0112600383</v>
          </cell>
        </row>
        <row r="13">
          <cell r="C13">
            <v>7929376022</v>
          </cell>
          <cell r="T13" t="str">
            <v>0612600565</v>
          </cell>
        </row>
        <row r="14">
          <cell r="C14">
            <v>7927169001</v>
          </cell>
          <cell r="T14" t="str">
            <v>0112600425</v>
          </cell>
        </row>
        <row r="15">
          <cell r="C15">
            <v>7925087021</v>
          </cell>
          <cell r="T15" t="str">
            <v>0412600392</v>
          </cell>
        </row>
        <row r="16">
          <cell r="C16">
            <v>7908705049</v>
          </cell>
          <cell r="T16" t="str">
            <v>0512600135</v>
          </cell>
        </row>
        <row r="17">
          <cell r="C17">
            <v>7908686014</v>
          </cell>
          <cell r="T17" t="str">
            <v>0212600425</v>
          </cell>
        </row>
        <row r="18">
          <cell r="C18">
            <v>7903112004</v>
          </cell>
        </row>
        <row r="19">
          <cell r="C19">
            <v>7900453110</v>
          </cell>
          <cell r="T19" t="str">
            <v>0312600264</v>
          </cell>
        </row>
        <row r="20">
          <cell r="C20">
            <v>5854566043</v>
          </cell>
          <cell r="T20" t="str">
            <v>0312600352</v>
          </cell>
        </row>
        <row r="21">
          <cell r="C21">
            <v>7957126085</v>
          </cell>
          <cell r="T21" t="str">
            <v>0212600428</v>
          </cell>
        </row>
        <row r="22">
          <cell r="C22">
            <v>7900117013</v>
          </cell>
          <cell r="T22" t="str">
            <v>0212600422</v>
          </cell>
        </row>
        <row r="23">
          <cell r="C23">
            <v>5855411017</v>
          </cell>
          <cell r="T23" t="str">
            <v>0212600536</v>
          </cell>
        </row>
        <row r="24">
          <cell r="C24">
            <v>7900018004</v>
          </cell>
          <cell r="T24" t="str">
            <v>0612600439</v>
          </cell>
        </row>
        <row r="25">
          <cell r="C25">
            <v>5856070091</v>
          </cell>
          <cell r="T25" t="str">
            <v>0512600177</v>
          </cell>
        </row>
        <row r="26">
          <cell r="C26">
            <v>5858783119</v>
          </cell>
          <cell r="T26" t="str">
            <v>0662600361</v>
          </cell>
        </row>
        <row r="27">
          <cell r="C27">
            <v>5827102054</v>
          </cell>
          <cell r="T27" t="str">
            <v>0212600537</v>
          </cell>
        </row>
        <row r="28">
          <cell r="C28">
            <v>5801866013</v>
          </cell>
          <cell r="T28" t="str">
            <v>0212600539</v>
          </cell>
        </row>
        <row r="29">
          <cell r="C29">
            <v>7900573047</v>
          </cell>
          <cell r="T29" t="str">
            <v>0412600391</v>
          </cell>
        </row>
        <row r="30">
          <cell r="C30">
            <v>5844630060</v>
          </cell>
          <cell r="T30" t="str">
            <v>0612600626</v>
          </cell>
        </row>
        <row r="31">
          <cell r="C31">
            <v>7900230155</v>
          </cell>
          <cell r="T31" t="str">
            <v>SEM OBRA</v>
          </cell>
        </row>
        <row r="32">
          <cell r="C32">
            <v>5850308009</v>
          </cell>
          <cell r="T32" t="str">
            <v>0712600418</v>
          </cell>
        </row>
        <row r="33">
          <cell r="C33">
            <v>5800859011</v>
          </cell>
          <cell r="T33" t="str">
            <v>0712600419</v>
          </cell>
        </row>
        <row r="34">
          <cell r="C34">
            <v>5800438116</v>
          </cell>
          <cell r="T34" t="str">
            <v>0512600179</v>
          </cell>
        </row>
      </sheetData>
    </sheetDataSet>
  </externalBook>
</externalLink>
</file>

<file path=xl/persons/person.xml><?xml version="1.0" encoding="utf-8"?>
<personList xmlns="http://schemas.microsoft.com/office/spreadsheetml/2018/threadedcomments" xmlns:x="http://schemas.openxmlformats.org/spreadsheetml/2006/main">
  <person displayName="Allan Pereira de Souza" id="{2CA1750F-6264-42FE-A0B9-B3DEE7C271DA}" userId="S::allan.souza@energisa.com.br::a7fa3ebd-5911-4698-9bd5-79f3a413ac43" providerId="AD"/>
  <person displayName="Joao Antonio Lagares Milhomem de Souza" id="{6564218A-E088-4662-9D46-DA31EA88AA31}" userId="S::joao.lagares@energisa.com.br::398807df-e4d5-412e-a012-70e82e4b539b"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lan Pereira de Souza" refreshedDate="46230.769645023145" createdVersion="8" refreshedVersion="8" minRefreshableVersion="3" recordCount="93" xr:uid="{B1A6946C-52CD-45E2-876B-898ED1DBAEF3}">
  <cacheSource type="worksheet">
    <worksheetSource name="Pendentes"/>
  </cacheSource>
  <cacheFields count="23">
    <cacheField name="ANO_SS" numFmtId="0">
      <sharedItems containsSemiMixedTypes="0" containsString="0" containsNumber="1" containsInteger="1" minValue="2025" maxValue="2026"/>
    </cacheField>
    <cacheField name="SS_ORIGINAL" numFmtId="0">
      <sharedItems/>
    </cacheField>
    <cacheField name="DESTINO_SS" numFmtId="0">
      <sharedItems count="13">
        <s v="ETO-RD-PO"/>
        <s v="ETO-RD-GR"/>
        <s v="ETO-COEP"/>
        <s v="ETO-TELE"/>
        <s v="ETO-RD-DP"/>
        <s v="ETO-PROT"/>
        <s v="ETO-SE-PA"/>
        <s v="ETO-RD-PS"/>
        <s v="DG-RD-PO"/>
        <s v="ETO-SE-PCM" u="1"/>
        <s v="ETO-RD-GU" u="1"/>
        <s v="ETO-RD-PA" u="1"/>
        <s v="ETO-RD-AR" u="1"/>
      </sharedItems>
    </cacheField>
    <cacheField name="COD_RELIGADOR" numFmtId="0">
      <sharedItems containsSemiMixedTypes="0" containsString="0" containsNumber="1" containsInteger="1" minValue="5800291035" maxValue="7962734119"/>
    </cacheField>
    <cacheField name="TIPO" numFmtId="0">
      <sharedItems count="2">
        <s v="58"/>
        <s v="79"/>
      </sharedItems>
    </cacheField>
    <cacheField name="DTA_ABERTURA" numFmtId="14">
      <sharedItems containsSemiMixedTypes="0" containsNonDate="0" containsDate="1" containsString="0" minDate="2025-07-01T00:00:00" maxDate="2026-07-28T00:00:00"/>
    </cacheField>
    <cacheField name="COD_LOC" numFmtId="0">
      <sharedItems containsSemiMixedTypes="0" containsString="0" containsNumber="1" containsInteger="1" minValue="1" maxValue="256"/>
    </cacheField>
    <cacheField name="LOCALIDADE" numFmtId="0">
      <sharedItems/>
    </cacheField>
    <cacheField name="POLO" numFmtId="0">
      <sharedItems/>
    </cacheField>
    <cacheField name="REGIONAL" numFmtId="0">
      <sharedItems/>
    </cacheField>
    <cacheField name="ALIMENTADOR" numFmtId="0">
      <sharedItems/>
    </cacheField>
    <cacheField name="DESCRICAO" numFmtId="0">
      <sharedItems longText="1"/>
    </cacheField>
    <cacheField name="Premissa 1" numFmtId="0">
      <sharedItems containsString="0" containsBlank="1" containsNumber="1" containsInteger="1" minValue="0" maxValue="40"/>
    </cacheField>
    <cacheField name="Premissa 2" numFmtId="0">
      <sharedItems containsString="0" containsBlank="1" containsNumber="1" containsInteger="1" minValue="0" maxValue="20"/>
    </cacheField>
    <cacheField name="Premissa 3" numFmtId="0">
      <sharedItems containsString="0" containsBlank="1" containsNumber="1" containsInteger="1" minValue="0" maxValue="20"/>
    </cacheField>
    <cacheField name="Premissa 4" numFmtId="0">
      <sharedItems containsString="0" containsBlank="1" containsNumber="1" containsInteger="1" minValue="0" maxValue="20"/>
    </cacheField>
    <cacheField name="Premissa 5" numFmtId="0">
      <sharedItems containsString="0" containsBlank="1" containsNumber="1" containsInteger="1" minValue="0" maxValue="20"/>
    </cacheField>
    <cacheField name="Premissa 6" numFmtId="0">
      <sharedItems containsBlank="1" containsMixedTypes="1" containsNumber="1" containsInteger="1" minValue="0" maxValue="10"/>
    </cacheField>
    <cacheField name="Premissa 7" numFmtId="0">
      <sharedItems containsBlank="1" containsMixedTypes="1" containsNumber="1" containsInteger="1" minValue="0" maxValue="10"/>
    </cacheField>
    <cacheField name="Premissa 8" numFmtId="0">
      <sharedItems containsBlank="1" containsMixedTypes="1" containsNumber="1" containsInteger="1" minValue="0" maxValue="15"/>
    </cacheField>
    <cacheField name="Priorização" numFmtId="0">
      <sharedItems containsString="0" containsBlank="1" containsNumber="1" containsInteger="1" minValue="0" maxValue="110"/>
    </cacheField>
    <cacheField name="Criticidade" numFmtId="0">
      <sharedItems count="6">
        <s v="Muito Alta"/>
        <s v="Alta"/>
        <s v="Média"/>
        <s v="Baixa"/>
        <s v="Falta definir"/>
        <s v="-" u="1"/>
      </sharedItems>
    </cacheField>
    <cacheField name="Observação após análise"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lan Pereira de Souza" refreshedDate="46232.345025115741" createdVersion="8" refreshedVersion="8" minRefreshableVersion="3" recordCount="129" xr:uid="{3F6AC1E3-BEFA-40F6-82F4-54BD3C28327D}">
  <cacheSource type="worksheet">
    <worksheetSource name="Table"/>
  </cacheSource>
  <cacheFields count="23">
    <cacheField name="Ativo" numFmtId="0">
      <sharedItems containsSemiMixedTypes="0" containsString="0" containsNumber="1" containsInteger="1" minValue="5800090147" maxValue="7967181127"/>
    </cacheField>
    <cacheField name="Tipo" numFmtId="0">
      <sharedItems/>
    </cacheField>
    <cacheField name="Localidade" numFmtId="0">
      <sharedItems containsBlank="1"/>
    </cacheField>
    <cacheField name="Polo" numFmtId="0">
      <sharedItems containsBlank="1"/>
    </cacheField>
    <cacheField name="Regional" numFmtId="0">
      <sharedItems containsBlank="1"/>
    </cacheField>
    <cacheField name="SS aberta" numFmtId="0">
      <sharedItems/>
    </cacheField>
    <cacheField name="Parecer COEP" numFmtId="0">
      <sharedItems containsBlank="1" count="14">
        <m/>
        <s v="Substituido 24/07, pendente laudo"/>
        <s v="Equipamento entregue ao COCM"/>
        <s v="Em processo de aquisição"/>
        <s v="Aguardando comissionamento"/>
        <s v="Em fase de ajustes"/>
        <s v="Em processo logístico"/>
        <s v="Primeiro ataque DMSL"/>
        <s v="Problema na autorização de passagem"/>
        <s v="Substituido 27/07, pendente laudo"/>
        <s v="Aguardando atualização de informação DMSL"/>
        <s v="Melhoria de aterramento"/>
        <s v="Aguardando parecer DMSL"/>
        <s v="REPASSAR O DMSL (EQUIPAMENTO OPERANDO NO SCADA)"/>
      </sharedItems>
    </cacheField>
    <cacheField name="Observação" numFmtId="0">
      <sharedItems containsBlank="1" count="17">
        <m/>
        <s v="Pendente laudo da empreteira"/>
        <s v="Previsão de substituição 27/08"/>
        <s v="Estava aguardando retorno DMSL"/>
        <s v="Previsão de substituição 07/08"/>
        <s v="Mandar reformar"/>
        <s v="Previsão de entrega 10/08"/>
        <s v="Destinada parte ativa do RL 7900453110"/>
        <s v="Previsão de entrega 20/10"/>
        <s v="Previsão de substituição 28/07"/>
        <s v="Cliente não autorizou entrar na propriedade "/>
        <s v="Previsão de entrega 10/08, 1 tanque NOJA sobrando"/>
        <s v="Vai ser aberto um poço em 28/07"/>
        <s v="Previsão de entrega 20/07"/>
        <s v="1 controle NOJA sobrando"/>
        <s v="Previsão de entrega 16/08"/>
        <s v="Furtado novamente"/>
      </sharedItems>
    </cacheField>
    <cacheField name="Check de concluídas" numFmtId="0">
      <sharedItems containsBlank="1" count="5">
        <s v="Ok"/>
        <s v="Em andamento"/>
        <m/>
        <s v="Em operação"/>
        <s v="Desmobilizado"/>
      </sharedItems>
    </cacheField>
    <cacheField name="Defeito identificado" numFmtId="0">
      <sharedItems containsBlank="1" count="20">
        <m/>
        <s v="Célula"/>
        <s v="Controle "/>
        <s v="Tanque + controle"/>
        <s v="Tanque e rádio"/>
        <s v="Tanque e antena "/>
        <s v="Controle"/>
        <s v="Células + controle"/>
        <s v="Tanque e cabo umbilical"/>
        <s v="Tanque "/>
        <s v="Tanque"/>
        <s v="Controle e aterramento"/>
        <s v="Tanque e PR do trafo e chave"/>
        <s v="Melhoria de aterramento"/>
        <s v="Tanque + controle e chave"/>
        <s v="Células + melhoria de aterramento"/>
        <s v="-"/>
        <s v="Trafo auxiliar e tanque"/>
        <s v="Trafo auxiliar e completo"/>
        <s v="Completo"/>
      </sharedItems>
    </cacheField>
    <cacheField name="Quantidade" numFmtId="0">
      <sharedItems containsString="0" containsBlank="1" containsNumber="1" containsInteger="1" minValue="1" maxValue="3"/>
    </cacheField>
    <cacheField name="Descrição SS" numFmtId="0">
      <sharedItems longText="1"/>
    </cacheField>
    <cacheField name="Premissa 1" numFmtId="0">
      <sharedItems containsBlank="1" containsMixedTypes="1" containsNumber="1" containsInteger="1" minValue="0" maxValue="40"/>
    </cacheField>
    <cacheField name="Premissa 2" numFmtId="0">
      <sharedItems containsString="0" containsBlank="1" containsNumber="1" containsInteger="1" minValue="0" maxValue="20"/>
    </cacheField>
    <cacheField name="Premissa 3" numFmtId="0">
      <sharedItems containsString="0" containsBlank="1" containsNumber="1" containsInteger="1" minValue="0" maxValue="20"/>
    </cacheField>
    <cacheField name="Premissa 4" numFmtId="0">
      <sharedItems containsString="0" containsBlank="1" containsNumber="1" containsInteger="1" minValue="0" maxValue="20"/>
    </cacheField>
    <cacheField name="Premissa 5" numFmtId="0">
      <sharedItems containsString="0" containsBlank="1" containsNumber="1" containsInteger="1" minValue="0" maxValue="20"/>
    </cacheField>
    <cacheField name="Premissa 6" numFmtId="0">
      <sharedItems containsBlank="1" containsMixedTypes="1" containsNumber="1" containsInteger="1" minValue="0" maxValue="10"/>
    </cacheField>
    <cacheField name="Premissa 7" numFmtId="0">
      <sharedItems containsBlank="1" containsMixedTypes="1" containsNumber="1" containsInteger="1" minValue="0" maxValue="10"/>
    </cacheField>
    <cacheField name="Premissa 8" numFmtId="0">
      <sharedItems containsBlank="1" containsMixedTypes="1" containsNumber="1" containsInteger="1" minValue="0" maxValue="15"/>
    </cacheField>
    <cacheField name="Priorização" numFmtId="0">
      <sharedItems containsSemiMixedTypes="0" containsString="0" containsNumber="1" containsInteger="1" minValue="0" maxValue="120"/>
    </cacheField>
    <cacheField name="Criticidade" numFmtId="0">
      <sharedItems containsBlank="1" count="5">
        <s v="Muito Alta"/>
        <s v="Alta"/>
        <s v="Média"/>
        <s v="Baixa"/>
        <m/>
      </sharedItems>
    </cacheField>
    <cacheField name="Observação após análise"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3">
  <r>
    <n v="2026"/>
    <s v="ETO-RD-PO 00213/2026"/>
    <x v="0"/>
    <n v="5854566043"/>
    <x v="0"/>
    <d v="2026-07-22T00:00:00"/>
    <n v="43"/>
    <s v="SILVANOPOLIS"/>
    <s v="PORTO NACIONAL"/>
    <s v="CENTRO"/>
    <s v="LD02072001"/>
    <s v="22/07/2026 PARECER COEP: EQUIPAMENTO ENTREGUE AOS COCM´SPRAZO DE 7 DIAS CONTANDO O SLA.PARECER COEP: EQUIPAMENTO ENTREGUE AOS COCM´S FAVOR SUSBSTTUIR , E AGUARDO O PRAZO DE PREVISÃO DE SUBSTIUIÇÃOboa noite,segue SS para as devidas tratativas com equipe de manutenção com apoio de equipe de linha viva substituir regulador de tensão 5854566043 queimado célula fase c, LD Porto / Silvanópolis mesmo deverá ser substituído com apoio de equipe de linha viva PARECER DMSL: Foi realizado inspeção visual e ensaios de isolação, relação de transformação e resistência de enrolamento. A fase B está danificada e será necessário substituir a mesma. Malha de aterramento está relativamente boa e conectada. Fase A e C passaram nos ensaios. Substituir fase B."/>
    <n v="40"/>
    <n v="20"/>
    <n v="20"/>
    <n v="10"/>
    <n v="20"/>
    <s v="-"/>
    <s v="-"/>
    <s v="-"/>
    <n v="110"/>
    <x v="0"/>
    <s v="Aumento de reclamações no atendimento de Silvanópolis por Porto Nacional no período seco (Outra fonte com defeito também)"/>
  </r>
  <r>
    <n v="2026"/>
    <s v="ETO-RD-GR 00735/2026"/>
    <x v="1"/>
    <n v="5800859011"/>
    <x v="0"/>
    <d v="2026-07-16T00:00:00"/>
    <n v="11"/>
    <s v="TUPIRAMA"/>
    <s v="GUARAI"/>
    <s v="NORTE"/>
    <s v="AL01065015"/>
    <s v="16/07/2026 PARECER COEP: ALINHADO COM O JEAN DO DMSL E O KELLITON , KELLITON IRÁ FAZER A INSTALAÇÃO DO CONTROLE RUA E O JEAN IRÁ REALIZAR O COMISSIONAMENTO , FAZENDO A COMPATIBILIZAÇÃO DOS CABOS ASSIM COMO FICARÁ UM CONTROLE RUA NO NOSSO ESTOQUE SOBRESSALENTE PARA ATENDER O DE ARAPOEMA, ATÉ A CHEGADA DOS CABOS QUE O JEAN ME DEU REPORTE DE QUE SERIA ATÉ O DIA 16/08 , FAVOR COCM'S REALIZAREM A INSTALAÇÃO E GUARDAR CONTROLE RUA SOBRESSALENTE PARA ARAPOEMAPEÇA ENVIADA: CONTROLEPARECER DMSL: *FEEDBACK EQUIP. ESPECIAIS**Nº DO EQUIPAMENTO:* 5800859011*TIPO EQUIPAMENTO:* RT ITB *TIPO DE COMUNICAÇÃO:* Não *DATA DA MANUTENÇÃO:* 09/06/2026*SID:* 3195/2026*DESCRIÇÃO:* _ Foi identificado relé da fase C com defeito conforme orientação da supervisão e necessário realiza retrofit para instalação de controle rua.*FICOU EM OPERAÇÃO* Não*PENDÊNCIA:* Realizado Retrofit *DADOS DIVERGENTES DA PROGRAMAÇÃO:* Não*BATERIA SUBSTITUÍDA?:* Não*TIPO DE BATERIA:**EQUIPE:* Edeglan e Brunno.Observação: trocar por um controle RUA.------------------------------------------------------------------------------------------Enviar equipe do DMSL, para  fazer correção no RT 5800859011, o mesmo está com o displey da fase C apagado , dificutando  realizar  manobras no mesmo, emvirtude  disso o mesmo ficou BAY PASSADO EM CAMPO"/>
    <n v="40"/>
    <n v="20"/>
    <n v="20"/>
    <n v="10"/>
    <n v="20"/>
    <s v="-"/>
    <s v="-"/>
    <s v="-"/>
    <n v="110"/>
    <x v="0"/>
    <s v="Atendimento de parte da RDU Guaraí por fonte alternativa"/>
  </r>
  <r>
    <n v="2026"/>
    <s v="ETO-COEP 00124/2026"/>
    <x v="2"/>
    <n v="7923673004"/>
    <x v="1"/>
    <d v="2026-07-07T00:00:00"/>
    <n v="4"/>
    <s v="ARAGUAINA"/>
    <s v="ARAGUAINA"/>
    <s v="NORTE"/>
    <s v="AL04010004"/>
    <s v="PARECER COEP: Verificar Disponibilidade de equipamento no Scada e enviar modelo e tensão para a compra.RELIGADOR COM RELÉ DANIFICADO, REALIZAR SUBSTITUIÇÃO"/>
    <n v="15"/>
    <n v="20"/>
    <n v="15"/>
    <n v="15"/>
    <n v="15"/>
    <n v="10"/>
    <n v="0"/>
    <n v="15"/>
    <n v="105"/>
    <x v="0"/>
    <s v="Transferência de cargas na RDU de Araguaína (2797 UCs)"/>
  </r>
  <r>
    <n v="2026"/>
    <s v="ETO-COEP 00040/2026"/>
    <x v="2"/>
    <n v="7931608059"/>
    <x v="1"/>
    <d v="2026-02-24T00:00:00"/>
    <n v="59"/>
    <s v="TAQUARALTO"/>
    <s v="TAQUARALTO"/>
    <s v="CENTRO"/>
    <s v="AL05099059"/>
    <s v="PARECER COEP: EQUIPAMENTO SELECIONADO PARA COMPRADMSL:Serviço Executado: Foi feita uma análise técnica no equipamento, devido à falta de comunicação. Também foi identificado que o tanque do equipamento está danificado, sendo assim,  necessário substituir o tanque e o rádio do equipamento, que está queimado, sendo necessário substituir também."/>
    <n v="15"/>
    <n v="20"/>
    <n v="15"/>
    <n v="15"/>
    <n v="15"/>
    <n v="10"/>
    <n v="0"/>
    <n v="15"/>
    <n v="105"/>
    <x v="0"/>
    <s v="Transferência dos bairros Morada do Sol, Vale do Sol, Morada do Sol II, Nova Esperança, Sõa João, Araras I e II e Jardim Laila em Taquaralto (6033 UCs)"/>
  </r>
  <r>
    <n v="2026"/>
    <s v="ETO-TELE 01025/2026"/>
    <x v="3"/>
    <n v="7931610122"/>
    <x v="1"/>
    <d v="2026-07-22T00:00:00"/>
    <n v="122"/>
    <s v="PALMAS"/>
    <s v="PALMAS"/>
    <s v="CENTRO"/>
    <s v="AL08060122"/>
    <s v="PARECER DA PROTEÇÃO:FAVOR COMISSIONAR RELIGADOR. AJUSTES PERMANECEM OS MESMOS E DISPONÍVEIS NO APP DA PROTEÇÃO.Estagiário Rafael P Marques.******************30/06 PARECER COEP: EQUIPAMENTO ENTREGUE, SEGUE SS PARA O COCM´S , PARA REALIZAR O ATENDIMENTO,FAVOR ADICIONAR O PARECER PARA MANDAR PARA PROTEÇÃOBom dia,Segue SS para verificação RL sem comunicação com painel apagado equipe DEOP fez primeiro ataque sem sucesso RL 7931610122 RDU de Palmas.Feedback Equipamentos Especiais DMSL: *RLG 7931610122 RDU Palmas*Noja rc10 Data: 14/10/2025SID: 5412Dados de comunicação divergentes da programação: Não. Serviço Executado: Houve um curto no equipamento danificando a parte ativa, e antena! Será necessário fazer a substituição somente da parte ativa (tanque) e da antena.Equipamento ficou em operação?: Não Pendência: Sim, substituir a parte ativa.Bateria(s) substituída(s)?: NãoData Fabricação/Instalação da(s) bateria(s): 2024Equipe: Benvindo, Juliano e Sérgio.***** Parecer do COCM CENTRO*****Equipamento Substituido em campo pela Ordem de ServiÇO DLP-MPPA01 243/2026, ONDE OS RELATORIO ESTÃO ANEXADO.--------------------------------------------------------Parecer DMSL:Equipamento substituído porém não informado se antena também foi substituída. Levar antena para caso da mesmo não ter sido substituída."/>
    <n v="15"/>
    <n v="20"/>
    <n v="15"/>
    <n v="15"/>
    <n v="15"/>
    <n v="10"/>
    <n v="0"/>
    <n v="15"/>
    <n v="105"/>
    <x v="0"/>
    <s v="Transferência entre 284R SE Palmas IV e 2294R SE Palmas II"/>
  </r>
  <r>
    <n v="2026"/>
    <s v="ETO-RD-DP 00479/2026"/>
    <x v="4"/>
    <n v="5856070091"/>
    <x v="0"/>
    <d v="2026-07-27T00:00:00"/>
    <n v="91"/>
    <s v="ALMAS"/>
    <s v="DIANOPOLIS"/>
    <s v="SUL"/>
    <s v="LD04002091"/>
    <s v="PARECER DMSL: não foi regularizado a instalação do equipamento, nota repassada conforme alinhado com o supervisor.____________________________________________COCMS 26.03.26. SS REPASSADA PARA COEP PROVIDENCIAR MATERIAL. NÃO TEMOS AS PÇ EM ESTOQUE PARA FAZER A SUBSTITUIÇÃO. Solicitação de serviço para reposição de equipamentos furtados .COEP: Equipamento fornecido ao COCM-S para regularização.COCMS: Equipamento substituido conforme solicitado. Gentileza comissionar.PARECER DA PROTEÇÃO:SEGUE NOTA REPASSADA PARA DMSL COMISSIONAR.ENG° IRLLEY CASTELO BRANCOPARECER DMSL(23/09/2025): Feito a parte de comunicação, fechando enlace, configuração do rádio GE. Feito a medição de aterramento. Após uma inspeção, foi identificado que o regulador de tensão está instalado errado, carga está para o lado de fonte e fonte está do lado de carga. O certo é a fonte vim de almas, atualmente está vindo de natividade. Favor fazer a instalação correta."/>
    <n v="40"/>
    <n v="20"/>
    <n v="20"/>
    <n v="20"/>
    <n v="0"/>
    <s v="-"/>
    <s v="-"/>
    <s v="-"/>
    <n v="100"/>
    <x v="0"/>
    <s v="Atendimento da região da Engegold, Nativa, cidade Natividade e Chapada da Natividade"/>
  </r>
  <r>
    <n v="2026"/>
    <s v="ETO-COEP 00131/2026"/>
    <x v="2"/>
    <n v="7947203070"/>
    <x v="1"/>
    <d v="2026-07-08T00:00:00"/>
    <n v="70"/>
    <s v="RIO SONO"/>
    <s v="TAQUARALTO"/>
    <s v="CENTRO"/>
    <s v="LD02424015"/>
    <s v="13/07 PARECER COEP: SELECIONADO PARA COMPRA CONTROLE favor verificar RL 7947203070, sem comunicaçao, feito 1° ataque pela equipe 070OP01 e nao retornou a comunicaçao , linformaçao no Scada de bateria.PARECER DMSL: Foi feito análise técnica, a placa do equipamento está queimada nessesario subistituir o equipamento completo -Carliel e Benvindo-05/02"/>
    <n v="10"/>
    <n v="20"/>
    <n v="15"/>
    <n v="15"/>
    <n v="15"/>
    <n v="10"/>
    <n v="0"/>
    <n v="15"/>
    <n v="100"/>
    <x v="0"/>
    <s v="Transferência da RDU de Lizarda (1650 UCs) para fonte alternativa"/>
  </r>
  <r>
    <n v="2026"/>
    <s v="ETO-RD-DP 00409/2026"/>
    <x v="4"/>
    <n v="7908705049"/>
    <x v="1"/>
    <d v="2026-07-06T00:00:00"/>
    <n v="49"/>
    <s v="AURORA DO TOCANTINS"/>
    <s v="DIANOPOLIS"/>
    <s v="SUL"/>
    <s v="AL01015049"/>
    <s v="EQUIPAMENTO ENTREGUE, SOLICITO PREVISÃO PARA SUBSTITUIÇÃO:PARECER COEP: PREVISÃO DE ENTREGA AOS COCM'S 01/07Manutenção no RL 7908705049PARECER DMSL(28/08/2025): Equipe foi fazer manutenção no RL e constatou que o tanque e o relé do mesmo se encontra queimado, providenciar substituição.PARECER COCMS 30/04/2026CRIADO OBRA 0512600135 PARA REQUISIÇÃO MATERIAL"/>
    <n v="15"/>
    <n v="20"/>
    <n v="5"/>
    <n v="15"/>
    <n v="15"/>
    <n v="0"/>
    <n v="10"/>
    <n v="15"/>
    <n v="95"/>
    <x v="0"/>
    <s v="Proteção da baixa do TF de força da SE Aurora"/>
  </r>
  <r>
    <n v="2026"/>
    <s v="ETO-COEP 00059/2026"/>
    <x v="2"/>
    <n v="7925744087"/>
    <x v="1"/>
    <d v="2026-03-30T00:00:00"/>
    <n v="87"/>
    <s v="GOIANORTE"/>
    <s v="GUARAI"/>
    <s v="NORTE"/>
    <s v="LD02022033"/>
    <s v="PARECER COEP: EQUIPAMENTO SELECIONADO PARA COMPRAPARECER DMSL: FEEDBACK EQUIP. ESPECIAISNº DO EQUIPAMENTO:  7925744087TIPO EQUIPAMENTO: Noja RC 10TIPO DE COMUNICAÇÃO: Radio GE IPDATA DA MANUTENÇÃO: 19/02/2026SID: 735/2026 DESCRIÇÃO: foi identificado água dentro da parte interna do tanque e cabo umbilical encharcado de água foi passado essas informações para COS.FICOU EM OPERAÇÃO?: Não PENDÊNCIA: Sim substituir tanque e cabo umbilicalDADOS DIVERGENTES DA PROGRAMAÇÃO: NãoBATERIA SUBSTITUÍDA?: Não DATA DA BATERIA: 07/05/2025TIPO DE BATERIA: Lítio EQUIPE: Edeglan e Janio-------------------------------------------------------------------------------------------------RELIGADOR SEM COMUNICAÇÃO, APOS PRIMEIRO ATAQUE RETORNA E FICAR INDEFINIDO."/>
    <n v="15"/>
    <n v="20"/>
    <n v="5"/>
    <n v="15"/>
    <n v="15"/>
    <n v="10"/>
    <n v="0"/>
    <n v="15"/>
    <n v="95"/>
    <x v="0"/>
    <s v="Transferência de Goianorte, fonte principal operando"/>
  </r>
  <r>
    <n v="2026"/>
    <s v="ETO-PROT 00154/2026"/>
    <x v="5"/>
    <n v="7900117013"/>
    <x v="1"/>
    <d v="2026-07-21T00:00:00"/>
    <n v="13"/>
    <s v="PARAISO DO TOCANTINS"/>
    <s v="PARAISO DO TOCANTINS"/>
    <s v="CENTRO"/>
    <s v="AL01062013"/>
    <s v="15/07 PARECER COCM: EQUIPAMENTO FOI SUBSTITUÍDO OBRA 021260042210/07 PARECER COEP: EQUIPAMENTO ENTREGUE AOS COCM´S FAVOR INFORMAR PRAZO DE SUBSTUIÇÃO PARA O DMSL E REPASSAR DEPOIS PARA PROTEÇÃO REALIZAR OS AJUSTES E DESCREVER NA SS O SERVIÇO REALIZADOPARECER COEP: PREVISÃO DE ENTREGA AOS COCM'S 01/07Segue nota para correção de anomalia e provável substituição de religador , religador 7900117013 -RDU - Paraiso .OBS: equipe DMSL Elisfran estava atualizando firmware no equipamento  , porém relé parou de funcionar devido essa atualização , sendo necessário sua substituição .em campo o modelo e   cooper Form6 , segundo tecnico deve ser substituído por um Noja .Repassado para o COEP para aquisição do equipamento e posterior repasse para o COCM."/>
    <n v="15"/>
    <n v="20"/>
    <n v="15"/>
    <n v="15"/>
    <n v="15"/>
    <n v="0"/>
    <n v="0"/>
    <n v="15"/>
    <n v="95"/>
    <x v="0"/>
    <s v="Transferência do 214R de Paraíso I, Centro Comercial de Paraíso"/>
  </r>
  <r>
    <n v="2026"/>
    <s v="ETO-COEP 00120/2026"/>
    <x v="2"/>
    <n v="7929376022"/>
    <x v="1"/>
    <d v="2026-06-30T00:00:00"/>
    <n v="22"/>
    <s v="BABACULANDIA"/>
    <s v="ARAGUAINA"/>
    <s v="NORTE"/>
    <s v="LD05010004"/>
    <s v="PARECER COEP: PROBLEMA NO ENVIO COCM'S CONTROLE ENVIADO FOI O NOJA , DEVIDO A FALTA DO MODELO NA SS (GRAVE)PARECER DMSL: *FEEDBACK EQUIP. ESPECIAIS**Nº DO EQUIPAMENTO:* 7929376022 *DATA DA MANUTENÇÃO:* 02/04/2026*SID:* 1677/2026*DESCRIÇÃO:* Trocar controle completo*PENDÊNCIA:* Sim.*DADOS DIVERGENTES DA PROGRAMAÇÃO:* Não*BATERIA SUBSTITUÍDA?:* Não*EQUIPE:* Adeilton e Edicleber __________________________________________________________POR GENTILEZA ATENDER SOLICITAÇÃO PRIMEIRO ATAQUE IDENTIFICOU QUE RELE ESTA EM CURTO NOTA ABERTA 224/2026 FOI BAIXADA POREM NÃO FOI CORRIGIDO PROBLEMA EM CAMPO."/>
    <n v="15"/>
    <n v="20"/>
    <n v="5"/>
    <n v="15"/>
    <n v="15"/>
    <n v="10"/>
    <n v="0"/>
    <n v="15"/>
    <n v="95"/>
    <x v="0"/>
    <s v="Transferência de Babaçulândia, fonte principal operando"/>
  </r>
  <r>
    <n v="2026"/>
    <s v="ETO-PROT 00145/2026"/>
    <x v="5"/>
    <n v="7933726256"/>
    <x v="1"/>
    <d v="2026-07-09T00:00:00"/>
    <n v="256"/>
    <s v="MATEIROS"/>
    <s v="PONTE ALTA TOCANTINS"/>
    <s v="CENTRO"/>
    <s v="LD03046026"/>
    <s v="07/07 Equipamento foi substituido na OS: ETO-RD-PO 1859/2026 OBRA 031260035101/07 PARECER COEP: REDIRECIONADO PARA O POSTO DO COCM´S EQUIPAMENTO CHEGOU NO LOCAL, FAVOR ENTRAR EM CONTATO COM O DMSL, DEVIDO A URGÊNCIA DO EQUIPAMENTO EM OPERAÇÃO.30/06 PARECER COEP: DEVIDO A ALINHAMENTO COM COI UTILIZAREMOS PARTE ATIVA QUE ORIGINALMENTE FOI ENCOMENDADA PARA 7933726256PARECER DMSL: N° do Equipamento: _RLG 7933726256 MateirosTipo de Equipamento: _RLG NOJA RC 10 REL IIData: _06/05/2026SID: _2288/2026-Serviço Executado: _Equipamento com defeito na parte ativa, será necessário fazer a substituição da parte ativa e fazer melhoria na malha de terra!Equipamento ficou em operação?: _NaoPendência: _SimBateria(s) substituída(s)? NÃOData Fabricação/Instalação da(s) bateria(s):_06/2025Equipe: _Benvindo e Almir-------------------------------------------------------------------------------Religador 7933726256, sem comunicação apos primeiroa ataque não retornou as comunicação."/>
    <n v="15"/>
    <n v="10"/>
    <n v="15"/>
    <n v="15"/>
    <n v="15"/>
    <n v="10"/>
    <n v="0"/>
    <n v="15"/>
    <n v="95"/>
    <x v="0"/>
    <s v="Transferência da cidade de Mateiros (733 UCs) para o gerador"/>
  </r>
  <r>
    <n v="2026"/>
    <s v="ETO-TELE 01024/2026"/>
    <x v="3"/>
    <n v="7933766059"/>
    <x v="1"/>
    <d v="2026-07-22T00:00:00"/>
    <n v="59"/>
    <s v="TAQUARALTO"/>
    <s v="TAQUARALTO"/>
    <s v="CENTRO"/>
    <s v="AL01099059"/>
    <s v="PARECER DA PROTEÇÃO:RECOMISSIONAR RELIGADOR, AJUSTES DE PROTEÇÃO PERMANECEM OS MESMOS.Estagiário Rafael P Marques****************************PARECER COEP: EQUIPAMENTO ENTREGUE, SEGUE SS PARA O COCM´S , PARA REALIZAR O ATENDIMENTO,FAVOR ADICIONAR O PARECER PARA MANDAR PARA PROTEÇÃOSegue SS para verficar religador de poste 7933766059.Religador esta com defeito na parte ativa no tanque Porte gentilezaenviar equipe verificar.Endereço: TaquariPARECER DMSL: RLG 7933766059 RELÉ NOJA RC 10Mestre 2 Rep. taquaruçu GESID: 5457/2025Data: 15/10/2025Serviço Executado: Houve um curto na parte ativa do equipamento danificando a mesma, será necessário fazer a substituição somente do tanque, parte ativa.*Equipamento ficou em operação?:*Nao Pendência: Sim, substituir parte ativa.Equipe: Benvindo, Juliano e Sérgio.****** Parecer do COCM Centro***Equipámento Substituido em Campo pela Ordem de ServIÇO DLP-MPPA01 244/2026, ONDE OS RELATORIO ESTÃO ANEXADO.."/>
    <n v="15"/>
    <n v="20"/>
    <n v="5"/>
    <n v="15"/>
    <n v="15"/>
    <n v="0"/>
    <n v="10"/>
    <n v="15"/>
    <n v="95"/>
    <x v="0"/>
    <s v="Seccionamento de trecho do Setor Taquari"/>
  </r>
  <r>
    <n v="2026"/>
    <s v="ETO-SE-PA 00107/2026"/>
    <x v="6"/>
    <n v="7900594026"/>
    <x v="1"/>
    <d v="2026-07-16T00:00:00"/>
    <n v="26"/>
    <s v="PONTE ALTA TOCANTINS"/>
    <s v="PONTE ALTA TOCANTINS"/>
    <s v="CENTRO"/>
    <s v="LD03046026"/>
    <s v="PARECER DA PROTEÇÃO:16/07/2026 AJUSTES DISPONIBILIZADOS NO APP DA PROTEÇÃO15/07/2026 EQUIPAMENTO SUBSTITUIDO NA OS ETO-RD-PO 1860 OBRA 031260035414/07/2026 PARECER COCM/ COEP: DE ACORDO COM O EDSON CURCINO FOI FEITA S SUBSTITUIÇÃO DO EQUIPAMENTO , SEGUE PARA PROTEÇÃO ELABORAR AJUSTE10/07 PARECER COEP: EQUIPAMENTO DESLOCADO QUE ESTAVA EM GUARAÍ FOI ALINHADO COM O VALMOR QUE SERIA SUBSTITUIDO DIA 07/07/2026 , FAVOR PASSAR PARA PROTEÇÃO 7900594026PARECER COEP: AGUARDANDO COCM'S PARA ABRIR REQUISIÇÃOPARECER DMSL 10/06/2026: Tem uma nota aberta para esse equipamento solicitando a substituição desde 20/10/2025, como a nota não foi atendida estamos repassando para área responsável. Nota em aberto repassada ETO-COEP 210/2025.Segue nota para verificar intermitência de comunicação nos religadores 7908301026 , 7911120026, 7947959026 , 7908692026, 7900594026 rural- Ponte Alta ."/>
    <n v="15"/>
    <n v="20"/>
    <n v="15"/>
    <n v="15"/>
    <n v="15"/>
    <n v="0"/>
    <n v="0"/>
    <n v="15"/>
    <n v="95"/>
    <x v="0"/>
    <s v="Religador responsável pela proteção da barra da SE Ponte Alta (2381 UCs)"/>
  </r>
  <r>
    <n v="2026"/>
    <s v="ETO-COEP 00141/2026"/>
    <x v="2"/>
    <n v="7927413001"/>
    <x v="1"/>
    <d v="2026-07-13T00:00:00"/>
    <n v="1"/>
    <s v="PORTO NACIONAL"/>
    <s v="PORTO NACIONAL"/>
    <s v="CENTRO"/>
    <s v="LD01072001"/>
    <s v="22/07/2026 EQUIPAMENTO SLEECIONADO PARA COMPRAPARECER DMSL: *Segue feedback**Equipamento:* RLG 7927413001  *RELÉ TAVRIDA*Data:* 16/04/2026*SID:* 1817/2026*Serviço executado:* Placa de alimentação do equipamento com defeito, VERIFICAR SE É POSSIVEL  substituir o equipamento completo.*Equipamento ficou em operação?*_Não*Pendência:*_Sim*Bateria(s) substituída(s)?*_Nao *Equipe:* Benvindo e Kaique-------------------------------------------------------------------------------------------------Religador 7927413001 sem comunicação foi realizado primeiro ataque porem a comunicação não retornou. Favor enviar equipe para devidas trattivas"/>
    <n v="15"/>
    <n v="5"/>
    <n v="15"/>
    <n v="15"/>
    <n v="15"/>
    <n v="10"/>
    <n v="0"/>
    <n v="15"/>
    <n v="90"/>
    <x v="0"/>
    <s v="Transferência do Distrito Ind de Porto Nacional e GAs"/>
  </r>
  <r>
    <n v="2026"/>
    <s v="ETO-RD-PS 00302/2026"/>
    <x v="7"/>
    <n v="7908686014"/>
    <x v="1"/>
    <d v="2026-07-10T00:00:00"/>
    <n v="14"/>
    <s v="PIUM"/>
    <s v="PARAISO DO TOCANTINS"/>
    <s v="CENTRO"/>
    <s v="LD02025012"/>
    <s v="10/07 PARECER COEP: EQUIPAMENTO ENTREGUE AOS COCM´S FAVOR INFORMAR PRAZO DE SUBSTUIÇÃO PARA O DMSL E REPASSAR DEPOIS PARA PROTEÇÃO REALIZAR OS AJUSTES E DESCREVER NA SS O SERVIÇO REALIZADO06/07 PARECER COEP: PREVISÃO DE ENTREGA DE ACORDO COM CALENDÁRIO LOGISITCO NOVO 06/07NOTA DMSL: Favor substituir o tanque, ele não está efetuando os comandos enviados. Não substituir o controle pois o mesmo funciona como repetidor de outros equipamentos.Segue nota para verificar falha de fechamento religador 7908686014- Pium .OBS: equipamento não fechou local e remoto , fica sinalizando no painel para verificar alarmes !"/>
    <n v="15"/>
    <n v="20"/>
    <n v="0"/>
    <n v="15"/>
    <n v="15"/>
    <n v="10"/>
    <n v="0"/>
    <n v="15"/>
    <n v="90"/>
    <x v="0"/>
    <s v="Fonte principal de Pium, RL de transferência operando"/>
  </r>
  <r>
    <n v="2026"/>
    <s v="ETO-TELE 00896/2026"/>
    <x v="3"/>
    <n v="7943790134"/>
    <x v="1"/>
    <d v="2026-06-10T00:00:00"/>
    <n v="134"/>
    <s v="ESPERANTINA"/>
    <s v="AUGUSTINOPOLIS"/>
    <s v="NORTE"/>
    <s v="LD02109039"/>
    <s v="PARECER DCMD:Serviço realizado , substituição da parte ativa  do RELIGADOR 7943790134 - Favor realizar comissionamento"/>
    <n v="15"/>
    <n v="10"/>
    <n v="5"/>
    <n v="15"/>
    <n v="15"/>
    <n v="10"/>
    <n v="0"/>
    <n v="15"/>
    <n v="85"/>
    <x v="0"/>
    <s v="Transferência de Esperantina, fonte principal operando"/>
  </r>
  <r>
    <n v="2026"/>
    <s v="ETO-COEP 00087/2026"/>
    <x v="2"/>
    <n v="7900453110"/>
    <x v="1"/>
    <d v="2026-04-27T00:00:00"/>
    <n v="110"/>
    <s v="SANTA RITA DO TOCANTINS"/>
    <s v="PORTO NACIONAL"/>
    <s v="CENTRO"/>
    <s v="LD03040003"/>
    <s v="10/07/2026 EQUIPAMENTO SELECIONADO PARA COMPRA PARTE ATIVA30/06.PARECER COEP: ALINHADO COM O ALLAN REMANEJAMOS PARTE ATIVA PARA ATENDER 7933726256PARECER COEP: Aproveitar controle cooper se possível em outro local, previsão de chegada do material dia 01/07 para substituiçãoFavor verificar o RL 7900453110, pois o mesmo aceita comando de fechamento, porém fecha em campo e no SCADA continua aberto e só abre através de equipe em campo.  Parecer Dmsl:Equipamento está com defeito na parte ativa, não aceita o comando de fechamento. Será necessário substituir o equipamento completo.Equipamento ficou em operação?: _SIM_a pedido do COS ficou em operação, a operação está ciente da necessidade de substituir.Pendência: Sim, será necessário substituir o equipamento."/>
    <n v="15"/>
    <n v="10"/>
    <n v="5"/>
    <n v="15"/>
    <n v="15"/>
    <n v="10"/>
    <n v="0"/>
    <n v="15"/>
    <n v="85"/>
    <x v="0"/>
    <s v="Transferência de Santa Rita, fonte principal operando"/>
  </r>
  <r>
    <n v="2026"/>
    <s v="ETO-COEP 00143/2026"/>
    <x v="2"/>
    <n v="7900453110"/>
    <x v="1"/>
    <d v="2026-07-15T00:00:00"/>
    <n v="110"/>
    <s v="SANTA RITA DO TOCANTINS"/>
    <s v="PORTO NACIONAL"/>
    <s v="CENTRO"/>
    <s v="LD03040003"/>
    <s v="PARECER DMSL: Análise técnica realizada. Constatado que o equipamento está em Bypass. Foi aberta nota para substituição da parte ativa,  abri nota para substituir completo  o equipamento"/>
    <n v="15"/>
    <n v="10"/>
    <n v="5"/>
    <n v="15"/>
    <n v="15"/>
    <n v="10"/>
    <n v="0"/>
    <n v="15"/>
    <n v="85"/>
    <x v="0"/>
    <s v="Transferência de Santa Rita, fonte principal operando"/>
  </r>
  <r>
    <n v="2026"/>
    <s v="ETO-COEP 00048/2026"/>
    <x v="2"/>
    <n v="7925871077"/>
    <x v="1"/>
    <d v="2026-03-16T00:00:00"/>
    <n v="77"/>
    <s v="GOIATINS"/>
    <s v="ARAGUAINA"/>
    <s v="NORTE"/>
    <s v="LD03105019"/>
    <s v="30/06 PARECER COEP: AGUARDANDO RETORNO DO DMSLPARECER DMSL: A PEDIDO DA PCM DO NORTE LARA SOARES REALIZEI A CRIAÇÃO DESSA SS, EM RAZAO DA ANTIGAETO-TELE 337/2026 QUE FOI BAIXADA POR ENGANO DE TAL FORMA SEGUE A MESMA PARA REALIZAR AS TRATATIVAS. PENDENCIA: Religador continua by passado, equipamento está com defeito na parte ativa"/>
    <n v="15"/>
    <n v="10"/>
    <n v="15"/>
    <n v="15"/>
    <n v="15"/>
    <n v="10"/>
    <n v="0"/>
    <n v="0"/>
    <n v="80"/>
    <x v="0"/>
    <s v="Transferência de Goiatins e GAs (2492 UCs)"/>
  </r>
  <r>
    <n v="2026"/>
    <s v="ETO-COEP 00149/2026"/>
    <x v="2"/>
    <n v="5803327001"/>
    <x v="0"/>
    <d v="2026-07-20T00:00:00"/>
    <n v="1"/>
    <s v="PORTO NACIONAL"/>
    <s v="PORTO NACIONAL"/>
    <s v="CENTRO"/>
    <s v="AL01102271"/>
    <s v="01/07 PARECER COEP: FOI CONFIRMADO COM A OPERAÇÃO QUE O EQUIPAMENTO SEGUIU O FLUXO INTEIRO DE COMISSIONAMENTO, PROTEÇÃO, FAVOR EXPLICAR O QUE FOI REALIZADO E SE EQUIPAMENTO ESTÁ OPERANDO, SENÃO ESTIVER EXPLICAR O QUE FOI FEITO NELE30/06PARECER COEP: REPASSAR DIRETAMENTE PARA OS COCM'SRegulador 5803327001 fora de operação, by passado em campo com painel de comunicação com cabos desconectados tensão 13.8.parecer DMSL: Feedback Equip. EspeciaisRT 5803327001RELÉ RUASid: 4844Data: 19/09/2025Serviço realizado:*Equipamento foi remanejado, 7 km da sua localização sentido Palmas necessário comissionamento completo*Equipamento com um dos cabos umbilicais danificado.* aterramento bucha FC não esta interligada corretamente * para-raios estão no mesmo aterramento da bucha FC.* Tranques  muito alto e próximo da rede  não permitindo o comissionamento com segurança.* Controle alto  demais tem que baixar Equipamento ficou em operação?: nãoPendência: sim, precisa comissionar completoOBS"/>
    <n v="40"/>
    <n v="0"/>
    <n v="0"/>
    <n v="20"/>
    <n v="20"/>
    <s v="-"/>
    <s v="-"/>
    <s v="-"/>
    <n v="80"/>
    <x v="1"/>
    <s v="Em caso de perca da fonte principal é necessário esse RT para alimentação da Frísia"/>
  </r>
  <r>
    <n v="2026"/>
    <s v="ETO-PROT 00143/2026"/>
    <x v="5"/>
    <n v="7900230155"/>
    <x v="1"/>
    <d v="2026-07-08T00:00:00"/>
    <n v="155"/>
    <s v="PALMEIRANTE"/>
    <s v="COLINAS DO TOCANTINS"/>
    <s v="NORTE"/>
    <s v="LD02105019"/>
    <s v="07/07/2026 PARECER COEP: MATERIAL ENVIADO , CONFORME ALINHANDO COM O WANDER REALIZAR SUBSTIUIÇÂO DO EQUIPAMENTO, FAVOR ESCREVER PARECER COCM ANTES DE PASSAR PARA PROTEÇÂO, DO QUE FOI REALIZADO01/07/2026 PARECER COEP: PROBLEMA NO ENVIO DO MATERIAL PARECER DMSL: Religador está com o tanque danificado. Não responde a comandos abertura e fechamento local ou remoto, pois está com sinal de curto circuito. Necessário trocar o equipamento. Para raio do trafo está queimado. Chave de saída da fase C está com o olhal quebrado, necessário substituir a chave. Equipamento ficou bypassado em campo. Aberto entrada e saída, com exceção da fase C de saída que ficou fechada. Favor, substituir equipamento completo por NOJA RC10 e sanar demais pendencias.Senhores Favor verificar RL 7900230155  o mesmo sinalizou aberto  no SCADA porem a cidade de Palmeirante estava normal , feito um reset no rl e o mesmo subiu fechado.08/07/2026 PARECER DCMD: EQUIPE ETO-LVGR01  DE GUARAI ESTEVE NO RL 7900230155 DIA 25-06-2026 E FEZ TODAS A PENDENCIAS DO RL, OBS: EQUIPE SO NAO CONECTOU O CABO DO TRAFO NO RL. RL ESTA PRONTO PARA O COMISSIONAMENTO"/>
    <n v="15"/>
    <n v="20"/>
    <n v="5"/>
    <n v="15"/>
    <n v="0"/>
    <n v="10"/>
    <n v="0"/>
    <n v="15"/>
    <n v="80"/>
    <x v="0"/>
    <s v="Fonte principal de Palmeirante, RL de transferência operando"/>
  </r>
  <r>
    <n v="2026"/>
    <s v="ETO-TELE 00997/2026"/>
    <x v="3"/>
    <n v="7908302256"/>
    <x v="1"/>
    <d v="2026-07-10T00:00:00"/>
    <n v="256"/>
    <s v="MATEIROS"/>
    <s v="PONTE ALTA TOCANTINS"/>
    <s v="CENTRO"/>
    <s v="LD03046026"/>
    <s v="RL teve nota baixada (ETO-TELE 970/2026) pore´m eqp continua fora de operação, solicito programação para equipe verificar em campo"/>
    <n v="5"/>
    <n v="10"/>
    <n v="5"/>
    <n v="15"/>
    <n v="15"/>
    <n v="10"/>
    <n v="0"/>
    <n v="15"/>
    <n v="75"/>
    <x v="1"/>
    <s v="Isolação de trecho e transferência das cidades de São Felix e Mateiros para gerador, além de atendimento de clientes rurais"/>
  </r>
  <r>
    <n v="2026"/>
    <s v="ETO-RD-GR 00766/2026"/>
    <x v="1"/>
    <n v="5800371025"/>
    <x v="0"/>
    <d v="2026-07-27T00:00:00"/>
    <n v="25"/>
    <s v="ARAPOEMA"/>
    <s v="COLINAS DO TOCANTINS"/>
    <s v="NORTE"/>
    <s v="LD02010153"/>
    <s v="16/07/2026 PARECER COEP: ALINHADO COM O KELLITON REALIZAR SUBSTITUIÇÃO DO CONTROLE DE TUPIRAMA, ALINHADO COM O JEAN QUE OS CABOS COMPATIBILIZADORES VÃO CHEGAR 16/08 , ATÉ ESSA DATA MANTER ESSA SS E CONTROLE RUA, DEPOIS REPASSAR PARA O DMSLPARECER COEP: AVALIAR COM O LEANDRO, PROVAVELMENTE SÓ COMPRA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Segue nota para veriifcar falha em regulador de tensão N: 5800371025 dentro S/E Arapoema , equipamento esta com 2 reles com falha  marca toshiba ."/>
    <n v="0"/>
    <n v="20"/>
    <n v="20"/>
    <n v="10"/>
    <n v="20"/>
    <s v="-"/>
    <s v="-"/>
    <s v="-"/>
    <n v="70"/>
    <x v="1"/>
    <s v="Aumento de reclamações no atendimento de Arapoema no período seco"/>
  </r>
  <r>
    <n v="2026"/>
    <s v="ETO-PROT 00144/2026"/>
    <x v="5"/>
    <n v="5865120195"/>
    <x v="0"/>
    <d v="2026-07-08T00:00:00"/>
    <n v="195"/>
    <s v="CENTENARIO"/>
    <s v="GUARAI"/>
    <s v="NORTE"/>
    <s v="LD01065015"/>
    <s v="PARECER DMSL:PENDÊNCIA: Realizar melhoria no aterramento por ser tratar de um terreno muito arenoso, e há pendências por parte do time da proteção, os ajustes do RT não estão disponíveis para inserção no referido equipamento.DATA DA MANUTENÇÃO: 12/03/202EQUIPE: Brunno e Edeglan.***********************PARECER DA PROTEÇÃO:FAVOR COMISSIONAR REGULADOR 5865120195 – LD Santa Maria Ramal Centenário e Recursolândia – 34,5kV. AJUSTE REALIZADO, DISPONÍVEL NO APP DA PROTEÇÃO.*********************** INSTALADO NA OBRA 0702400720 GENTILEZA, REALIZAR O COMISSIONAMENTO.LAUDO EM ANEXO.COORD EO: 889017, 901685708-07-2026 PARECER: FOI FEITO A MELHORIA NO REGULADOR CONFORME FOTOS EM ANEXO."/>
    <n v="20"/>
    <n v="20"/>
    <n v="20"/>
    <n v="10"/>
    <n v="0"/>
    <s v="-"/>
    <s v="-"/>
    <s v="-"/>
    <n v="70"/>
    <x v="1"/>
    <s v="Atendimento das RDUs de Centenário, Recursolândia e clientes rurais"/>
  </r>
  <r>
    <n v="2026"/>
    <s v="ETO-COEP 00078/2026"/>
    <x v="2"/>
    <n v="7926089013"/>
    <x v="1"/>
    <d v="2026-04-23T00:00:00"/>
    <n v="13"/>
    <s v="PARAISO DO TOCANTINS"/>
    <s v="PARAISO DO TOCANTINS"/>
    <s v="CENTRO"/>
    <s v="LD03062013"/>
    <s v="PARECER COEP: EQUIPAMENTO SELECIONADO PARA COMPRAPARECER DMSL: Feedback Equip. EspeciaisRLG 7926089013,RELÉ NOJA RC10SID 1805/2026DATA 15/04/2026Serviço Executado: Favor realizar a troca da parte ativa do equipamento --reprogramar para atualizar a base juntamente com escada Equipamento ficou em operação: Não Pendência: sim atualizar a base e  subistituir o tanque Bateria(s) substituída(s)? Não Data de Fabricação/Instalação da(s) bateria(s): Equipe: Carliel e João Vitor Fernando e Elson---------------------------------------------------------------------------------ATUALIZAR AJUSTES DO RL 7926089013 LD PARAISO I  A  PIUM. IMPLEMENTAÇÃO DA FUNÇÃO 27, SUBTENSÃO.AJUSTES DISPONIVEIS NO APP DA PROTEÇÃO."/>
    <n v="15"/>
    <n v="10"/>
    <n v="5"/>
    <n v="15"/>
    <n v="15"/>
    <n v="10"/>
    <n v="0"/>
    <n v="0"/>
    <n v="70"/>
    <x v="1"/>
    <s v="Transferência da RDU de Chapada de Areia (937 UCs) para fonte alternativa"/>
  </r>
  <r>
    <n v="2026"/>
    <s v="ETO-PROT 00152/2026"/>
    <x v="5"/>
    <n v="7925087021"/>
    <x v="1"/>
    <d v="2026-07-20T00:00:00"/>
    <n v="21"/>
    <s v="PARANA"/>
    <s v="PEIXE"/>
    <s v="SUL"/>
    <s v="LD01010021"/>
    <s v="10/07 PARECER COEP: EQUIPAMENTO ENTREGUE AOS COCM´S FAVOR INFORMAR PRAZO DE SUBSTUIÇÃO PARA O DMSL E REPASSAR DEPOIS PARA PROTEÇÃO REALIZAR OS AJUSTES E DESCREVER NA SS O SERVIÇO REALIZADOPARECER COEP: EM ROTA DE ENTREGA, VERIFICAR PREVISÃO DE CHEGADARealizar a substituição do tanque do equipamento."/>
    <n v="15"/>
    <n v="10"/>
    <n v="5"/>
    <n v="0"/>
    <n v="15"/>
    <n v="10"/>
    <n v="0"/>
    <n v="15"/>
    <n v="70"/>
    <x v="1"/>
    <s v="Primeiro RL do 414R de Paranã, RL a jusante na LD também está bay-passado (630 UCs)"/>
  </r>
  <r>
    <n v="2026"/>
    <s v="ETO-PROT 00151/2026"/>
    <x v="5"/>
    <n v="5801866013"/>
    <x v="0"/>
    <d v="2026-07-17T00:00:00"/>
    <n v="13"/>
    <s v="PARAISO DO TOCANTINS"/>
    <s v="PARAISO DO TOCANTINS"/>
    <s v="CENTRO"/>
    <s v="AL03062013"/>
    <s v="15/07 PARECER COCM, FOI ATENDIDA PELA OS ETO-RD-PS 1616/2026 OBRA-021260053910/07 PARECER COEP: EQUIPAMENTO ENTREGUE AOS COCM´S FAVOR INFORMAR PRAZO DE SUBSTUIÇÃO PARA O DMSL E REPASSAR DEPOIS PARA PROTEÇÃO REALIZAR OS AJUSTES E DESCREVER NA SS O SERVIÇO REALIZADOPARECER COEP: EM PROCESSO DE ENTREGAPARECER DMSL: RT 5801866013Serviço Executado: Feito a medição da malha de terra. Identificado infiltração na caixa de passagem da célula da fase C do banco regulador de tensão, será necessário fazer a substituição da mesma! Ficar atento na hora da substituição, deverá ser substituída a célula do lado da BR.Obs.: Será necessário baixar todo o banco pelo menos um metro, as buchas estão muito próximas a parte energizada não oferecem segurança para equipe no momento do ensaio elétrico.Equipamento ficou em operação?: Não Possui nobreak: SimPossui antena: SimPossui rádio:SimPendência: SimData da bateria:  Equipe: Benvindo e Kaique._______________________________________________RT 5801866013BY PASSADO DEVIDO DEFEITO EM CELULA BEMVINDO ESTEVE NO LOCAL JUNTO AO COD .NECESSARIO TRATATIVA PARA MESMA .FASE DANIFICADO C"/>
    <n v="0"/>
    <n v="20"/>
    <n v="20"/>
    <n v="20"/>
    <n v="10"/>
    <s v="-"/>
    <s v="-"/>
    <s v="-"/>
    <n v="70"/>
    <x v="1"/>
    <s v="Atendimento da RDU Luzimangues Industrial por fonte alternativa"/>
  </r>
  <r>
    <n v="2025"/>
    <s v="ETO-RD-PS 00323/2025"/>
    <x v="7"/>
    <n v="5853360007"/>
    <x v="0"/>
    <d v="2025-10-16T00:00:00"/>
    <n v="7"/>
    <s v="MIRACEMA DO TOCANTINS"/>
    <s v="MIRACEMA DO TOCANTINS"/>
    <s v="CENTRO"/>
    <s v="LD05050008"/>
    <s v="REALIZAR TESTES NO EQUIPAMENTO E CONFERIR MEDIÇÕES DA MALHA DE ATERRAMENTO. ESTANDO OK, COMISSIONAR EQUIPAMENTO E COLOCA-LO EM OPERAÇÃO.AJUSTES DISPONIVEIS NO APP DA PROTEÇÃdmsl : N° do Equipamento:*RT 5853360007 MIRACEMASID: 2493/2025Data: 13/05/2025Serviço Executado Provavelmente ocorreu uma descarga no equipamento comprometendo a malha!Será necessário fazer melhoria da malha de aterramento, fazer toda interligação da mesma! Feito ensaios de isolação das 3 células do equipamento, isolação está ok, quando retornar para colocar em operação levar 3 baterias de 7a.Equipamento ficou em operação?: Não Equipe: Benvindo e Jardel"/>
    <n v="0"/>
    <n v="20"/>
    <n v="20"/>
    <n v="10"/>
    <n v="20"/>
    <s v="-"/>
    <s v="-"/>
    <s v="-"/>
    <n v="70"/>
    <x v="1"/>
    <s v="Aumento de reclamações no atendimento de Miracema no período seco"/>
  </r>
  <r>
    <n v="2026"/>
    <s v="ETO-PROT 00153/2026"/>
    <x v="5"/>
    <n v="7900573047"/>
    <x v="1"/>
    <d v="2026-07-20T00:00:00"/>
    <n v="47"/>
    <s v="FIGUEIROPOLIS"/>
    <s v="FORMOSO DO ARAGUAIA"/>
    <s v="SUL"/>
    <s v="AL02033047"/>
    <s v="10/07 PARECER COEP: EQUIPAMENTO ENTREGUE AOS COCM´S FAVOR INFORMAR PRAZO DE SUBSTUIÇÃO PARA O DMSL E REPASSAR DEPOIS PARA PROTEÇÃO REALIZAR OS AJUSTES E DESCREVER NA SS O SERVIÇO REALIZADOPARECER COEP: AGUARDANDO COCM'S GERAREM AS OBRAS PARA PODER ENTREGAR MATERIALFavor providenciar manutenção no RL 7900573047, o mesmo estar em curto conforme fotos anexadas. Equipamento ficou bay passado em campo.PARECER DMSL: Equipe: FABIO AP./JOÃO MARCOSData Executada: 15/10/2025Serviço Executado:Foi constatado que o equipamento esta queimado na parte ativa placa, tanque e relé. Por favor fazer a substituição pelo Noja RC10."/>
    <n v="5"/>
    <n v="5"/>
    <n v="15"/>
    <n v="0"/>
    <n v="15"/>
    <n v="10"/>
    <n v="0"/>
    <n v="15"/>
    <n v="65"/>
    <x v="1"/>
    <s v="Transferência da Bunge, Saneatins e secadora"/>
  </r>
  <r>
    <n v="2026"/>
    <s v="ETO-RD-PO 00208/2026"/>
    <x v="0"/>
    <n v="7953610256"/>
    <x v="1"/>
    <d v="2026-07-16T00:00:00"/>
    <n v="256"/>
    <s v="MATEIROS"/>
    <s v="PONTE ALTA TOCANTINS"/>
    <s v="CENTRO"/>
    <s v="LD03046026"/>
    <s v="14/07/2026 - PARECER COEP: REALOCAR TANQUE 34,5 SOBRESSALENTE DE PARAÍSO PARA ATENDER  PARECER DMSL: Data: 10/03/2026,Serviço Executado: Foi substituído o relé do equipamento, o mesmo estava danificado. Trocado o DPS, o mesmo estava queimado devido ao tanque estar furado. O equipamento ficou em bypass.Equipamento ficou em operação? NãoPendência? Sim, substituir a parte ativa com cordão umbilical.Equipe: Carliel e João VitorSEGUE SS PARA REGULARIZAR AUTOMAÇÃO DO RL 7953610256 NA INTERLIGAÇÃO COM A COELBA (CHAPADA DA MANGABEIRA) - EQUIPE INFOMOU CURTO INTERNO NO GABINETE DJ AC NÃO FECHA"/>
    <n v="5"/>
    <n v="5"/>
    <n v="15"/>
    <n v="15"/>
    <n v="0"/>
    <n v="0"/>
    <n v="10"/>
    <n v="15"/>
    <n v="65"/>
    <x v="1"/>
    <s v="Atenidmento da COELBA (Alto potencial de compensação)"/>
  </r>
  <r>
    <n v="2026"/>
    <s v="ETO-RD-DP 00404/2026"/>
    <x v="4"/>
    <n v="5800438116"/>
    <x v="0"/>
    <d v="2026-07-01T00:00:00"/>
    <n v="116"/>
    <s v="CHAPADA DA NATIVIDADE"/>
    <s v="DIANOPOLIS"/>
    <s v="SUL"/>
    <s v="LD04002091"/>
    <s v="01/07 PARECER COEP: DENER INFORMOU QUE TEM AS PEÇAS SOBRESSALENTES DE OBRA PARA UTILIZAR, REPASSEREI AO POSTO DO ETO-RD-DP PARA AS TRATATIVAS, FAVOR INFORMAR PREVISÃO DE SUBSTIUIÇÃO E PREENCHER A PLANILHA ASSIM COMO PREENCHER A DESCRIÃO ANTES DE PASSAR PARA PROTEÇÃO FAZER OS AJUSTES30/06PARECER COEP: AGUARDANDO COCM'S CRIAREM OBRA PARA ENTREGA DO MATERIALSegue nota para normalizar falha em regulador N:5800438116 - Chapada da natividade .equipamento está com fase B e C travada .OBS: a fase B esta sinalizando falha , equipamento não insere TAP negativo na fase B e C , o mesmo ficou no TAP zerado e bloqueado .PARECER DMSL (18/08/2025): Foi feito teste de elevar e abaixar nas fases B e C e o mesmo só aceita elevar os taps, constatando que o mercanismo da chave reversoura polaridade está com defeito. Número de série fase B EI7030 e Número de série fase C EI7040. Substituir as fases B e C.Foi constatado que a placa F do controle está com defeito."/>
    <n v="0"/>
    <n v="20"/>
    <n v="20"/>
    <n v="20"/>
    <n v="0"/>
    <s v="-"/>
    <s v="-"/>
    <s v="-"/>
    <n v="60"/>
    <x v="2"/>
    <s v="Atendimento da região da Engegold, Nativa, cidade Natividade e Chapada da Natividade (Fonte alternativa)"/>
  </r>
  <r>
    <n v="2026"/>
    <s v="ETO-COEP 00151/2026"/>
    <x v="2"/>
    <n v="5840227063"/>
    <x v="0"/>
    <d v="2026-07-20T00:00:00"/>
    <n v="63"/>
    <s v="BANDEIRANTES DO TOCANTINS"/>
    <s v="COLINAS DO TOCANTINS"/>
    <s v="NORTE"/>
    <s v="LD01054060"/>
    <s v="PARECER DMSL 13/07/2026: Realizados ensaios de isolação nas três células, e foi identificado curto na fase A, sendo necessário a sua substituição. Os cabos das buchas ficaram desconectados para melhor identificação no momento da sua substituiçãSEGUE PARA O DMSL AVALIAR ANTES DE SEGUIRMOS COM O SERVIÇOSEGUE PARA REALIZAR TROCA---------------------------------------------------------Boa noite,Segue SS para tratativas regulador de tensão 5840227063 fase C em curto"/>
    <n v="0"/>
    <n v="20"/>
    <n v="20"/>
    <n v="10"/>
    <n v="10"/>
    <s v="-"/>
    <s v="-"/>
    <s v="-"/>
    <n v="60"/>
    <x v="2"/>
    <s v="Atendimento da RDU Bandeirantes e clientes rurais"/>
  </r>
  <r>
    <n v="2026"/>
    <s v="ETO-TELE 00881/2026"/>
    <x v="3"/>
    <n v="5851753086"/>
    <x v="0"/>
    <d v="2026-06-02T00:00:00"/>
    <n v="86"/>
    <s v="MARIANOPOLIS"/>
    <s v="DIVINOPOLIS"/>
    <s v="CENTRO"/>
    <s v="LD05062013"/>
    <s v="PARECER DMSL: FAVOR SOLUCIONAR PENDENCIAS RT: 5851753086Relé R.U.A  Data: _19/05/2026Sid: 2740/2026Possui rádio?: SimPossui antena?: SimPossui módulo nobreak?: SimServiço Executado: * Feito testes no equipamento,o mesmo está normal.* Será necessário fazer melhorias na malha de terra e colocar em operação.Equipamento ficou em operação? Não Pendência: Sim. É necessário fazer melhorias na malha de aterramento.Bateria(s) substituída(s)? _nao Data Fabricação/Instalação da(s) bateria(s): 12/2025Equipe: Jean e BenvindoPARECER DCMD: FEITO MELHORIA NA MALHA DO ATERRAMENTO, FAVOR ENVIAR EQUIPE PARA COLOCA-LO EM OPERAÇÃORT 5851753086MESMO ESTA BY-PASSADO EM CAMPO EQUIPE SINERGIA 086OP01 ESTEVE NO LOCAL APARENTIMENTE SEM DEFEITO APARENTE MESMO FOI BY PASSADO POR TER TIRADO LINHA.DESDE ENTAO MESMO NAO VOLTOU PARA OPERAÇÃO .FAVOR VERIFICAR PARA TESTES POSSIVEIS .PARA QUE O MESMO VOLTA COM DISPONIBILIDADE PARA OPERAÇÃO ."/>
    <n v="0"/>
    <n v="20"/>
    <n v="20"/>
    <n v="10"/>
    <n v="10"/>
    <s v="-"/>
    <s v="-"/>
    <s v="-"/>
    <n v="60"/>
    <x v="2"/>
    <s v="Atendimento da RDU Marianópolis e clientes rurais"/>
  </r>
  <r>
    <n v="2026"/>
    <s v="ETO-TELE 00986/2026"/>
    <x v="3"/>
    <n v="5846328094"/>
    <x v="0"/>
    <d v="2026-07-08T00:00:00"/>
    <n v="94"/>
    <s v="PEIXE"/>
    <s v="PEIXE"/>
    <s v="SUL"/>
    <s v="LD04040003"/>
    <s v="COCM SUL - 07/07/2026 - FOI REALIZADO MELHORIA DE ATERRAMENTO E FEITO A MANUTENÇÕES E TODAS AS CHAVES E SUBSTITUIDO OS CONECTORES.PARECER COEP: MELHORIA DE ATERRAMENTO É COCM'S, FAVOR ENCAMINHAR DIRETAMENTE PARA ELES, COCM'S REALIZAR MELHORIA DE ATERRAMENTO POR FAVORPor genteliiza verificar RT 5846328094 situação de equipamento, se encontra by passado em campoPARECER DMSL:Favor, realizar melhoria de aterramento que se encontra alta e substituir todos os conectores das buchas por conectores estrangulador."/>
    <n v="0"/>
    <n v="20"/>
    <n v="20"/>
    <n v="10"/>
    <n v="10"/>
    <s v="-"/>
    <s v="-"/>
    <s v="-"/>
    <n v="60"/>
    <x v="2"/>
    <s v="Atendimento da RDU Sucupira e clientes rurais"/>
  </r>
  <r>
    <n v="2025"/>
    <s v="ETO-COEP 00184/2025"/>
    <x v="2"/>
    <n v="7903112004"/>
    <x v="1"/>
    <d v="2025-09-03T00:00:00"/>
    <n v="4"/>
    <s v="ARAGUAINA"/>
    <s v="ARAGUAINA"/>
    <s v="NORTE"/>
    <s v="LD05010004"/>
    <s v="20/07 PARECER COEP: EQUIPAMENTO SELECIONADO PARA COMPRAApós testes no RLG 7903112004 foi constatado defeito no mesmo e como se trata de um modelo COOPER FORM6 que está obsoleto e não possuímos peças sobressalentes, faz-se necessária substituição completa por modelo NOJA RC10."/>
    <n v="15"/>
    <n v="10"/>
    <n v="5"/>
    <n v="15"/>
    <n v="0"/>
    <n v="10"/>
    <n v="0"/>
    <n v="0"/>
    <n v="55"/>
    <x v="1"/>
    <s v="Transferência de Babaçulândia, 4 RLs sendo 2 operando"/>
  </r>
  <r>
    <n v="2025"/>
    <s v="ETO-COEP 00120/2025"/>
    <x v="2"/>
    <n v="7920024127"/>
    <x v="1"/>
    <d v="2025-07-01T00:00:00"/>
    <n v="127"/>
    <s v="PALMEIRAS DO TOCANTINS"/>
    <s v="TOCANTINOPOLIS"/>
    <s v="NORTE"/>
    <s v="LD01084002"/>
    <s v="30/06 PARECER COEP: AGUARDANDO O RETORNO DO DMSL , PARA ENTENDER SE O PROBLEMA É NA COMUNICAÇÃO OU PARTE ATIVA, JÁ QUE O EQUIPAMENTO EM QUESTÃO SEGUE COMUNICANDOPARECER DMSL: Após testes, equipe DMSL constatou que o relé e a parte ativa do equipamento 7920024127 estão com defeito, sendo necessária a substituição completa por um modelo NOJA RC 10. Favor, subsituir também a chave de saída da fase A que está com o anel de abertura quebrado.RL 7920024127 está desarmando em campo e no SCADA continua fechado, só sinaliza aberto no SCADA quando a equipe faz o resert no equipamento em campo."/>
    <n v="15"/>
    <n v="10"/>
    <n v="5"/>
    <n v="15"/>
    <n v="0"/>
    <n v="10"/>
    <n v="0"/>
    <n v="0"/>
    <n v="55"/>
    <x v="1"/>
    <s v="Transferência de Palmeiras, 3 fontes operando"/>
  </r>
  <r>
    <n v="2026"/>
    <s v="ETO-COEP 00029/2026"/>
    <x v="2"/>
    <n v="7927646026"/>
    <x v="1"/>
    <d v="2026-02-04T00:00:00"/>
    <n v="26"/>
    <s v="PONTE ALTA TOCANTINS"/>
    <s v="PONTE ALTA TOCANTINS"/>
    <s v="CENTRO"/>
    <s v="LD03046026"/>
    <s v="PARECER COEP: EQUIPAMENTO SELECIONADO PARA COMPRARELIGADOR BY PASSADO POR DEFEITO, NECESSÁRIO AVALIAÇÃO DO PROBLEMA.parecer dmsl:O religador apresenta defeito no tanque, sendo necessário substituir o tanque o mesmo está tirando a linha, e troca os  isoladores. Quando retornar, trazer uma fonte para o equipamento, a mesma foi removida.FICOU EM OPERAÇÃO? NãoPENDÊNCIA: Sim, aguardando peças para substituição."/>
    <n v="15"/>
    <n v="10"/>
    <n v="5"/>
    <n v="0"/>
    <n v="15"/>
    <n v="0"/>
    <n v="10"/>
    <n v="0"/>
    <n v="55"/>
    <x v="1"/>
    <s v="Opção de isolação de São Félix e Mateiros para alimentação por gerador"/>
  </r>
  <r>
    <n v="2026"/>
    <s v="ETO-PROT 00156/2026"/>
    <x v="5"/>
    <n v="7927169001"/>
    <x v="1"/>
    <d v="2026-07-21T00:00:00"/>
    <n v="1"/>
    <s v="PORTO NACIONAL"/>
    <s v="PORTO NACIONAL"/>
    <s v="CENTRO"/>
    <s v="AL01102271"/>
    <s v="PARECER COEP: EQUIPAMENTO ENTREGUE, SEGUE SS PARA O COCM´S , PARA REALIZAR O ATENDIMENTO,FAVOR ADICIONAR O PARECER PARA MANDAR PARA PROTEÇÃOSS ANTIGA: 1500/2025 PARECER DMSL: Serviço Executado: Foi verificado que o tanque do equipamento está danificado, sendo necessário substituir o tanque do equipamento.Equipamento ficou em operação?: NãoPendência: Sim, instalar fonte, disjuntor e DPS, e substituir o tanque.***** Parecer COCM******Subsituido Tranque do RL pela Ordem de Serviço DLP-MPPA01 247/2026 RELATORIO EM ANEXO DA O.S EXECUTORA"/>
    <n v="5"/>
    <n v="5"/>
    <n v="15"/>
    <n v="0"/>
    <n v="15"/>
    <n v="0"/>
    <n v="0"/>
    <n v="15"/>
    <n v="55"/>
    <x v="1"/>
    <s v="Transferência dos Grupos A -  VLI e Frisia"/>
  </r>
  <r>
    <n v="2026"/>
    <s v="ETO-RD-PO 00097/2026"/>
    <x v="0"/>
    <n v="5800291035"/>
    <x v="0"/>
    <d v="2026-03-31T00:00:00"/>
    <n v="35"/>
    <s v="MONTE DO CARMO"/>
    <s v="PONTE ALTA TOCANTINS"/>
    <s v="CENTRO"/>
    <s v="LD01051035"/>
    <s v="PARECER DMSL: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quando retornar para colocar em operação levar 3 baterias de 7a e rele rua.Obs.: Fizeram melhoria na malha de terra, mas não está dentro do aceitável! As outras pendências continuam, favor corrigir. Equipamento ficou em operação?: Não  - Equipe: Benvindo e Kaique- SS ANTIGA ETO-TELE 358/2026"/>
    <n v="0"/>
    <n v="20"/>
    <n v="20"/>
    <n v="10"/>
    <n v="0"/>
    <s v="-"/>
    <s v="-"/>
    <s v="-"/>
    <n v="50"/>
    <x v="2"/>
    <s v="Aumento de reclamações no atendimento de Silvanópolis por Monte do Carmo no período seco"/>
  </r>
  <r>
    <n v="2026"/>
    <s v="ETO-COEP 00150/2026"/>
    <x v="2"/>
    <n v="7930428001"/>
    <x v="1"/>
    <d v="2026-07-20T00:00:00"/>
    <n v="1"/>
    <s v="PORTO NACIONAL"/>
    <s v="PORTO NACIONAL"/>
    <s v="CENTRO"/>
    <s v="LD01100001"/>
    <s v="PARECER DMSL DATA 16/07/2026: será necessário fazer a substituição da parte ativa do equipamento.PARECER COEP: Equipamento Funcionando no SCADA , favor reavaliar a necessidade de substituição e se necessário mandar o modelo do equipamento.Segue nota para substituir Taque do RL-7930428001 na LD Porto Nacional / São João, Identificado pela Int-20253617520441 equipamento dando passagem na fase A ficou bay-passado até substituição, Tensão 34,5kva, Acesso livre."/>
    <n v="5"/>
    <n v="5"/>
    <n v="15"/>
    <n v="0"/>
    <n v="15"/>
    <n v="10"/>
    <n v="0"/>
    <n v="0"/>
    <n v="50"/>
    <x v="1"/>
    <s v="Transferência dos Grupos A -  Ramal do Rossato (TF 225kVA e TF 750kVA)"/>
  </r>
  <r>
    <n v="2026"/>
    <s v="ETO-RD-PS 00289/2026"/>
    <x v="7"/>
    <n v="5827102054"/>
    <x v="0"/>
    <d v="2026-06-29T00:00:00"/>
    <n v="54"/>
    <s v="PUGMIL"/>
    <s v="PARAISO DO TOCANTINS"/>
    <s v="CENTRO"/>
    <s v="LD01062013"/>
    <s v="PARECER COEP:NÃO É POSSÍVEL RETORNAR COM O CONTROLE COMPLETO , MAS DARIA PARA FAZER A MELHORIA NA MALHA DE ATERRAMENTO , ENCAMINHANDO PARA OS COCM'S PARA REALIZAREM A MELHORIAparecer DMSL: :Nobreack com defeito, rele queimado, cabo de comunicação entre o rádio e o rele danificado, malha de aterramento está com a resistência alta!Feito reparo no cabo, substituído nobreack, e rele. Se possível retornar com controle completo pq o q está em campo teve infiltração de água, abrir chamado no scada para atualizar base do equipamento pois o mesmo está com a base antiga, fazer correção da malha de aterramento.Equipamento ficou em operação?: Não Pendência: sim, levar controle novo, fazer correção da malha de terra, levar suporte para fixar antena. OBS"/>
    <n v="0"/>
    <n v="20"/>
    <n v="20"/>
    <n v="10"/>
    <n v="0"/>
    <s v="-"/>
    <s v="-"/>
    <s v="-"/>
    <n v="50"/>
    <x v="2"/>
    <s v="Aumento de reclamações no atendimento de Pugmil no período seco"/>
  </r>
  <r>
    <n v="2025"/>
    <s v="ETO-COEP 00221/2025"/>
    <x v="2"/>
    <n v="5800961074"/>
    <x v="0"/>
    <d v="2025-12-05T00:00:00"/>
    <n v="74"/>
    <s v="DIANOPOLIS"/>
    <s v="DIANOPOLIS"/>
    <s v="SUL"/>
    <s v="LD03028074"/>
    <s v="PARECER COEP: EQUIPAMENTO SELECIONADO PARA COMPRASubstituir as 3 células- Melhoria na malha de aterramento - Melhoria no circuito de aterramento qua aterra as células.- Substituir conectores paralelos"/>
    <n v="20"/>
    <n v="0"/>
    <n v="0"/>
    <n v="20"/>
    <n v="0"/>
    <s v="-"/>
    <s v="-"/>
    <s v="-"/>
    <n v="40"/>
    <x v="2"/>
    <s v="Atendimento da COELBA e GA Alessandro Maurício (1600 kVA)"/>
  </r>
  <r>
    <n v="2026"/>
    <s v="ETO-COEP 00063/2026"/>
    <x v="2"/>
    <n v="7944559149"/>
    <x v="1"/>
    <d v="2026-03-31T00:00:00"/>
    <n v="149"/>
    <s v="CASEARA"/>
    <s v="DIVINOPOLIS"/>
    <s v="CENTRO"/>
    <s v="LD01434149"/>
    <s v="14/07/2026 PARECER COEP: EQUIPAMENTO SELECIONADO PARA COMPRA Equipamento ficou em operação?: NãoPendência: Sim será necessário substituir a placaServiço Executado:  curto na placa foi tentando recuperar a mesma porém não teve sucesso!Bateria(s)substituída(s)? NÃOEquipe: Kaique e benvido"/>
    <n v="5"/>
    <n v="10"/>
    <n v="0"/>
    <n v="0"/>
    <n v="15"/>
    <n v="10"/>
    <n v="0"/>
    <n v="0"/>
    <n v="40"/>
    <x v="2"/>
    <s v="Atendimento de cargas rurais entre Caseaarra e Araguacema (221 UCs)"/>
  </r>
  <r>
    <n v="2026"/>
    <s v="ETO-COEP 00129/2026"/>
    <x v="2"/>
    <n v="7937102148"/>
    <x v="1"/>
    <d v="2026-07-07T00:00:00"/>
    <n v="148"/>
    <s v="SAO VALERIO DA NATIVIDADE"/>
    <s v="PEIXE"/>
    <s v="SUL"/>
    <s v="LD01066094"/>
    <s v="PARECER COEP: REAVALIAR DISPONIBILIDADE DO EQUIPAMENTO NO SCADA ASSIM COMO , FORNECER MODELO DO EQUIPAMENTO E FAIXA DE TENSÃO PARA COMPRA / AQUISIÇÃOTanque com defeito, realizar substituição do tanque."/>
    <n v="5"/>
    <n v="5"/>
    <n v="5"/>
    <n v="0"/>
    <n v="15"/>
    <n v="10"/>
    <n v="0"/>
    <n v="0"/>
    <n v="40"/>
    <x v="2"/>
    <s v="Fonte principal do Ramal Serranópolis (181 UCs), RL de transferência operando"/>
  </r>
  <r>
    <n v="2026"/>
    <s v="ETO-PROT 00135/2026"/>
    <x v="5"/>
    <n v="7922995039"/>
    <x v="1"/>
    <d v="2026-06-29T00:00:00"/>
    <n v="39"/>
    <s v="ARAGUATINS"/>
    <s v="AUGUSTINOPOLIS"/>
    <s v="NORTE"/>
    <s v="AL03109039"/>
    <s v="PARECER COEP: Equipamento em operação, instalado com sucesso, segue para Proteção para ajustesPARECER DMSL: Após testes, equipe DMSL constatou que o RLG 7922995039 encontra-se com parte ativa e controle danificados. Favor, realizar substituição completa do equipamento.Troca do sistema de comunicação do equipamento"/>
    <n v="5"/>
    <n v="5"/>
    <n v="0"/>
    <n v="0"/>
    <n v="15"/>
    <n v="10"/>
    <n v="0"/>
    <n v="0"/>
    <n v="35"/>
    <x v="2"/>
    <s v="Atendimento do PA Esperança Viva (396 UCs)"/>
  </r>
  <r>
    <n v="2026"/>
    <s v="ETO-COEP 00024/2026"/>
    <x v="2"/>
    <n v="7933585074"/>
    <x v="1"/>
    <d v="2026-01-27T00:00:00"/>
    <n v="74"/>
    <s v="DIANOPOLIS"/>
    <s v="DIANOPOLIS"/>
    <s v="SUL"/>
    <s v="LD03028074"/>
    <s v="30/06 PARECER COEP: EQUIPAMENTO SELECIONADO PARA COMPRAREALIZAR SUBSTITUIÇÃO DO TANQUE, O MESMO ESTÁ COM DEFEITO."/>
    <n v="5"/>
    <n v="5"/>
    <n v="15"/>
    <n v="0"/>
    <n v="0"/>
    <n v="0"/>
    <n v="10"/>
    <n v="0"/>
    <n v="35"/>
    <x v="2"/>
    <s v="Atendimento da COELBA"/>
  </r>
  <r>
    <n v="2026"/>
    <s v="ETO-COEP 00133/2026"/>
    <x v="2"/>
    <n v="7955986084"/>
    <x v="1"/>
    <d v="2026-07-08T00:00:00"/>
    <n v="84"/>
    <s v="DIVINOPOLIS"/>
    <s v="DIVINOPOLIS"/>
    <s v="CENTRO"/>
    <s v="LD04062013"/>
    <s v="14/07/2026 PARECER COEP : SUBSTIUIR CONTROLE COMPLETOPARECER DMSL: Equipamento com a placa de alimentação ca em curto, será necessário substituir a placa do equipamento. (Antiga nota era pra ter sido repassada porém foi baixada indevidamente pela equipe)"/>
    <n v="5"/>
    <n v="5"/>
    <n v="0"/>
    <n v="0"/>
    <n v="15"/>
    <n v="10"/>
    <n v="0"/>
    <n v="0"/>
    <n v="35"/>
    <x v="2"/>
    <s v="Transferência de cargas do 444R da SE Paraíso I"/>
  </r>
  <r>
    <n v="2026"/>
    <s v="ETO-COEP 00045/2026"/>
    <x v="2"/>
    <n v="7927396052"/>
    <x v="1"/>
    <d v="2026-03-02T00:00:00"/>
    <n v="52"/>
    <s v="FORMOSO DO ARAGUAIA"/>
    <s v="FORMOSO DO ARAGUAIA"/>
    <s v="SUL"/>
    <s v="LD03036052"/>
    <s v="PARECER COEP: EQUIPAMENTO SELECIONADO PARA COMPRAreligador foi bay passado devido mesmo esta saindo fumaca do painel e sem comunicação 7927396052.PARECER DMSL: Após testes, equipe DMSL constatou que apenas o tanque do RLG 7927396052 encontra-se queimado. Favor, substituir parte ativa do equipamento.NS Tanque: 0320123040198"/>
    <n v="5"/>
    <n v="5"/>
    <n v="0"/>
    <n v="0"/>
    <n v="15"/>
    <n v="10"/>
    <n v="0"/>
    <n v="0"/>
    <n v="35"/>
    <x v="2"/>
    <s v="Equipamento localizado Fonte principal de atendimento a SE Cobrape"/>
  </r>
  <r>
    <n v="2026"/>
    <s v="ETO-COEP 00058/2026"/>
    <x v="2"/>
    <n v="7925733015"/>
    <x v="1"/>
    <d v="2026-03-30T00:00:00"/>
    <n v="15"/>
    <s v="PEDRO AFONSO"/>
    <s v="GUARAI"/>
    <s v="NORTE"/>
    <s v="LD01414015"/>
    <s v="PARECER COEP: EQUIPAMENTO SELECIONADO PARA COMPRAPARECER DMSL: FEEDBACK EQUIP. ESPECIAISNº DO EQUIPAMENTO: 7925733015TIPO EQUIPAMENTO: Noja RC10TIPO DE COMUNICAÇÃO: Rádio GEDATA DA MANUTENÇÃO: 24/03/2026SID: 1475/2026DESCRIÇÃO: Tanque do equipamento em CurtoFICOU EM OPERAÇÃO?: Não PENDÊNCIA: Sim, repassar a nota para DCMD substituir tanque.DADOS DIVERGENTES DA PROGRAMAÇÃO: NãoBATERIA SUBSTITUÍDA?: Não TIPO DE BATERIA: Lítio EQUIPE: Edicleber e Jhonata(DEOP)------------------------------------------------------------------------------------------------------religador 7925733015 com defeito, equipe fez abertura da chave de saida do mesmo e ele não aceita fehcamento devido provavel curto-circuito interno, enviar equipe para verificar o mesmo ficou by-pass fechado"/>
    <n v="5"/>
    <n v="5"/>
    <n v="0"/>
    <n v="0"/>
    <n v="15"/>
    <n v="10"/>
    <n v="0"/>
    <n v="0"/>
    <n v="35"/>
    <x v="2"/>
    <s v="Transferência do Ramal Agrovila (73 UCs)"/>
  </r>
  <r>
    <n v="2026"/>
    <s v="ETO-COEP 00125/2026"/>
    <x v="2"/>
    <n v="7900525015"/>
    <x v="1"/>
    <d v="2026-07-07T00:00:00"/>
    <n v="15"/>
    <s v="PEDRO AFONSO"/>
    <s v="GUARAI"/>
    <s v="NORTE"/>
    <s v="LD02424015"/>
    <s v="PARECER COEP: É PARA REALIZAR A SUBSTITUIÇÃO DO RELIGADOR OU DAS BUCHAS, CASO SEJA BUCHAS , REPASSAR PARA OS COCM'S , CASO NÃO SEJA ESPECIFIQUE O MODELO , E A TENSÃO, FICO NO AGUARDO DO RETORNONota para manutenção substituir religador 7900525015 que está com as buchas de entrada danificadas fase A estourada e bc danificadas Local LD Pedro Afonso A Chaparral"/>
    <n v="5"/>
    <n v="5"/>
    <n v="0"/>
    <n v="0"/>
    <n v="15"/>
    <n v="10"/>
    <n v="0"/>
    <n v="0"/>
    <n v="35"/>
    <x v="2"/>
    <s v="Tranferência do Ramal do Chaparral (251 UCs)"/>
  </r>
  <r>
    <n v="2026"/>
    <s v="ETO-COEP 00038/2026"/>
    <x v="2"/>
    <n v="7908249152"/>
    <x v="1"/>
    <d v="2026-02-24T00:00:00"/>
    <n v="152"/>
    <s v="SANTA ROSA DO TOCANTINS"/>
    <s v="PORTO NACIONAL"/>
    <s v="CENTRO"/>
    <s v="LD02072001"/>
    <s v="14/07/2026 PARECER COEP: EQUIPAMENTO SELECIONADO PARA COMPRADMSL:Serviço Executado: Houve um curto no equipamento danificando a parte ativa, será necessário fazer a substituição do equipamento completo ( parte ativa e controle) colocar o um cabo pp novo do trafo até o Dj pois o mesmo está sem condições de uso. Obs:. Foi retirado rádio e rele Equipamento ficou em operação?: Não Pendência: Sim, substituir o equipamento completo."/>
    <n v="5"/>
    <n v="5"/>
    <n v="0"/>
    <n v="0"/>
    <n v="15"/>
    <n v="10"/>
    <n v="0"/>
    <n v="0"/>
    <n v="35"/>
    <x v="2"/>
    <s v="Atendimento de zona rural em Santa Rosa (160 UCs)"/>
  </r>
  <r>
    <n v="2026"/>
    <s v="ETO-PROT 00155/2026"/>
    <x v="5"/>
    <n v="7942572059"/>
    <x v="1"/>
    <d v="2026-07-21T00:00:00"/>
    <n v="59"/>
    <s v="TAQUARALTO"/>
    <s v="TAQUARALTO"/>
    <s v="CENTRO"/>
    <s v="LD02059122"/>
    <s v="PARECER COEP: EQUIPAMENTO COM MELHORIA DE ATERRAMENTO É COM A ETO-RD-PA , NÃO PASSA PELO FLUXO DE AQUISIÇÃO DO COEP, FAVOR REALIZAR MELHORIA DE ATERRAMENTO ETO-RD-PAPARECER DMSL 19/05/2026: É necessário fazer melhorias na malha de aterramento.segue nota para RL 794252059 o mesmo esta sem comunicaçao, foi feito primeiro ataque, porem a comunicaçao nao voltou, obs ramal do marasca.**** Parcecer do COCM CENTRO-****FEITO A MALHAR DE ATERRAMENTO ATENDIDA PELA ORDEM DE SERVIÇO DLP-MLPA02 91/2026 COM RELATORIO EM ANEXO A O.S"/>
    <n v="5"/>
    <n v="5"/>
    <n v="15"/>
    <n v="0"/>
    <n v="0"/>
    <n v="0"/>
    <n v="10"/>
    <n v="0"/>
    <n v="35"/>
    <x v="2"/>
    <s v="Atendimento do Ramal do Marasca e GAs (108 UCs)"/>
  </r>
  <r>
    <n v="2026"/>
    <s v="ETO-COEP 00123/2026"/>
    <x v="2"/>
    <n v="7928564039"/>
    <x v="1"/>
    <d v="2026-07-07T00:00:00"/>
    <n v="39"/>
    <s v="ARAGUATINS"/>
    <s v="AUGUSTINOPOLIS"/>
    <s v="NORTE"/>
    <s v="LD02109039"/>
    <s v="PARECER COEP: EQUIPAMENTO SELECIONADO PARA COMPRATroca do sistema de comunicação do equipamentoDMSL 28/07/2025: Equipamento com tanque, modulo e rele com defeito, solicitar troca do equipamento ao DCMD.Fotos vão ser enviadas por e-mail"/>
    <n v="5"/>
    <n v="10"/>
    <n v="5"/>
    <n v="0"/>
    <n v="0"/>
    <n v="10"/>
    <n v="0"/>
    <n v="0"/>
    <n v="30"/>
    <x v="2"/>
    <s v="Transferência entre 424R Araguatins e 434R Augustinópolis"/>
  </r>
  <r>
    <n v="2026"/>
    <s v="ETO-COEP 00156/2026"/>
    <x v="2"/>
    <n v="5855411017"/>
    <x v="0"/>
    <d v="2026-07-24T00:00:00"/>
    <n v="17"/>
    <s v="BARROLANDIA"/>
    <s v="MIRACEMA DO TOCANTINS"/>
    <s v="CENTRO"/>
    <s v="AL02017017"/>
    <s v="20/07 PARECER COCM: NÃO RECEBEMOS MATERIAL10/07 PARECER COEP: EQUIPAMENTO ENTREGUE AOS COCM´S FAVOR INFORMAR PRAZO DE SUBSTUIÇÃO PARA O DMSL E REPASSAR DEPOIS PARA PROTEÇÃO REALIZAR OS AJUSTES E DESCREVER NA SS O SERVIÇO REALIZADOPARECER COEP: EQUIPAMENTO EM ROTA DE ENTREGASEM COMUNICAÇÃO, FALHA DE ALIMENTAÇÃO - REALIZADO PRIMEIRO ATAQUE SEM SUCESSO.PARECER DMSL: 17/09/2025 Equipamento ficou em operação? Não Pendência: sim. Equipamento ficou Bay passado levar controle  COMPLETO para trocar. ellisfran"/>
    <n v="0"/>
    <n v="0"/>
    <n v="0"/>
    <n v="10"/>
    <n v="20"/>
    <s v="-"/>
    <s v="-"/>
    <s v="-"/>
    <n v="30"/>
    <x v="3"/>
    <s v="Atendimento do Assentamento Irmã Adelaide"/>
  </r>
  <r>
    <n v="2026"/>
    <s v="ETO-TELE 01002/2026"/>
    <x v="3"/>
    <n v="7908196047"/>
    <x v="1"/>
    <d v="2026-07-13T00:00:00"/>
    <n v="47"/>
    <s v="FIGUEIROPOLIS"/>
    <s v="FORMOSO DO ARAGUAIA"/>
    <s v="SUL"/>
    <s v="AL02033047"/>
    <s v="13/07/2026 PARECER COEP: EQUIPAMENTO REMANEJADO FAVOR FAZER O COMISSIONAMENTORELIGADOR N° 7908196047 REMANEJADO NA OBRA 0402401150 GENTILEZA, REALIZAR O COMISSIONAMENTO. LAUDO EM ANEXO. COORD EO: 698485, 8657287PARECER DA PROTEÇÃO:AJUSTE DISPONIBILIZADO NO APP DA PROTEÇÃO, NOTA REPASSADA PARA DMSL COMISSIONAR, POLO GURUPI, RL APENAS REMANEJADO DA REDE VELHA PARA REDE NOVA, EQUIPAMENTO COOPER, SE MANTEVE O MESMO NÚMERO DE ATIVO.ENG° IRLLEY CASTELO BRANCO.PARECER DMSL: Constatado curto-circuito no tanque do religador, impedindo as operações de abertura e fechamento do equipamento. Solicita-se a substituição completa do religador, incluindo tanque e unidade de controle."/>
    <n v="5"/>
    <n v="5"/>
    <n v="5"/>
    <n v="0"/>
    <n v="0"/>
    <n v="0"/>
    <n v="10"/>
    <n v="0"/>
    <n v="25"/>
    <x v="3"/>
    <s v="Seccionamento do Rural e energização do 224R"/>
  </r>
  <r>
    <n v="2026"/>
    <s v="ETO-COEP 00134/2026"/>
    <x v="2"/>
    <n v="7955946007"/>
    <x v="1"/>
    <d v="2026-07-08T00:00:00"/>
    <n v="7"/>
    <s v="MIRACEMA DO TOCANTINS"/>
    <s v="MIRACEMA DO TOCANTINS"/>
    <s v="CENTRO"/>
    <s v="LD05050008"/>
    <s v="13/07/2026 PARECER COEP: SUBSTITUIR CONTOLE OU MANDAR MANUTENCIONAR EM CASO DE PRIORIDADE ALTAPARECER DMSL: Necessário substituir a placa de alimentação ca, a mesma está em curto não conseguimos recuperar. (Antiga nota era pra ter sido repassada porém foi baixada indevidamente pela equipe)"/>
    <n v="5"/>
    <n v="5"/>
    <n v="5"/>
    <n v="0"/>
    <n v="0"/>
    <n v="0"/>
    <n v="10"/>
    <n v="0"/>
    <n v="25"/>
    <x v="3"/>
    <s v="Alimentação do serviço auxiliar da Investco e clientes rurais (260 UCs)"/>
  </r>
  <r>
    <n v="2026"/>
    <s v="ETO-COEP 00148/2026"/>
    <x v="2"/>
    <n v="7923927122"/>
    <x v="1"/>
    <d v="2026-07-16T00:00:00"/>
    <n v="122"/>
    <s v="PALMAS"/>
    <s v="PALMAS"/>
    <s v="CENTRO"/>
    <s v="LD02059122"/>
    <s v="PARECER DMSL 16/07: Nota solicitada ao DMSL com a informação de que o tanque precisa ser substituído. Estou encaminhando a nota para a área responsável.Segue nota para envia manutenção substituir tanque do RL-7923927122 em curto, Anomalia identificada desarme das LD, s Palmas / Aparecida e Palmas Taquaruçu, Acesso livre, Tensão 34,5kv, Local RL de Interligação entre 424R / 414R."/>
    <n v="15"/>
    <n v="0"/>
    <n v="0"/>
    <n v="0"/>
    <n v="0"/>
    <n v="10"/>
    <n v="0"/>
    <n v="0"/>
    <n v="25"/>
    <x v="3"/>
    <s v="Transferência entre 414R e 424R SE Palmas II"/>
  </r>
  <r>
    <n v="2025"/>
    <s v="ETO-COEP 00158/2025"/>
    <x v="2"/>
    <n v="7942485096"/>
    <x v="1"/>
    <d v="2025-07-23T00:00:00"/>
    <n v="96"/>
    <s v="PINDORAMA DO TOCANTINS"/>
    <s v="PONTE ALTA TOCANTINS"/>
    <s v="CENTRO"/>
    <s v="LD03046026"/>
    <s v="30/06 PARECER COEP: EQUIPAMENTO SELECIONADO PARA COMPRARELIGADOR COM DEFEITO 7942485096, ESTA DANDO PASSAGEM ESTANDO ABERTO. NÃO ACEITA COMANDOS. FICOU BY PASSADO EM CAMPO PARA MANUTENÇÃO.PARECER DMSL: Ao testar o tanque, foi constatado que o mesmo está danificado e precisa ser substituído.Substituir somente o tanque. Deixar claro na nota para o dcmd substituir somente o tanque. Não tem necessidade de substituir o controle."/>
    <n v="5"/>
    <n v="5"/>
    <n v="5"/>
    <n v="0"/>
    <n v="0"/>
    <n v="10"/>
    <n v="0"/>
    <n v="0"/>
    <n v="25"/>
    <x v="3"/>
    <s v="Transferência da PCH Bagagem"/>
  </r>
  <r>
    <n v="2026"/>
    <s v="ETO-COEP 00132/2026"/>
    <x v="2"/>
    <n v="7921202014"/>
    <x v="1"/>
    <d v="2026-07-08T00:00:00"/>
    <n v="14"/>
    <s v="PIUM"/>
    <s v="PARAISO DO TOCANTINS"/>
    <s v="CENTRO"/>
    <s v="LD01025012"/>
    <s v="PARECER COEP: EQUIPAMENTO SELECIONADO PARA COMPRA , DEVERIA SER SUBSTITUIDO PARTE ATIVAPARECER DMSL: Serviço Executado: _ indentificado o problema na parte ativa será  necessário fazer a substituição da mesmo, feito a medição do aterramento. Preciso substituir para raio da fase c.Equipamento ficou em operação?: _NAOPendência: _SimBateria(s) substituída(s)? _NãoData Fabricação/Instalação da(s) bateria(s):_Equipe: _Benvindo e kaique----------------------------------------------------------------------------------RL com defeito no rele, fica só reiniciando ficou By passado OS atendimento primeiro ataque 106530226"/>
    <n v="5"/>
    <n v="5"/>
    <n v="5"/>
    <n v="0"/>
    <n v="0"/>
    <n v="10"/>
    <n v="0"/>
    <n v="0"/>
    <n v="25"/>
    <x v="3"/>
    <s v="Atendimento de Clientes rurais (483 UCs)"/>
  </r>
  <r>
    <n v="2025"/>
    <s v="ETO-COEP 00143/2025"/>
    <x v="2"/>
    <n v="7927446001"/>
    <x v="1"/>
    <d v="2025-07-08T00:00:00"/>
    <n v="1"/>
    <s v="PORTO NACIONAL"/>
    <s v="PORTO NACIONAL"/>
    <s v="CENTRO"/>
    <s v="LD02072001"/>
    <s v="30/06 PARECER COEP: EQUIPAMENTO COMPLETOSegue para verificação RL sem comunicação feito primeiro ataque sem sucesso.PARECER DMSL:Data:* _08/07/2025Serviço Executado: Placa de alimentação danificada, devido a curto, não temos material sobressalente para manutenção! Favor substituir o equipamento completo.Obs.: O rádio ficou dentro do controle, favor orientar a equipe que for substituir colocar dentro do controle novo.Equipamento ficou em operação?: Não Pendência: Sim, substituir equipamento completo."/>
    <n v="5"/>
    <n v="5"/>
    <n v="5"/>
    <n v="0"/>
    <n v="0"/>
    <n v="10"/>
    <n v="0"/>
    <n v="0"/>
    <n v="25"/>
    <x v="3"/>
    <s v="Alimentação de Monte do Carmo por Porto Nacional"/>
  </r>
  <r>
    <n v="2026"/>
    <s v="ETO-COEP 00128/2026"/>
    <x v="2"/>
    <n v="7928241200"/>
    <x v="1"/>
    <d v="2026-07-07T00:00:00"/>
    <n v="200"/>
    <s v="SAO SALVADOR DO TOCANTINS"/>
    <s v="PEIXE"/>
    <s v="SUL"/>
    <s v="LD02066094"/>
    <s v="PARECER COEP: EQUIPAMENTO SELECIONADO  PARA COMPRAPARECER DMSL: Tinha uma nota aberta 422/2025 e logo após a equipe resolver a comunicação ela foi baixada, porém a equipe relatou que ''na estrada ontem o COS nos avisou para voltar que na hora de colocar em operação ele tirou a linha fora. Hoje retornamos nele e fizemos ensaios elétricos e foi constatado que o tanque está em curto. Passa direto aí para o Dcmd para substituição do tanque.''"/>
    <n v="5"/>
    <n v="5"/>
    <n v="5"/>
    <n v="0"/>
    <n v="0"/>
    <n v="10"/>
    <n v="0"/>
    <n v="0"/>
    <n v="25"/>
    <x v="3"/>
    <s v="Fonte principal do Ramal do Retiro (246UCs), RL transferência by-passado"/>
  </r>
  <r>
    <n v="2026"/>
    <s v="ETO-COEP 00061/2026"/>
    <x v="2"/>
    <n v="7901110084"/>
    <x v="1"/>
    <d v="2026-03-31T00:00:00"/>
    <n v="84"/>
    <s v="DIVINOPOLIS"/>
    <s v="DIVINOPOLIS"/>
    <s v="CENTRO"/>
    <s v="LD04062013"/>
    <s v="PARECER COEP: EQUIPAMENTO SELECIONADO PARA COMPRAPARECER DMSL: Serviço Executado: Foi feito análise técnica, testes funcionais e identificado que a parte ativa do equipamento está com defeito. Necessário substituir a parte ativa.FICOU EM OPERAÇÃO? Não- EQUIPE: Carliel e BenvindoSegue SS para verificaçao Rl esta danificado dando passagem de tensão mesmo aberto Sim, quando retornar trazer uma fonte pois a mesma foi removida."/>
    <n v="5"/>
    <n v="5"/>
    <n v="0"/>
    <n v="0"/>
    <n v="0"/>
    <n v="0"/>
    <n v="10"/>
    <n v="0"/>
    <n v="20"/>
    <x v="3"/>
    <s v="Localizado na fonte principal de atendimento de Divinópolis e Abreulândia"/>
  </r>
  <r>
    <n v="2026"/>
    <s v="ETO-COEP 00114/2026"/>
    <x v="2"/>
    <n v="7913662076"/>
    <x v="1"/>
    <d v="2026-06-10T00:00:00"/>
    <n v="76"/>
    <s v="DUERE"/>
    <s v="GURUPI"/>
    <s v="SUL"/>
    <s v="AL01031076"/>
    <s v="30/06 PARECER COEP: AGUARDANDO RETORNO DO DMSL PARA ENTENDER EXATAMENTE O QUE TENHO QUE SUBSTITUIRAberto nota para substituir tanque danificado e chave de entrada fase B danificadaPARECER DMSL: Foi confirmado pela equipe DMSL o defeito do tanque, favor seguir com a substituição e correção da chave de entrada fase B danificada."/>
    <n v="5"/>
    <n v="5"/>
    <n v="0"/>
    <n v="0"/>
    <n v="0"/>
    <n v="10"/>
    <n v="0"/>
    <n v="0"/>
    <n v="20"/>
    <x v="3"/>
    <s v="Atendimento do Ramal do Bacuri (168 UCs)"/>
  </r>
  <r>
    <n v="2026"/>
    <s v="ETO-RD-DP 00457/2026"/>
    <x v="4"/>
    <n v="5862236091"/>
    <x v="0"/>
    <d v="2026-07-20T00:00:00"/>
    <n v="91"/>
    <s v="ALMAS"/>
    <s v="DIANOPOLIS"/>
    <s v="SUL"/>
    <s v="LD05002091"/>
    <s v="20/07 PARECER COEP: EQUIPAMENTO ENTREGUE , FAVOR EDITAR A SS COM A DATA PREVISTA DE SUBSTITUIÇÃO NO PARECER DOS COCM´S Realizar substituição da FASE B.Célula da fase B estava com a tampa do contador de tape aberta, pegou chuva e molhou os contatos danificando a peça toda."/>
    <n v="0"/>
    <n v="0"/>
    <n v="0"/>
    <n v="20"/>
    <n v="0"/>
    <s v="-"/>
    <s v="-"/>
    <s v="-"/>
    <n v="20"/>
    <x v="3"/>
    <s v="Atendimento da LD Vale Rio Doce (Nova Aura Mineradora)"/>
  </r>
  <r>
    <n v="2026"/>
    <s v="ETO-COEP 00095/2026"/>
    <x v="2"/>
    <n v="5836786094"/>
    <x v="0"/>
    <d v="2026-05-18T00:00:00"/>
    <n v="94"/>
    <s v="PEIXE"/>
    <s v="PEIXE"/>
    <s v="SUL"/>
    <s v="LD01066094"/>
    <s v="24/07 PARECER COEP:EQUIPAMENTO EM LOGISTICA DE ENTREGA Favor levar outro regulador de tensão, pois o mesmo foi furtado em campo."/>
    <n v="0"/>
    <n v="0"/>
    <n v="0"/>
    <n v="10"/>
    <n v="10"/>
    <s v="-"/>
    <s v="-"/>
    <s v="-"/>
    <n v="20"/>
    <x v="3"/>
    <s v="Atendimento de clientes rurais na LD Peixe Angical - Peixe"/>
  </r>
  <r>
    <n v="2026"/>
    <s v="ETO-RD-PS 00327/2026"/>
    <x v="7"/>
    <n v="7919270014"/>
    <x v="1"/>
    <d v="2026-07-22T00:00:00"/>
    <n v="14"/>
    <s v="PIUM"/>
    <s v="PARAISO DO TOCANTINS"/>
    <s v="CENTRO"/>
    <s v="LD01047073"/>
    <s v="PARECER COEP: AGUARDANDO RETORNO DO DMSL, EQUIPAMENTO FOI INSTALADO NOVO NA OBRA 0212501060, ENTENDER O PORQUE NÃO FOI REALIZADO COMISSIONAMENTOPARECER DMSL: Substituir Equipamento completo problema na placa de alimentação e na parte ativa, falta colocar placa de identificação correta na topologia, baixar o controle.Equipamento ficou em operação?: naoPendência: simBateria(s) substituída(s)? NÃOEquipe: Kaique/ Benvindo13/07/2026 PARECER COEP: SUBSTITUIÇÃO REALZIADA , FAVOR COMISSIONARPARECER DMSL (22/07/26): Solicito que o laudo de substituição seja anexado, e a SS seja repassada para proteção atribuir a ordem de ajuste, antes de repassar para ETO-TELE.----------------------------------------------PARECER DA PROTEÇÃO: Prosseguir com o comissionamento. Ajustes de religador permanecem os mesmos, disponíveis no APP da Proteção.********************************RELIGADOR N°7919270014 REMANEJADO NA OBRA 0212501060 GENTILEZA, REALIZAR O COMISSIONAMENTO. LAUDO EM ANEXO. COORD EO: 617422, 8830787"/>
    <n v="5"/>
    <n v="5"/>
    <n v="0"/>
    <n v="0"/>
    <n v="0"/>
    <n v="10"/>
    <n v="0"/>
    <n v="0"/>
    <n v="20"/>
    <x v="3"/>
    <s v="Atendimento de Clientes rurais (48 UCs)"/>
  </r>
  <r>
    <n v="2026"/>
    <s v="ETO-COEP 00051/2026"/>
    <x v="2"/>
    <n v="7926442035"/>
    <x v="1"/>
    <d v="2026-03-18T00:00:00"/>
    <n v="35"/>
    <s v="MONTE DO CARMO"/>
    <s v="PONTE ALTA TOCANTINS"/>
    <s v="CENTRO"/>
    <s v="LD01051035"/>
    <s v="PARECER COEP: EQUIPAMENTO SELECIONADO PARA COMPRAPARECER DMSL: Data: 12/03/2026 Serviço Executado:- Análise técnica constatou:- Parte ativa do equipamento danificada: necessita substituição- Trafo danificado: foi feitos testes nas buchas secundárias o mesmo não chega tensão    - Vazamento de óleo    - Necessita substituiçãoEquipamento ficou em operação? NãoPendências:- Solicitar limpeza de faixa para acesso ao equipamento- Trocar parte ativa do equipamento- Substituir o trafoEquipe: Carliel e João VitorSegue nota para envia equipe verificar falha de comunicação e automação no RL-7926442035 feito primeiro ataque com equipe 035OP02, porém sem sucesso. "/>
    <n v="5"/>
    <n v="5"/>
    <n v="0"/>
    <n v="0"/>
    <n v="0"/>
    <n v="0"/>
    <n v="10"/>
    <n v="0"/>
    <n v="20"/>
    <x v="3"/>
    <s v="Atenidmento do PA Principado (200 UCs)"/>
  </r>
  <r>
    <n v="2026"/>
    <s v="ETO-COEP 00144/2026"/>
    <x v="2"/>
    <n v="7938137007"/>
    <x v="1"/>
    <d v="2026-07-15T00:00:00"/>
    <n v="7"/>
    <s v="MIRACEMA DO TOCANTINS"/>
    <s v="MIRACEMA DO TOCANTINS"/>
    <s v="CENTRO"/>
    <s v="AL02017017"/>
    <s v="PARECER DMSL 09/07/2026: GENTILEZA VERIFICAR HAVIA UMA NOTA ABERTA, EQUIPE RETORNOU EM CAMPO E NÃO FOI REALIZADAserviço realizado na SS ENC-RD-PS 1397/2025, REPASSANDO PARA COMISSIONARRL 7938137007 NO RL INSTALAR BATERIA NOVA E RADIO A PEDIDO DE KAROLINY DMSLACESSO LIVREPARECER DMSL: * equipamento esta com a bucha da fase A com problemas(solta), necessário substituir* Trafo do serviço auxiliar esta vazando óleo, necessário substituir- Material ainda não foi entregue para substituição 15/07/2026"/>
    <n v="5"/>
    <n v="5"/>
    <n v="5"/>
    <n v="0"/>
    <n v="0"/>
    <n v="0"/>
    <n v="0"/>
    <n v="0"/>
    <n v="15"/>
    <x v="3"/>
    <s v="Transferência do Irmã Adelaide (470 UCs)"/>
  </r>
  <r>
    <n v="2026"/>
    <s v="ETO-RD-DP 00403/2026"/>
    <x v="4"/>
    <n v="5856156091"/>
    <x v="0"/>
    <d v="2026-06-29T00:00:00"/>
    <n v="91"/>
    <s v="ALMAS"/>
    <s v="DIANOPOLIS"/>
    <s v="SUL"/>
    <s v="LD04002091"/>
    <s v="DCMD 26.03.2026. SS REPASSADA PARA COEP PROVIDENCIAR MATERIAL. NÃO TEMOS O MATERIAL EM ESTOQUE PARA SUBSTITUIÇÃO. COEP: Equipamento fornecido ao COCM-S para regularização.PARECER COEP: EQUIPAMENTOS JÁ FORNECIDOS PARA OS COCM'S PARA REGULARIZAÇÃOPARECER DA PROTEÇÃO:EQUIPAMENTOS FURTADOS. PARA AQUISIÇÃO DAS CELULAS DE REPOSIÇÃO, FAVOR CONSULTAR OS DADOS DE PLACA EM ANEXO.PARECER DA PROTEÇÃO:COMISISONAR RT 5856156091 LD DIANOPOLIS A NATIVIDADE. NECESSARIO REALIZAR MEDIÇÕES DA RESISTENCIA DA MALHA DE ATERRAMENTO.AJUSTES DISPONIVEIS NO APP DA PROTEÇÃO.RELIGADOR N° 5856156091 INSTALADO NA OBRA 0502400526 GENTILEZA, REALIZAR O COMISSIONAMENTO. LAUDO EM ANEXO. COORD EO: 899501, 8714782"/>
    <n v="0"/>
    <n v="0"/>
    <n v="0"/>
    <n v="0"/>
    <n v="0"/>
    <s v="-"/>
    <s v="-"/>
    <s v="-"/>
    <n v="0"/>
    <x v="3"/>
    <s v="Equipamento novo furtado antes de ser colocado em operação"/>
  </r>
  <r>
    <n v="2026"/>
    <s v="ETO-TELE 01032/2026"/>
    <x v="3"/>
    <n v="5858783119"/>
    <x v="0"/>
    <d v="2026-07-27T00:00:00"/>
    <n v="119"/>
    <s v="SAO BENTO DO TOCANTINS"/>
    <s v="TOCANTINOPOLIS"/>
    <s v="NORTE"/>
    <s v="LD03005098"/>
    <s v="27/07/2026 PARECER COEP: FIZEMOS UMA VISITA AO EQUIPAMENTO , EQUIPAMENTO SE ENCONTRA EM OPERAÇÃO E SEM SINAL DE AVARIA FAVOR AVALIAR PARECER DMSL A SS FOTOS COM O LUANDERSSON OU JOAO ANTONIO LAGARES 20/07 PARECER COEP: EQUIPAMENTO SELECIONADO PARA COMPRA , DEVIDO AO ERRO NA INSTALAÇÃO E O FURTOPARECER DMSL: 16/06/2025-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
    <n v="0"/>
    <n v="0"/>
    <n v="0"/>
    <n v="0"/>
    <n v="0"/>
    <s v="-"/>
    <s v="-"/>
    <s v="-"/>
    <n v="0"/>
    <x v="3"/>
    <s v="Equipamento novo furtado antes de ser colocado em operação, não inserido no SCADA"/>
  </r>
  <r>
    <n v="2026"/>
    <s v="ETO-TELE 00982/2026"/>
    <x v="3"/>
    <n v="7955832052"/>
    <x v="1"/>
    <d v="2026-07-04T00:00:00"/>
    <n v="52"/>
    <s v="FORMOSO DO ARAGUAIA"/>
    <s v="FORMOSO DO ARAGUAIA"/>
    <s v="SUL"/>
    <s v="LD01035052"/>
    <s v="SEGUE SOLICITAÇÃO DE SERVIÇO PARA REALIZAR VERIFICAÇÃO DO RL 7955832052 EQUIPAMENTO DE INTEELIGAÇÃO O MESMO ESTA SEM COMUNICAÇÃO ...FOI REALIZADO PRIMEIRO ATAQUE COM EQUIPE SINERGIA DE FORMOSO EO EQUIPAMENTO NÃO VOLTOU"/>
    <m/>
    <m/>
    <m/>
    <m/>
    <m/>
    <m/>
    <m/>
    <m/>
    <n v="0"/>
    <x v="4"/>
    <m/>
  </r>
  <r>
    <n v="2026"/>
    <s v="ETO-COEP 00138/2026"/>
    <x v="2"/>
    <n v="7930359149"/>
    <x v="1"/>
    <d v="2026-07-13T00:00:00"/>
    <n v="149"/>
    <s v="CASEARA"/>
    <s v="DIVINOPOLIS"/>
    <s v="CENTRO"/>
    <s v="LD03414149"/>
    <s v="PARECER DMSL 07/07/2026: equipamento tem que ser subistuido pois não faz comando, parte ativa com defeito FEITO O PRIMEIRO ATAQUE NO RELIGADOR 7930359149 E MESMO NÃO ACEITA COMANDO NEM LOCAL E NEM REMOTO SEGUNDO EQUIPE 149OP02 E PLACA DO RL ESTA CARBONIZADA COM SINAL DE CURTO."/>
    <m/>
    <m/>
    <m/>
    <m/>
    <m/>
    <m/>
    <m/>
    <m/>
    <n v="0"/>
    <x v="4"/>
    <m/>
  </r>
  <r>
    <n v="2026"/>
    <s v="ETO-TELE 00932/2026"/>
    <x v="3"/>
    <n v="7902098003"/>
    <x v="1"/>
    <d v="2026-06-15T00:00:00"/>
    <n v="3"/>
    <s v="GURUPI"/>
    <s v="GURUPI"/>
    <s v="SUL"/>
    <s v="AL01041003"/>
    <s v="Segue SS de religador 7902098003 sem comunicação. Foi realizado o primeiro ataque porem o mesmo não retornou a comunicação."/>
    <m/>
    <m/>
    <m/>
    <m/>
    <m/>
    <m/>
    <m/>
    <m/>
    <n v="0"/>
    <x v="4"/>
    <m/>
  </r>
  <r>
    <n v="2026"/>
    <s v="ETO-COEP 00147/2026"/>
    <x v="2"/>
    <n v="7953211079"/>
    <x v="1"/>
    <d v="2026-07-16T00:00:00"/>
    <n v="79"/>
    <s v="ITAPIRATINS"/>
    <s v="GUARAI"/>
    <s v="NORTE"/>
    <s v="LD03038009"/>
    <s v="20/07 PARECER COEP: EQUIPAMENTO SELECIONADO PARA COMPRASegue nota para substituir relé religador avariado marca noja , equipamento N: 7953211079 - Itapiratins .Obs: informação repassado pelo técnico DMSL Bruno ."/>
    <m/>
    <m/>
    <m/>
    <m/>
    <m/>
    <m/>
    <m/>
    <m/>
    <n v="0"/>
    <x v="4"/>
    <m/>
  </r>
  <r>
    <n v="2026"/>
    <s v="ETO-TELE 00929/2026"/>
    <x v="3"/>
    <n v="7949648145"/>
    <x v="1"/>
    <d v="2026-06-13T00:00:00"/>
    <n v="145"/>
    <s v="MAURILANDIA DO TOCANTINS"/>
    <s v="AUGUSTINOPOLIS"/>
    <s v="NORTE"/>
    <s v="AL02043081"/>
    <s v="FEITO PRIMEIRO ATAQUE COM A EQUIPE LOCAL E NÃO VOLTOU A COMUNICAR. PROVIDENCIAR MANUTENÇÃO PARA O MESMO."/>
    <m/>
    <m/>
    <m/>
    <m/>
    <m/>
    <m/>
    <m/>
    <m/>
    <n v="0"/>
    <x v="4"/>
    <m/>
  </r>
  <r>
    <n v="2026"/>
    <s v="ETO-TELE 00938/2026"/>
    <x v="3"/>
    <n v="7908300096"/>
    <x v="1"/>
    <d v="2026-06-18T00:00:00"/>
    <n v="96"/>
    <s v="PINDORAMA DO TOCANTINS"/>
    <s v="PONTE ALTA TOCANTINS"/>
    <s v="CENTRO"/>
    <s v="LD03046026"/>
    <s v="Segue nota para verificar falha intermitência na comunicação RL 7908300096 RDU- Pindorama ."/>
    <m/>
    <m/>
    <m/>
    <m/>
    <m/>
    <m/>
    <m/>
    <m/>
    <n v="0"/>
    <x v="4"/>
    <m/>
  </r>
  <r>
    <n v="2026"/>
    <s v="ETO-TELE 00892/2026"/>
    <x v="3"/>
    <n v="7953570026"/>
    <x v="1"/>
    <d v="2026-06-06T00:00:00"/>
    <n v="26"/>
    <s v="PONTE ALTA TOCANTINS"/>
    <s v="PONTE ALTA TOCANTINS"/>
    <s v="CENTRO"/>
    <s v="LD03046026"/>
    <s v="Segue RL 7953570026 O MESMO FOI FEITO PRIMEIRO ATAQUE, painel do religador acendeu porem não voltou a comunicação junto ao SCADA, equipe fez teste em comando local, tudo normal porem sem retorno de comunicação, rl na SE DE PONTE ALTA"/>
    <m/>
    <m/>
    <m/>
    <m/>
    <m/>
    <m/>
    <m/>
    <m/>
    <n v="0"/>
    <x v="4"/>
    <m/>
  </r>
  <r>
    <n v="2026"/>
    <s v="DG-RD-PO 00444/2026"/>
    <x v="8"/>
    <n v="7911120026"/>
    <x v="1"/>
    <d v="2026-07-01T00:00:00"/>
    <n v="26"/>
    <s v="PONTE ALTA TOCANTINS"/>
    <s v="PONTE ALTA TOCANTINS"/>
    <s v="CENTRO"/>
    <s v="LD03046026"/>
    <s v="Segue nota para recuperar malha de aterramento no RL 7911120026 RDU- Ponte Alta .OBS: Provavelmente foi furtado cabos de aterramento   ."/>
    <m/>
    <m/>
    <m/>
    <m/>
    <m/>
    <m/>
    <m/>
    <m/>
    <n v="0"/>
    <x v="4"/>
    <m/>
  </r>
  <r>
    <n v="2026"/>
    <s v="ETO-TELE 01019/2026"/>
    <x v="3"/>
    <n v="7908716091"/>
    <x v="1"/>
    <d v="2026-07-20T00:00:00"/>
    <n v="91"/>
    <s v="ALMAS"/>
    <s v="DIANOPOLIS"/>
    <s v="SUL"/>
    <s v="LD03046026"/>
    <s v="Segue nota para verificar falha de comunicação no religador 7908716091 - Rural -  Almas  .Equipamento perdeu a comunicação quando faltou CA , porém mesmo ao retorna o CA não retornou à comunicação !"/>
    <m/>
    <m/>
    <m/>
    <m/>
    <m/>
    <m/>
    <m/>
    <m/>
    <m/>
    <x v="4"/>
    <m/>
  </r>
  <r>
    <n v="2026"/>
    <s v="ETO-TELE 01005/2026"/>
    <x v="3"/>
    <n v="5848305116"/>
    <x v="0"/>
    <d v="2026-07-15T00:00:00"/>
    <n v="116"/>
    <s v="CHAPADA DA NATIVIDADE"/>
    <s v="DIANOPOLIS"/>
    <s v="SUL"/>
    <s v="LD04002091"/>
    <s v="Segue nota para verificar falha e constantes travamento no regulador de tensão 5848305116 - chapada da Natividade .Foi identificado que regulador está com divergência em TAP&quot;S analógico e digital .Foi executado comandos no relé para comutar TAP na fase AB foi executado no relé , porém não alterou analógico e nem fez barulho algum , a princípio a fase C está normal ."/>
    <m/>
    <m/>
    <m/>
    <m/>
    <m/>
    <m/>
    <m/>
    <m/>
    <m/>
    <x v="4"/>
    <m/>
  </r>
  <r>
    <n v="2026"/>
    <s v="ETO-TELE 01007/2026"/>
    <x v="3"/>
    <n v="7961368005"/>
    <x v="1"/>
    <d v="2026-07-16T00:00:00"/>
    <n v="5"/>
    <s v="ARRAIAS"/>
    <s v="DIANOPOLIS"/>
    <s v="SUL"/>
    <s v="LD01110005"/>
    <s v="Favor verifcar Religador 7961368005 , equipamento sem comunicação , feito primeiro ataque com equipe operacional , porem não ouve retorno ."/>
    <m/>
    <m/>
    <m/>
    <m/>
    <m/>
    <m/>
    <m/>
    <m/>
    <m/>
    <x v="4"/>
    <m/>
  </r>
  <r>
    <n v="2026"/>
    <s v="ETO-TELE 01026/2026"/>
    <x v="3"/>
    <n v="7929663074"/>
    <x v="1"/>
    <d v="2026-07-23T00:00:00"/>
    <n v="74"/>
    <s v="DIANOPOLIS"/>
    <s v="DIANOPOLIS"/>
    <s v="SUL"/>
    <s v="LD05028074"/>
    <s v="Segue nota para verificar falha de comunicação no religador 7929663074  rural - Dianópolis  .Equipamento perde a comunicação quando falta CA !"/>
    <m/>
    <m/>
    <m/>
    <m/>
    <m/>
    <m/>
    <m/>
    <m/>
    <m/>
    <x v="4"/>
    <m/>
  </r>
  <r>
    <n v="2026"/>
    <s v="ETO-TELE 01029/2026"/>
    <x v="3"/>
    <n v="7900722193"/>
    <x v="1"/>
    <d v="2026-07-24T00:00:00"/>
    <n v="193"/>
    <s v="CAMPOS LINDOS"/>
    <s v="ARAGUAINA"/>
    <s v="NORTE"/>
    <s v="PS01112193"/>
    <s v="Religador sem comunicação, apos primeiro ataque não retornou a comunicação."/>
    <m/>
    <m/>
    <m/>
    <m/>
    <m/>
    <m/>
    <m/>
    <m/>
    <m/>
    <x v="4"/>
    <m/>
  </r>
  <r>
    <n v="2026"/>
    <s v="ETO-TELE 00999/2026"/>
    <x v="3"/>
    <n v="7955792076"/>
    <x v="1"/>
    <d v="2026-07-12T00:00:00"/>
    <n v="76"/>
    <s v="DUERE"/>
    <s v="GURUPI"/>
    <s v="SUL"/>
    <s v="LD02040003"/>
    <s v="RELIGADOR DE POSTE 7955792076 SEM COMUNIÇÃO COM COI ,FEITO PRIMEIRO ATAQUE COM EQUIPE OPERACIONAL O MESMO NÃO RETORNOU A COMUNICAÇÃO ENVIAR EQUIPE ESPECIAL VERIFICAR EM CAMPO"/>
    <m/>
    <m/>
    <m/>
    <m/>
    <m/>
    <m/>
    <m/>
    <m/>
    <m/>
    <x v="4"/>
    <m/>
  </r>
  <r>
    <n v="2026"/>
    <s v="ETO-TELE 00985/2026"/>
    <x v="3"/>
    <n v="5839141113"/>
    <x v="0"/>
    <d v="2026-07-07T00:00:00"/>
    <n v="113"/>
    <s v="COUTO MAGALHAES"/>
    <s v="GUARAI"/>
    <s v="NORTE"/>
    <s v="AL01024113"/>
    <s v="Segue nota para averiguar ajuste regulador de tensão N: 5839141113 - RDU - Couto Magalhães , e verificar falha de comunicação   .Equipe operacional verificou que vários transformadores urbanos estão com nível de tensão baixa .Foi feito primeiro ataque regulador está comutando normalmente as 3 fases , porém não está no nível adequado !Em campo regulador estava no Tap R1 - 02 , R2 + 01 , R3 +03Medições feitas :Transformador 5700010113     - NA: 205 NB: 206 NC: 210Transformador 5700011113      - NA: 204 NB: 206 NC: 209Transformador 5700333113       -NA: 205 NB: 207 NC: 208OBS: solicitar equipe para realizar medição aterramento ,  e verificar ajuste junto ao time proteção .  verificar falha de comunicação no equipamento ."/>
    <m/>
    <m/>
    <m/>
    <m/>
    <m/>
    <m/>
    <m/>
    <m/>
    <m/>
    <x v="4"/>
    <m/>
  </r>
  <r>
    <n v="2026"/>
    <s v="ETO-TELE 00998/2026"/>
    <x v="3"/>
    <n v="7908683122"/>
    <x v="1"/>
    <d v="2026-07-10T00:00:00"/>
    <n v="122"/>
    <s v="PALMAS"/>
    <s v="PALMAS"/>
    <s v="CENTRO"/>
    <s v="AL10059122"/>
    <s v="rl 7908683122  retirado de operaçao devido falha na base do rele  equipamento."/>
    <m/>
    <m/>
    <m/>
    <m/>
    <m/>
    <m/>
    <m/>
    <m/>
    <m/>
    <x v="4"/>
    <m/>
  </r>
  <r>
    <n v="2026"/>
    <s v="ETO-TELE 01027/2026"/>
    <x v="3"/>
    <n v="7923110021"/>
    <x v="1"/>
    <d v="2026-07-23T00:00:00"/>
    <n v="21"/>
    <s v="PARANA"/>
    <s v="PEIXE"/>
    <s v="SUL"/>
    <s v="LD03010021"/>
    <s v="Segue SS para verificar falha de comunicação no religador 7923110021. Equipe foi no local realizar primeiro ataque e informou que o radio de comunicação encontra-se com defeito"/>
    <m/>
    <m/>
    <m/>
    <m/>
    <m/>
    <m/>
    <m/>
    <m/>
    <m/>
    <x v="4"/>
    <m/>
  </r>
  <r>
    <n v="2026"/>
    <s v="ETO-TELE 01018/2026"/>
    <x v="3"/>
    <n v="7900001096"/>
    <x v="1"/>
    <d v="2026-07-20T00:00:00"/>
    <n v="96"/>
    <s v="PINDORAMA DO TOCANTINS"/>
    <s v="PONTE ALTA TOCANTINS"/>
    <s v="CENTRO"/>
    <s v="LD03046026"/>
    <s v="Segue nota para falha de comunicação no religador 7900001096 - Rural - Pindorama .Equipamento perdeu a comunicação quando faltou CA , porém mesmo ao retorna o CA não retornou a comunicação !Feito primeiro ataque sem sucesso !"/>
    <m/>
    <m/>
    <m/>
    <m/>
    <m/>
    <m/>
    <m/>
    <m/>
    <m/>
    <x v="4"/>
    <m/>
  </r>
  <r>
    <n v="2026"/>
    <s v="ETO-TELE 01020/2026"/>
    <x v="3"/>
    <n v="7900451096"/>
    <x v="1"/>
    <d v="2026-07-20T00:00:00"/>
    <n v="96"/>
    <s v="PINDORAMA DO TOCANTINS"/>
    <s v="PONTE ALTA TOCANTINS"/>
    <s v="CENTRO"/>
    <s v="LD03046026"/>
    <s v="Segue nota para verificar falha de comunicação no religador 7900451096 - Rural -  Pindorama  .Equipamento perde a comunicação quando falta CA !"/>
    <m/>
    <m/>
    <m/>
    <m/>
    <m/>
    <m/>
    <m/>
    <m/>
    <m/>
    <x v="4"/>
    <m/>
  </r>
  <r>
    <n v="2026"/>
    <s v="ETO-TELE 01021/2026"/>
    <x v="3"/>
    <n v="7900259096"/>
    <x v="1"/>
    <d v="2026-07-20T00:00:00"/>
    <n v="96"/>
    <s v="PINDORAMA DO TOCANTINS"/>
    <s v="PONTE ALTA TOCANTINS"/>
    <s v="CENTRO"/>
    <s v="LD03046026"/>
    <s v="Boa noite .Segue nota para verificar falha de comunicação no religador 7900259096 -  Pindorama .Equipamento perde a comunicação quando falta CA !"/>
    <m/>
    <m/>
    <m/>
    <m/>
    <m/>
    <m/>
    <m/>
    <m/>
    <m/>
    <x v="4"/>
    <m/>
  </r>
  <r>
    <n v="2025"/>
    <s v="ETO-COEP 00173/2025"/>
    <x v="2"/>
    <n v="7900535058"/>
    <x v="1"/>
    <d v="2025-08-25T00:00:00"/>
    <n v="58"/>
    <s v="SANTA FE DO ARAGUAIA"/>
    <s v="ARAGUAINA"/>
    <s v="NORTE"/>
    <s v="LD03010004"/>
    <s v="PARECER COEP: EQUIPAMENTO SELECIONADO PARA COMPRAPARECER DMSL:  Equipamento 7900535058 encontra-se com o relé danificado, firmware corrompido, o mesmo não inicia. Devido ao fato de não possuirmos mais peças de reposição para religador cooper, se faz necessário a  substituição de todo conjunto por um Noja RC10.envar equipe para verificar rlo 7900535058 foi feito primeiro ataque com equipe 040op36 o mesmo esta com RELE TRAVADO E FICOU FORA DE OPERAÇÃO, ATENDE RDR DE SANTA FÉ SAIDA DA CIDADEEQUIPE INFORMOU ABELHAS NA CAIXA DO PAINEL DE COMANDO"/>
    <m/>
    <m/>
    <m/>
    <m/>
    <m/>
    <m/>
    <m/>
    <m/>
    <m/>
    <x v="4"/>
    <m/>
  </r>
  <r>
    <n v="2026"/>
    <s v="ETO-TELE 01008/2026"/>
    <x v="3"/>
    <n v="7962734119"/>
    <x v="1"/>
    <d v="2026-07-16T00:00:00"/>
    <n v="119"/>
    <s v="SAO BENTO DO TOCANTINS"/>
    <s v="TOCANTINOPOLIS"/>
    <s v="NORTE"/>
    <s v="LD03005098"/>
    <s v="por favor deslocar equipe da manutenção no RL 7962734119 por que foi feito o primeiro ataque no mesmo mais não voltou comunção no sistema escada"/>
    <m/>
    <m/>
    <m/>
    <m/>
    <m/>
    <m/>
    <m/>
    <m/>
    <m/>
    <x v="4"/>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9">
  <r>
    <n v="5800291077"/>
    <s v="58"/>
    <s v="GOIATINS"/>
    <s v="ARAGUAINA"/>
    <s v="NORTE"/>
    <s v="CONCLUÍDA"/>
    <x v="0"/>
    <x v="0"/>
    <x v="0"/>
    <x v="0"/>
    <m/>
    <s v=""/>
    <n v="40"/>
    <n v="20"/>
    <n v="20"/>
    <n v="20"/>
    <n v="20"/>
    <s v="-"/>
    <s v="-"/>
    <s v="-"/>
    <n v="120"/>
    <x v="0"/>
    <s v="Aumento de reclamações no atendimento de Goiatins e GAs relevantes na região"/>
  </r>
  <r>
    <n v="5854566043"/>
    <s v="58"/>
    <s v="SILVANOPOLIS"/>
    <s v="PORTO NACIONAL"/>
    <s v="CENTRO"/>
    <s v="ETO-RD-PO 00213/2026"/>
    <x v="1"/>
    <x v="1"/>
    <x v="1"/>
    <x v="1"/>
    <n v="1"/>
    <s v="22/07/2026 PARECER COEP: EQUIPAMENTO ENTREGUE AOS COCM´SPRAZO DE 7 DIAS CONTANDO O SLA.PARECER COEP: EQUIPAMENTO ENTREGUE AOS COCM´S FAVOR SUSBSTTUIR , E AGUARDO O PRAZO DE PREVISÃO DE SUBSTIUIÇÃOboa noite,segue SS para as devidas tratativas com equipe de manutenção com apoio de equipe de linha viva substituir regulador de tensão 5854566043 queimado célula fase c, LD Porto / Silvanópolis mesmo deverá ser substituído com apoio de equipe de linha viva PARECER DMSL: Foi realizado inspeção visual e ensaios de isolação, relação de transformação e resistência de enrolamento. A fase B está danificada e será necessário substituir a mesma. Malha de aterramento está relativamente boa e conectada. Fase A e C passaram nos ensaios. Substituir fase B."/>
    <n v="40"/>
    <n v="20"/>
    <n v="20"/>
    <n v="10"/>
    <n v="20"/>
    <s v="-"/>
    <s v="-"/>
    <s v="-"/>
    <n v="110"/>
    <x v="0"/>
    <s v="Aumento de reclamações no atendimento de Silvanópolis por Porto Nacional no período seco (Outra fonte com defeito também)"/>
  </r>
  <r>
    <n v="5800859011"/>
    <s v="58"/>
    <s v="TUPIRAMA"/>
    <s v="GUARAI"/>
    <s v="NORTE"/>
    <s v="ETO-RD-GR 00735/2026"/>
    <x v="2"/>
    <x v="2"/>
    <x v="1"/>
    <x v="2"/>
    <n v="1"/>
    <s v="16/07/2026 PARECER COEP: ALINHADO COM O JEAN DO DMSL E O KELLITON , KELLITON IRÁ FAZER A INSTALAÇÃO DO CONTROLE RUA E O JEAN IRÁ REALIZAR O COMISSIONAMENTO , FAZENDO A COMPATIBILIZAÇÃO DOS CABOS ASSIM COMO FICARÁ UM CONTROLE RUA NO NOSSO ESTOQUE SOBRESSALENTE PARA ATENDER O DE ARAPOEMA, ATÉ A CHEGADA DOS CABOS QUE O JEAN ME DEU REPORTE DE QUE SERIA ATÉ O DIA 16/08 , FAVOR COCM'S REALIZAREM A INSTALAÇÃO E GUARDAR CONTROLE RUA SOBRESSALENTE PARA ARAPOEMAPEÇA ENVIADA: CONTROLEPARECER DMSL: *FEEDBACK EQUIP. ESPECIAIS**Nº DO EQUIPAMENTO:* 5800859011*TIPO EQUIPAMENTO:* RT ITB *TIPO DE COMUNICAÇÃO:* Não *DATA DA MANUTENÇÃO:* 09/06/2026*SID:* 3195/2026*DESCRIÇÃO:* _ Foi identificado relé da fase C com defeito conforme orientação da supervisão e necessário realiza retrofit para instalação de controle rua.*FICOU EM OPERAÇÃO* Não*PENDÊNCIA:* Realizado Retrofit *DADOS DIVERGENTES DA PROGRAMAÇÃO:* Não*BATERIA SUBSTITUÍDA?:* Não*TIPO DE BATERIA:**EQUIPE:* Edeglan e Brunno.Observação: trocar por um controle RUA.------------------------------------------------------------------------------------------Enviar equipe do DMSL, para  fazer correção no RT 5800859011, o mesmo está com o displey da fase C apagado , dificutando  realizar  manobras no mesmo, emvirtude  disso o mesmo ficou BAY PASSADO EM CAMPO"/>
    <n v="40"/>
    <n v="20"/>
    <n v="20"/>
    <n v="10"/>
    <n v="20"/>
    <s v="-"/>
    <s v="-"/>
    <s v="-"/>
    <n v="110"/>
    <x v="0"/>
    <s v="Atendimento de parte da RDU Guaraí por fonte alternativa"/>
  </r>
  <r>
    <n v="5836764032"/>
    <s v="58"/>
    <s v="ARAGUACU"/>
    <s v="ALVORADA"/>
    <s v="SUL"/>
    <s v="CONCLUÍDA"/>
    <x v="0"/>
    <x v="0"/>
    <x v="0"/>
    <x v="0"/>
    <m/>
    <s v=""/>
    <n v="40"/>
    <n v="20"/>
    <n v="20"/>
    <n v="10"/>
    <n v="20"/>
    <s v="-"/>
    <s v="-"/>
    <s v="-"/>
    <n v="110"/>
    <x v="0"/>
    <s v="Aumento de reclamações no atendimento de Araguaçu no período seco"/>
  </r>
  <r>
    <n v="7923673004"/>
    <s v="79"/>
    <s v="ARAGUAINA"/>
    <s v="ARAGUAINA"/>
    <s v="NORTE"/>
    <s v="ETO-COEP 00124/2026"/>
    <x v="3"/>
    <x v="3"/>
    <x v="2"/>
    <x v="3"/>
    <n v="1"/>
    <s v="PARECER COEP: Verificar Disponibilidade de equipamento no Scada e enviar modelo e tensão para a compra.RELIGADOR COM RELÉ DANIFICADO, REALIZAR SUBSTITUIÇÃO"/>
    <n v="15"/>
    <n v="20"/>
    <n v="15"/>
    <n v="15"/>
    <n v="15"/>
    <n v="10"/>
    <n v="0"/>
    <n v="15"/>
    <n v="105"/>
    <x v="0"/>
    <s v="Transferência de cargas na RDU de Araguaína (2797 UCs)"/>
  </r>
  <r>
    <n v="7931608059"/>
    <s v="79"/>
    <s v="TAQUARALTO"/>
    <s v="TAQUARALTO"/>
    <s v="CENTRO"/>
    <s v="ETO-COEP 00040/2026"/>
    <x v="3"/>
    <x v="0"/>
    <x v="2"/>
    <x v="4"/>
    <n v="1"/>
    <s v="PARECER COEP: EQUIPAMENTO SELECIONADO PARA COMPRADMSL:Serviço Executado: Foi feita uma análise técnica no equipamento, devido à falta de comunicação. Também foi identificado que o tanque do equipamento está danificado, sendo assim,  necessário substituir o tanque e o rádio do equipamento, que está queimado, sendo necessário substituir também."/>
    <n v="15"/>
    <n v="20"/>
    <n v="15"/>
    <n v="15"/>
    <n v="15"/>
    <n v="10"/>
    <n v="0"/>
    <n v="15"/>
    <n v="105"/>
    <x v="0"/>
    <s v="Transferência dos bairros Morada do Sol, Vale do Sol, Morada do Sol II, Nova Esperança, Sõa João, Araras I e II e Jardim Laila em Taquaralto (6033 UCs)"/>
  </r>
  <r>
    <n v="7931610122"/>
    <s v="79"/>
    <s v="PALMAS"/>
    <s v="PALMAS"/>
    <s v="CENTRO"/>
    <s v="ETO-TELE 01025/2026"/>
    <x v="4"/>
    <x v="0"/>
    <x v="1"/>
    <x v="5"/>
    <n v="1"/>
    <s v="PARECER DA PROTEÇÃO:FAVOR COMISSIONAR RELIGADOR. AJUSTES PERMANECEM OS MESMOS E DISPONÍVEIS NO APP DA PROTEÇÃO.Estagiário Rafael P Marques.******************30/06 PARECER COEP: EQUIPAMENTO ENTREGUE, SEGUE SS PARA O COCM´S , PARA REALIZAR O ATENDIMENTO,FAVOR ADICIONAR O PARECER PARA MANDAR PARA PROTEÇÃOBom dia,Segue SS para verificação RL sem comunicação com painel apagado equipe DEOP fez primeiro ataque sem sucesso RL 7931610122 RDU de Palmas.Feedback Equipamentos Especiais DMSL: *RLG 7931610122 RDU Palmas*Noja rc10 Data: 14/10/2025SID: 5412Dados de comunicação divergentes da programação: Não. Serviço Executado: Houve um curto no equipamento danificando a parte ativa, e antena! Será necessário fazer a substituição somente da parte ativa (tanque) e da antena.Equipamento ficou em operação?: Não Pendência: Sim, substituir a parte ativa.Bateria(s) substituída(s)?: NãoData Fabricação/Instalação da(s) bateria(s): 2024Equipe: Benvindo, Juliano e Sérgio.***** Parecer do COCM CENTRO*****Equipamento Substituido em campo pela Ordem de ServiÇO DLP-MPPA01 243/2026, ONDE OS RELATORIO ESTÃO ANEXADO.--------------------------------------------------------Parecer DMSL:Equipamento substituído porém não informado se antena também foi substituída. Levar antena para caso da mesmo não ter sido substituída."/>
    <n v="15"/>
    <n v="20"/>
    <n v="15"/>
    <n v="15"/>
    <n v="15"/>
    <n v="10"/>
    <n v="0"/>
    <n v="15"/>
    <n v="105"/>
    <x v="0"/>
    <s v="Transferência entre 284R SE Palmas IV e 2294R SE Palmas II"/>
  </r>
  <r>
    <n v="7900648055"/>
    <s v="79"/>
    <s v="ARAGUACEMA"/>
    <s v="DIVINOPOLIS"/>
    <s v="CENTRO"/>
    <s v="CONCLUÍDA"/>
    <x v="0"/>
    <x v="0"/>
    <x v="0"/>
    <x v="0"/>
    <m/>
    <s v=""/>
    <n v="15"/>
    <n v="20"/>
    <n v="15"/>
    <n v="15"/>
    <n v="15"/>
    <n v="10"/>
    <n v="0"/>
    <n v="15"/>
    <n v="105"/>
    <x v="0"/>
    <s v="Transferência da RDU de Araguacema (1506 UCs)"/>
  </r>
  <r>
    <n v="7947203070"/>
    <s v="79"/>
    <s v="RIO SONO"/>
    <s v="TAQUARALTO"/>
    <s v="CENTRO"/>
    <s v="ETO-COEP 00131/2026"/>
    <x v="3"/>
    <x v="0"/>
    <x v="2"/>
    <x v="6"/>
    <n v="1"/>
    <s v="13/07 PARECER COEP: SELECIONADO PARA COMPRA CONTROLE favor verificar RL 7947203070, sem comunicaçao, feito 1° ataque pela equipe 070OP01 e nao retornou a comunicaçao , linformaçao no Scada de bateria.PARECER DMSL: Foi feito análise técnica, a placa do equipamento está queimada nessesario subistituir o equipamento completo -Carliel e Benvindo-05/02"/>
    <n v="10"/>
    <n v="20"/>
    <n v="15"/>
    <n v="15"/>
    <n v="15"/>
    <n v="10"/>
    <n v="0"/>
    <n v="15"/>
    <n v="100"/>
    <x v="0"/>
    <s v="Transferência da RDU de Lizarda (1650 UCs) para fonte alternativa"/>
  </r>
  <r>
    <n v="5856070091"/>
    <s v="58"/>
    <s v="ALMAS"/>
    <s v="DIANOPOLIS"/>
    <s v="SUL"/>
    <s v="ETO-RD-DP 00479/2026"/>
    <x v="2"/>
    <x v="4"/>
    <x v="1"/>
    <x v="7"/>
    <n v="3"/>
    <s v="PARECER DMSL: não foi regularizado a instalação do equipamento, nota repassada conforme alinhado com o supervisor.____________________________________________COCMS 26.03.26. SS REPASSADA PARA COEP PROVIDENCIAR MATERIAL. NÃO TEMOS AS PÇ EM ESTOQUE PARA FAZER A SUBSTITUIÇÃO. Solicitação de serviço para reposição de equipamentos furtados .COEP: Equipamento fornecido ao COCM-S para regularização.COCMS: Equipamento substituido conforme solicitado. Gentileza comissionar.PARECER DA PROTEÇÃO:SEGUE NOTA REPASSADA PARA DMSL COMISSIONAR.ENG° IRLLEY CASTELO BRANCOPARECER DMSL(23/09/2025): Feito a parte de comunicação, fechando enlace, configuração do rádio GE. Feito a medição de aterramento. Após uma inspeção, foi identificado que o regulador de tensão está instalado errado, carga está para o lado de fonte e fonte está do lado de carga. O certo é a fonte vim de almas, atualmente está vindo de natividade. Favor fazer a instalação correta."/>
    <n v="40"/>
    <n v="20"/>
    <n v="20"/>
    <n v="20"/>
    <n v="0"/>
    <s v="-"/>
    <s v="-"/>
    <s v="-"/>
    <n v="100"/>
    <x v="0"/>
    <s v="Atendimento da região da Engegold, Nativa, cidade Natividade e Chapada da Natividade"/>
  </r>
  <r>
    <n v="7903569004"/>
    <s v="79"/>
    <s v="ARAGUAINA"/>
    <s v="ARAGUAINA"/>
    <s v="NORTE"/>
    <s v="CONCLUÍDA"/>
    <x v="0"/>
    <x v="0"/>
    <x v="2"/>
    <x v="0"/>
    <m/>
    <s v=""/>
    <n v="15"/>
    <n v="20"/>
    <n v="5"/>
    <n v="15"/>
    <n v="15"/>
    <n v="10"/>
    <n v="0"/>
    <n v="15"/>
    <n v="95"/>
    <x v="0"/>
    <s v="Transferência dos bairros JD Santa Helena, Jd Filadelfiae Setor Caraja em Araguaína (2053 UCs), AL 254R de AR I e AL 214R de AR III"/>
  </r>
  <r>
    <n v="7925744087"/>
    <s v="79"/>
    <s v="GOIANORTE"/>
    <s v="GUARAI"/>
    <s v="NORTE"/>
    <s v="ETO-COEP 00059/2026"/>
    <x v="3"/>
    <x v="5"/>
    <x v="2"/>
    <x v="8"/>
    <n v="1"/>
    <s v="PARECER COEP: EQUIPAMENTO SELECIONADO PARA COMPRAPARECER DMSL: FEEDBACK EQUIP. ESPECIAISNº DO EQUIPAMENTO:  7925744087TIPO EQUIPAMENTO: Noja RC 10TIPO DE COMUNICAÇÃO: Radio GE IPDATA DA MANUTENÇÃO: 19/02/2026SID: 735/2026 DESCRIÇÃO: foi identificado água dentro da parte interna do tanque e cabo umbilical encharcado de água foi passado essas informações para COS.FICOU EM OPERAÇÃO?: Não PENDÊNCIA: Sim substituir tanque e cabo umbilicalDADOS DIVERGENTES DA PROGRAMAÇÃO: NãoBATERIA SUBSTITUÍDA?: Não DATA DA BATERIA: 07/05/2025TIPO DE BATERIA: Lítio EQUIPE: Edeglan e Janio-------------------------------------------------------------------------------------------------RELIGADOR SEM COMUNICAÇÃO, APOS PRIMEIRO ATAQUE RETORNA E FICAR INDEFINIDO."/>
    <n v="15"/>
    <n v="20"/>
    <n v="5"/>
    <n v="15"/>
    <n v="15"/>
    <n v="10"/>
    <n v="0"/>
    <n v="15"/>
    <n v="95"/>
    <x v="0"/>
    <s v="Transferência de Goianorte, fonte principal operando"/>
  </r>
  <r>
    <n v="7900117013"/>
    <s v="79"/>
    <s v="PARAISO DO TOCANTINS"/>
    <s v="PARAISO DO TOCANTINS"/>
    <s v="CENTRO"/>
    <s v="ETO-PROT 00154/2026"/>
    <x v="5"/>
    <x v="0"/>
    <x v="1"/>
    <x v="6"/>
    <n v="1"/>
    <s v="15/07 PARECER COCM: EQUIPAMENTO FOI SUBSTITUÍDO OBRA 021260042210/07 PARECER COEP: EQUIPAMENTO ENTREGUE AOS COCM´S FAVOR INFORMAR PRAZO DE SUBSTUIÇÃO PARA O DMSL E REPASSAR DEPOIS PARA PROTEÇÃO REALIZAR OS AJUSTES E DESCREVER NA SS O SERVIÇO REALIZADOPARECER COEP: PREVISÃO DE ENTREGA AOS COCM'S 01/07Segue nota para correção de anomalia e provável substituição de religador , religador 7900117013 -RDU - Paraiso .OBS: equipe DMSL Elisfran estava atualizando firmware no equipamento  , porém relé parou de funcionar devido essa atualização , sendo necessário sua substituição .em campo o modelo e   cooper Form6 , segundo tecnico deve ser substituído por um Noja .Repassado para o COEP para aquisição do equipamento e posterior repasse para o COCM."/>
    <n v="15"/>
    <n v="20"/>
    <n v="15"/>
    <n v="15"/>
    <n v="15"/>
    <n v="0"/>
    <n v="0"/>
    <n v="15"/>
    <n v="95"/>
    <x v="0"/>
    <s v="Transferência do 214R de Paraíso I, Centro Comercial de Paraíso"/>
  </r>
  <r>
    <n v="7929376022"/>
    <s v="79"/>
    <s v="BABACULANDIA"/>
    <s v="ARAGUAINA"/>
    <s v="NORTE"/>
    <s v="ETO-COEP 00120/2026"/>
    <x v="6"/>
    <x v="6"/>
    <x v="1"/>
    <x v="3"/>
    <n v="1"/>
    <s v="PARECER COEP: PROBLEMA NO ENVIO COCM'S CONTROLE ENVIADO FOI O NOJA , DEVIDO A FALTA DO MODELO NA SS (GRAVE)PARECER DMSL: *FEEDBACK EQUIP. ESPECIAIS**Nº DO EQUIPAMENTO:* 7929376022 *DATA DA MANUTENÇÃO:* 02/04/2026*SID:* 1677/2026*DESCRIÇÃO:* Trocar controle completo*PENDÊNCIA:* Sim.*DADOS DIVERGENTES DA PROGRAMAÇÃO:* Não*BATERIA SUBSTITUÍDA?:* Não*EQUIPE:* Adeilton e Edicleber __________________________________________________________POR GENTILEZA ATENDER SOLICITAÇÃO PRIMEIRO ATAQUE IDENTIFICOU QUE RELE ESTA EM CURTO NOTA ABERTA 224/2026 FOI BAIXADA POREM NÃO FOI CORRIGIDO PROBLEMA EM CAMPO."/>
    <n v="15"/>
    <n v="20"/>
    <n v="5"/>
    <n v="15"/>
    <n v="15"/>
    <n v="10"/>
    <n v="0"/>
    <n v="15"/>
    <n v="95"/>
    <x v="0"/>
    <s v="Transferência de Babaçulândia, fonte principal operando"/>
  </r>
  <r>
    <n v="7908705049"/>
    <s v="79"/>
    <s v="AURORA DO TOCANTINS"/>
    <s v="DIANOPOLIS"/>
    <s v="SUL"/>
    <s v="ETO-RD-DP 00409/2026"/>
    <x v="2"/>
    <x v="4"/>
    <x v="1"/>
    <x v="3"/>
    <n v="1"/>
    <s v="EQUIPAMENTO ENTREGUE, SOLICITO PREVISÃO PARA SUBSTITUIÇÃO:PARECER COEP: PREVISÃO DE ENTREGA AOS COCM'S 01/07Manutenção no RL 7908705049PARECER DMSL(28/08/2025): Equipe foi fazer manutenção no RL e constatou que o tanque e o relé do mesmo se encontra queimado, providenciar substituição.PARECER COCMS 30/04/2026CRIADO OBRA 0512600135 PARA REQUISIÇÃO MATERIAL"/>
    <n v="15"/>
    <n v="20"/>
    <n v="5"/>
    <n v="15"/>
    <n v="15"/>
    <n v="0"/>
    <n v="10"/>
    <n v="15"/>
    <n v="95"/>
    <x v="0"/>
    <s v="Proteção da baixa do TF de força da SE Aurora"/>
  </r>
  <r>
    <n v="7933726256"/>
    <s v="79"/>
    <s v="MATEIROS"/>
    <s v="PONTE ALTA TOCANTINS"/>
    <s v="CENTRO"/>
    <s v="ETO-PROT 00145/2026"/>
    <x v="5"/>
    <x v="7"/>
    <x v="1"/>
    <x v="9"/>
    <n v="1"/>
    <s v="07/07 Equipamento foi substituido na OS: ETO-RD-PO 1859/2026 OBRA 031260035101/07 PARECER COEP: REDIRECIONADO PARA O POSTO DO COCM´S EQUIPAMENTO CHEGOU NO LOCAL, FAVOR ENTRAR EM CONTATO COM O DMSL, DEVIDO A URGÊNCIA DO EQUIPAMENTO EM OPERAÇÃO.30/06 PARECER COEP: DEVIDO A ALINHAMENTO COM COI UTILIZAREMOS PARTE ATIVA QUE ORIGINALMENTE FOI ENCOMENDADA PARA 7933726256PARECER DMSL: N° do Equipamento: _RLG 7933726256 MateirosTipo de Equipamento: _RLG NOJA RC 10 REL IIData: _06/05/2026SID: _2288/2026-Serviço Executado: _Equipamento com defeito na parte ativa, será necessário fazer a substituição da parte ativa e fazer melhoria na malha de terra!Equipamento ficou em operação?: _NaoPendência: _SimBateria(s) substituída(s)? NÃOData Fabricação/Instalação da(s) bateria(s):_06/2025Equipe: _Benvindo e Almir-------------------------------------------------------------------------------Religador 7933726256, sem comunicação apos primeiroa ataque não retornou as comunicação."/>
    <n v="15"/>
    <n v="10"/>
    <n v="15"/>
    <n v="15"/>
    <n v="15"/>
    <n v="10"/>
    <n v="0"/>
    <n v="15"/>
    <n v="95"/>
    <x v="0"/>
    <s v="Transferência da cidade de Mateiros (733 UCs) para o gerador"/>
  </r>
  <r>
    <n v="7933766059"/>
    <s v="79"/>
    <s v="TAQUARALTO"/>
    <s v="TAQUARALTO"/>
    <s v="CENTRO"/>
    <s v="ETO-TELE 01024/2026"/>
    <x v="4"/>
    <x v="0"/>
    <x v="1"/>
    <x v="9"/>
    <n v="1"/>
    <s v="PARECER DA PROTEÇÃO:RECOMISSIONAR RELIGADOR, AJUSTES DE PROTEÇÃO PERMANECEM OS MESMOS.Estagiário Rafael P Marques****************************PARECER COEP: EQUIPAMENTO ENTREGUE, SEGUE SS PARA O COCM´S , PARA REALIZAR O ATENDIMENTO,FAVOR ADICIONAR O PARECER PARA MANDAR PARA PROTEÇÃOSegue SS para verficar religador de poste 7933766059.Religador esta com defeito na parte ativa no tanque Porte gentilezaenviar equipe verificar.Endereço: TaquariPARECER DMSL: RLG 7933766059 RELÉ NOJA RC 10Mestre 2 Rep. taquaruçu GESID: 5457/2025Data: 15/10/2025Serviço Executado: Houve um curto na parte ativa do equipamento danificando a mesma, será necessário fazer a substituição somente do tanque, parte ativa.*Equipamento ficou em operação?:*Nao Pendência: Sim, substituir parte ativa.Equipe: Benvindo, Juliano e Sérgio.****** Parecer do COCM Centro***Equipámento Substituido em Campo pela Ordem de ServIÇO DLP-MPPA01 244/2026, ONDE OS RELATORIO ESTÃO ANEXADO.."/>
    <n v="15"/>
    <n v="20"/>
    <n v="5"/>
    <n v="15"/>
    <n v="15"/>
    <n v="0"/>
    <n v="10"/>
    <n v="15"/>
    <n v="95"/>
    <x v="0"/>
    <s v="Seccionamento de trecho do Setor Taquari"/>
  </r>
  <r>
    <n v="7900594026"/>
    <s v="79"/>
    <s v="PONTE ALTA TOCANTINS"/>
    <s v="PONTE ALTA TOCANTINS"/>
    <s v="CENTRO"/>
    <s v="ETO-SE-PA 00107/2026"/>
    <x v="4"/>
    <x v="0"/>
    <x v="1"/>
    <x v="3"/>
    <n v="1"/>
    <s v="PARECER DA PROTEÇÃO:16/07/2026 AJUSTES DISPONIBILIZADOS NO APP DA PROTEÇÃO15/07/2026 EQUIPAMENTO SUBSTITUIDO NA OS ETO-RD-PO 1860 OBRA 031260035414/07/2026 PARECER COCM/ COEP: DE ACORDO COM O EDSON CURCINO FOI FEITA S SUBSTITUIÇÃO DO EQUIPAMENTO , SEGUE PARA PROTEÇÃO ELABORAR AJUSTE10/07 PARECER COEP: EQUIPAMENTO DESLOCADO QUE ESTAVA EM GUARAÍ FOI ALINHADO COM O VALMOR QUE SERIA SUBSTITUIDO DIA 07/07/2026 , FAVOR PASSAR PARA PROTEÇÃO 7900594026PARECER COEP: AGUARDANDO COCM'S PARA ABRIR REQUISIÇÃOPARECER DMSL 10/06/2026: Tem uma nota aberta para esse equipamento solicitando a substituição desde 20/10/2025, como a nota não foi atendida estamos repassando para área responsável. Nota em aberto repassada ETO-COEP 210/2025.Segue nota para verificar intermitência de comunicação nos religadores 7908301026 , 7911120026, 7947959026 , 7908692026, 7900594026 rural- Ponte Alta ."/>
    <n v="15"/>
    <n v="20"/>
    <n v="15"/>
    <n v="15"/>
    <n v="15"/>
    <n v="0"/>
    <n v="0"/>
    <n v="15"/>
    <n v="95"/>
    <x v="0"/>
    <s v="Religador responsável pela proteção da barra da SE Ponte Alta (2381 UCs)"/>
  </r>
  <r>
    <n v="7921040031"/>
    <s v="79"/>
    <s v="RIO DOS BOIS"/>
    <s v="MIRACEMA DO TOCANTINS"/>
    <s v="CENTRO"/>
    <s v="CONCLUÍDA"/>
    <x v="0"/>
    <x v="0"/>
    <x v="0"/>
    <x v="0"/>
    <m/>
    <s v=""/>
    <n v="15"/>
    <n v="20"/>
    <n v="5"/>
    <n v="15"/>
    <n v="15"/>
    <n v="10"/>
    <n v="0"/>
    <n v="15"/>
    <n v="95"/>
    <x v="0"/>
    <s v="Fonte principal de Rio dos Bois, RL de transferência operando"/>
  </r>
  <r>
    <n v="7957620015"/>
    <s v="79"/>
    <s v="PEDRO AFONSO"/>
    <s v="GUARAI"/>
    <s v="NORTE"/>
    <s v="CONCLUÍDA"/>
    <x v="0"/>
    <x v="0"/>
    <x v="0"/>
    <x v="0"/>
    <m/>
    <s v=""/>
    <n v="15"/>
    <n v="20"/>
    <n v="15"/>
    <n v="15"/>
    <n v="15"/>
    <n v="0"/>
    <n v="0"/>
    <n v="15"/>
    <n v="95"/>
    <x v="0"/>
    <s v="Atendimento da RDU de Bom Jesus e parcial da RDU de Pedro Afonso "/>
  </r>
  <r>
    <n v="7927413001"/>
    <s v="79"/>
    <s v="PORTO NACIONAL"/>
    <s v="PORTO NACIONAL"/>
    <s v="CENTRO"/>
    <s v="ETO-COEP 00141/2026"/>
    <x v="3"/>
    <x v="0"/>
    <x v="2"/>
    <x v="3"/>
    <n v="1"/>
    <s v="22/07/2026 EQUIPAMENTO SLEECIONADO PARA COMPRAPARECER DMSL: *Segue feedback**Equipamento:* RLG 7927413001  *RELÉ TAVRIDA*Data:* 16/04/2026*SID:* 1817/2026*Serviço executado:* Placa de alimentação do equipamento com defeito, VERIFICAR SE É POSSIVEL  substituir o equipamento completo.*Equipamento ficou em operação?*_Não*Pendência:*_Sim*Bateria(s) substituída(s)?*_Nao *Equipe:* Benvindo e Kaique-------------------------------------------------------------------------------------------------Religador 7927413001 sem comunicação foi realizado primeiro ataque porem a comunicação não retornou. Favor enviar equipe para devidas trattivas"/>
    <n v="15"/>
    <n v="5"/>
    <n v="15"/>
    <n v="15"/>
    <n v="15"/>
    <n v="10"/>
    <n v="0"/>
    <n v="15"/>
    <n v="90"/>
    <x v="0"/>
    <s v="Transferência do Distrito Ind de Porto Nacional e GAs"/>
  </r>
  <r>
    <n v="7908686014"/>
    <s v="79"/>
    <s v="PIUM"/>
    <s v="PARAISO DO TOCANTINS"/>
    <s v="CENTRO"/>
    <s v="ETO-RD-PS 00302/2026"/>
    <x v="1"/>
    <x v="1"/>
    <x v="1"/>
    <x v="10"/>
    <n v="1"/>
    <s v="10/07 PARECER COEP: EQUIPAMENTO ENTREGUE AOS COCM´S FAVOR INFORMAR PRAZO DE SUBSTUIÇÃO PARA O DMSL E REPASSAR DEPOIS PARA PROTEÇÃO REALIZAR OS AJUSTES E DESCREVER NA SS O SERVIÇO REALIZADO06/07 PARECER COEP: PREVISÃO DE ENTREGA DE ACORDO COM CALENDÁRIO LOGISITCO NOVO 06/07NOTA DMSL: Favor substituir o tanque, ele não está efetuando os comandos enviados. Não substituir o controle pois o mesmo funciona como repetidor de outros equipamentos.Segue nota para verificar falha de fechamento religador 7908686014- Pium .OBS: equipamento não fechou local e remoto , fica sinalizando no painel para verificar alarmes !"/>
    <n v="15"/>
    <n v="20"/>
    <n v="0"/>
    <n v="15"/>
    <n v="15"/>
    <n v="10"/>
    <n v="0"/>
    <n v="15"/>
    <n v="90"/>
    <x v="0"/>
    <s v="Fonte principal de Pium, RL de transferência operando"/>
  </r>
  <r>
    <n v="5800440256"/>
    <s v="58"/>
    <s v="MATEIROS"/>
    <s v="PONTE ALTA TOCANTINS"/>
    <s v="CENTRO"/>
    <s v="CONCLUÍDA"/>
    <x v="0"/>
    <x v="0"/>
    <x v="0"/>
    <x v="0"/>
    <m/>
    <s v=""/>
    <n v="20"/>
    <n v="20"/>
    <n v="20"/>
    <n v="10"/>
    <n v="20"/>
    <s v="-"/>
    <s v="-"/>
    <s v="-"/>
    <n v="90"/>
    <x v="0"/>
    <s v="Aumento de reclamações no atendimento de São Felix e Mateiros no período seco"/>
  </r>
  <r>
    <n v="7943790134"/>
    <s v="79"/>
    <s v="ESPERANTINA"/>
    <s v="AUGUSTINOPOLIS"/>
    <s v="NORTE"/>
    <s v="ETO-TELE 00896/2026"/>
    <x v="4"/>
    <x v="0"/>
    <x v="1"/>
    <x v="10"/>
    <n v="1"/>
    <s v="PARECER DCMD:Serviço realizado , substituição da parte ativa  do RELIGADOR 7943790134 - Favor realizar comissionamento"/>
    <n v="15"/>
    <n v="10"/>
    <n v="5"/>
    <n v="15"/>
    <n v="15"/>
    <n v="10"/>
    <n v="0"/>
    <n v="15"/>
    <n v="85"/>
    <x v="0"/>
    <s v="Transferência de Esperantina, fonte principal operando"/>
  </r>
  <r>
    <n v="7900453110"/>
    <s v="79"/>
    <s v="SANTA RITA DO TOCANTINS"/>
    <s v="PORTO NACIONAL"/>
    <s v="CENTRO"/>
    <s v="ETO-COEP 00087/2026"/>
    <x v="3"/>
    <x v="8"/>
    <x v="2"/>
    <x v="10"/>
    <n v="1"/>
    <s v="10/07/2026 EQUIPAMENTO SELECIONADO PARA COMPRA PARTE ATIVA30/06.PARECER COEP: ALINHADO COM O ALLAN REMANEJAMOS PARTE ATIVA PARA ATENDER 7933726256PARECER COEP: Aproveitar controle cooper se possível em outro local, previsão de chegada do material dia 01/07 para substituiçãoFavor verificar o RL 7900453110, pois o mesmo aceita comando de fechamento, porém fecha em campo e no SCADA continua aberto e só abre através de equipe em campo.  Parecer Dmsl:Equipamento está com defeito na parte ativa, não aceita o comando de fechamento. Será necessário substituir o equipamento completo.Equipamento ficou em operação?: _SIM_a pedido do COS ficou em operação, a operação está ciente da necessidade de substituir.Pendência: Sim, será necessário substituir o equipamento."/>
    <n v="15"/>
    <n v="10"/>
    <n v="5"/>
    <n v="15"/>
    <n v="15"/>
    <n v="10"/>
    <n v="0"/>
    <n v="15"/>
    <n v="85"/>
    <x v="0"/>
    <s v="Transferência de Santa Rita, fonte principal operando"/>
  </r>
  <r>
    <n v="7925871077"/>
    <s v="79"/>
    <s v="GOIATINS"/>
    <s v="ARAGUAINA"/>
    <s v="NORTE"/>
    <s v="ETO-COEP 00048/2026"/>
    <x v="3"/>
    <x v="8"/>
    <x v="2"/>
    <x v="10"/>
    <n v="1"/>
    <s v="30/06 PARECER COEP: AGUARDANDO RETORNO DO DMSLPARECER DMSL: A PEDIDO DA PCM DO NORTE LARA SOARES REALIZEI A CRIAÇÃO DESSA SS, EM RAZAO DA ANTIGAETO-TELE 337/2026 QUE FOI BAIXADA POR ENGANO DE TAL FORMA SEGUE A MESMA PARA REALIZAR AS TRATATIVAS. PENDENCIA: Religador continua by passado, equipamento está com defeito na parte ativa"/>
    <n v="15"/>
    <n v="10"/>
    <n v="15"/>
    <n v="15"/>
    <n v="15"/>
    <n v="10"/>
    <n v="0"/>
    <n v="0"/>
    <n v="80"/>
    <x v="0"/>
    <s v="Transferência de Goiatins e GAs (2492 UCs)"/>
  </r>
  <r>
    <n v="5803327001"/>
    <s v="58"/>
    <s v="PORTO NACIONAL"/>
    <s v="PORTO NACIONAL"/>
    <s v="CENTRO"/>
    <s v="ETO-COEP 00149/2026"/>
    <x v="6"/>
    <x v="6"/>
    <x v="2"/>
    <x v="11"/>
    <n v="1"/>
    <s v="01/07 PARECER COEP: FOI CONFIRMADO COM A OPERAÇÃO QUE O EQUIPAMENTO SEGUIU O FLUXO INTEIRO DE COMISSIONAMENTO, PROTEÇÃO, FAVOR EXPLICAR O QUE FOI REALIZADO E SE EQUIPAMENTO ESTÁ OPERANDO, SENÃO ESTIVER EXPLICAR O QUE FOI FEITO NELE30/06PARECER COEP: REPASSAR DIRETAMENTE PARA OS COCM'SRegulador 5803327001 fora de operação, by passado em campo com painel de comunicação com cabos desconectados tensão 13.8.parecer DMSL: Feedback Equip. EspeciaisRT 5803327001RELÉ RUASid: 4844Data: 19/09/2025Serviço realizado:*Equipamento foi remanejado, 7 km da sua localização sentido Palmas necessário comissionamento completo*Equipamento com um dos cabos umbilicais danificado.* aterramento bucha FC não esta interligada corretamente * para-raios estão no mesmo aterramento da bucha FC.* Tranques  muito alto e próximo da rede  não permitindo o comissionamento com segurança.* Controle alto  demais tem que baixar Equipamento ficou em operação?: nãoPendência: sim, precisa comissionar completoOBS"/>
    <n v="40"/>
    <n v="0"/>
    <n v="0"/>
    <n v="20"/>
    <n v="20"/>
    <s v="-"/>
    <s v="-"/>
    <s v="-"/>
    <n v="80"/>
    <x v="1"/>
    <s v="Em caso de perca da fonte principal é necessário esse RT para alimentação da Frísia"/>
  </r>
  <r>
    <n v="7900230155"/>
    <s v="79"/>
    <s v="PALMEIRANTE"/>
    <s v="COLINAS DO TOCANTINS"/>
    <s v="NORTE"/>
    <s v="ETO-PROT 00143/2026"/>
    <x v="5"/>
    <x v="0"/>
    <x v="1"/>
    <x v="12"/>
    <n v="1"/>
    <s v="07/07/2026 PARECER COEP: MATERIAL ENVIADO , CONFORME ALINHANDO COM O WANDER REALIZAR SUBSTIUIÇÂO DO EQUIPAMENTO, FAVOR ESCREVER PARECER COCM ANTES DE PASSAR PARA PROTEÇÂO, DO QUE FOI REALIZADO01/07/2026 PARECER COEP: PROBLEMA NO ENVIO DO MATERIAL PARECER DMSL: Religador está com o tanque danificado. Não responde a comandos abertura e fechamento local ou remoto, pois está com sinal de curto circuito. Necessário trocar o equipamento. Para raio do trafo está queimado. Chave de saída da fase C está com o olhal quebrado, necessário substituir a chave. Equipamento ficou bypassado em campo. Aberto entrada e saída, com exceção da fase C de saída que ficou fechada. Favor, substituir equipamento completo por NOJA RC10 e sanar demais pendencias.Senhores Favor verificar RL 7900230155  o mesmo sinalizou aberto  no SCADA porem a cidade de Palmeirante estava normal , feito um reset no rl e o mesmo subiu fechado.08/07/2026 PARECER DCMD: EQUIPE ETO-LVGR01  DE GUARAI ESTEVE NO RL 7900230155 DIA 25-06-2026 E FEZ TODAS A PENDENCIAS DO RL, OBS: EQUIPE SO NAO CONECTOU O CABO DO TRAFO NO RL. RL ESTA PRONTO PARA O COMISSIONAMENTO"/>
    <n v="15"/>
    <n v="20"/>
    <n v="5"/>
    <n v="15"/>
    <n v="0"/>
    <n v="10"/>
    <n v="0"/>
    <n v="15"/>
    <n v="80"/>
    <x v="0"/>
    <s v="Fonte principal de Palmeirante, RL de transferência operando"/>
  </r>
  <r>
    <n v="7900543083"/>
    <s v="79"/>
    <s v="APARECIDA DO RIO NEGRO"/>
    <s v="TAQUARALTO"/>
    <s v="CENTRO"/>
    <s v="CONCLUÍDA"/>
    <x v="0"/>
    <x v="0"/>
    <x v="0"/>
    <x v="0"/>
    <m/>
    <s v=""/>
    <n v="15"/>
    <n v="20"/>
    <n v="5"/>
    <n v="15"/>
    <n v="0"/>
    <n v="0"/>
    <n v="10"/>
    <n v="15"/>
    <n v="80"/>
    <x v="0"/>
    <s v="Atendimento da RDU de Aparecida do Rio Negro"/>
  </r>
  <r>
    <n v="7900930040"/>
    <s v="79"/>
    <s v="ARAGOMINAS"/>
    <s v="ARAGUAINA"/>
    <s v="NORTE"/>
    <s v="CONCLUÍDA"/>
    <x v="0"/>
    <x v="0"/>
    <x v="0"/>
    <x v="0"/>
    <m/>
    <s v=""/>
    <n v="15"/>
    <n v="20"/>
    <n v="5"/>
    <n v="15"/>
    <n v="0"/>
    <n v="0"/>
    <n v="10"/>
    <n v="15"/>
    <n v="80"/>
    <x v="0"/>
    <s v="Proteção da baixa do TF de força da SE Aragominas"/>
  </r>
  <r>
    <n v="7931383086"/>
    <s v="79"/>
    <s v="MARIANOPOLIS"/>
    <s v="DIVINOPOLIS"/>
    <s v="CENTRO"/>
    <s v="CONCLUÍDA"/>
    <x v="0"/>
    <x v="0"/>
    <x v="0"/>
    <x v="0"/>
    <m/>
    <s v=""/>
    <n v="15"/>
    <n v="20"/>
    <n v="5"/>
    <n v="15"/>
    <n v="0"/>
    <n v="10"/>
    <n v="0"/>
    <n v="15"/>
    <n v="80"/>
    <x v="0"/>
    <s v="Fonte principal de Marianópolis, RL transferência operando"/>
  </r>
  <r>
    <n v="7908302256"/>
    <s v="79"/>
    <s v="MATEIROS"/>
    <s v="PONTE ALTA TOCANTINS"/>
    <s v="CENTRO"/>
    <s v="ETO-TELE 00997/2026"/>
    <x v="7"/>
    <x v="0"/>
    <x v="2"/>
    <x v="0"/>
    <m/>
    <s v="RL teve nota baixada (ETO-TELE 970/2026) pore´m eqp continua fora de operação, solicito programação para equipe verificar em campo"/>
    <n v="5"/>
    <n v="10"/>
    <n v="5"/>
    <n v="15"/>
    <n v="15"/>
    <n v="10"/>
    <n v="0"/>
    <n v="15"/>
    <n v="75"/>
    <x v="1"/>
    <s v="Isolação de trecho e transferência das cidades de São Felix e Mateiros para gerador, além de atendimento de clientes rurais"/>
  </r>
  <r>
    <n v="5800371025"/>
    <s v="58"/>
    <s v="ARAPOEMA"/>
    <s v="COLINAS DO TOCANTINS"/>
    <s v="NORTE"/>
    <s v="ETO-RD-GR 00766/2026"/>
    <x v="2"/>
    <x v="9"/>
    <x v="1"/>
    <x v="6"/>
    <n v="1"/>
    <s v="16/07/2026 PARECER COEP: ALINHADO COM O KELLITON REALIZAR SUBSTITUIÇÃO DO CONTROLE DE TUPIRAMA, ALINHADO COM O JEAN QUE OS CABOS COMPATIBILIZADORES VÃO CHEGAR 16/08 , ATÉ ESSA DATA MANTER ESSA SS E CONTROLE RUA, DEPOIS REPASSAR PARA O DMSLPARECER COEP: AVALIAR COM O LEANDRO, PROVAVELMENTE SÓ COMPRA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Segue nota para veriifcar falha em regulador de tensão N: 5800371025 dentro S/E Arapoema , equipamento esta com 2 reles com falha  marca toshiba ."/>
    <n v="0"/>
    <n v="20"/>
    <n v="20"/>
    <n v="10"/>
    <n v="20"/>
    <s v="-"/>
    <s v="-"/>
    <s v="-"/>
    <n v="70"/>
    <x v="1"/>
    <s v="Aumento de reclamações no atendimento de Arapoema no período seco"/>
  </r>
  <r>
    <n v="7926089013"/>
    <s v="79"/>
    <s v="PARAISO DO TOCANTINS"/>
    <s v="PARAISO DO TOCANTINS"/>
    <s v="CENTRO"/>
    <s v="ETO-COEP 00078/2026"/>
    <x v="3"/>
    <x v="8"/>
    <x v="2"/>
    <x v="10"/>
    <n v="1"/>
    <s v="PARECER COEP: EQUIPAMENTO SELECIONADO PARA COMPRAPARECER DMSL: Feedback Equip. EspeciaisRLG 7926089013,RELÉ NOJA RC10SID 1805/2026DATA 15/04/2026Serviço Executado: Favor realizar a troca da parte ativa do equipamento --reprogramar para atualizar a base juntamente com escada Equipamento ficou em operação: Não Pendência: sim atualizar a base e  subistituir o tanque Bateria(s) substituída(s)? Não Data de Fabricação/Instalação da(s) bateria(s): Equipe: Carliel e João Vitor Fernando e Elson---------------------------------------------------------------------------------ATUALIZAR AJUSTES DO RL 7926089013 LD PARAISO I  A  PIUM. IMPLEMENTAÇÃO DA FUNÇÃO 27, SUBTENSÃO.AJUSTES DISPONIVEIS NO APP DA PROTEÇÃO."/>
    <n v="15"/>
    <n v="10"/>
    <n v="5"/>
    <n v="15"/>
    <n v="15"/>
    <n v="10"/>
    <n v="0"/>
    <n v="0"/>
    <n v="70"/>
    <x v="1"/>
    <s v="Transferência da RDU de Chapada de Areia (937 UCs) para fonte alternativa"/>
  </r>
  <r>
    <n v="7925087021"/>
    <s v="79"/>
    <s v="PARANA"/>
    <s v="PEIXE"/>
    <s v="SUL"/>
    <s v="ETO-PROT 00152/2026"/>
    <x v="5"/>
    <x v="0"/>
    <x v="1"/>
    <x v="10"/>
    <n v="1"/>
    <s v="10/07 PARECER COEP: EQUIPAMENTO ENTREGUE AOS COCM´S FAVOR INFORMAR PRAZO DE SUBSTUIÇÃO PARA O DMSL E REPASSAR DEPOIS PARA PROTEÇÃO REALIZAR OS AJUSTES E DESCREVER NA SS O SERVIÇO REALIZADOPARECER COEP: EM ROTA DE ENTREGA, VERIFICAR PREVISÃO DE CHEGADARealizar a substituição do tanque do equipamento."/>
    <n v="15"/>
    <n v="10"/>
    <n v="5"/>
    <n v="0"/>
    <n v="15"/>
    <n v="10"/>
    <n v="0"/>
    <n v="15"/>
    <n v="70"/>
    <x v="1"/>
    <s v="Primeiro RL do 414R de Paranã, RL a jusante na LD também está bay-passado (630 UCs)"/>
  </r>
  <r>
    <n v="5801866013"/>
    <s v="58"/>
    <s v="PARAISO DO TOCANTINS"/>
    <s v="PARAISO DO TOCANTINS"/>
    <s v="CENTRO"/>
    <s v="ETO-PROT 00151/2026"/>
    <x v="5"/>
    <x v="0"/>
    <x v="1"/>
    <x v="1"/>
    <n v="1"/>
    <s v="15/07 PARECER COCM, FOI ATENDIDA PELA OS ETO-RD-PS 1616/2026 OBRA-021260053910/07 PARECER COEP: EQUIPAMENTO ENTREGUE AOS COCM´S FAVOR INFORMAR PRAZO DE SUBSTUIÇÃO PARA O DMSL E REPASSAR DEPOIS PARA PROTEÇÃO REALIZAR OS AJUSTES E DESCREVER NA SS O SERVIÇO REALIZADOPARECER COEP: EM PROCESSO DE ENTREGAPARECER DMSL: RT 5801866013Serviço Executado: Feito a medição da malha de terra. Identificado infiltração na caixa de passagem da célula da fase C do banco regulador de tensão, será necessário fazer a substituição da mesma! Ficar atento na hora da substituição, deverá ser substituída a célula do lado da BR.Obs.: Será necessário baixar todo o banco pelo menos um metro, as buchas estão muito próximas a parte energizada não oferecem segurança para equipe no momento do ensaio elétrico.Equipamento ficou em operação?: Não Possui nobreak: SimPossui antena: SimPossui rádio:SimPendência: SimData da bateria:  Equipe: Benvindo e Kaique._______________________________________________RT 5801866013BY PASSADO DEVIDO DEFEITO EM CELULA BEMVINDO ESTEVE NO LOCAL JUNTO AO COD .NECESSARIO TRATATIVA PARA MESMA .FASE DANIFICADO C"/>
    <n v="0"/>
    <n v="20"/>
    <n v="20"/>
    <n v="20"/>
    <n v="10"/>
    <s v="-"/>
    <s v="-"/>
    <s v="-"/>
    <n v="70"/>
    <x v="1"/>
    <s v="Atendimento da RDU Luzimangues Industrial por fonte alternativa"/>
  </r>
  <r>
    <n v="5865120195"/>
    <s v="58"/>
    <s v="CENTENARIO"/>
    <s v="GUARAI"/>
    <s v="NORTE"/>
    <s v="ETO-PROT 00144/2026"/>
    <x v="5"/>
    <x v="0"/>
    <x v="2"/>
    <x v="13"/>
    <n v="1"/>
    <s v="PARECER DMSL:PENDÊNCIA: Realizar melhoria no aterramento por ser tratar de um terreno muito arenoso, e há pendências por parte do time da proteção, os ajustes do RT não estão disponíveis para inserção no referido equipamento.DATA DA MANUTENÇÃO: 12/03/202EQUIPE: Brunno e Edeglan.***********************PARECER DA PROTEÇÃO:FAVOR COMISSIONAR REGULADOR 5865120195 – LD Santa Maria Ramal Centenário e Recursolândia – 34,5kV. AJUSTE REALIZADO, DISPONÍVEL NO APP DA PROTEÇÃO.*********************** INSTALADO NA OBRA 0702400720 GENTILEZA, REALIZAR O COMISSIONAMENTO.LAUDO EM ANEXO.COORD EO: 889017, 901685708-07-2026 PARECER: FOI FEITO A MELHORIA NO REGULADOR CONFORME FOTOS EM ANEXO."/>
    <n v="20"/>
    <n v="20"/>
    <n v="20"/>
    <n v="10"/>
    <n v="0"/>
    <s v="-"/>
    <s v="-"/>
    <s v="-"/>
    <n v="70"/>
    <x v="1"/>
    <s v="Atendimento das RDUs de Centenário, Recursolândia e clientes rurais"/>
  </r>
  <r>
    <n v="5853360007"/>
    <s v="58"/>
    <s v="MIRACEMA DO TOCANTINS"/>
    <s v="MIRACEMA DO TOCANTINS"/>
    <s v="CENTRO"/>
    <s v="ETO-RD-PS 00323/2025"/>
    <x v="8"/>
    <x v="10"/>
    <x v="2"/>
    <x v="13"/>
    <n v="1"/>
    <s v="REALIZAR TESTES NO EQUIPAMENTO E CONFERIR MEDIÇÕES DA MALHA DE ATERRAMENTO. ESTANDO OK, COMISSIONAR EQUIPAMENTO E COLOCA-LO EM OPERAÇÃO.AJUSTES DISPONIVEIS NO APP DA PROTEÇÃdmsl : N° do Equipamento:*RT 5853360007 MIRACEMASID: 2493/2025Data: 13/05/2025Serviço Executado Provavelmente ocorreu uma descarga no equipamento comprometendo a malha!Será necessário fazer melhoria da malha de aterramento, fazer toda interligação da mesma! Feito ensaios de isolação das 3 células do equipamento, isolação está ok, quando retornar para colocar em operação levar 3 baterias de 7a.Equipamento ficou em operação?: Não Equipe: Benvindo e Jardel"/>
    <n v="0"/>
    <n v="20"/>
    <n v="20"/>
    <n v="10"/>
    <n v="20"/>
    <s v="-"/>
    <s v="-"/>
    <s v="-"/>
    <n v="70"/>
    <x v="1"/>
    <s v="Aumento de reclamações no atendimento de Miracema no período seco"/>
  </r>
  <r>
    <n v="5800366016"/>
    <s v="58"/>
    <s v="WANDERLANDIA"/>
    <s v="TOCANTINOPOLIS"/>
    <s v="NORTE"/>
    <s v="CONCLUÍDA"/>
    <x v="0"/>
    <x v="0"/>
    <x v="0"/>
    <x v="0"/>
    <m/>
    <s v=""/>
    <n v="0"/>
    <n v="20"/>
    <n v="20"/>
    <n v="20"/>
    <n v="10"/>
    <s v="-"/>
    <s v="-"/>
    <s v="-"/>
    <n v="70"/>
    <x v="1"/>
    <s v="Aumento de reclamações no atendimento de Wanderlândia no período seco"/>
  </r>
  <r>
    <n v="7955523028"/>
    <s v="79"/>
    <s v="NATIVIDADE"/>
    <s v="DIANOPOLIS"/>
    <s v="SUL"/>
    <s v="CONCLUÍDA"/>
    <x v="0"/>
    <x v="0"/>
    <x v="0"/>
    <x v="0"/>
    <m/>
    <s v=""/>
    <n v="15"/>
    <n v="10"/>
    <n v="5"/>
    <n v="15"/>
    <n v="15"/>
    <n v="10"/>
    <n v="0"/>
    <n v="0"/>
    <n v="70"/>
    <x v="1"/>
    <s v="Equipamento para apoio na transferência de cargas na região de Natividade"/>
  </r>
  <r>
    <n v="7900573047"/>
    <s v="79"/>
    <s v="FIGUEIROPOLIS"/>
    <s v="ALVORADA"/>
    <s v="SUL"/>
    <s v="ETO-PROT 00153/2026"/>
    <x v="5"/>
    <x v="0"/>
    <x v="1"/>
    <x v="3"/>
    <n v="1"/>
    <s v="10/07 PARECER COEP: EQUIPAMENTO ENTREGUE AOS COCM´S FAVOR INFORMAR PRAZO DE SUBSTUIÇÃO PARA O DMSL E REPASSAR DEPOIS PARA PROTEÇÃO REALIZAR OS AJUSTES E DESCREVER NA SS O SERVIÇO REALIZADOPARECER COEP: AGUARDANDO COCM'S GERAREM AS OBRAS PARA PODER ENTREGAR MATERIALFavor providenciar manutenção no RL 7900573047, o mesmo estar em curto conforme fotos anexadas. Equipamento ficou bay passado em campo.PARECER DMSL: Equipe: FABIO AP./JOÃO MARCOSData Executada: 15/10/2025Serviço Executado:Foi constatado que o equipamento esta queimado na parte ativa placa, tanque e relé. Por favor fazer a substituição pelo Noja RC10."/>
    <n v="5"/>
    <n v="5"/>
    <n v="15"/>
    <n v="0"/>
    <n v="15"/>
    <n v="10"/>
    <n v="0"/>
    <n v="15"/>
    <n v="65"/>
    <x v="1"/>
    <s v="Transferência da Bunge, Saneatins e secadora"/>
  </r>
  <r>
    <n v="7953610256"/>
    <s v="79"/>
    <s v="MATEIROS"/>
    <s v="PONTE ALTA TOCANTINS"/>
    <s v="CENTRO"/>
    <s v="ETO-RD-PO 00208/2026"/>
    <x v="9"/>
    <x v="1"/>
    <x v="2"/>
    <x v="8"/>
    <n v="1"/>
    <s v="14/07/2026 - PARECER COEP: REALOCAR TANQUE 34,5 SOBRESSALENTE DE PARAÍSO PARA ATENDER  PARECER DMSL: Data: 10/03/2026,Serviço Executado: Foi substituído o relé do equipamento, o mesmo estava danificado. Trocado o DPS, o mesmo estava queimado devido ao tanque estar furado. O equipamento ficou em bypass.Equipamento ficou em operação? NãoPendência? Sim, substituir a parte ativa com cordão umbilical.Equipe: Carliel e João VitorSEGUE SS PARA REGULARIZAR AUTOMAÇÃO DO RL 7953610256 NA INTERLIGAÇÃO COM A COELBA (CHAPADA DA MANGABEIRA) - EQUIPE INFOMOU CURTO INTERNO NO GABINETE DJ AC NÃO FECHA"/>
    <n v="5"/>
    <n v="5"/>
    <n v="15"/>
    <n v="15"/>
    <n v="0"/>
    <n v="0"/>
    <n v="10"/>
    <n v="15"/>
    <n v="65"/>
    <x v="1"/>
    <s v="Atenidmento da COELBA (Alto potencial de compensação)"/>
  </r>
  <r>
    <n v="5800438116"/>
    <s v="58"/>
    <s v="CHAPADA DA NATIVIDADE"/>
    <s v="DIANOPOLIS"/>
    <s v="SUL"/>
    <s v="ETO-RD-DP 00404/2026"/>
    <x v="2"/>
    <x v="4"/>
    <x v="1"/>
    <x v="1"/>
    <n v="2"/>
    <s v="01/07 PARECER COEP: DENER INFORMOU QUE TEM AS PEÇAS SOBRESSALENTES DE OBRA PARA UTILIZAR, REPASSEREI AO POSTO DO ETO-RD-DP PARA AS TRATATIVAS, FAVOR INFORMAR PREVISÃO DE SUBSTIUIÇÃO E PREENCHER A PLANILHA ASSIM COMO PREENCHER A DESCRIÃO ANTES DE PASSAR PARA PROTEÇÃO FAZER OS AJUSTES30/06PARECER COEP: AGUARDANDO COCM'S CRIAREM OBRA PARA ENTREGA DO MATERIALSegue nota para normalizar falha em regulador N:5800438116 - Chapada da natividade .equipamento está com fase B e C travada .OBS: a fase B esta sinalizando falha , equipamento não insere TAP negativo na fase B e C , o mesmo ficou no TAP zerado e bloqueado .PARECER DMSL (18/08/2025): Foi feito teste de elevar e abaixar nas fases B e C e o mesmo só aceita elevar os taps, constatando que o mercanismo da chave reversoura polaridade está com defeito. Número de série fase B EI7030 e Número de série fase C EI7040. Substituir as fases B e C.Foi constatado que a placa F do controle está com defeito."/>
    <n v="0"/>
    <n v="20"/>
    <n v="20"/>
    <n v="20"/>
    <n v="0"/>
    <s v="-"/>
    <s v="-"/>
    <s v="-"/>
    <n v="60"/>
    <x v="2"/>
    <s v="Atendimento da região da Engegold, Nativa, cidade Natividade e Chapada da Natividade (Fonte alternativa)"/>
  </r>
  <r>
    <n v="5800090147"/>
    <s v="58"/>
    <s v="TAIPAS DO TOCANTINS"/>
    <s v="DIANOPOLIS"/>
    <s v="SUL"/>
    <s v="CONCLUÍDA"/>
    <x v="0"/>
    <x v="0"/>
    <x v="0"/>
    <x v="0"/>
    <m/>
    <s v=""/>
    <n v="0"/>
    <n v="20"/>
    <n v="20"/>
    <n v="10"/>
    <n v="10"/>
    <s v="-"/>
    <s v="-"/>
    <s v="-"/>
    <n v="60"/>
    <x v="2"/>
    <s v="Atendimento de Taipas"/>
  </r>
  <r>
    <n v="5840227063"/>
    <s v="58"/>
    <s v="BANDEIRANTES DO TOCANTINS"/>
    <s v="COLINAS DO TOCANTINS"/>
    <s v="NORTE"/>
    <s v="ETO-COEP 00151/2026"/>
    <x v="3"/>
    <x v="0"/>
    <x v="2"/>
    <x v="1"/>
    <n v="1"/>
    <s v="PARECER DMSL 13/07/2026: Realizados ensaios de isolação nas três células, e foi identificado curto na fase A, sendo necessário a sua substituição. Os cabos das buchas ficaram desconectados para melhor identificação no momento da sua substituiçãSEGUE PARA O DMSL AVALIAR ANTES DE SEGUIRMOS COM O SERVIÇOSEGUE PARA REALIZAR TROCA---------------------------------------------------------Boa noite,Segue SS para tratativas regulador de tensão 5840227063 fase C em curto"/>
    <n v="0"/>
    <n v="20"/>
    <n v="20"/>
    <n v="10"/>
    <n v="10"/>
    <s v="-"/>
    <s v="-"/>
    <s v="-"/>
    <n v="60"/>
    <x v="2"/>
    <s v="Atendimento da RDU Bandeirantes e clientes rurais"/>
  </r>
  <r>
    <n v="5846328094"/>
    <s v="58"/>
    <s v="PEIXE"/>
    <s v="PEIXE"/>
    <s v="SUL"/>
    <s v="ETO-TELE 00986/2026"/>
    <x v="4"/>
    <x v="0"/>
    <x v="1"/>
    <x v="13"/>
    <n v="1"/>
    <s v="COCM SUL - 07/07/2026 - FOI REALIZADO MELHORIA DE ATERRAMENTO E FEITO A MANUTENÇÕES E TODAS AS CHAVES E SUBSTITUIDO OS CONECTORES.PARECER COEP: MELHORIA DE ATERRAMENTO É COCM'S, FAVOR ENCAMINHAR DIRETAMENTE PARA ELES, COCM'S REALIZAR MELHORIA DE ATERRAMENTO POR FAVORPor genteliiza verificar RT 5846328094 situação de equipamento, se encontra by passado em campoPARECER DMSL:Favor, realizar melhoria de aterramento que se encontra alta e substituir todos os conectores das buchas por conectores estrangulador."/>
    <n v="0"/>
    <n v="20"/>
    <n v="20"/>
    <n v="10"/>
    <n v="10"/>
    <s v="-"/>
    <s v="-"/>
    <s v="-"/>
    <n v="60"/>
    <x v="2"/>
    <s v="Atendimento da RDU Sucupira e clientes rurais"/>
  </r>
  <r>
    <n v="5851753086"/>
    <s v="58"/>
    <s v="MARIANOPOLIS"/>
    <s v="DIVINOPOLIS"/>
    <s v="CENTRO"/>
    <s v="ETO-TELE 00881/2026"/>
    <x v="4"/>
    <x v="0"/>
    <x v="1"/>
    <x v="13"/>
    <n v="1"/>
    <s v="PARECER DMSL: FAVOR SOLUCIONAR PENDENCIAS RT: 5851753086Relé R.U.A  Data: _19/05/2026Sid: 2740/2026Possui rádio?: SimPossui antena?: SimPossui módulo nobreak?: SimServiço Executado: * Feito testes no equipamento,o mesmo está normal.* Será necessário fazer melhorias na malha de terra e colocar em operação.Equipamento ficou em operação? Não Pendência: Sim. É necessário fazer melhorias na malha de aterramento.Bateria(s) substituída(s)? _nao Data Fabricação/Instalação da(s) bateria(s): 12/2025Equipe: Jean e BenvindoPARECER DCMD: FEITO MELHORIA NA MALHA DO ATERRAMENTO, FAVOR ENVIAR EQUIPE PARA COLOCA-LO EM OPERAÇÃORT 5851753086MESMO ESTA BY-PASSADO EM CAMPO EQUIPE SINERGIA 086OP01 ESTEVE NO LOCAL APARENTIMENTE SEM DEFEITO APARENTE MESMO FOI BY PASSADO POR TER TIRADO LINHA.DESDE ENTAO MESMO NAO VOLTOU PARA OPERAÇÃO .FAVOR VERIFICAR PARA TESTES POSSIVEIS .PARA QUE O MESMO VOLTA COM DISPONIBILIDADE PARA OPERAÇÃO ."/>
    <n v="0"/>
    <n v="20"/>
    <n v="20"/>
    <n v="10"/>
    <n v="10"/>
    <s v="-"/>
    <s v="-"/>
    <s v="-"/>
    <n v="60"/>
    <x v="2"/>
    <s v="Atendimento da RDU Marianópolis e clientes rurais"/>
  </r>
  <r>
    <n v="7903112004"/>
    <s v="79"/>
    <s v="ARAGUAINA"/>
    <s v="ARAGUAINA"/>
    <s v="NORTE"/>
    <s v="ETO-COEP 00184/2025"/>
    <x v="6"/>
    <x v="11"/>
    <x v="1"/>
    <x v="10"/>
    <n v="1"/>
    <s v="20/07 PARECER COEP: EQUIPAMENTO SELECIONADO PARA COMPRAApós testes no RLG 7903112004 foi constatado defeito no mesmo e como se trata de um modelo COOPER FORM6 que está obsoleto e não possuímos peças sobressalentes, faz-se necessária substituição completa por modelo NOJA RC10."/>
    <n v="15"/>
    <n v="10"/>
    <n v="5"/>
    <n v="15"/>
    <n v="0"/>
    <n v="10"/>
    <n v="0"/>
    <n v="0"/>
    <n v="55"/>
    <x v="1"/>
    <s v="Transferência de Babaçulândia, 4 RLs sendo 2 operando"/>
  </r>
  <r>
    <n v="7920024127"/>
    <s v="79"/>
    <s v="PALMEIRAS DO TOCANTINS"/>
    <s v="TOCANTINOPOLIS"/>
    <s v="NORTE"/>
    <s v="ETO-COEP 00120/2025"/>
    <x v="3"/>
    <x v="0"/>
    <x v="2"/>
    <x v="14"/>
    <n v="1"/>
    <s v="30/06 PARECER COEP: AGUARDANDO O RETORNO DO DMSL , PARA ENTENDER SE O PROBLEMA É NA COMUNICAÇÃO OU PARTE ATIVA, JÁ QUE O EQUIPAMENTO EM QUESTÃO SEGUE COMUNICANDOPARECER DMSL: Após testes, equipe DMSL constatou que o relé e a parte ativa do equipamento 7920024127 estão com defeito, sendo necessária a substituição completa por um modelo NOJA RC 10. Favor, subsituir também a chave de saída da fase A que está com o anel de abertura quebrado.RL 7920024127 está desarmando em campo e no SCADA continua fechado, só sinaliza aberto no SCADA quando a equipe faz o resert no equipamento em campo."/>
    <n v="15"/>
    <n v="10"/>
    <n v="5"/>
    <n v="15"/>
    <n v="0"/>
    <n v="10"/>
    <n v="0"/>
    <n v="0"/>
    <n v="55"/>
    <x v="1"/>
    <s v="Transferência de Palmeiras, 3 fontes operando"/>
  </r>
  <r>
    <n v="7927646026"/>
    <s v="79"/>
    <s v="PONTE ALTA TOCANTINS"/>
    <s v="PONTE ALTA TOCANTINS"/>
    <s v="CENTRO"/>
    <s v="ETO-COEP 00029/2026"/>
    <x v="3"/>
    <x v="0"/>
    <x v="2"/>
    <x v="10"/>
    <n v="1"/>
    <s v="PARECER COEP: EQUIPAMENTO SELECIONADO PARA COMPRARELIGADOR BY PASSADO POR DEFEITO, NECESSÁRIO AVALIAÇÃO DO PROBLEMA.parecer dmsl:O religador apresenta defeito no tanque, sendo necessário substituir o tanque o mesmo está tirando a linha, e troca os  isoladores. Quando retornar, trazer uma fonte para o equipamento, a mesma foi removida.FICOU EM OPERAÇÃO? NãoPENDÊNCIA: Sim, aguardando peças para substituição."/>
    <n v="15"/>
    <n v="10"/>
    <n v="5"/>
    <n v="0"/>
    <n v="15"/>
    <n v="0"/>
    <n v="10"/>
    <n v="0"/>
    <n v="55"/>
    <x v="1"/>
    <s v="Opção de isolação de São Félix e Mateiros para alimentação por gerador"/>
  </r>
  <r>
    <n v="7927169001"/>
    <s v="79"/>
    <s v="PORTO NACIONAL"/>
    <s v="PORTO NACIONAL"/>
    <s v="CENTRO"/>
    <s v="ETO-PROT 00156/2026"/>
    <x v="5"/>
    <x v="0"/>
    <x v="1"/>
    <x v="10"/>
    <m/>
    <s v="PARECER COEP: EQUIPAMENTO ENTREGUE, SEGUE SS PARA O COCM´S , PARA REALIZAR O ATENDIMENTO,FAVOR ADICIONAR O PARECER PARA MANDAR PARA PROTEÇÃOSS ANTIGA: 1500/2025 PARECER DMSL: Serviço Executado: Foi verificado que o tanque do equipamento está danificado, sendo necessário substituir o tanque do equipamento.Equipamento ficou em operação?: NãoPendência: Sim, instalar fonte, disjuntor e DPS, e substituir o tanque.***** Parecer COCM******Subsituido Tranque do RL pela Ordem de Serviço DLP-MPPA01 247/2026 RELATORIO EM ANEXO DA O.S EXECUTORA"/>
    <n v="5"/>
    <n v="5"/>
    <n v="15"/>
    <n v="0"/>
    <n v="15"/>
    <n v="0"/>
    <n v="0"/>
    <n v="15"/>
    <n v="55"/>
    <x v="1"/>
    <s v="Transferência dos Grupos A -  VLI e Frisia"/>
  </r>
  <r>
    <n v="7900018004"/>
    <s v="79"/>
    <s v="ARAGUAINA"/>
    <s v="ARAGUAINA"/>
    <s v="NORTE"/>
    <s v="CONCLUÍDA"/>
    <x v="0"/>
    <x v="0"/>
    <x v="0"/>
    <x v="0"/>
    <m/>
    <s v=""/>
    <n v="15"/>
    <n v="10"/>
    <n v="5"/>
    <n v="15"/>
    <n v="0"/>
    <n v="10"/>
    <n v="0"/>
    <n v="0"/>
    <n v="55"/>
    <x v="1"/>
    <s v="Transferência de Aragominas, 3 fontes operando"/>
  </r>
  <r>
    <n v="7934698002"/>
    <s v="79"/>
    <s v="TOCANTINOPOLIS"/>
    <s v="TOCANTINOPOLIS"/>
    <s v="NORTE"/>
    <s v="CONCLUÍDA"/>
    <x v="0"/>
    <x v="0"/>
    <x v="0"/>
    <x v="0"/>
    <m/>
    <s v=""/>
    <n v="5"/>
    <n v="5"/>
    <n v="5"/>
    <n v="0"/>
    <n v="15"/>
    <n v="0"/>
    <n v="10"/>
    <n v="15"/>
    <n v="55"/>
    <x v="1"/>
    <s v="Atendimento do PA Mumbuca (106 UCs), no desarme a jusante penaliza parte da RDU de Tocantinópolis (1384 UCs)"/>
  </r>
  <r>
    <n v="7930428001"/>
    <s v="79"/>
    <s v="PORTO NACIONAL"/>
    <s v="PORTO NACIONAL"/>
    <s v="CENTRO"/>
    <s v="ETO-COEP 00150/2026"/>
    <x v="3"/>
    <x v="0"/>
    <x v="2"/>
    <x v="10"/>
    <n v="1"/>
    <s v="PARECER DMSL DATA 16/07/2026: será necessário fazer a substituição da parte ativa do equipamento.PARECER COEP: Equipamento Funcionando no SCADA , favor reavaliar a necessidade de substituição e se necessário mandar o modelo do equipamento.Segue nota para substituir Taque do RL-7930428001 na LD Porto Nacional / São João, Identificado pela Int-20253617520441 equipamento dando passagem na fase A ficou bay-passado até substituição, Tensão 34,5kva, Acesso livre."/>
    <n v="5"/>
    <n v="5"/>
    <n v="15"/>
    <n v="0"/>
    <n v="15"/>
    <n v="10"/>
    <n v="0"/>
    <n v="0"/>
    <n v="50"/>
    <x v="1"/>
    <s v="Transferência dos Grupos A -  Ramal do Rossato (TF 225kVA e TF 750kVA)"/>
  </r>
  <r>
    <n v="7936038076"/>
    <s v="79"/>
    <s v="DUERE"/>
    <s v="GURUPI"/>
    <s v="SUL"/>
    <s v="CONCLUÍDA"/>
    <x v="10"/>
    <x v="0"/>
    <x v="2"/>
    <x v="0"/>
    <m/>
    <s v=""/>
    <n v="5"/>
    <n v="5"/>
    <n v="15"/>
    <n v="0"/>
    <n v="15"/>
    <n v="10"/>
    <n v="0"/>
    <n v="0"/>
    <n v="50"/>
    <x v="1"/>
    <s v="Transferência do Grupo A - Xavante (TF 1087,5 kVA) e outros GA menores"/>
  </r>
  <r>
    <n v="7955520116"/>
    <s v="79"/>
    <s v="CHAPADA DA NATIVIDADE"/>
    <s v="DIANOPOLIS"/>
    <s v="SUL"/>
    <s v="CONCLUÍDA"/>
    <x v="3"/>
    <x v="0"/>
    <x v="2"/>
    <x v="10"/>
    <n v="1"/>
    <s v=""/>
    <n v="5"/>
    <n v="5"/>
    <n v="15"/>
    <n v="0"/>
    <n v="0"/>
    <n v="10"/>
    <n v="0"/>
    <n v="15"/>
    <n v="50"/>
    <x v="1"/>
    <s v="Transferência do Grupo A - Engegold (TF 7500 kVA)"/>
  </r>
  <r>
    <n v="5800291035"/>
    <s v="58"/>
    <s v="MONTE DO CARMO"/>
    <s v="PONTE ALTA TOCANTINS"/>
    <s v="CENTRO"/>
    <s v="ETO-RD-PO 00097/2026"/>
    <x v="4"/>
    <x v="0"/>
    <x v="2"/>
    <x v="13"/>
    <n v="1"/>
    <s v="PARECER DMSL: Feito testes funcionais nas 3 células do banco as mesmas corresponderam aos testes. Será necessário fazer a correção da malha de terra, baixar o banco completo pois está muito alto dificultando as atividades da equipe, substituir as 3 chaves facas do lado Fonte e as 3 do lado Carga instalar suporte inclinado das chaves para facilitar as manobras. Colocar cinta no controle RUA abaixar o mesmo, pois está muito alto e fixado com um mosquetão oval, quando retornar para colocar em operação levar 3 baterias de 7a e rele rua.Obs.: Fizeram melhoria na malha de terra, mas não está dentro do aceitável! As outras pendências continuam, favor corrigir. Equipamento ficou em operação?: Não  - Equipe: Benvindo e Kaique- SS ANTIGA ETO-TELE 358/2026"/>
    <n v="0"/>
    <n v="20"/>
    <n v="20"/>
    <n v="10"/>
    <n v="0"/>
    <s v="-"/>
    <s v="-"/>
    <s v="-"/>
    <n v="50"/>
    <x v="2"/>
    <s v="Aumento de reclamações no atendimento de Silvanópolis por Monte do Carmo no período seco"/>
  </r>
  <r>
    <n v="5827102054"/>
    <s v="58"/>
    <s v="PUGMIL"/>
    <s v="PARAISO DO TOCANTINS"/>
    <s v="CENTRO"/>
    <s v="ETO-RD-PS 00289/2026"/>
    <x v="11"/>
    <x v="12"/>
    <x v="2"/>
    <x v="13"/>
    <n v="1"/>
    <s v="PARECER COEP:NÃO É POSSÍVEL RETORNAR COM O CONTROLE COMPLETO , MAS DARIA PARA FAZER A MELHORIA NA MALHA DE ATERRAMENTO , ENCAMINHANDO PARA OS COCM'S PARA REALIZAREM A MELHORIAparecer DMSL: :Nobreack com defeito, rele queimado, cabo de comunicação entre o rádio e o rele danificado, malha de aterramento está com a resistência alta!Feito reparo no cabo, substituído nobreack, e rele. Se possível retornar com controle completo pq o q está em campo teve infiltração de água, abrir chamado no scada para atualizar base do equipamento pois o mesmo está com a base antiga, fazer correção da malha de aterramento.Equipamento ficou em operação?: Não Pendência: sim, levar controle novo, fazer correção da malha de terra, levar suporte para fixar antena. OBS"/>
    <n v="0"/>
    <n v="20"/>
    <n v="20"/>
    <n v="10"/>
    <n v="0"/>
    <s v="-"/>
    <s v="-"/>
    <s v="-"/>
    <n v="50"/>
    <x v="2"/>
    <s v="Aumento de reclamações no atendimento de Pugmil no período seco"/>
  </r>
  <r>
    <n v="5850308009"/>
    <s v="58"/>
    <s v="GUARAI"/>
    <s v="GUARAI"/>
    <s v="NORTE"/>
    <s v="CONCLUÍDA"/>
    <x v="0"/>
    <x v="0"/>
    <x v="0"/>
    <x v="0"/>
    <m/>
    <s v=""/>
    <n v="0"/>
    <n v="20"/>
    <n v="20"/>
    <n v="0"/>
    <n v="10"/>
    <s v="-"/>
    <s v="-"/>
    <s v="-"/>
    <n v="50"/>
    <x v="2"/>
    <s v="Atendimento de parte da RDU de Guaraí e ramal da PRF/Repetidora"/>
  </r>
  <r>
    <n v="7900535058"/>
    <s v="79"/>
    <s v="SANTA FE DO ARAGUAIA"/>
    <s v="ARAGUAINA"/>
    <s v="NORTE"/>
    <s v="ETO-COEP 00173/2025"/>
    <x v="3"/>
    <x v="0"/>
    <x v="2"/>
    <x v="6"/>
    <n v="1"/>
    <s v="PARECER COEP: EQUIPAMENTO SELECIONADO PARA COMPRAPARECER DMSL:  Equipamento 7900535058 encontra-se com o relé danificado, firmware corrompido, o mesmo não inicia. Devido ao fato de não possuirmos mais peças de reposição para religador cooper, se faz necessário a  substituição de todo conjunto por um Noja RC10.envar equipe para verificar rlo 7900535058 foi feito primeiro ataque com equipe 040op36 o mesmo esta com RELE TRAVADO E FICOU FORA DE OPERAÇÃO, ATENDE RDR DE SANTA FÉ SAIDA DA CIDADEEQUIPE INFORMOU ABELHAS NA CAIXA DO PAINEL DE COMANDO"/>
    <n v="5"/>
    <n v="10"/>
    <n v="5"/>
    <n v="0"/>
    <n v="15"/>
    <n v="10"/>
    <n v="0"/>
    <n v="0"/>
    <n v="45"/>
    <x v="2"/>
    <s v="Atendimento 3 povoados, na perca 4 ficam fora (900 UCs)"/>
  </r>
  <r>
    <n v="7927713200"/>
    <s v="79"/>
    <s v="SAO SALVADOR DO TOCANTINS"/>
    <s v="PEIXE"/>
    <s v="SUL"/>
    <s v="CONCLUÍDA"/>
    <x v="3"/>
    <x v="0"/>
    <x v="2"/>
    <x v="10"/>
    <n v="1"/>
    <s v=""/>
    <n v="5"/>
    <n v="5"/>
    <n v="5"/>
    <n v="0"/>
    <n v="15"/>
    <n v="10"/>
    <n v="0"/>
    <n v="0"/>
    <n v="40"/>
    <x v="2"/>
    <s v="Transferência do Ramal do Retiro (246UCs), fonte principal by-passado"/>
  </r>
  <r>
    <n v="7937102148"/>
    <s v="79"/>
    <s v="SAO VALERIO DA NATIVIDADE"/>
    <s v="PEIXE"/>
    <s v="SUL"/>
    <s v="ETO-COEP 00129/2026"/>
    <x v="3"/>
    <x v="0"/>
    <x v="2"/>
    <x v="10"/>
    <n v="1"/>
    <s v="PARECER COEP: REAVALIAR DISPONIBILIDADE DO EQUIPAMENTO NO SCADA ASSIM COMO , FORNECER MODELO DO EQUIPAMENTO E FAIXA DE TENSÃO PARA COMPRA / AQUISIÇÃOTanque com defeito, realizar substituição do tanque."/>
    <n v="5"/>
    <n v="5"/>
    <n v="5"/>
    <n v="0"/>
    <n v="15"/>
    <n v="10"/>
    <n v="0"/>
    <n v="0"/>
    <n v="40"/>
    <x v="2"/>
    <s v="Fonte principal do Ramal Serranópolis (181 UCs), RL de transferência operando"/>
  </r>
  <r>
    <n v="7944559149"/>
    <s v="79"/>
    <s v="CASEARA"/>
    <s v="DIVINOPOLIS"/>
    <s v="CENTRO"/>
    <s v="ETO-COEP 00063/2026"/>
    <x v="3"/>
    <x v="0"/>
    <x v="2"/>
    <x v="6"/>
    <n v="1"/>
    <s v="14/07/2026 PARECER COEP: EQUIPAMENTO SELECIONADO PARA COMPRA Equipamento ficou em operação?: NãoPendência: Sim será necessário substituir a placaServiço Executado:  curto na placa foi tentando recuperar a mesma porém não teve sucesso!Bateria(s)substituída(s)? NÃOEquipe: Kaique e benvido"/>
    <n v="5"/>
    <n v="10"/>
    <n v="0"/>
    <n v="0"/>
    <n v="15"/>
    <n v="10"/>
    <n v="0"/>
    <n v="0"/>
    <n v="40"/>
    <x v="2"/>
    <s v="Atendimento de cargas rurais entre Caseara e Araguacema (221 UCs)"/>
  </r>
  <r>
    <n v="5800961074"/>
    <s v="58"/>
    <s v="DIANOPOLIS"/>
    <s v="DIANOPOLIS"/>
    <s v="SUL"/>
    <s v="ETO-COEP 00221/2025"/>
    <x v="3"/>
    <x v="0"/>
    <x v="2"/>
    <x v="15"/>
    <n v="3"/>
    <s v="PARECER COEP: EQUIPAMENTO SELECIONADO PARA COMPRASubstituir as 3 células- Melhoria na malha de aterramento - Melhoria no circuito de aterramento qua aterra as células.- Substituir conectores paralelos"/>
    <n v="20"/>
    <n v="0"/>
    <n v="0"/>
    <n v="20"/>
    <n v="0"/>
    <s v="-"/>
    <s v="-"/>
    <s v="-"/>
    <n v="40"/>
    <x v="2"/>
    <s v="Atendimento da COELBA e GA Alessandro Maurício (1600 kVA)"/>
  </r>
  <r>
    <n v="7908249152"/>
    <s v="79"/>
    <s v="SANTA ROSA DO TOCANTINS"/>
    <s v="PORTO NACIONAL"/>
    <s v="CENTRO"/>
    <s v="ETO-COEP 00038/2026"/>
    <x v="3"/>
    <x v="0"/>
    <x v="2"/>
    <x v="3"/>
    <n v="1"/>
    <s v="14/07/2026 PARECER COEP: EQUIPAMENTO SELECIONADO PARA COMPRADMSL:Serviço Executado: Houve um curto no equipamento danificando a parte ativa, será necessário fazer a substituição do equipamento completo ( parte ativa e controle) colocar o um cabo pp novo do trafo até o Dj pois o mesmo está sem condições de uso. Obs:. Foi retirado rádio e rele Equipamento ficou em operação?: Não Pendência: Sim, substituir o equipamento completo."/>
    <n v="5"/>
    <n v="5"/>
    <n v="0"/>
    <n v="0"/>
    <n v="15"/>
    <n v="10"/>
    <n v="0"/>
    <n v="0"/>
    <n v="35"/>
    <x v="2"/>
    <s v="Atendimento de zona rural em Santa Rosa (160 UCs)"/>
  </r>
  <r>
    <n v="7922995039"/>
    <s v="79"/>
    <s v="ARAGUATINS"/>
    <s v="AUGUSTINOPOLIS"/>
    <s v="NORTE"/>
    <s v="ETO-PROT 00135/2026"/>
    <x v="0"/>
    <x v="0"/>
    <x v="3"/>
    <x v="0"/>
    <m/>
    <s v="PARECER COEP: Equipamento em operação, instalado com sucesso, segue para Proteção para ajustesPARECER DMSL: Após testes, equipe DMSL constatou que o RLG 7922995039 encontra-se com parte ativa e controle danificados. Favor, realizar substituição completa do equipamento.Troca do sistema de comunicação do equipamento"/>
    <n v="5"/>
    <n v="5"/>
    <n v="0"/>
    <n v="0"/>
    <n v="15"/>
    <n v="10"/>
    <n v="0"/>
    <n v="0"/>
    <n v="35"/>
    <x v="2"/>
    <s v="Atendimento do PA Esperança Viva (396 UCs)"/>
  </r>
  <r>
    <n v="7925733015"/>
    <s v="79"/>
    <s v="PEDRO AFONSO"/>
    <s v="GUARAI"/>
    <s v="NORTE"/>
    <s v="ETO-COEP 00058/2026"/>
    <x v="3"/>
    <x v="0"/>
    <x v="2"/>
    <x v="10"/>
    <n v="1"/>
    <s v="PARECER COEP: EQUIPAMENTO SELECIONADO PARA COMPRAPARECER DMSL: FEEDBACK EQUIP. ESPECIAISNº DO EQUIPAMENTO: 7925733015TIPO EQUIPAMENTO: Noja RC10TIPO DE COMUNICAÇÃO: Rádio GEDATA DA MANUTENÇÃO: 24/03/2026SID: 1475/2026DESCRIÇÃO: Tanque do equipamento em CurtoFICOU EM OPERAÇÃO?: Não PENDÊNCIA: Sim, repassar a nota para DCMD substituir tanque.DADOS DIVERGENTES DA PROGRAMAÇÃO: NãoBATERIA SUBSTITUÍDA?: Não TIPO DE BATERIA: Lítio EQUIPE: Edicleber e Jhonata(DEOP)------------------------------------------------------------------------------------------------------religador 7925733015 com defeito, equipe fez abertura da chave de saida do mesmo e ele não aceita fehcamento devido provavel curto-circuito interno, enviar equipe para verificar o mesmo ficou by-pass fechado"/>
    <n v="5"/>
    <n v="5"/>
    <n v="0"/>
    <n v="0"/>
    <n v="15"/>
    <n v="10"/>
    <n v="0"/>
    <n v="0"/>
    <n v="35"/>
    <x v="2"/>
    <s v="Transferência do Ramal Agrovila (73 UCs)"/>
  </r>
  <r>
    <n v="7927396052"/>
    <s v="79"/>
    <s v="FORMOSO DO ARAGUAIA"/>
    <s v="FORMOSO DO ARAGUAIA"/>
    <s v="SUL"/>
    <s v="ETO-COEP 00045/2026"/>
    <x v="3"/>
    <x v="0"/>
    <x v="2"/>
    <x v="10"/>
    <n v="1"/>
    <s v="PARECER COEP: EQUIPAMENTO SELECIONADO PARA COMPRAreligador foi bay passado devido mesmo esta saindo fumaca do painel e sem comunicação 7927396052.PARECER DMSL: Após testes, equipe DMSL constatou que apenas o tanque do RLG 7927396052 encontra-se queimado. Favor, substituir parte ativa do equipamento.NS Tanque: 0320123040198"/>
    <n v="5"/>
    <n v="5"/>
    <n v="0"/>
    <n v="0"/>
    <n v="15"/>
    <n v="10"/>
    <n v="0"/>
    <n v="0"/>
    <n v="35"/>
    <x v="2"/>
    <s v="Equipamento localizado Fonte principal de atendimento a SE Cobrape"/>
  </r>
  <r>
    <n v="7933585074"/>
    <s v="79"/>
    <s v="DIANOPOLIS"/>
    <s v="DIANOPOLIS"/>
    <s v="SUL"/>
    <s v="ETO-COEP 00024/2026"/>
    <x v="3"/>
    <x v="3"/>
    <x v="2"/>
    <x v="10"/>
    <n v="1"/>
    <s v="30/06 PARECER COEP: EQUIPAMENTO SELECIONADO PARA COMPRAREALIZAR SUBSTITUIÇÃO DO TANQUE, O MESMO ESTÁ COM DEFEITO."/>
    <n v="5"/>
    <n v="5"/>
    <n v="15"/>
    <n v="0"/>
    <n v="0"/>
    <n v="0"/>
    <n v="10"/>
    <n v="0"/>
    <n v="35"/>
    <x v="2"/>
    <s v="Atendimento da COELBA"/>
  </r>
  <r>
    <n v="7942572059"/>
    <s v="79"/>
    <s v="TAQUARALTO"/>
    <s v="TAQUARALTO"/>
    <s v="CENTRO"/>
    <s v="ETO-PROT 00155/2026"/>
    <x v="4"/>
    <x v="0"/>
    <x v="3"/>
    <x v="0"/>
    <m/>
    <s v="PARECER COEP: EQUIPAMENTO COM MELHORIA DE ATERRAMENTO É COM A ETO-RD-PA , NÃO PASSA PELO FLUXO DE AQUISIÇÃO DO COEP, FAVOR REALIZAR MELHORIA DE ATERRAMENTO ETO-RD-PAPARECER DMSL 19/05/2026: É necessário fazer melhorias na malha de aterramento.segue nota para RL 794252059 o mesmo esta sem comunicaçao, foi feito primeiro ataque, porem a comunicaçao nao voltou, obs ramal do marasca.**** Parcecer do COCM CENTRO-****FEITO A MALHAR DE ATERRAMENTO ATENDIDA PELA ORDEM DE SERVIÇO DLP-MLPA02 91/2026 COM RELATORIO EM ANEXO A O.S"/>
    <n v="5"/>
    <n v="5"/>
    <n v="15"/>
    <n v="0"/>
    <n v="0"/>
    <n v="0"/>
    <n v="10"/>
    <n v="0"/>
    <n v="35"/>
    <x v="2"/>
    <s v="Atendimento do Ramal do Marasca e GAs (108 UCs)"/>
  </r>
  <r>
    <n v="7944319149"/>
    <s v="79"/>
    <s v="CASEARA"/>
    <s v="DIVINOPOLIS"/>
    <s v="CENTRO"/>
    <s v="CONCLUÍDA"/>
    <x v="0"/>
    <x v="0"/>
    <x v="0"/>
    <x v="0"/>
    <m/>
    <s v=""/>
    <n v="5"/>
    <n v="5"/>
    <n v="15"/>
    <n v="0"/>
    <n v="0"/>
    <n v="0"/>
    <n v="10"/>
    <n v="0"/>
    <n v="35"/>
    <x v="2"/>
    <s v="Atendimento do Grupo A - Matosul (TF 1500 kVA)"/>
  </r>
  <r>
    <n v="7955986084"/>
    <s v="79"/>
    <s v="DIVINOPOLIS"/>
    <s v="DIVINOPOLIS"/>
    <s v="CENTRO"/>
    <s v="ETO-COEP 00133/2026"/>
    <x v="3"/>
    <x v="0"/>
    <x v="2"/>
    <x v="0"/>
    <m/>
    <s v="14/07/2026 PARECER COEP : SUBSTIUIR CONTROLE COMPLETOPARECER DMSL: Equipamento com a placa de alimentação ca em curto, será necessário substituir a placa do equipamento. (Antiga nota era pra ter sido repassada porém foi baixada indevidamente pela equipe)"/>
    <n v="5"/>
    <n v="5"/>
    <n v="0"/>
    <n v="0"/>
    <n v="15"/>
    <n v="10"/>
    <n v="0"/>
    <n v="0"/>
    <n v="35"/>
    <x v="2"/>
    <s v="Transferência de cargas do 444R da SE Paraíso I"/>
  </r>
  <r>
    <n v="7967181127"/>
    <s v="79"/>
    <s v="PALMEIRAS DO TOCANTINS"/>
    <s v="TOCANTINOPOLIS"/>
    <s v="NORTE"/>
    <s v="CONCLUÍDA"/>
    <x v="0"/>
    <x v="0"/>
    <x v="2"/>
    <x v="0"/>
    <m/>
    <s v=""/>
    <n v="5"/>
    <n v="5"/>
    <n v="0"/>
    <n v="0"/>
    <n v="15"/>
    <n v="10"/>
    <n v="0"/>
    <n v="0"/>
    <n v="35"/>
    <x v="2"/>
    <s v="Transferência de Palmeiras, 3 RLs sendo 2 operando"/>
  </r>
  <r>
    <n v="7900525015"/>
    <s v="79"/>
    <s v="PEDRO AFONSO"/>
    <s v="GUARAI"/>
    <s v="NORTE"/>
    <s v="ETO-COEP 00125/2026"/>
    <x v="3"/>
    <x v="0"/>
    <x v="2"/>
    <x v="10"/>
    <n v="1"/>
    <s v="PARECER COEP: É PARA REALIZAR A SUBSTITUIÇÃO DO RELIGADOR OU DAS BUCHAS, CASO SEJA BUCHAS , REPASSAR PARA OS COCM'S , CASO NÃO SEJA ESPECIFIQUE O MODELO , E A TENSÃO, FICO NO AGUARDO DO RETORNONota para manutenção substituir religador 7900525015 que está com as buchas de entrada danificadas fase A estourada e bc danificadas Local LD Pedro Afonso A Chaparral"/>
    <n v="5"/>
    <n v="5"/>
    <n v="0"/>
    <n v="0"/>
    <n v="15"/>
    <n v="10"/>
    <n v="0"/>
    <n v="0"/>
    <n v="35"/>
    <x v="2"/>
    <s v="Tranferência do Ramal do Chaparral (251 UCs)"/>
  </r>
  <r>
    <n v="7928564039"/>
    <s v="79"/>
    <s v="ARAGUATINS"/>
    <s v="AUGUSTINOPOLIS"/>
    <s v="NORTE"/>
    <s v="ETO-COEP 00123/2026"/>
    <x v="3"/>
    <x v="0"/>
    <x v="2"/>
    <x v="3"/>
    <n v="1"/>
    <s v="PARECER COEP: EQUIPAMENTO SELECIONADO PARA COMPRATroca do sistema de comunicação do equipamentoDMSL 28/07/2025: Equipamento com tanque, modulo e rele com defeito, solicitar troca do equipamento ao DCMD.Fotos vão ser enviadas por e-mail"/>
    <n v="5"/>
    <n v="10"/>
    <n v="5"/>
    <n v="0"/>
    <n v="0"/>
    <n v="10"/>
    <n v="0"/>
    <n v="0"/>
    <n v="30"/>
    <x v="2"/>
    <s v="Transferência entre 424R Araguatins e 434R Augustinópolis"/>
  </r>
  <r>
    <n v="7957126085"/>
    <s v="79"/>
    <s v="MONTE SANTO DO TOCANTINS"/>
    <s v="PARAISO DO TOCANTINS"/>
    <s v="CENTRO"/>
    <s v="CONCLUÍDA"/>
    <x v="0"/>
    <x v="0"/>
    <x v="0"/>
    <x v="0"/>
    <m/>
    <s v=""/>
    <n v="5"/>
    <n v="10"/>
    <n v="5"/>
    <n v="0"/>
    <n v="0"/>
    <n v="10"/>
    <n v="0"/>
    <n v="0"/>
    <n v="30"/>
    <x v="2"/>
    <s v="444R de Paraíso I, atendimento de Monte Santo, devido defeito a RDU está manobrada para o 454R"/>
  </r>
  <r>
    <n v="5841308190"/>
    <s v="58"/>
    <s v="NOVO JARDIM"/>
    <s v="DIANOPOLIS"/>
    <s v="SUL"/>
    <s v="CONCLUÍDA"/>
    <x v="0"/>
    <x v="0"/>
    <x v="4"/>
    <x v="16"/>
    <m/>
    <s v=""/>
    <n v="0"/>
    <n v="20"/>
    <n v="0"/>
    <n v="10"/>
    <n v="0"/>
    <s v="-"/>
    <s v="-"/>
    <s v="-"/>
    <n v="30"/>
    <x v="3"/>
    <s v="Equipamento obsoleto com a entrada da SE Serras Gerais"/>
  </r>
  <r>
    <n v="5844630060"/>
    <s v="58"/>
    <s v="NOVA OLINDA"/>
    <s v="COLINAS DO TOCANTINS"/>
    <s v="NORTE"/>
    <s v="CONCLUÍDA"/>
    <x v="6"/>
    <x v="13"/>
    <x v="2"/>
    <x v="1"/>
    <n v="1"/>
    <s v=""/>
    <n v="20"/>
    <n v="0"/>
    <n v="0"/>
    <n v="10"/>
    <n v="0"/>
    <s v="-"/>
    <s v="-"/>
    <s v="-"/>
    <n v="30"/>
    <x v="3"/>
    <s v="Atendimento dos ramais PA Remansão e Água Branca"/>
  </r>
  <r>
    <n v="5855411017"/>
    <s v="58"/>
    <s v="BARROLANDIA"/>
    <s v="MIRACEMA DO TOCANTINS"/>
    <s v="CENTRO"/>
    <s v="ETO-COEP 00156/2026"/>
    <x v="3"/>
    <x v="0"/>
    <x v="2"/>
    <x v="6"/>
    <n v="1"/>
    <s v="20/07 PARECER COCM: NÃO RECEBEMOS MATERIAL10/07 PARECER COEP: EQUIPAMENTO ENTREGUE AOS COCM´S FAVOR INFORMAR PRAZO DE SUBSTUIÇÃO PARA O DMSL E REPASSAR DEPOIS PARA PROTEÇÃO REALIZAR OS AJUSTES E DESCREVER NA SS O SERVIÇO REALIZADOPARECER COEP: EQUIPAMENTO EM ROTA DE ENTREGASEM COMUNICAÇÃO, FALHA DE ALIMENTAÇÃO - REALIZADO PRIMEIRO ATAQUE SEM SUCESSO.PARECER DMSL: 17/09/2025 Equipamento ficou em operação? Não Pendência: sim. Equipamento ficou Bay passado levar controle  COMPLETO para trocar. ellisfran"/>
    <n v="0"/>
    <n v="0"/>
    <n v="0"/>
    <n v="10"/>
    <n v="20"/>
    <s v="-"/>
    <s v="-"/>
    <s v="-"/>
    <n v="30"/>
    <x v="3"/>
    <s v="Atendimento do Assentamento Irmã Adelaide"/>
  </r>
  <r>
    <n v="7900505026"/>
    <s v="79"/>
    <s v="PONTE ALTA TOCANTINS"/>
    <s v="PONTE ALTA TOCANTINS"/>
    <s v="CENTRO"/>
    <s v="CONCLUÍDA"/>
    <x v="0"/>
    <x v="0"/>
    <x v="0"/>
    <x v="0"/>
    <m/>
    <s v=""/>
    <n v="5"/>
    <n v="5"/>
    <n v="5"/>
    <n v="0"/>
    <n v="0"/>
    <n v="0"/>
    <n v="10"/>
    <n v="0"/>
    <n v="25"/>
    <x v="3"/>
    <s v="Atendimento do Ramal do Gato (288 UCs) e UFV Videira, no desarme a jusante penaliza a cidade de Pindorama"/>
  </r>
  <r>
    <n v="7908196047"/>
    <s v="79"/>
    <s v="FIGUEIROPOLIS"/>
    <s v="ALVORADA"/>
    <s v="SUL"/>
    <s v="ETO-TELE 01002/2026"/>
    <x v="3"/>
    <x v="0"/>
    <x v="2"/>
    <x v="3"/>
    <n v="1"/>
    <s v="13/07/2026 PARECER COEP: EQUIPAMENTO REMANEJADO FAVOR FAZER O COMISSIONAMENTORELIGADOR N° 7908196047 REMANEJADO NA OBRA 0402401150 GENTILEZA, REALIZAR O COMISSIONAMENTO. LAUDO EM ANEXO. COORD EO: 698485, 8657287PARECER DA PROTEÇÃO:AJUSTE DISPONIBILIZADO NO APP DA PROTEÇÃO, NOTA REPASSADA PARA DMSL COMISSIONAR, POLO GURUPI, RL APENAS REMANEJADO DA REDE VELHA PARA REDE NOVA, EQUIPAMENTO COOPER, SE MANTEVE O MESMO NÚMERO DE ATIVO.ENG° IRLLEY CASTELO BRANCO.PARECER DMSL: Constatado curto-circuito no tanque do religador, impedindo as operações de abertura e fechamento do equipamento. Solicita-se a substituição completa do religador, incluindo tanque e unidade de controle."/>
    <n v="5"/>
    <n v="5"/>
    <n v="5"/>
    <n v="0"/>
    <n v="0"/>
    <n v="0"/>
    <n v="10"/>
    <n v="0"/>
    <n v="25"/>
    <x v="3"/>
    <s v="Seccionamento do Rural e energização do 224R"/>
  </r>
  <r>
    <n v="7921202014"/>
    <s v="79"/>
    <s v="PIUM"/>
    <s v="PARAISO DO TOCANTINS"/>
    <s v="CENTRO"/>
    <s v="ETO-COEP 00132/2026"/>
    <x v="3"/>
    <x v="0"/>
    <x v="2"/>
    <x v="10"/>
    <n v="1"/>
    <s v="PARECER COEP: EQUIPAMENTO SELECIONADO PARA COMPRA , DEVERIA SER SUBSTITUIDO PARTE ATIVAPARECER DMSL: Serviço Executado: _ indentificado o problema na parte ativa será  necessário fazer a substituição da mesmo, feito a medição do aterramento. Preciso substituir para raio da fase c.Equipamento ficou em operação?: _NAOPendência: _SimBateria(s) substituída(s)? _NãoData Fabricação/Instalação da(s) bateria(s):_Equipe: _Benvindo e kaique----------------------------------------------------------------------------------RL com defeito no rele, fica só reiniciando ficou By passado OS atendimento primeiro ataque 106530226"/>
    <n v="5"/>
    <n v="5"/>
    <n v="5"/>
    <n v="0"/>
    <n v="0"/>
    <n v="10"/>
    <n v="0"/>
    <n v="0"/>
    <n v="25"/>
    <x v="3"/>
    <s v="Atendimento de Clientes rurais (483 UCs)"/>
  </r>
  <r>
    <n v="7923927122"/>
    <s v="79"/>
    <s v="PALMAS"/>
    <s v="PALMAS"/>
    <s v="CENTRO"/>
    <s v="ETO-COEP 00148/2026"/>
    <x v="3"/>
    <x v="0"/>
    <x v="2"/>
    <x v="10"/>
    <n v="1"/>
    <s v="PARECER DMSL 16/07: Nota solicitada ao DMSL com a informação de que o tanque precisa ser substituído. Estou encaminhando a nota para a área responsável.Segue nota para envia manutenção substituir tanque do RL-7923927122 em curto, Anomalia identificada desarme das LD, s Palmas / Aparecida e Palmas Taquaruçu, Acesso livre, Tensão 34,5kv, Local RL de Interligação entre 424R / 414R."/>
    <n v="15"/>
    <n v="0"/>
    <n v="0"/>
    <n v="0"/>
    <n v="0"/>
    <n v="10"/>
    <n v="0"/>
    <n v="0"/>
    <n v="25"/>
    <x v="3"/>
    <s v="Transferência entre 414R e 424R SE Palmas II"/>
  </r>
  <r>
    <n v="7927446001"/>
    <s v="79"/>
    <s v="PORTO NACIONAL"/>
    <s v="PORTO NACIONAL"/>
    <s v="CENTRO"/>
    <s v="ETO-COEP 00143/2025"/>
    <x v="3"/>
    <x v="0"/>
    <x v="2"/>
    <x v="3"/>
    <n v="1"/>
    <s v="30/06 PARECER COEP: EQUIPAMENTO COMPLETOSegue para verificação RL sem comunicação feito primeiro ataque sem sucesso.PARECER DMSL:Data:* _08/07/2025Serviço Executado: Placa de alimentação danificada, devido a curto, não temos material sobressalente para manutenção! Favor substituir o equipamento completo.Obs.: O rádio ficou dentro do controle, favor orientar a equipe que for substituir colocar dentro do controle novo.Equipamento ficou em operação?: Não Pendência: Sim, substituir equipamento completo."/>
    <n v="5"/>
    <n v="5"/>
    <n v="5"/>
    <n v="0"/>
    <n v="0"/>
    <n v="10"/>
    <n v="0"/>
    <n v="0"/>
    <n v="25"/>
    <x v="3"/>
    <s v="Alimentação de Monte do Carmo por Porto Nacional"/>
  </r>
  <r>
    <n v="7928241200"/>
    <s v="79"/>
    <s v="SAO SALVADOR DO TOCANTINS"/>
    <s v="PEIXE"/>
    <s v="SUL"/>
    <s v="ETO-COEP 00128/2026"/>
    <x v="3"/>
    <x v="0"/>
    <x v="2"/>
    <x v="10"/>
    <n v="1"/>
    <s v="PARECER COEP: EQUIPAMENTO SELECIONADO  PARA COMPRAPARECER DMSL: Tinha uma nota aberta 422/2025 e logo após a equipe resolver a comunicação ela foi baixada, porém a equipe relatou que ''na estrada ontem o COS nos avisou para voltar que na hora de colocar em operação ele tirou a linha fora. Hoje retornamos nele e fizemos ensaios elétricos e foi constatado que o tanque está em curto. Passa direto aí para o Dcmd para substituição do tanque.''"/>
    <n v="5"/>
    <n v="5"/>
    <n v="5"/>
    <n v="0"/>
    <n v="0"/>
    <n v="10"/>
    <n v="0"/>
    <n v="0"/>
    <n v="25"/>
    <x v="3"/>
    <s v="Fonte principal do Ramal do Retiro (246UCs), RL transferência by-passado"/>
  </r>
  <r>
    <n v="7942485096"/>
    <s v="79"/>
    <s v="PINDORAMA DO TOCANTINS"/>
    <s v="PONTE ALTA TOCANTINS"/>
    <s v="CENTRO"/>
    <s v="ETO-COEP 00158/2025"/>
    <x v="3"/>
    <x v="0"/>
    <x v="2"/>
    <x v="10"/>
    <n v="1"/>
    <s v="30/06 PARECER COEP: EQUIPAMENTO SELECIONADO PARA COMPRARELIGADOR COM DEFEITO 7942485096, ESTA DANDO PASSAGEM ESTANDO ABERTO. NÃO ACEITA COMANDOS. FICOU BY PASSADO EM CAMPO PARA MANUTENÇÃO.PARECER DMSL: Ao testar o tanque, foi constatado que o mesmo está danificado e precisa ser substituído.Substituir somente o tanque. Deixar claro na nota para o dcmd substituir somente o tanque. Não tem necessidade de substituir o controle."/>
    <n v="5"/>
    <n v="5"/>
    <n v="5"/>
    <n v="0"/>
    <n v="0"/>
    <n v="10"/>
    <n v="0"/>
    <n v="0"/>
    <n v="25"/>
    <x v="3"/>
    <s v="Transferência da PCH Bagagem"/>
  </r>
  <r>
    <n v="7955430075"/>
    <s v="79"/>
    <s v="DOIS IRMAOS DO TOCANTINS"/>
    <s v="DIVINOPOLIS"/>
    <s v="CENTRO"/>
    <s v="CONCLUÍDA"/>
    <x v="0"/>
    <x v="0"/>
    <x v="0"/>
    <x v="0"/>
    <m/>
    <s v=""/>
    <n v="5"/>
    <n v="5"/>
    <n v="5"/>
    <n v="0"/>
    <n v="0"/>
    <n v="0"/>
    <n v="10"/>
    <n v="0"/>
    <n v="25"/>
    <x v="3"/>
    <s v="Atendimento do Ramal do Boleu (13 UCs), no desarme a jusante penaliza parte 303 UCs rurais"/>
  </r>
  <r>
    <n v="7955686076"/>
    <s v="79"/>
    <s v="DUERE"/>
    <s v="GURUPI"/>
    <s v="SUL"/>
    <s v="CONCLUÍDA"/>
    <x v="0"/>
    <x v="0"/>
    <x v="0"/>
    <x v="0"/>
    <m/>
    <s v=""/>
    <n v="5"/>
    <n v="5"/>
    <n v="0"/>
    <n v="0"/>
    <n v="15"/>
    <n v="0"/>
    <n v="0"/>
    <n v="0"/>
    <n v="25"/>
    <x v="3"/>
    <s v="Fonte alternativa de atendimento do Ramal Bacuri (217 UCs)"/>
  </r>
  <r>
    <n v="7955946007"/>
    <s v="79"/>
    <s v="MIRACEMA DO TOCANTINS"/>
    <s v="MIRACEMA DO TOCANTINS"/>
    <s v="CENTRO"/>
    <s v="ETO-COEP 00134/2026"/>
    <x v="3"/>
    <x v="0"/>
    <x v="2"/>
    <x v="2"/>
    <n v="1"/>
    <s v="13/07/2026 PARECER COEP: SUBSTITUIR CONTOLE OU MANDAR MANUTENCIONAR EM CASO DE PRIORIDADE ALTAPARECER DMSL: Necessário substituir a placa de alimentação ca, a mesma está em curto não conseguimos recuperar. (Antiga nota era pra ter sido repassada porém foi baixada indevidamente pela equipe)"/>
    <n v="5"/>
    <n v="5"/>
    <n v="5"/>
    <n v="0"/>
    <n v="0"/>
    <n v="0"/>
    <n v="10"/>
    <n v="0"/>
    <n v="25"/>
    <x v="3"/>
    <s v="Alimentação do serviço auxiliar da Investco e clientes rurais (260 UCs)"/>
  </r>
  <r>
    <n v="7901110084"/>
    <s v="79"/>
    <s v="DIVINOPOLIS"/>
    <s v="DIVINOPOLIS"/>
    <s v="CENTRO"/>
    <s v="ETO-COEP 00061/2026"/>
    <x v="3"/>
    <x v="0"/>
    <x v="2"/>
    <x v="10"/>
    <n v="1"/>
    <s v="PARECER COEP: EQUIPAMENTO SELECIONADO PARA COMPRAPARECER DMSL: Serviço Executado: Foi feito análise técnica, testes funcionais e identificado que a parte ativa do equipamento está com defeito. Necessário substituir a parte ativa.FICOU EM OPERAÇÃO? Não- EQUIPE: Carliel e BenvindoSegue SS para verificaçao Rl esta danificado dando passagem de tensão mesmo aberto Sim, quando retornar trazer uma fonte pois a mesma foi removida."/>
    <n v="5"/>
    <n v="5"/>
    <n v="0"/>
    <n v="0"/>
    <n v="0"/>
    <n v="0"/>
    <n v="10"/>
    <n v="0"/>
    <n v="20"/>
    <x v="3"/>
    <s v="Localizado na fonte principal de atendimento de Divinópolis e Abreulândia"/>
  </r>
  <r>
    <n v="7908206074"/>
    <s v="79"/>
    <s v="DIANOPOLIS"/>
    <s v="DIANOPOLIS"/>
    <s v="SUL"/>
    <s v="CONCLUÍDA"/>
    <x v="0"/>
    <x v="0"/>
    <x v="0"/>
    <x v="0"/>
    <m/>
    <s v=""/>
    <n v="5"/>
    <n v="5"/>
    <n v="0"/>
    <n v="0"/>
    <n v="0"/>
    <n v="0"/>
    <n v="10"/>
    <n v="0"/>
    <n v="20"/>
    <x v="3"/>
    <s v="Atendimento do PA Novo Plano (102 UCs)"/>
  </r>
  <r>
    <n v="7908708116"/>
    <s v="79"/>
    <s v="CHAPADA DA NATIVIDADE"/>
    <s v="DIANOPOLIS"/>
    <s v="SUL"/>
    <s v="CONCLUÍDA"/>
    <x v="10"/>
    <x v="0"/>
    <x v="2"/>
    <x v="3"/>
    <m/>
    <s v=""/>
    <n v="5"/>
    <n v="5"/>
    <n v="0"/>
    <n v="0"/>
    <n v="0"/>
    <n v="0"/>
    <n v="10"/>
    <n v="0"/>
    <n v="20"/>
    <x v="3"/>
    <s v="Atendimento do PA Xobo (194 UCs)"/>
  </r>
  <r>
    <n v="7910027196"/>
    <s v="79"/>
    <s v="LAGOA DO TOCANTINS"/>
    <s v="TAQUARALTO"/>
    <s v="CENTRO"/>
    <s v="CONCLUÍDA"/>
    <x v="3"/>
    <x v="0"/>
    <x v="2"/>
    <x v="3"/>
    <n v="1"/>
    <s v=""/>
    <n v="5"/>
    <n v="5"/>
    <n v="0"/>
    <n v="0"/>
    <n v="0"/>
    <n v="0"/>
    <n v="10"/>
    <n v="0"/>
    <n v="20"/>
    <x v="3"/>
    <s v="Atendimento do Ramal do Rio Preto (197 UCs)"/>
  </r>
  <r>
    <n v="7913662076"/>
    <s v="79"/>
    <s v="DUERE"/>
    <s v="GURUPI"/>
    <s v="SUL"/>
    <s v="ETO-COEP 00114/2026"/>
    <x v="3"/>
    <x v="14"/>
    <x v="2"/>
    <x v="10"/>
    <n v="1"/>
    <s v="30/06 PARECER COEP: AGUARDANDO RETORNO DO DMSL PARA ENTENDER EXATAMENTE O QUE TENHO QUE SUBSTITUIRAberto nota para substituir tanque danificado e chave de entrada fase B danificadaPARECER DMSL: Foi confirmado pela equipe DMSL o defeito do tanque, favor seguir com a substituição e correção da chave de entrada fase B danificada."/>
    <n v="5"/>
    <n v="5"/>
    <n v="0"/>
    <n v="0"/>
    <n v="0"/>
    <n v="10"/>
    <n v="0"/>
    <n v="0"/>
    <n v="20"/>
    <x v="3"/>
    <s v="Atendimento do Ramal do Bacuri (168 UCs)"/>
  </r>
  <r>
    <n v="5862236091"/>
    <s v="58"/>
    <s v="ALMAS"/>
    <s v="DIANOPOLIS"/>
    <s v="SUL"/>
    <s v="ETO-RD-DP 00457/2026"/>
    <x v="3"/>
    <x v="0"/>
    <x v="2"/>
    <x v="1"/>
    <n v="1"/>
    <s v="20/07 PARECER COEP: EQUIPAMENTO ENTREGUE , FAVOR EDITAR A SS COM A DATA PREVISTA DE SUBSTITUIÇÃO NO PARECER DOS COCM´S Realizar substituição da FASE B.Célula da fase B estava com a tampa do contador de tape aberta, pegou chuva e molhou os contatos danificando a peça toda."/>
    <n v="0"/>
    <n v="0"/>
    <n v="0"/>
    <n v="20"/>
    <n v="0"/>
    <s v="-"/>
    <s v="-"/>
    <s v="-"/>
    <n v="20"/>
    <x v="3"/>
    <s v="Atendimento da LD Vale Rio Doce (Nova Aura Mineradora)"/>
  </r>
  <r>
    <n v="5836786094"/>
    <s v="58"/>
    <s v="PEIXE"/>
    <s v="PEIXE"/>
    <s v="SUL"/>
    <s v="ETO-COEP 00095/2026"/>
    <x v="6"/>
    <x v="15"/>
    <x v="2"/>
    <x v="1"/>
    <n v="1"/>
    <s v="24/07 PARECER COEP:EQUIPAMENTO EM LOGISTICA DE ENTREGA Favor levar outro regulador de tensão, pois o mesmo foi furtado em campo."/>
    <n v="0"/>
    <n v="0"/>
    <n v="0"/>
    <n v="10"/>
    <n v="10"/>
    <s v="-"/>
    <s v="-"/>
    <s v="-"/>
    <n v="20"/>
    <x v="3"/>
    <s v="Atendimento de clientes rurais na LD Peixe Angical - Peixe"/>
  </r>
  <r>
    <n v="7919270014"/>
    <s v="79"/>
    <s v="PIUM"/>
    <s v="PARAISO DO TOCANTINS"/>
    <s v="CENTRO"/>
    <s v="ETO-RD-PS 00327/2026"/>
    <x v="3"/>
    <x v="0"/>
    <x v="2"/>
    <x v="0"/>
    <m/>
    <s v="PARECER COEP: AGUARDANDO RETORNO DO DMSL, EQUIPAMENTO FOI INSTALADO NOVO NA OBRA 0212501060, ENTENDER O PORQUE NÃO FOI REALIZADO COMISSIONAMENTOPARECER DMSL: Substituir Equipamento completo problema na placa de alimentação e na parte ativa, falta colocar placa de identificação correta na topologia, baixar o controle.Equipamento ficou em operação?: naoPendência: simBateria(s) substituída(s)? NÃOEquipe: Kaique/ Benvindo13/07/2026 PARECER COEP: SUBSTITUIÇÃO REALZIADA , FAVOR COMISSIONARPARECER DMSL (22/07/26): Solicito que o laudo de substituição seja anexado, e a SS seja repassada para proteção atribuir a ordem de ajuste, antes de repassar para ETO-TELE.----------------------------------------------PARECER DA PROTEÇÃO: Prosseguir com o comissionamento. Ajustes de religador permanecem os mesmos, disponíveis no APP da Proteção.********************************RELIGADOR N°7919270014 REMANEJADO NA OBRA 0212501060 GENTILEZA, REALIZAR O COMISSIONAMENTO. LAUDO EM ANEXO. COORD EO: 617422, 8830787"/>
    <n v="5"/>
    <n v="5"/>
    <n v="0"/>
    <n v="0"/>
    <n v="0"/>
    <n v="10"/>
    <n v="0"/>
    <n v="0"/>
    <n v="20"/>
    <x v="3"/>
    <s v="Atendimento de Clientes rurais (48 UCs)"/>
  </r>
  <r>
    <n v="7926442035"/>
    <s v="79"/>
    <s v="MONTE DO CARMO"/>
    <s v="PONTE ALTA TOCANTINS"/>
    <s v="CENTRO"/>
    <s v="ETO-COEP 00051/2026"/>
    <x v="3"/>
    <x v="14"/>
    <x v="2"/>
    <x v="17"/>
    <n v="1"/>
    <s v="PARECER COEP: EQUIPAMENTO SELECIONADO PARA COMPRAPARECER DMSL: Data: 12/03/2026 Serviço Executado:- Análise técnica constatou:- Parte ativa do equipamento danificada: necessita substituição- Trafo danificado: foi feitos testes nas buchas secundárias o mesmo não chega tensão    - Vazamento de óleo    - Necessita substituiçãoEquipamento ficou em operação? NãoPendências:- Solicitar limpeza de faixa para acesso ao equipamento- Trocar parte ativa do equipamento- Substituir o trafoEquipe: Carliel e João VitorSegue nota para envia equipe verificar falha de comunicação e automação no RL-7926442035 feito primeiro ataque com equipe 035OP02, porém sem sucesso. "/>
    <n v="5"/>
    <n v="5"/>
    <n v="0"/>
    <n v="0"/>
    <n v="0"/>
    <n v="0"/>
    <n v="10"/>
    <n v="0"/>
    <n v="20"/>
    <x v="3"/>
    <s v="Atenidmento do PA Principado (200 UCs)"/>
  </r>
  <r>
    <n v="7954668084"/>
    <s v="79"/>
    <s v="DIVINOPOLIS"/>
    <s v="DIVINOPOLIS"/>
    <s v="CENTRO"/>
    <s v="CONCLUÍDA"/>
    <x v="0"/>
    <x v="0"/>
    <x v="0"/>
    <x v="0"/>
    <m/>
    <s v=""/>
    <n v="5"/>
    <n v="5"/>
    <n v="0"/>
    <n v="0"/>
    <n v="0"/>
    <n v="0"/>
    <n v="10"/>
    <n v="0"/>
    <n v="20"/>
    <x v="3"/>
    <s v="Atendimento do PA Piedade (125 UCs)"/>
  </r>
  <r>
    <n v="7938137007"/>
    <s v="79"/>
    <s v="MIRACEMA DO TOCANTINS"/>
    <s v="MIRACEMA DO TOCANTINS"/>
    <s v="CENTRO"/>
    <s v="ETO-COEP 00144/2026"/>
    <x v="3"/>
    <x v="0"/>
    <x v="2"/>
    <x v="18"/>
    <n v="1"/>
    <s v="PARECER DMSL 09/07/2026: GENTILEZA VERIFICAR HAVIA UMA NOTA ABERTA, EQUIPE RETORNOU EM CAMPO E NÃO FOI REALIZADAserviço realizado na SS ENC-RD-PS 1397/2025, REPASSANDO PARA COMISSIONARRL 7938137007 NO RL INSTALAR BATERIA NOVA E RADIO A PEDIDO DE KAROLINY DMSLACESSO LIVREPARECER DMSL: * equipamento esta com a bucha da fase A com problemas(solta), necessário substituir* Trafo do serviço auxiliar esta vazando óleo, necessário substituir- Material ainda não foi entregue para substituição 15/07/2026"/>
    <n v="5"/>
    <n v="5"/>
    <n v="5"/>
    <n v="0"/>
    <n v="0"/>
    <n v="0"/>
    <n v="0"/>
    <n v="0"/>
    <n v="15"/>
    <x v="3"/>
    <s v="Transferência do Irmã Adelaide (470 UCs)"/>
  </r>
  <r>
    <n v="5856156091"/>
    <s v="58"/>
    <s v="ALMAS"/>
    <s v="DIANOPOLIS"/>
    <s v="SUL"/>
    <s v="ETO-RD-DP 00403/2026"/>
    <x v="3"/>
    <x v="16"/>
    <x v="2"/>
    <x v="7"/>
    <n v="3"/>
    <s v="DCMD 26.03.2026. SS REPASSADA PARA COEP PROVIDENCIAR MATERIAL. NÃO TEMOS O MATERIAL EM ESTOQUE PARA SUBSTITUIÇÃO. COEP: Equipamento fornecido ao COCM-S para regularização.PARECER COEP: EQUIPAMENTOS JÁ FORNECIDOS PARA OS COCM'S PARA REGULARIZAÇÃOPARECER DA PROTEÇÃO:EQUIPAMENTOS FURTADOS. PARA AQUISIÇÃO DAS CELULAS DE REPOSIÇÃO, FAVOR CONSULTAR OS DADOS DE PLACA EM ANEXO.PARECER DA PROTEÇÃO:COMISISONAR RT 5856156091 LD DIANOPOLIS A NATIVIDADE. NECESSARIO REALIZAR MEDIÇÕES DA RESISTENCIA DA MALHA DE ATERRAMENTO.AJUSTES DISPONIVEIS NO APP DA PROTEÇÃO.RELIGADOR N° 5856156091 INSTALADO NA OBRA 0502400526 GENTILEZA, REALIZAR O COMISSIONAMENTO. LAUDO EM ANEXO. COORD EO: 899501, 8714782"/>
    <n v="0"/>
    <n v="0"/>
    <n v="0"/>
    <n v="0"/>
    <n v="0"/>
    <s v="-"/>
    <s v="-"/>
    <s v="-"/>
    <n v="0"/>
    <x v="3"/>
    <s v="Equipamento novo furtado antes de ser colocado em operação"/>
  </r>
  <r>
    <n v="5858783119"/>
    <s v="58"/>
    <s v="SAO BENTO DO TOCANTINS"/>
    <s v="TOCANTINOPOLIS"/>
    <s v="NORTE"/>
    <s v="ETO-TELE 01032/2026"/>
    <x v="12"/>
    <x v="0"/>
    <x v="2"/>
    <x v="0"/>
    <m/>
    <s v="27/07/2026 PARECER COEP: FIZEMOS UMA VISITA AO EQUIPAMENTO , EQUIPAMENTO SE ENCONTRA EM OPERAÇÃO E SEM SINAL DE AVARIA FAVOR AVALIAR PARECER DMSL A SS FOTOS COM O LUANDERSSON OU JOAO ANTONIO LAGARES 20/07 PARECER COEP: EQUIPAMENTO SELECIONADO PARA COMPRA , DEVIDO AO ERRO NA INSTALAÇÃO E O FURTOPARECER DMSL: 16/06/2025-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
    <n v="0"/>
    <n v="0"/>
    <n v="0"/>
    <n v="0"/>
    <n v="0"/>
    <s v="-"/>
    <s v="-"/>
    <s v="-"/>
    <n v="0"/>
    <x v="3"/>
    <s v="Equipamento não inserido no SCADA"/>
  </r>
  <r>
    <n v="7900532053"/>
    <s v="79"/>
    <s v="PIRAQUE"/>
    <s v="TOCANTINOPOLIS"/>
    <s v="NORTE"/>
    <s v="CONCLUÍDA"/>
    <x v="13"/>
    <x v="0"/>
    <x v="2"/>
    <x v="19"/>
    <m/>
    <s v=""/>
    <n v="0"/>
    <n v="0"/>
    <n v="0"/>
    <n v="0"/>
    <n v="0"/>
    <n v="0"/>
    <n v="0"/>
    <n v="0"/>
    <n v="0"/>
    <x v="3"/>
    <s v="Equipamento não identificado no SCADA e Mapa TS"/>
  </r>
  <r>
    <n v="7925713040"/>
    <s v="79"/>
    <s v="ARAGOMINAS"/>
    <s v="ARAGUAINA"/>
    <s v="NORTE"/>
    <s v="CONCLUÍDA"/>
    <x v="0"/>
    <x v="0"/>
    <x v="2"/>
    <x v="0"/>
    <m/>
    <s v=""/>
    <s v=" "/>
    <m/>
    <m/>
    <m/>
    <m/>
    <m/>
    <m/>
    <m/>
    <n v="0"/>
    <x v="4"/>
    <m/>
  </r>
  <r>
    <n v="7948412064"/>
    <s v="79"/>
    <s v="BRASILANDIA DO TOCANTINS"/>
    <s v="GUARAI"/>
    <s v="NORTE"/>
    <s v="CONCLUÍDA"/>
    <x v="0"/>
    <x v="0"/>
    <x v="2"/>
    <x v="0"/>
    <m/>
    <s v=""/>
    <s v=" "/>
    <m/>
    <m/>
    <m/>
    <m/>
    <m/>
    <m/>
    <m/>
    <n v="0"/>
    <x v="4"/>
    <m/>
  </r>
  <r>
    <n v="7955832052"/>
    <s v="79"/>
    <s v="FORMOSO DO ARAGUAIA"/>
    <s v="FORMOSO DO ARAGUAIA"/>
    <s v="SUL"/>
    <s v="ETO-TELE 00982/2026"/>
    <x v="0"/>
    <x v="0"/>
    <x v="2"/>
    <x v="0"/>
    <m/>
    <s v="SEGUE SOLICITAÇÃO DE SERVIÇO PARA REALIZAR VERIFICAÇÃO DO RL 7955832052 EQUIPAMENTO DE INTEELIGAÇÃO O MESMO ESTA SEM COMUNICAÇÃO ...FOI REALIZADO PRIMEIRO ATAQUE COM EQUIPE SINERGIA DE FORMOSO EO EQUIPAMENTO NÃO VOLTOU"/>
    <s v=" "/>
    <m/>
    <m/>
    <m/>
    <m/>
    <m/>
    <m/>
    <m/>
    <n v="0"/>
    <x v="4"/>
    <m/>
  </r>
  <r>
    <n v="7930359149"/>
    <s v="79"/>
    <s v="CASEARA"/>
    <s v="DIVINOPOLIS"/>
    <s v="CENTRO"/>
    <s v="ETO-COEP 00138/2026"/>
    <x v="0"/>
    <x v="0"/>
    <x v="2"/>
    <x v="0"/>
    <m/>
    <s v="PARECER DMSL 07/07/2026: equipamento tem que ser subistuido pois não faz comando, parte ativa com defeito FEITO O PRIMEIRO ATAQUE NO RELIGADOR 7930359149 E MESMO NÃO ACEITA COMANDO NEM LOCAL E NEM REMOTO SEGUNDO EQUIPE 149OP02 E PLACA DO RL ESTA CARBONIZADA COM SINAL DE CURTO."/>
    <s v=" "/>
    <m/>
    <m/>
    <m/>
    <m/>
    <m/>
    <m/>
    <m/>
    <n v="0"/>
    <x v="4"/>
    <m/>
  </r>
  <r>
    <n v="7902098003"/>
    <s v="79"/>
    <s v="GURUPI"/>
    <s v="GURUPI"/>
    <s v="SUL"/>
    <s v="ETO-TELE 00932/2026"/>
    <x v="0"/>
    <x v="0"/>
    <x v="2"/>
    <x v="0"/>
    <m/>
    <s v="Segue SS de religador 7902098003 sem comunicação. Foi realizado o primeiro ataque porem o mesmo não retornou a comunicação."/>
    <s v=" "/>
    <m/>
    <m/>
    <m/>
    <m/>
    <m/>
    <m/>
    <m/>
    <n v="0"/>
    <x v="4"/>
    <m/>
  </r>
  <r>
    <n v="7953211079"/>
    <s v="79"/>
    <s v="ITAPIRATINS"/>
    <s v="GUARAI"/>
    <s v="NORTE"/>
    <s v="ETO-COEP 00147/2026"/>
    <x v="0"/>
    <x v="0"/>
    <x v="2"/>
    <x v="0"/>
    <m/>
    <s v="20/07 PARECER COEP: EQUIPAMENTO SELECIONADO PARA COMPRASegue nota para substituir relé religador avariado marca noja , equipamento N: 7953211079 - Itapiratins .Obs: informação repassado pelo técnico DMSL Bruno ."/>
    <s v=" "/>
    <m/>
    <m/>
    <m/>
    <m/>
    <m/>
    <m/>
    <m/>
    <n v="0"/>
    <x v="4"/>
    <m/>
  </r>
  <r>
    <n v="7949648145"/>
    <s v="79"/>
    <s v="MAURILANDIA DO TOCANTINS"/>
    <s v="AUGUSTINOPOLIS"/>
    <s v="NORTE"/>
    <s v="ETO-TELE 00929/2026"/>
    <x v="0"/>
    <x v="0"/>
    <x v="2"/>
    <x v="0"/>
    <m/>
    <s v="FEITO PRIMEIRO ATAQUE COM A EQUIPE LOCAL E NÃO VOLTOU A COMUNICAR. PROVIDENCIAR MANUTENÇÃO PARA O MESMO."/>
    <s v=" "/>
    <m/>
    <m/>
    <m/>
    <m/>
    <m/>
    <m/>
    <m/>
    <n v="0"/>
    <x v="4"/>
    <m/>
  </r>
  <r>
    <n v="7957021094"/>
    <s v="79"/>
    <s v="PEIXE"/>
    <s v="PEIXE"/>
    <s v="SUL"/>
    <s v="CONCLUÍDA"/>
    <x v="0"/>
    <x v="0"/>
    <x v="2"/>
    <x v="0"/>
    <m/>
    <s v=""/>
    <s v=" "/>
    <m/>
    <m/>
    <m/>
    <m/>
    <m/>
    <m/>
    <m/>
    <n v="0"/>
    <x v="4"/>
    <m/>
  </r>
  <r>
    <n v="7908300096"/>
    <s v="79"/>
    <s v="PINDORAMA DO TOCANTINS"/>
    <s v="PONTE ALTA TOCANTINS"/>
    <s v="CENTRO"/>
    <s v="ETO-TELE 00938/2026"/>
    <x v="0"/>
    <x v="0"/>
    <x v="2"/>
    <x v="0"/>
    <m/>
    <s v="Segue nota para verificar falha intermitência na comunicação RL 7908300096 RDU- Pindorama ."/>
    <s v=" "/>
    <m/>
    <m/>
    <m/>
    <m/>
    <m/>
    <m/>
    <m/>
    <n v="0"/>
    <x v="4"/>
    <m/>
  </r>
  <r>
    <n v="7953570026"/>
    <s v="79"/>
    <s v="PONTE ALTA TOCANTINS"/>
    <s v="PONTE ALTA TOCANTINS"/>
    <s v="CENTRO"/>
    <s v="ETO-TELE 00892/2026"/>
    <x v="0"/>
    <x v="0"/>
    <x v="2"/>
    <x v="0"/>
    <m/>
    <s v="Segue RL 7953570026 O MESMO FOI FEITO PRIMEIRO ATAQUE, painel do religador acendeu porem não voltou a comunicação junto ao SCADA, equipe fez teste em comando local, tudo normal porem sem retorno de comunicação, rl na SE DE PONTE ALTA"/>
    <s v=" "/>
    <m/>
    <m/>
    <m/>
    <m/>
    <m/>
    <m/>
    <m/>
    <n v="0"/>
    <x v="4"/>
    <m/>
  </r>
  <r>
    <n v="7911120026"/>
    <s v="79"/>
    <s v="PONTE ALTA TOCANTINS"/>
    <s v="PONTE ALTA TOCANTINS"/>
    <s v="CENTRO"/>
    <s v="DG-RD-PO 00444/2026"/>
    <x v="11"/>
    <x v="0"/>
    <x v="2"/>
    <x v="0"/>
    <m/>
    <s v="Segue nota para recuperar malha de aterramento no RL 7911120026 RDU- Ponte Alta .OBS: Provavelmente foi furtado cabos de aterramento   ."/>
    <s v=" "/>
    <m/>
    <m/>
    <m/>
    <m/>
    <m/>
    <m/>
    <m/>
    <n v="0"/>
    <x v="4"/>
    <m/>
  </r>
  <r>
    <n v="5820790038"/>
    <s v="58"/>
    <s v="TAGUATINGA"/>
    <s v="DIANOPOLIS"/>
    <s v="SUL"/>
    <s v="CONCLUÍDA"/>
    <x v="0"/>
    <x v="0"/>
    <x v="2"/>
    <x v="0"/>
    <m/>
    <s v=""/>
    <s v=" "/>
    <m/>
    <m/>
    <m/>
    <m/>
    <m/>
    <m/>
    <m/>
    <n v="0"/>
    <x v="4"/>
    <m/>
  </r>
  <r>
    <n v="7934697002"/>
    <s v="79"/>
    <s v="TOCANTINOPOLIS"/>
    <s v="TOCANTINOPOLIS"/>
    <s v="NORTE"/>
    <s v="CONCLUÍDA"/>
    <x v="0"/>
    <x v="0"/>
    <x v="2"/>
    <x v="0"/>
    <m/>
    <s v=""/>
    <s v=" "/>
    <m/>
    <m/>
    <m/>
    <m/>
    <m/>
    <m/>
    <m/>
    <n v="0"/>
    <x v="4"/>
    <m/>
  </r>
  <r>
    <n v="7908716091"/>
    <s v="79"/>
    <m/>
    <m/>
    <m/>
    <s v="ETO-TELE 01019/2026"/>
    <x v="0"/>
    <x v="0"/>
    <x v="2"/>
    <x v="0"/>
    <m/>
    <s v="Segue nota para verificar falha de comunicação no religador 7908716091 - Rural -  Almas  .Equipamento perdeu a comunicação quando faltou CA , porém mesmo ao retorna o CA não retornou à comunicação !"/>
    <m/>
    <m/>
    <m/>
    <m/>
    <m/>
    <m/>
    <m/>
    <m/>
    <n v="0"/>
    <x v="4"/>
    <m/>
  </r>
  <r>
    <n v="5848305116"/>
    <s v="58"/>
    <m/>
    <m/>
    <m/>
    <s v="ETO-TELE 01005/2026"/>
    <x v="0"/>
    <x v="0"/>
    <x v="2"/>
    <x v="0"/>
    <m/>
    <s v="Segue nota para verificar falha e constantes travamento no regulador de tensão 5848305116 - chapada da Natividade .Foi identificado que regulador está com divergência em TAP&quot;S analógico e digital .Foi executado comandos no relé para comutar TAP na fase AB foi executado no relé , porém não alterou analógico e nem fez barulho algum , a princípio a fase C está normal ."/>
    <m/>
    <m/>
    <m/>
    <m/>
    <m/>
    <m/>
    <m/>
    <m/>
    <n v="0"/>
    <x v="4"/>
    <m/>
  </r>
  <r>
    <n v="7961368005"/>
    <s v="79"/>
    <m/>
    <m/>
    <m/>
    <s v="ETO-TELE 01007/2026"/>
    <x v="0"/>
    <x v="0"/>
    <x v="2"/>
    <x v="0"/>
    <m/>
    <s v="Favor verifcar Religador 7961368005 , equipamento sem comunicação , feito primeiro ataque com equipe operacional , porem não ouve retorno ."/>
    <m/>
    <m/>
    <m/>
    <m/>
    <m/>
    <m/>
    <m/>
    <m/>
    <n v="0"/>
    <x v="4"/>
    <m/>
  </r>
  <r>
    <n v="7929663074"/>
    <s v="79"/>
    <m/>
    <m/>
    <m/>
    <s v="ETO-TELE 01026/2026"/>
    <x v="0"/>
    <x v="0"/>
    <x v="2"/>
    <x v="0"/>
    <m/>
    <s v="Segue nota para verificar falha de comunicação no religador 7929663074  rural - Dianópolis  .Equipamento perde a comunicação quando falta CA !"/>
    <m/>
    <m/>
    <m/>
    <m/>
    <m/>
    <m/>
    <m/>
    <m/>
    <n v="0"/>
    <x v="4"/>
    <m/>
  </r>
  <r>
    <n v="7900722193"/>
    <s v="79"/>
    <m/>
    <m/>
    <m/>
    <s v="ETO-TELE 01029/2026"/>
    <x v="0"/>
    <x v="0"/>
    <x v="2"/>
    <x v="0"/>
    <m/>
    <s v="Religador sem comunicação, apos primeiro ataque não retornou a comunicação."/>
    <m/>
    <m/>
    <m/>
    <m/>
    <m/>
    <m/>
    <m/>
    <m/>
    <n v="0"/>
    <x v="4"/>
    <m/>
  </r>
  <r>
    <n v="7955792076"/>
    <s v="79"/>
    <m/>
    <m/>
    <m/>
    <s v="ETO-TELE 00999/2026"/>
    <x v="0"/>
    <x v="0"/>
    <x v="2"/>
    <x v="0"/>
    <m/>
    <s v="RELIGADOR DE POSTE 7955792076 SEM COMUNIÇÃO COM COI ,FEITO PRIMEIRO ATAQUE COM EQUIPE OPERACIONAL O MESMO NÃO RETORNOU A COMUNICAÇÃO ENVIAR EQUIPE ESPECIAL VERIFICAR EM CAMPO"/>
    <m/>
    <m/>
    <m/>
    <m/>
    <m/>
    <m/>
    <m/>
    <m/>
    <n v="0"/>
    <x v="4"/>
    <m/>
  </r>
  <r>
    <n v="5839141113"/>
    <s v="58"/>
    <m/>
    <m/>
    <m/>
    <s v="ETO-TELE 00985/2026"/>
    <x v="0"/>
    <x v="0"/>
    <x v="2"/>
    <x v="0"/>
    <m/>
    <s v="Segue nota para averiguar ajuste regulador de tensão N: 5839141113 - RDU - Couto Magalhães , e verificar falha de comunicação   .Equipe operacional verificou que vários transformadores urbanos estão com nível de tensão baixa .Foi feito primeiro ataque regulador está comutando normalmente as 3 fases , porém não está no nível adequado !Em campo regulador estava no Tap R1 - 02 , R2 + 01 , R3 +03Medições feitas :Transformador 5700010113     - NA: 205 NB: 206 NC: 210Transformador 5700011113      - NA: 204 NB: 206 NC: 209Transformador 5700333113       -NA: 205 NB: 207 NC: 208OBS: solicitar equipe para realizar medição aterramento ,  e verificar ajuste junto ao time proteção .  verificar falha de comunicação no equipamento ."/>
    <m/>
    <m/>
    <m/>
    <m/>
    <m/>
    <m/>
    <m/>
    <m/>
    <n v="0"/>
    <x v="4"/>
    <m/>
  </r>
  <r>
    <n v="7908683122"/>
    <s v="79"/>
    <m/>
    <m/>
    <m/>
    <s v="ETO-TELE 00998/2026"/>
    <x v="0"/>
    <x v="0"/>
    <x v="2"/>
    <x v="0"/>
    <m/>
    <s v="rl 7908683122  retirado de operaçao devido falha na base do rele  equipamento."/>
    <m/>
    <m/>
    <m/>
    <m/>
    <m/>
    <m/>
    <m/>
    <m/>
    <n v="0"/>
    <x v="4"/>
    <m/>
  </r>
  <r>
    <n v="7923110021"/>
    <s v="79"/>
    <m/>
    <m/>
    <m/>
    <s v="ETO-TELE 01027/2026"/>
    <x v="0"/>
    <x v="0"/>
    <x v="2"/>
    <x v="0"/>
    <m/>
    <s v="Segue SS para verificar falha de comunicação no religador 7923110021. Equipe foi no local realizar primeiro ataque e informou que o radio de comunicação encontra-se com defeito"/>
    <m/>
    <m/>
    <m/>
    <m/>
    <m/>
    <m/>
    <m/>
    <m/>
    <n v="0"/>
    <x v="4"/>
    <m/>
  </r>
  <r>
    <n v="7900001096"/>
    <s v="79"/>
    <m/>
    <m/>
    <m/>
    <s v="ETO-TELE 01018/2026"/>
    <x v="0"/>
    <x v="0"/>
    <x v="2"/>
    <x v="0"/>
    <m/>
    <s v="Segue nota para falha de comunicação no religador 7900001096 - Rural - Pindorama .Equipamento perdeu a comunicação quando faltou CA , porém mesmo ao retorna o CA não retornou a comunicação !Feito primeiro ataque sem sucesso !"/>
    <m/>
    <m/>
    <m/>
    <m/>
    <m/>
    <m/>
    <m/>
    <m/>
    <n v="0"/>
    <x v="4"/>
    <m/>
  </r>
  <r>
    <n v="7900451096"/>
    <s v="79"/>
    <m/>
    <m/>
    <m/>
    <s v="ETO-TELE 01020/2026"/>
    <x v="0"/>
    <x v="0"/>
    <x v="2"/>
    <x v="0"/>
    <m/>
    <s v="Segue nota para verificar falha de comunicação no religador 7900451096 - Rural -  Pindorama  .Equipamento perde a comunicação quando falta CA !"/>
    <m/>
    <m/>
    <m/>
    <m/>
    <m/>
    <m/>
    <m/>
    <m/>
    <n v="0"/>
    <x v="4"/>
    <m/>
  </r>
  <r>
    <n v="7900259096"/>
    <s v="79"/>
    <m/>
    <m/>
    <m/>
    <s v="ETO-TELE 01021/2026"/>
    <x v="0"/>
    <x v="0"/>
    <x v="2"/>
    <x v="0"/>
    <m/>
    <s v="Boa noite .Segue nota para verificar falha de comunicação no religador 7900259096 -  Pindorama .Equipamento perde a comunicação quando falta CA !"/>
    <m/>
    <m/>
    <m/>
    <m/>
    <m/>
    <m/>
    <m/>
    <m/>
    <n v="0"/>
    <x v="4"/>
    <m/>
  </r>
  <r>
    <n v="7962734119"/>
    <s v="79"/>
    <m/>
    <m/>
    <m/>
    <s v="ETO-TELE 01008/2026"/>
    <x v="0"/>
    <x v="0"/>
    <x v="2"/>
    <x v="0"/>
    <m/>
    <s v="por favor deslocar equipe da manutenção no RL 7962734119 por que foi feito o primeiro ataque no mesmo mais não voltou comunção no sistema escada"/>
    <m/>
    <m/>
    <m/>
    <m/>
    <m/>
    <m/>
    <m/>
    <m/>
    <n v="0"/>
    <x v="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799532-7646-4D5A-9810-BD1BF5FB9BB9}" name="Tabela dinâmica39" cacheId="3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Criticidade" colHeaderCaption="Cód">
  <location ref="A3:D10" firstHeaderRow="1" firstDataRow="2" firstDataCol="1" rowPageCount="1" colPageCount="1"/>
  <pivotFields count="23">
    <pivotField showAll="0"/>
    <pivotField showAll="0"/>
    <pivotField axis="axisPage" multipleItemSelectionAllowed="1" showAll="0">
      <items count="14">
        <item x="2"/>
        <item x="4"/>
        <item x="1"/>
        <item x="0"/>
        <item x="7"/>
        <item h="1" x="6"/>
        <item h="1" x="3"/>
        <item h="1" m="1" x="11"/>
        <item h="1" m="1" x="10"/>
        <item h="1" x="5"/>
        <item h="1" x="8"/>
        <item h="1" m="1" x="9"/>
        <item h="1" m="1" x="12"/>
        <item t="default"/>
      </items>
    </pivotField>
    <pivotField dataField="1" showAll="0"/>
    <pivotField axis="axisCol" showAll="0">
      <items count="3">
        <item x="0"/>
        <item x="1"/>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0"/>
        <item x="1"/>
        <item x="2"/>
        <item x="3"/>
        <item n="Em definição" x="4"/>
        <item m="1" x="5"/>
        <item t="default"/>
      </items>
    </pivotField>
    <pivotField showAll="0"/>
  </pivotFields>
  <rowFields count="1">
    <field x="21"/>
  </rowFields>
  <rowItems count="6">
    <i>
      <x/>
    </i>
    <i>
      <x v="1"/>
    </i>
    <i>
      <x v="2"/>
    </i>
    <i>
      <x v="3"/>
    </i>
    <i>
      <x v="4"/>
    </i>
    <i t="grand">
      <x/>
    </i>
  </rowItems>
  <colFields count="1">
    <field x="4"/>
  </colFields>
  <colItems count="3">
    <i>
      <x/>
    </i>
    <i>
      <x v="1"/>
    </i>
    <i t="grand">
      <x/>
    </i>
  </colItems>
  <pageFields count="1">
    <pageField fld="2" hier="-1"/>
  </pageFields>
  <dataFields count="1">
    <dataField name="Qtd" fld="3" subtotal="count" baseField="2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DAE4D3-BF23-4898-A8B9-D832E35986BF}" name="Tabela dinâmica2" cacheId="3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olHeaderCaption="Status">
  <location ref="D4:E12" firstHeaderRow="1" firstDataRow="1" firstDataCol="1" rowPageCount="1" colPageCount="1"/>
  <pivotFields count="23">
    <pivotField dataField="1" showAll="0"/>
    <pivotField showAll="0"/>
    <pivotField showAll="0"/>
    <pivotField showAll="0"/>
    <pivotField showAll="0"/>
    <pivotField showAll="0"/>
    <pivotField axis="axisPage" multipleItemSelectionAllowed="1" showAll="0">
      <items count="15">
        <item h="1" x="10"/>
        <item h="1" x="4"/>
        <item h="1" x="12"/>
        <item h="1" x="5"/>
        <item h="1" x="3"/>
        <item h="1" x="6"/>
        <item x="2"/>
        <item h="1" x="11"/>
        <item h="1" x="7"/>
        <item h="1" x="8"/>
        <item h="1" x="13"/>
        <item h="1" x="1"/>
        <item h="1" x="9"/>
        <item n="Concluído" h="1" x="0"/>
        <item t="default"/>
      </items>
    </pivotField>
    <pivotField axis="axisRow" showAll="0">
      <items count="18">
        <item x="14"/>
        <item x="10"/>
        <item x="7"/>
        <item x="3"/>
        <item x="16"/>
        <item x="5"/>
        <item x="1"/>
        <item x="6"/>
        <item x="11"/>
        <item x="15"/>
        <item x="13"/>
        <item x="8"/>
        <item x="4"/>
        <item x="2"/>
        <item x="9"/>
        <item x="12"/>
        <item x="0"/>
        <item t="default"/>
      </items>
    </pivotField>
    <pivotField showAll="0">
      <items count="6">
        <item x="4"/>
        <item x="1"/>
        <item x="3"/>
        <item x="0"/>
        <item x="2"/>
        <item t="default"/>
      </items>
    </pivotField>
    <pivotField showAll="0">
      <items count="21">
        <item x="16"/>
        <item x="1"/>
        <item x="7"/>
        <item x="15"/>
        <item x="19"/>
        <item x="6"/>
        <item x="2"/>
        <item x="11"/>
        <item x="13"/>
        <item x="10"/>
        <item x="9"/>
        <item x="3"/>
        <item x="14"/>
        <item x="5"/>
        <item x="8"/>
        <item x="12"/>
        <item x="4"/>
        <item x="18"/>
        <item x="17"/>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multipleItemSelectionAllowed="1" showAll="0">
      <items count="6">
        <item x="0"/>
        <item x="1"/>
        <item x="2"/>
        <item x="3"/>
        <item h="1" x="4"/>
        <item t="default"/>
      </items>
    </pivotField>
    <pivotField showAll="0"/>
  </pivotFields>
  <rowFields count="2">
    <field x="21"/>
    <field x="7"/>
  </rowFields>
  <rowItems count="8">
    <i>
      <x/>
    </i>
    <i r="1">
      <x v="12"/>
    </i>
    <i r="1">
      <x v="13"/>
    </i>
    <i>
      <x v="1"/>
    </i>
    <i r="1">
      <x v="14"/>
    </i>
    <i>
      <x v="2"/>
    </i>
    <i r="1">
      <x v="12"/>
    </i>
    <i t="grand">
      <x/>
    </i>
  </rowItems>
  <colItems count="1">
    <i/>
  </colItems>
  <pageFields count="1">
    <pageField fld="6" hier="-1"/>
  </pageFields>
  <dataFields count="1">
    <dataField name="Contagem de Ativ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84CEBF-8D3D-4550-9315-2EDB1A0225FA}" name="Tabela dinâmica1" cacheId="3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olHeaderCaption="Status">
  <location ref="A3:B35" firstHeaderRow="1" firstDataRow="1" firstDataCol="1"/>
  <pivotFields count="23">
    <pivotField dataField="1" showAll="0"/>
    <pivotField showAll="0"/>
    <pivotField showAll="0"/>
    <pivotField showAll="0"/>
    <pivotField showAll="0"/>
    <pivotField showAll="0"/>
    <pivotField axis="axisRow" showAll="0">
      <items count="15">
        <item x="10"/>
        <item x="4"/>
        <item x="12"/>
        <item x="5"/>
        <item x="3"/>
        <item x="6"/>
        <item x="2"/>
        <item x="11"/>
        <item x="7"/>
        <item x="8"/>
        <item x="13"/>
        <item x="1"/>
        <item x="9"/>
        <item n="Concluído" x="0"/>
        <item t="default"/>
      </items>
    </pivotField>
    <pivotField showAll="0"/>
    <pivotField showAll="0">
      <items count="6">
        <item x="4"/>
        <item x="1"/>
        <item x="3"/>
        <item x="0"/>
        <item x="2"/>
        <item t="default"/>
      </items>
    </pivotField>
    <pivotField showAll="0">
      <items count="21">
        <item x="16"/>
        <item x="1"/>
        <item x="7"/>
        <item x="15"/>
        <item x="19"/>
        <item x="6"/>
        <item x="2"/>
        <item x="11"/>
        <item x="13"/>
        <item x="10"/>
        <item x="9"/>
        <item x="3"/>
        <item x="14"/>
        <item x="5"/>
        <item x="8"/>
        <item x="12"/>
        <item x="4"/>
        <item x="18"/>
        <item x="17"/>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1"/>
        <item x="2"/>
        <item x="3"/>
        <item h="1" x="4"/>
        <item t="default"/>
      </items>
    </pivotField>
    <pivotField showAll="0"/>
  </pivotFields>
  <rowFields count="2">
    <field x="21"/>
    <field x="6"/>
  </rowFields>
  <rowItems count="32">
    <i>
      <x/>
    </i>
    <i r="1">
      <x v="1"/>
    </i>
    <i r="1">
      <x v="3"/>
    </i>
    <i r="1">
      <x v="4"/>
    </i>
    <i r="1">
      <x v="5"/>
    </i>
    <i r="1">
      <x v="6"/>
    </i>
    <i r="1">
      <x v="11"/>
    </i>
    <i r="1">
      <x v="13"/>
    </i>
    <i>
      <x v="1"/>
    </i>
    <i r="1">
      <x/>
    </i>
    <i r="1">
      <x v="3"/>
    </i>
    <i r="1">
      <x v="4"/>
    </i>
    <i r="1">
      <x v="5"/>
    </i>
    <i r="1">
      <x v="6"/>
    </i>
    <i r="1">
      <x v="8"/>
    </i>
    <i r="1">
      <x v="9"/>
    </i>
    <i r="1">
      <x v="12"/>
    </i>
    <i r="1">
      <x v="13"/>
    </i>
    <i>
      <x v="2"/>
    </i>
    <i r="1">
      <x v="1"/>
    </i>
    <i r="1">
      <x v="4"/>
    </i>
    <i r="1">
      <x v="6"/>
    </i>
    <i r="1">
      <x v="7"/>
    </i>
    <i r="1">
      <x v="13"/>
    </i>
    <i>
      <x v="3"/>
    </i>
    <i r="1">
      <x/>
    </i>
    <i r="1">
      <x v="2"/>
    </i>
    <i r="1">
      <x v="4"/>
    </i>
    <i r="1">
      <x v="5"/>
    </i>
    <i r="1">
      <x v="10"/>
    </i>
    <i r="1">
      <x v="13"/>
    </i>
    <i t="grand">
      <x/>
    </i>
  </rowItems>
  <colItems count="1">
    <i/>
  </colItems>
  <dataFields count="1">
    <dataField name="Contagem de Ativ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D9F7A7-4C63-4180-9D0D-0BFAED3146E1}" name="Tabela dinâmica3" cacheId="3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colHeaderCaption="Status">
  <location ref="D16:E25" firstHeaderRow="1" firstDataRow="1" firstDataCol="1" rowPageCount="1" colPageCount="1"/>
  <pivotFields count="23">
    <pivotField dataField="1" showAll="0"/>
    <pivotField showAll="0"/>
    <pivotField showAll="0"/>
    <pivotField showAll="0"/>
    <pivotField showAll="0"/>
    <pivotField showAll="0"/>
    <pivotField axis="axisPage" multipleItemSelectionAllowed="1" showAll="0">
      <items count="15">
        <item h="1" x="10"/>
        <item h="1" x="4"/>
        <item h="1" x="12"/>
        <item h="1" x="5"/>
        <item h="1" x="3"/>
        <item x="6"/>
        <item h="1" x="2"/>
        <item h="1" x="11"/>
        <item h="1" x="7"/>
        <item h="1" x="8"/>
        <item h="1" x="13"/>
        <item h="1" x="1"/>
        <item h="1" x="9"/>
        <item n="Concluído" h="1" x="0"/>
        <item t="default"/>
      </items>
    </pivotField>
    <pivotField axis="axisRow" showAll="0">
      <items count="18">
        <item x="14"/>
        <item x="10"/>
        <item x="7"/>
        <item x="3"/>
        <item x="16"/>
        <item x="5"/>
        <item x="1"/>
        <item x="6"/>
        <item x="11"/>
        <item x="15"/>
        <item x="13"/>
        <item x="8"/>
        <item x="4"/>
        <item x="2"/>
        <item x="9"/>
        <item x="12"/>
        <item x="0"/>
        <item t="default"/>
      </items>
    </pivotField>
    <pivotField showAll="0">
      <items count="6">
        <item x="4"/>
        <item x="1"/>
        <item x="3"/>
        <item x="0"/>
        <item x="2"/>
        <item t="default"/>
      </items>
    </pivotField>
    <pivotField showAll="0">
      <items count="21">
        <item x="16"/>
        <item x="1"/>
        <item x="7"/>
        <item x="15"/>
        <item x="19"/>
        <item x="6"/>
        <item x="2"/>
        <item x="11"/>
        <item x="13"/>
        <item x="10"/>
        <item x="9"/>
        <item x="3"/>
        <item x="14"/>
        <item x="5"/>
        <item x="8"/>
        <item x="12"/>
        <item x="4"/>
        <item x="18"/>
        <item x="17"/>
        <item x="0"/>
        <item t="default"/>
      </items>
    </pivotField>
    <pivotField showAll="0"/>
    <pivotField showAll="0"/>
    <pivotField showAll="0"/>
    <pivotField showAll="0"/>
    <pivotField showAll="0"/>
    <pivotField showAll="0"/>
    <pivotField showAll="0"/>
    <pivotField showAll="0"/>
    <pivotField showAll="0"/>
    <pivotField showAll="0"/>
    <pivotField showAll="0"/>
    <pivotField axis="axisRow" multipleItemSelectionAllowed="1" showAll="0">
      <items count="6">
        <item x="0"/>
        <item x="1"/>
        <item x="2"/>
        <item x="3"/>
        <item h="1" x="4"/>
        <item t="default"/>
      </items>
    </pivotField>
    <pivotField showAll="0"/>
  </pivotFields>
  <rowFields count="2">
    <field x="21"/>
    <field x="7"/>
  </rowFields>
  <rowItems count="9">
    <i>
      <x/>
    </i>
    <i r="1">
      <x v="7"/>
    </i>
    <i>
      <x v="1"/>
    </i>
    <i r="1">
      <x v="7"/>
    </i>
    <i r="1">
      <x v="8"/>
    </i>
    <i>
      <x v="3"/>
    </i>
    <i r="1">
      <x v="9"/>
    </i>
    <i r="1">
      <x v="10"/>
    </i>
    <i t="grand">
      <x/>
    </i>
  </rowItems>
  <colItems count="1">
    <i/>
  </colItems>
  <pageFields count="1">
    <pageField fld="6" hier="-1"/>
  </pageFields>
  <dataFields count="1">
    <dataField name="Contagem de Ativ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3" xr16:uid="{FB97C640-7295-473C-A251-3720EDE57D1E}" autoFormatId="16" applyNumberFormats="0" applyBorderFormats="0" applyFontFormats="0" applyPatternFormats="0" applyAlignmentFormats="0" applyWidthHeightFormats="0">
  <queryTableRefresh nextId="25">
    <queryTableFields count="23">
      <queryTableField id="1" name="ANO_SS" tableColumnId="1"/>
      <queryTableField id="2" name="SS_ORIGINAL" tableColumnId="2"/>
      <queryTableField id="3" name="DESTINO_SS" tableColumnId="3"/>
      <queryTableField id="4" name="COD_RELIGADOR" tableColumnId="4"/>
      <queryTableField id="23" name="TIPO" tableColumnId="23"/>
      <queryTableField id="5" name="DTA_ABERTURA" tableColumnId="5"/>
      <queryTableField id="6" name="COD_LOC" tableColumnId="6"/>
      <queryTableField id="7" name="LOCALIDADE" tableColumnId="7"/>
      <queryTableField id="8" name="POLO" tableColumnId="8"/>
      <queryTableField id="9" name="REGIONAL" tableColumnId="9"/>
      <queryTableField id="10" name="ALIMENTADOR" tableColumnId="10"/>
      <queryTableField id="11" name="DESCRICAO" tableColumnId="11"/>
      <queryTableField id="12" name="Premissa 1" tableColumnId="12"/>
      <queryTableField id="13" name="Premissa 2" tableColumnId="13"/>
      <queryTableField id="14" name="Premissa 3" tableColumnId="14"/>
      <queryTableField id="15" name="Premissa 4" tableColumnId="15"/>
      <queryTableField id="16" name="Premissa 5" tableColumnId="16"/>
      <queryTableField id="17" name="Premissa 6" tableColumnId="17"/>
      <queryTableField id="18" name="Premissa 7" tableColumnId="18"/>
      <queryTableField id="19" name="Premissa 8" tableColumnId="19"/>
      <queryTableField id="20" name="Priorização" tableColumnId="20"/>
      <queryTableField id="21" name="Criticidade" tableColumnId="21"/>
      <queryTableField id="22" name="Observação após análise" tableColumnId="2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dosExternos_3" connectionId="4" xr16:uid="{63059310-212C-4B3E-BA9E-6FD909F45C33}" autoFormatId="16" applyNumberFormats="0" applyBorderFormats="0" applyFontFormats="0" applyPatternFormats="0" applyAlignmentFormats="0" applyWidthHeightFormats="0">
  <queryTableRefresh nextId="37">
    <queryTableFields count="23">
      <queryTableField id="1" name="Ativo" tableColumnId="1"/>
      <queryTableField id="4" name="Tipo" tableColumnId="4"/>
      <queryTableField id="5" name="Localidade" tableColumnId="5"/>
      <queryTableField id="6" name="Polo" tableColumnId="6"/>
      <queryTableField id="7" name="Regional" tableColumnId="7"/>
      <queryTableField id="8" name="SS aberta" tableColumnId="8"/>
      <queryTableField id="32" name="Parecer COEP" tableColumnId="2"/>
      <queryTableField id="28" name="Observação" tableColumnId="3"/>
      <queryTableField id="23" name="Check de concluídas" tableColumnId="22"/>
      <queryTableField id="9" name="Defeito identificado" tableColumnId="9"/>
      <queryTableField id="35" name="Quantidade" tableColumnId="23"/>
      <queryTableField id="21" name="Descrição SS" tableColumnId="21"/>
      <queryTableField id="10" name="Premissa 1" tableColumnId="10"/>
      <queryTableField id="11" name="Premissa 2" tableColumnId="11"/>
      <queryTableField id="12" name="Premissa 3" tableColumnId="12"/>
      <queryTableField id="13" name="Premissa 4" tableColumnId="13"/>
      <queryTableField id="14" name="Premissa 5" tableColumnId="14"/>
      <queryTableField id="15" name="Premissa 6" tableColumnId="15"/>
      <queryTableField id="16" name="Premissa 7" tableColumnId="16"/>
      <queryTableField id="17" name="Premissa 8" tableColumnId="17"/>
      <queryTableField id="18" name="Priorização" tableColumnId="18"/>
      <queryTableField id="19" name="Criticidade" tableColumnId="19"/>
      <queryTableField id="20" name="Observação após análise" tableColumnId="2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dosExternos_4" connectionId="1" xr16:uid="{EF997D14-19D1-4ADA-9D9F-BE22B81DCA50}" autoFormatId="16" applyNumberFormats="0" applyBorderFormats="0" applyFontFormats="0" applyPatternFormats="0" applyAlignmentFormats="0" applyWidthHeightFormats="0">
  <queryTableRefresh nextId="13">
    <queryTableFields count="12">
      <queryTableField id="1" name="ANO_SS" tableColumnId="1"/>
      <queryTableField id="2" name="SS_ORIGINAL" tableColumnId="2"/>
      <queryTableField id="3" name="DESTINO_SS" tableColumnId="3"/>
      <queryTableField id="4" name="COD_RELIGADOR" tableColumnId="4"/>
      <queryTableField id="5" name="DTA_ABERTURA" tableColumnId="5"/>
      <queryTableField id="6" name="DTA_CONCLUSAO" tableColumnId="6"/>
      <queryTableField id="7" name="COD_LOC" tableColumnId="7"/>
      <queryTableField id="8" name="LOCALIDADE" tableColumnId="8"/>
      <queryTableField id="9" name="POLO" tableColumnId="9"/>
      <queryTableField id="10" name="REGIONAL" tableColumnId="10"/>
      <queryTableField id="11" name="ALIMENTADOR" tableColumnId="11"/>
      <queryTableField id="12" name="DESCRICAO" tableColumnId="1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dosExternos_2" connectionId="2" xr16:uid="{2D375E71-3E1B-4055-83A0-0F24712FE1F4}" autoFormatId="16" applyNumberFormats="0" applyBorderFormats="0" applyFontFormats="0" applyPatternFormats="0" applyAlignmentFormats="0" applyWidthHeightFormats="0">
  <queryTableRefresh nextId="8">
    <queryTableFields count="7">
      <queryTableField id="1" name="NumLocal" tableColumnId="1"/>
      <queryTableField id="2" name="SiglaLocal" tableColumnId="2"/>
      <queryTableField id="3" name="NomeLocal" tableColumnId="3"/>
      <queryTableField id="4" name="SiglaPolo" tableColumnId="4"/>
      <queryTableField id="5" name="NomePoloDEOP" tableColumnId="5"/>
      <queryTableField id="6" name="NomePoloDESC" tableColumnId="6"/>
      <queryTableField id="7" name="SiglaRegional"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84A0DEFF-2E3E-4761-8991-77F0AED0E02C}" name="Pendentes" displayName="Pendentes" ref="A1:W94" tableType="queryTable" totalsRowShown="0" headerRowDxfId="70" dataDxfId="69">
  <autoFilter ref="A1:W94" xr:uid="{84A0DEFF-2E3E-4761-8991-77F0AED0E02C}"/>
  <sortState xmlns:xlrd2="http://schemas.microsoft.com/office/spreadsheetml/2017/richdata2" ref="A2:W94">
    <sortCondition descending="1" ref="U1:U94"/>
  </sortState>
  <tableColumns count="23">
    <tableColumn id="1" xr3:uid="{E6A6C5EE-7280-4F10-9DD5-7269F422F0EF}" uniqueName="1" name="ANO_SS" queryTableFieldId="1" dataDxfId="68"/>
    <tableColumn id="2" xr3:uid="{EE3FC682-ED4A-41CF-B211-F3F3955D42C5}" uniqueName="2" name="SS_ORIGINAL" queryTableFieldId="2" dataDxfId="67"/>
    <tableColumn id="3" xr3:uid="{539BB74E-1074-42E2-8415-34D208CF60B5}" uniqueName="3" name="DESTINO_SS" queryTableFieldId="3" dataDxfId="66"/>
    <tableColumn id="4" xr3:uid="{A40AE912-5F58-4E47-8E2A-56F45A7CBB1C}" uniqueName="4" name="COD_RELIGADOR" queryTableFieldId="4" dataDxfId="65"/>
    <tableColumn id="23" xr3:uid="{BB4BA0C2-BA93-432D-982F-3DFA4CBE6D77}" uniqueName="23" name="TIPO" queryTableFieldId="23" dataDxfId="64"/>
    <tableColumn id="5" xr3:uid="{CC224E63-0DDE-4705-96F9-53D9CF788961}" uniqueName="5" name="DTA_ABERTURA" queryTableFieldId="5" dataDxfId="63"/>
    <tableColumn id="6" xr3:uid="{35B829E1-91B8-4716-A985-150A7CD343B7}" uniqueName="6" name="COD_LOC" queryTableFieldId="6" dataDxfId="62"/>
    <tableColumn id="7" xr3:uid="{BBDC719E-D769-487C-87A8-C906A90AE812}" uniqueName="7" name="LOCALIDADE" queryTableFieldId="7" dataDxfId="61"/>
    <tableColumn id="8" xr3:uid="{2C689952-2478-4C66-9E1A-3D3A0D0A4E6D}" uniqueName="8" name="POLO" queryTableFieldId="8" dataDxfId="60"/>
    <tableColumn id="9" xr3:uid="{C16E0600-9493-486D-8BEC-E9CD73884D5B}" uniqueName="9" name="REGIONAL" queryTableFieldId="9" dataDxfId="59"/>
    <tableColumn id="10" xr3:uid="{560D3DDE-12C9-4E93-9C5E-F335A7F9E150}" uniqueName="10" name="ALIMENTADOR" queryTableFieldId="10" dataDxfId="58"/>
    <tableColumn id="11" xr3:uid="{082027D3-DE6A-45E3-BDE5-31D0A3DB1DEB}" uniqueName="11" name="DESCRICAO" queryTableFieldId="11" dataDxfId="57"/>
    <tableColumn id="12" xr3:uid="{72A081E0-A0B5-494B-847A-A9D16D37DC94}" uniqueName="12" name="Premissa 1" queryTableFieldId="12" dataDxfId="56"/>
    <tableColumn id="13" xr3:uid="{A644284D-F5FD-4C89-9984-0898650CAA3D}" uniqueName="13" name="Premissa 2" queryTableFieldId="13" dataDxfId="55"/>
    <tableColumn id="14" xr3:uid="{6EDEB7FE-2C85-46F8-817E-A1CA23BEFBAC}" uniqueName="14" name="Premissa 3" queryTableFieldId="14" dataDxfId="54"/>
    <tableColumn id="15" xr3:uid="{9BC02513-F3E6-485F-8A1E-E2E6AE51B225}" uniqueName="15" name="Premissa 4" queryTableFieldId="15" dataDxfId="53"/>
    <tableColumn id="16" xr3:uid="{FFFD87E8-E939-46C1-8CDB-D81121FA9C34}" uniqueName="16" name="Premissa 5" queryTableFieldId="16" dataDxfId="52"/>
    <tableColumn id="17" xr3:uid="{DD948E96-CE36-44B7-9F1F-CC46C31BD723}" uniqueName="17" name="Premissa 6" queryTableFieldId="17" dataDxfId="51"/>
    <tableColumn id="18" xr3:uid="{67E8779A-14AA-4EC8-892D-CC09FE0D8A89}" uniqueName="18" name="Premissa 7" queryTableFieldId="18" dataDxfId="50"/>
    <tableColumn id="19" xr3:uid="{1E2AE6CD-77BD-4037-A7CF-818AA404F62C}" uniqueName="19" name="Premissa 8" queryTableFieldId="19" dataDxfId="49"/>
    <tableColumn id="20" xr3:uid="{A8AD0B5E-0BD3-4D1E-8F4E-0AC87AEC1D85}" uniqueName="20" name="Priorização" queryTableFieldId="20" dataDxfId="48"/>
    <tableColumn id="21" xr3:uid="{DD1E2F8D-3D0C-454D-9191-3374C26AB92E}" uniqueName="21" name="Criticidade" queryTableFieldId="21" dataDxfId="47"/>
    <tableColumn id="22" xr3:uid="{39B2BDCF-7029-42BE-8B60-87DD2E621DDB}" uniqueName="22" name="Observação após análise" queryTableFieldId="22" dataDxfId="4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5F00080-E5C1-41E0-9542-BD4DE7DE2AAD}" name="Premissas_por_Equipamento" displayName="Premissas_por_Equipamento" ref="A1:W117" tableType="queryTable" totalsRowShown="0">
  <autoFilter ref="A1:W117" xr:uid="{B5F00080-E5C1-41E0-9542-BD4DE7DE2AAD}"/>
  <tableColumns count="23">
    <tableColumn id="1" xr3:uid="{1EF87124-D127-44E9-9D0B-5F69B9AB30AF}" uniqueName="1" name="Ativo" queryTableFieldId="1"/>
    <tableColumn id="4" xr3:uid="{52B535D2-9921-4F36-BBDD-0B52F66B73FF}" uniqueName="4" name="Tipo" queryTableFieldId="4"/>
    <tableColumn id="5" xr3:uid="{EB5B47BE-FFE6-4A88-9E4F-4E0BE7C9A1FE}" uniqueName="5" name="Localidade" queryTableFieldId="5" dataDxfId="45"/>
    <tableColumn id="6" xr3:uid="{2C0DB2A4-8BC4-4656-A3DF-84C2FA780C04}" uniqueName="6" name="Polo" queryTableFieldId="6" dataDxfId="44"/>
    <tableColumn id="7" xr3:uid="{E800A53D-B9D0-46C2-8E9A-35506D919202}" uniqueName="7" name="Regional" queryTableFieldId="7" dataDxfId="43"/>
    <tableColumn id="8" xr3:uid="{A9B942B7-CCF7-486F-BA36-91E1CE439437}" uniqueName="8" name="SS aberta" queryTableFieldId="8"/>
    <tableColumn id="2" xr3:uid="{63254BE1-B5F3-4866-8249-A45802DF3996}" uniqueName="2" name="Parecer COEP" queryTableFieldId="32"/>
    <tableColumn id="3" xr3:uid="{E5BB3A28-F8AF-4AB2-BA3F-234AAC5679D0}" uniqueName="3" name="Observação" queryTableFieldId="28"/>
    <tableColumn id="22" xr3:uid="{66893F11-9746-4FCD-8609-FE1D6F0E37F5}" uniqueName="22" name="Check de concluídas" queryTableFieldId="23"/>
    <tableColumn id="9" xr3:uid="{C1D1C190-0237-4893-9B8A-D360B4AE6F03}" uniqueName="9" name="Defeito identificado" queryTableFieldId="9"/>
    <tableColumn id="23" xr3:uid="{72C0757E-3B2B-4465-99F5-C25423B2EA3E}" uniqueName="23" name="Quantidade" queryTableFieldId="35"/>
    <tableColumn id="21" xr3:uid="{E63D589B-61F7-43CA-91F9-4CA72432A4E2}" uniqueName="21" name="Descrição SS" queryTableFieldId="21"/>
    <tableColumn id="10" xr3:uid="{A31D04D4-26B5-4EEE-8E88-62F14CDDDB88}" uniqueName="10" name="Premissa 1" queryTableFieldId="10"/>
    <tableColumn id="11" xr3:uid="{762E79EA-3E5B-4A46-859E-21FC6B874569}" uniqueName="11" name="Premissa 2" queryTableFieldId="11"/>
    <tableColumn id="12" xr3:uid="{FD7B2E67-56DE-4F30-8C18-AED6F7909D4C}" uniqueName="12" name="Premissa 3" queryTableFieldId="12"/>
    <tableColumn id="13" xr3:uid="{D31D86ED-8820-43AA-8EF9-67E411B6C0AC}" uniqueName="13" name="Premissa 4" queryTableFieldId="13"/>
    <tableColumn id="14" xr3:uid="{60684C5A-2AF6-4916-9139-0334B2C1941E}" uniqueName="14" name="Premissa 5" queryTableFieldId="14"/>
    <tableColumn id="15" xr3:uid="{130939B2-A203-4373-8620-4C1B473EB512}" uniqueName="15" name="Premissa 6" queryTableFieldId="15"/>
    <tableColumn id="16" xr3:uid="{BEEC70DD-6F7A-43F4-B8DE-03018578CD71}" uniqueName="16" name="Premissa 7" queryTableFieldId="16"/>
    <tableColumn id="17" xr3:uid="{C239648D-A132-4397-B968-15086974B0CA}" uniqueName="17" name="Premissa 8" queryTableFieldId="17"/>
    <tableColumn id="18" xr3:uid="{981AF409-2462-4C7E-9870-03850D1D9D63}" uniqueName="18" name="Priorização" queryTableFieldId="18"/>
    <tableColumn id="19" xr3:uid="{E83441D9-3ABD-4274-B9E2-08F42BDD4CE9}" uniqueName="19" name="Criticidade" queryTableFieldId="19" dataDxfId="42"/>
    <tableColumn id="20" xr3:uid="{FB772826-0D39-4376-A013-D09E3918B09F}" uniqueName="20" name="Observação após análise" queryTableFieldId="20" dataDxfId="4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D200EBF-61C5-4C81-A6C1-9591098D8577}" name="Concluídas" displayName="Concluídas" ref="A1:L40" tableType="queryTable" totalsRowShown="0">
  <autoFilter ref="A1:L40" xr:uid="{4D200EBF-61C5-4C81-A6C1-9591098D8577}"/>
  <tableColumns count="12">
    <tableColumn id="1" xr3:uid="{EC58944D-1C71-4BBB-AAC5-60583AA3E13A}" uniqueName="1" name="ANO_SS" queryTableFieldId="1"/>
    <tableColumn id="2" xr3:uid="{4F3BD8B4-62CD-4703-9595-DDF744CAB999}" uniqueName="2" name="SS_ORIGINAL" queryTableFieldId="2" dataDxfId="40"/>
    <tableColumn id="3" xr3:uid="{73D9E47C-B3E5-45FF-A96D-476115762DA7}" uniqueName="3" name="DESTINO_SS" queryTableFieldId="3" dataDxfId="39"/>
    <tableColumn id="4" xr3:uid="{EA61F354-1B17-42E2-9300-9AA7B6268516}" uniqueName="4" name="COD_RELIGADOR" queryTableFieldId="4"/>
    <tableColumn id="5" xr3:uid="{256C9B12-5859-4DB9-B3C8-FB84E767FA36}" uniqueName="5" name="DTA_ABERTURA" queryTableFieldId="5" dataDxfId="38"/>
    <tableColumn id="6" xr3:uid="{76841132-A1FE-42A1-8DFF-A2C8D38F1AC2}" uniqueName="6" name="DTA_CONCLUSAO" queryTableFieldId="6" dataDxfId="37"/>
    <tableColumn id="7" xr3:uid="{68088FF6-8BD0-46D5-8ADD-46549AC53DEC}" uniqueName="7" name="COD_LOC" queryTableFieldId="7"/>
    <tableColumn id="8" xr3:uid="{3B7EF0B4-A965-41BC-AA7F-D5CD55939179}" uniqueName="8" name="LOCALIDADE" queryTableFieldId="8" dataDxfId="36"/>
    <tableColumn id="9" xr3:uid="{C841F033-098E-4BC5-A925-B0F082B05CC7}" uniqueName="9" name="POLO" queryTableFieldId="9" dataDxfId="35"/>
    <tableColumn id="10" xr3:uid="{F19CB83E-FAEB-4781-B5E0-DA2398F249B4}" uniqueName="10" name="REGIONAL" queryTableFieldId="10" dataDxfId="34"/>
    <tableColumn id="11" xr3:uid="{FDE60DF8-5B3A-4A8E-BB61-E49326129E7C}" uniqueName="11" name="ALIMENTADOR" queryTableFieldId="11" dataDxfId="33"/>
    <tableColumn id="12" xr3:uid="{11EE351C-EDC9-4DF1-8522-CAD0EC1C86CE}" uniqueName="12" name="DESCRICAO" queryTableFieldId="12" dataDxfId="3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0B6FB4C-6219-4940-9542-6F129007473F}" name="Table" displayName="Table" ref="A1:W131">
  <autoFilter ref="A1:W131" xr:uid="{80B6FB4C-6219-4940-9542-6F129007473F}">
    <filterColumn colId="5">
      <filters>
        <filter val="CONCLUÍDA"/>
      </filters>
    </filterColumn>
  </autoFilter>
  <sortState xmlns:xlrd2="http://schemas.microsoft.com/office/spreadsheetml/2017/richdata2" ref="A2:W130">
    <sortCondition descending="1" ref="U1:U130"/>
  </sortState>
  <tableColumns count="23">
    <tableColumn id="1" xr3:uid="{D25F50E7-6BC0-4A3F-B6AE-42D706B1FE12}" name="Ativo" dataDxfId="28"/>
    <tableColumn id="6" xr3:uid="{F553B815-B9DE-460F-9151-2068646301E7}" name="Tipo" dataDxfId="27">
      <calculatedColumnFormula>MID(Table[[#This Row],[Ativo]],1,2)</calculatedColumnFormula>
    </tableColumn>
    <tableColumn id="12" xr3:uid="{8BC516DA-7737-49CE-9657-D1A8A54F9C85}" name="Localidade" dataDxfId="26"/>
    <tableColumn id="13" xr3:uid="{C8727B0E-0753-4097-B14E-EF211D9E25F1}" name="Polo" dataDxfId="25"/>
    <tableColumn id="14" xr3:uid="{191B0FB2-F81C-4A9F-ADA3-00F044CFF4DD}" name="Regional" dataDxfId="24"/>
    <tableColumn id="4" xr3:uid="{0C0E295E-0BE4-4EC8-8DD1-E8393A84DB05}" name="SS aberta" dataDxfId="23">
      <calculatedColumnFormula>IFERROR(_xlfn.XLOOKUP(Table[[#This Row],[Ativo]],Pendentes[COD_RELIGADOR],Pendentes[SS_ORIGINAL]),"CONCLUÍDA")</calculatedColumnFormula>
    </tableColumn>
    <tableColumn id="10" xr3:uid="{E71B99D2-5D7D-407C-9C3D-1B0781A5967C}" name="Parecer COEP" dataDxfId="22"/>
    <tableColumn id="8" xr3:uid="{F9263CEE-C68F-4C6A-AD07-A768B37D8819}" name="Observação" dataDxfId="21"/>
    <tableColumn id="22" xr3:uid="{BC78A7D3-3FD6-4EF0-B261-4AE2AF3CD9B4}" name="Check de concluídas" dataDxfId="20"/>
    <tableColumn id="3" xr3:uid="{B30A1D85-31D5-4CD6-BF05-F6857C42F529}" name="Defeito identificado" dataDxfId="19"/>
    <tableColumn id="21" xr3:uid="{8EBA67A3-E1DE-479E-B7C4-110F2A193E06}" name="Quantidade" dataDxfId="18"/>
    <tableColumn id="11" xr3:uid="{C8D6C4AB-B6B8-4E8C-8993-53FF4E01E9ED}" name="Descrição SS" dataDxfId="17">
      <calculatedColumnFormula>IFERROR(_xlfn.XLOOKUP(Table[[#This Row],[Ativo]],Pendentes[COD_RELIGADOR],Pendentes[DESCRICAO]),"")</calculatedColumnFormula>
    </tableColumn>
    <tableColumn id="5" xr3:uid="{004E5D25-E2A6-4BA0-A9F3-21FF7D03C4A5}" name="Premissa 1" dataDxfId="16"/>
    <tableColumn id="7" xr3:uid="{6FB7DB52-DD97-4793-82E3-C7F07FD78EBB}" name="Premissa 2" dataDxfId="15"/>
    <tableColumn id="9" xr3:uid="{67B7578D-5D5D-472F-87AB-DF7F52028E4A}" name="Premissa 3" dataDxfId="14"/>
    <tableColumn id="15" xr3:uid="{D02FD7C9-1F52-4B9C-99AC-780B84E93946}" name="Premissa 4" dataDxfId="13"/>
    <tableColumn id="16" xr3:uid="{6FB3C19E-7C69-40CD-84DA-1C591E2DFD3F}" name="Premissa 5" dataDxfId="12"/>
    <tableColumn id="17" xr3:uid="{C838B824-B0ED-4C18-9269-186D01EA5058}" name="Premissa 6" dataDxfId="11"/>
    <tableColumn id="18" xr3:uid="{3A9DA255-4F54-4C13-BE37-B46992895559}" name="Premissa 7" dataDxfId="10"/>
    <tableColumn id="23" xr3:uid="{B98C81D7-ED38-4E64-95ED-2F3CF7A83BDD}" name="Premissa 8" dataDxfId="9"/>
    <tableColumn id="19" xr3:uid="{305A0E1A-4554-4E34-ADAF-0F467F9AA60B}" name="Priorização" dataDxfId="8">
      <calculatedColumnFormula>SUM(Table[[#This Row],[Premissa 1]:[Premissa 8]])</calculatedColumnFormula>
    </tableColumn>
    <tableColumn id="2" xr3:uid="{334E5566-6E77-4FE9-9606-A6EF0E33A6C7}" name="Criticidade" dataDxfId="7"/>
    <tableColumn id="20" xr3:uid="{02FADC95-AC05-4876-9E9C-086DDBB73DC4}" name="Observação após análise" dataDxfId="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C9829F4-2724-4032-9878-8C66D28E5F4E}" name="Localidades" displayName="Localidades" ref="A1:G276" tableType="queryTable" totalsRowShown="0">
  <autoFilter ref="A1:G276" xr:uid="{CC9829F4-2724-4032-9878-8C66D28E5F4E}"/>
  <tableColumns count="7">
    <tableColumn id="1" xr3:uid="{6E474941-C2B8-424D-B7A6-7ECEB050B936}" uniqueName="1" name="NumLocal" queryTableFieldId="1"/>
    <tableColumn id="2" xr3:uid="{1AEAD494-240F-46F7-BAE1-BAC2DE611B21}" uniqueName="2" name="SiglaLocal" queryTableFieldId="2" dataDxfId="5"/>
    <tableColumn id="3" xr3:uid="{B64188E1-B0BD-47A2-955A-4530562775F9}" uniqueName="3" name="NomeLocal" queryTableFieldId="3" dataDxfId="4"/>
    <tableColumn id="4" xr3:uid="{A6EE629C-314B-42DD-8E9A-130C1D9C3520}" uniqueName="4" name="SiglaPolo" queryTableFieldId="4" dataDxfId="3"/>
    <tableColumn id="5" xr3:uid="{491711E0-CDB2-4E74-BA72-FC4701C31809}" uniqueName="5" name="NomePoloDEOP" queryTableFieldId="5" dataDxfId="2"/>
    <tableColumn id="6" xr3:uid="{3A70E64F-F4EA-4FEC-AF9D-F6AD71D8AC17}" uniqueName="6" name="NomePoloDESC" queryTableFieldId="6" dataDxfId="1"/>
    <tableColumn id="7" xr3:uid="{D6C12579-1941-4E39-AD40-184B24D6171D}" uniqueName="7" name="SiglaRegional"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4" dT="2026-07-22T13:16:07.28" personId="{6564218A-E088-4662-9D46-DA31EA88AA31}" id="{FA3BD34B-2A07-467F-8B11-22E1D1AB5C33}">
    <text>Equipamento alinhado com o Jean para colocar os cabos compatibilizadores , vamos só instalar o controle e o suporte</text>
  </threadedComment>
  <threadedComment ref="J6" dT="2026-07-27T21:38:28.05" personId="{2CA1750F-6264-42FE-A0B9-B3DEE7C271DA}" id="{15DCDDF5-AEE2-4B96-AD0E-11D15B25A282}">
    <text>Artech</text>
  </threadedComment>
  <threadedComment ref="J7" dT="2026-07-27T22:02:22.93" personId="{6564218A-E088-4662-9D46-DA31EA88AA31}" id="{6D07E0F6-4DF0-4ADE-9949-3A718B5AFBAE}">
    <text xml:space="preserve">Redirecionar tanque do 7955946007 </text>
  </threadedComment>
  <threadedComment ref="J7" dT="2026-08-06T12:00:31.31" personId="{6564218A-E088-4662-9D46-DA31EA88AA31}" id="{CE76CAA6-9D87-4EE9-8EE0-32F6BD44FD99}" parentId="{6D07E0F6-4DF0-4ADE-9949-3A718B5AFBAE}">
    <text>7955520116 - Redirecionar para esse</text>
  </threadedComment>
  <threadedComment ref="J10" dT="2026-07-27T22:44:52.90" personId="{6564218A-E088-4662-9D46-DA31EA88AA31}" id="{D5B2FBD9-7E55-4394-8714-701EBCC35144}">
    <text>Tanque de Caseara e o Controle do Estoque Sono</text>
  </threadedComment>
  <threadedComment ref="H11" dT="2026-08-12T18:25:28.95" personId="{6564218A-E088-4662-9D46-DA31EA88AA31}" id="{B1C788A8-7A79-44EE-A54B-CBC5AFDBD9F4}">
    <text>21/08 Se a DB Machado for pro Sul</text>
  </threadedComment>
  <threadedComment ref="H16" dT="2026-08-12T18:24:52.75" personId="{6564218A-E088-4662-9D46-DA31EA88AA31}" id="{92D052E1-98AB-486D-9A79-11DA2A2DACF3}">
    <text>22/08 Se a DB Machado for pro Sul</text>
  </threadedComment>
  <threadedComment ref="A26" dT="2026-07-22T13:30:56.19" personId="{6564218A-E088-4662-9D46-DA31EA88AA31}" id="{E8206474-6697-48E9-A31E-69138945C5CA}">
    <text xml:space="preserve">Foi redirecionado para priorizar o RL 7933726256 </text>
  </threadedComment>
  <threadedComment ref="A34" dT="2026-07-27T21:55:01.48" personId="{2CA1750F-6264-42FE-A0B9-B3DEE7C271DA}" id="{0041C59C-F9F9-4C83-993D-D122C9399368}">
    <text>Equipamento alinhado com o Jean para colocar os cabos compatibilizadores</text>
  </threadedComment>
  <threadedComment ref="A39" dT="2026-07-22T14:01:27.87" personId="{6564218A-E088-4662-9D46-DA31EA88AA31}" id="{72850F46-6F99-4AE9-AA9C-0D35C56ACC60}">
    <text>Joelson vai mandar uma equipe de campo ver</text>
  </threadedComment>
  <threadedComment ref="G39" dT="2026-07-28T14:42:16.96" personId="{6564218A-E088-4662-9D46-DA31EA88AA31}" id="{390B3EE9-C964-4BBF-8A8C-EF83FE61AE2A}">
    <text>Conversar Com o Sandro Para Podermos mandar o e-mail para o Juridico</text>
  </threadedComment>
  <threadedComment ref="G44" dT="2026-08-12T18:13:28.63" personId="{6564218A-E088-4662-9D46-DA31EA88AA31}" id="{824C3832-6F9A-4886-A556-58C556E545B8}">
    <text>Ocorreu simultaneo era caso de furto</text>
  </threadedComment>
  <threadedComment ref="A56" dT="2026-07-27T22:28:43.17" personId="{2CA1750F-6264-42FE-A0B9-B3DEE7C271DA}" id="{9EFFF02E-E71A-4EAA-B7B0-BDEC52ED4DEF}">
    <text>Nota baixada erroneamente pelo DMSL, aguardando retorno da Lorrane.</text>
  </threadedComment>
  <threadedComment ref="A67" dT="2026-07-14T21:25:38.69" personId="{2CA1750F-6264-42FE-A0B9-B3DEE7C271DA}" id="{08741313-3F60-4F2B-856E-7E8FFB04A879}">
    <text>Verificar com a PROT sobre os ajustes, equipamento já em operação.</text>
  </threadedComment>
  <threadedComment ref="A71" dT="2026-07-14T21:28:50.48" personId="{2CA1750F-6264-42FE-A0B9-B3DEE7C271DA}" id="{A5CAD942-B372-4B9A-8A2D-F37251F74BF3}">
    <text>Equipamento em operação, necessário confirmar com o COCM Palmas</text>
  </threadedComment>
  <threadedComment ref="A74" dT="2026-07-14T21:45:49.00" personId="{2CA1750F-6264-42FE-A0B9-B3DEE7C271DA}" id="{272641DD-DFB7-4672-8214-D86F06479939}">
    <text>Linha viva substituiu a CH danificada, confirmar com o Zenilson se esta em operação.</text>
  </threadedComment>
  <threadedComment ref="A79" dT="2026-07-27T23:03:21.41" personId="{2CA1750F-6264-42FE-A0B9-B3DEE7C271DA}" id="{6F55BA77-480E-40E4-B08D-D74D81B7284E}">
    <text>Equipamento fora de operação, baixada erroneamente pelo COCM.</text>
  </threadedComment>
  <threadedComment ref="A82" dT="2026-07-27T23:09:12.51" personId="{2CA1750F-6264-42FE-A0B9-B3DEE7C271DA}" id="{D0D64B82-4998-4C28-9AD4-CD7B13F39588}">
    <text>Confirmar informação de remanejamento inserida na SS.</text>
  </threadedComment>
  <threadedComment ref="A93" dT="2026-07-27T23:15:55.74" personId="{2CA1750F-6264-42FE-A0B9-B3DEE7C271DA}" id="{60FB343E-7068-4516-969E-F4791E8E04F1}">
    <text>Nota baixada erroneamente pelo DMSL, aguardando retorno da Lorrane.</text>
  </threadedComment>
  <threadedComment ref="A97" dT="2026-07-27T23:36:35.50" personId="{2CA1750F-6264-42FE-A0B9-B3DEE7C271DA}" id="{715334F1-1F6D-435D-BF76-109CE1206DB1}">
    <text>Equipamento não abre a tela de controle de sinais, Zenilson verificar.</text>
  </threadedComment>
  <threadedComment ref="A102" dT="2026-07-27T23:50:33.68" personId="{2CA1750F-6264-42FE-A0B9-B3DEE7C271DA}" id="{C907F8D6-B9B1-4147-8FED-064820BD0B3A}">
    <text>Equipamento não abre a tela de controle de sinais, Zenilson verificar.</text>
  </threadedComment>
  <threadedComment ref="A104" dT="2026-07-27T23:56:43.83" personId="{2CA1750F-6264-42FE-A0B9-B3DEE7C271DA}" id="{E94CBFE0-6B9E-4BC2-A75F-87CF5CC98DEC}">
    <text>Paramos aqui</text>
  </threadedComment>
  <threadedComment ref="G110" dT="2026-07-27T22:56:48.83" personId="{6564218A-E088-4662-9D46-DA31EA88AA31}" id="{87BE34AA-9A33-499D-A2AA-B55D8E797EF8}">
    <text>Tenho um Controle ou consigo reaproveitar o tanque em outro, dependendo da criticidade</text>
  </threadedComment>
</ThreadedComments>
</file>

<file path=xl/threadedComments/threadedComment2.xml><?xml version="1.0" encoding="utf-8"?>
<ThreadedComments xmlns="http://schemas.microsoft.com/office/spreadsheetml/2018/threadedcomments" xmlns:x="http://schemas.openxmlformats.org/spreadsheetml/2006/main">
  <threadedComment ref="B14" dT="2026-07-14T12:38:16.26" personId="{6564218A-E088-4662-9D46-DA31EA88AA31}" id="{DF772875-8A42-4BAA-AFB3-6FFE8C3AB7EB}">
    <text>02125725</text>
  </threadedComment>
  <threadedComment ref="B14" dT="2026-07-14T12:39:20.52" personId="{6564218A-E088-4662-9D46-DA31EA88AA31}" id="{CD896CBC-1525-436C-8026-C062672FC966}" parentId="{DF772875-8A42-4BAA-AFB3-6FFE8C3AB7EB}">
    <text>17/07/2026</text>
  </threadedComment>
</ThreadedComment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A2749-7BE0-4C81-B8F8-EE7E6B411119}">
  <dimension ref="A1:J10"/>
  <sheetViews>
    <sheetView workbookViewId="0">
      <selection activeCell="F13" sqref="F13"/>
    </sheetView>
  </sheetViews>
  <sheetFormatPr defaultRowHeight="15"/>
  <cols>
    <col min="1" max="1" width="12.85546875" bestFit="1" customWidth="1"/>
    <col min="2" max="2" width="15.140625" bestFit="1" customWidth="1"/>
    <col min="3" max="3" width="3" bestFit="1" customWidth="1"/>
    <col min="4" max="4" width="10.7109375" bestFit="1" customWidth="1"/>
    <col min="5" max="5" width="10.7109375" customWidth="1"/>
    <col min="6" max="6" width="25.7109375" customWidth="1"/>
    <col min="7" max="9" width="10.7109375" customWidth="1"/>
  </cols>
  <sheetData>
    <row r="1" spans="1:10">
      <c r="A1" s="13" t="s">
        <v>0</v>
      </c>
      <c r="B1" t="s">
        <v>1</v>
      </c>
      <c r="F1" s="56" t="s">
        <v>2</v>
      </c>
      <c r="G1" s="53" t="s">
        <v>3</v>
      </c>
      <c r="H1" s="53"/>
      <c r="I1" s="54" t="s">
        <v>4</v>
      </c>
    </row>
    <row r="2" spans="1:10">
      <c r="F2" s="57"/>
      <c r="G2" s="14" t="s">
        <v>5</v>
      </c>
      <c r="H2" s="19" t="s">
        <v>6</v>
      </c>
      <c r="I2" s="55"/>
      <c r="J2" s="20"/>
    </row>
    <row r="3" spans="1:10">
      <c r="A3" s="13" t="s">
        <v>7</v>
      </c>
      <c r="B3" s="13" t="s">
        <v>8</v>
      </c>
      <c r="F3" s="15" t="s">
        <v>9</v>
      </c>
      <c r="G3" s="23">
        <v>9</v>
      </c>
      <c r="H3" s="23">
        <v>2</v>
      </c>
      <c r="I3" s="23">
        <f>SUM(G3:H3)</f>
        <v>11</v>
      </c>
      <c r="J3" s="20"/>
    </row>
    <row r="4" spans="1:10">
      <c r="A4" s="13" t="s">
        <v>2</v>
      </c>
      <c r="B4" t="s">
        <v>10</v>
      </c>
      <c r="C4" t="s">
        <v>11</v>
      </c>
      <c r="D4" t="s">
        <v>12</v>
      </c>
      <c r="F4" s="16" t="s">
        <v>13</v>
      </c>
      <c r="G4" s="24">
        <v>9</v>
      </c>
      <c r="H4" s="24">
        <v>3</v>
      </c>
      <c r="I4" s="24">
        <f t="shared" ref="I4:I7" si="0">SUM(G4:H4)</f>
        <v>12</v>
      </c>
    </row>
    <row r="5" spans="1:10">
      <c r="A5" s="10" t="s">
        <v>9</v>
      </c>
      <c r="B5">
        <v>3</v>
      </c>
      <c r="C5">
        <v>11</v>
      </c>
      <c r="D5">
        <v>14</v>
      </c>
      <c r="F5" s="16" t="s">
        <v>14</v>
      </c>
      <c r="G5" s="25">
        <v>9</v>
      </c>
      <c r="H5" s="25">
        <v>4</v>
      </c>
      <c r="I5" s="25">
        <f t="shared" si="0"/>
        <v>13</v>
      </c>
    </row>
    <row r="6" spans="1:10">
      <c r="A6" s="10" t="s">
        <v>13</v>
      </c>
      <c r="B6">
        <v>3</v>
      </c>
      <c r="C6">
        <v>6</v>
      </c>
      <c r="D6">
        <v>9</v>
      </c>
      <c r="F6" s="16" t="s">
        <v>15</v>
      </c>
      <c r="G6" s="25">
        <v>9</v>
      </c>
      <c r="H6" s="25">
        <v>5</v>
      </c>
      <c r="I6" s="25">
        <f t="shared" si="0"/>
        <v>14</v>
      </c>
    </row>
    <row r="7" spans="1:10">
      <c r="A7" s="10" t="s">
        <v>14</v>
      </c>
      <c r="B7">
        <v>5</v>
      </c>
      <c r="C7">
        <v>9</v>
      </c>
      <c r="D7">
        <v>14</v>
      </c>
      <c r="F7" s="16" t="s">
        <v>16</v>
      </c>
      <c r="G7" s="26">
        <v>28</v>
      </c>
      <c r="H7" s="26">
        <v>9</v>
      </c>
      <c r="I7" s="26">
        <f t="shared" si="0"/>
        <v>37</v>
      </c>
    </row>
    <row r="8" spans="1:10">
      <c r="A8" s="10" t="s">
        <v>15</v>
      </c>
      <c r="B8">
        <v>4</v>
      </c>
      <c r="C8">
        <v>11</v>
      </c>
      <c r="D8">
        <v>15</v>
      </c>
      <c r="F8" s="18" t="s">
        <v>12</v>
      </c>
      <c r="G8" s="17">
        <v>64</v>
      </c>
      <c r="H8" s="21">
        <v>23</v>
      </c>
      <c r="I8" s="22">
        <f>SUM(I3:I7)</f>
        <v>87</v>
      </c>
    </row>
    <row r="9" spans="1:10">
      <c r="A9" s="10" t="s">
        <v>16</v>
      </c>
      <c r="C9">
        <v>3</v>
      </c>
      <c r="D9">
        <v>3</v>
      </c>
      <c r="J9" s="20"/>
    </row>
    <row r="10" spans="1:10">
      <c r="A10" s="10" t="s">
        <v>12</v>
      </c>
      <c r="B10">
        <v>15</v>
      </c>
      <c r="C10">
        <v>40</v>
      </c>
      <c r="D10">
        <v>55</v>
      </c>
    </row>
  </sheetData>
  <mergeCells count="3">
    <mergeCell ref="G1:H1"/>
    <mergeCell ref="I1:I2"/>
    <mergeCell ref="F1:F2"/>
  </mergeCells>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B1DD6-9784-4ED5-893C-BEFA26B59293}">
  <dimension ref="A1:W94"/>
  <sheetViews>
    <sheetView topLeftCell="A94" workbookViewId="0">
      <selection activeCell="D2" sqref="D2:D94"/>
    </sheetView>
  </sheetViews>
  <sheetFormatPr defaultRowHeight="15"/>
  <cols>
    <col min="1" max="1" width="12.7109375" style="4" bestFit="1" customWidth="1"/>
    <col min="2" max="2" width="21.5703125" style="4" bestFit="1" customWidth="1"/>
    <col min="3" max="3" width="16.28515625" style="4" bestFit="1" customWidth="1"/>
    <col min="4" max="4" width="20.7109375" style="4" bestFit="1" customWidth="1"/>
    <col min="5" max="5" width="7.42578125" style="4" bestFit="1" customWidth="1"/>
    <col min="6" max="6" width="19.7109375" style="4" bestFit="1" customWidth="1"/>
    <col min="7" max="7" width="13.85546875" style="4" bestFit="1" customWidth="1"/>
    <col min="8" max="8" width="29.140625" style="4" bestFit="1" customWidth="1"/>
    <col min="9" max="9" width="25.140625" style="4" bestFit="1" customWidth="1"/>
    <col min="10" max="10" width="14.7109375" style="4" bestFit="1" customWidth="1"/>
    <col min="11" max="11" width="18.85546875" style="10" bestFit="1" customWidth="1"/>
    <col min="12" max="12" width="81.140625" style="4" bestFit="1" customWidth="1"/>
    <col min="13" max="20" width="15" style="4" bestFit="1" customWidth="1"/>
    <col min="21" max="21" width="15.28515625" style="4" bestFit="1" customWidth="1"/>
    <col min="22" max="22" width="15.140625" style="4" bestFit="1" customWidth="1"/>
    <col min="23" max="23" width="81.140625" style="4" customWidth="1"/>
    <col min="24" max="16384" width="9.140625" style="4"/>
  </cols>
  <sheetData>
    <row r="1" spans="1:23" s="5" customFormat="1">
      <c r="A1" s="5" t="s">
        <v>17</v>
      </c>
      <c r="B1" s="5" t="s">
        <v>18</v>
      </c>
      <c r="C1" s="5" t="s">
        <v>0</v>
      </c>
      <c r="D1" s="5" t="s">
        <v>19</v>
      </c>
      <c r="E1" t="s">
        <v>20</v>
      </c>
      <c r="F1" s="5" t="s">
        <v>21</v>
      </c>
      <c r="G1" s="5" t="s">
        <v>22</v>
      </c>
      <c r="H1" s="5" t="s">
        <v>23</v>
      </c>
      <c r="I1" s="5" t="s">
        <v>24</v>
      </c>
      <c r="J1" s="5" t="s">
        <v>25</v>
      </c>
      <c r="K1" s="5" t="s">
        <v>26</v>
      </c>
      <c r="L1" s="5" t="s">
        <v>27</v>
      </c>
      <c r="M1" s="5" t="s">
        <v>28</v>
      </c>
      <c r="N1" s="5" t="s">
        <v>29</v>
      </c>
      <c r="O1" s="5" t="s">
        <v>30</v>
      </c>
      <c r="P1" s="5" t="s">
        <v>31</v>
      </c>
      <c r="Q1" s="5" t="s">
        <v>32</v>
      </c>
      <c r="R1" s="5" t="s">
        <v>33</v>
      </c>
      <c r="S1" s="5" t="s">
        <v>34</v>
      </c>
      <c r="T1" s="5" t="s">
        <v>35</v>
      </c>
      <c r="U1" s="5" t="s">
        <v>36</v>
      </c>
      <c r="V1" s="5" t="s">
        <v>2</v>
      </c>
      <c r="W1" s="5" t="s">
        <v>37</v>
      </c>
    </row>
    <row r="2" spans="1:23" ht="150">
      <c r="A2" s="4">
        <v>2026</v>
      </c>
      <c r="B2" s="4" t="s">
        <v>38</v>
      </c>
      <c r="C2" s="4" t="s">
        <v>39</v>
      </c>
      <c r="D2" s="4">
        <v>5854566043</v>
      </c>
      <c r="E2" t="s">
        <v>10</v>
      </c>
      <c r="F2" s="9">
        <v>46225</v>
      </c>
      <c r="G2" s="4">
        <v>43</v>
      </c>
      <c r="H2" s="4" t="s">
        <v>40</v>
      </c>
      <c r="I2" s="4" t="s">
        <v>41</v>
      </c>
      <c r="J2" s="4" t="s">
        <v>42</v>
      </c>
      <c r="K2" s="4" t="s">
        <v>43</v>
      </c>
      <c r="L2" s="42" t="s">
        <v>44</v>
      </c>
      <c r="M2" s="4">
        <v>40</v>
      </c>
      <c r="N2" s="4">
        <v>20</v>
      </c>
      <c r="O2" s="4">
        <v>20</v>
      </c>
      <c r="P2" s="4">
        <v>10</v>
      </c>
      <c r="Q2" s="4">
        <v>20</v>
      </c>
      <c r="R2" s="4" t="s">
        <v>45</v>
      </c>
      <c r="S2" s="4" t="s">
        <v>45</v>
      </c>
      <c r="T2" s="4" t="s">
        <v>45</v>
      </c>
      <c r="U2" s="4">
        <v>110</v>
      </c>
      <c r="V2" s="4" t="s">
        <v>9</v>
      </c>
      <c r="W2" s="4" t="s">
        <v>46</v>
      </c>
    </row>
    <row r="3" spans="1:23" ht="270">
      <c r="A3" s="4">
        <v>2026</v>
      </c>
      <c r="B3" s="4" t="s">
        <v>47</v>
      </c>
      <c r="C3" s="4" t="s">
        <v>48</v>
      </c>
      <c r="D3" s="4">
        <v>5800859011</v>
      </c>
      <c r="E3" t="s">
        <v>10</v>
      </c>
      <c r="F3" s="9">
        <v>46219</v>
      </c>
      <c r="G3" s="4">
        <v>11</v>
      </c>
      <c r="H3" s="4" t="s">
        <v>49</v>
      </c>
      <c r="I3" s="4" t="s">
        <v>50</v>
      </c>
      <c r="J3" s="4" t="s">
        <v>51</v>
      </c>
      <c r="K3" s="4" t="s">
        <v>52</v>
      </c>
      <c r="L3" s="42" t="s">
        <v>53</v>
      </c>
      <c r="M3" s="4">
        <v>40</v>
      </c>
      <c r="N3" s="4">
        <v>20</v>
      </c>
      <c r="O3" s="4">
        <v>20</v>
      </c>
      <c r="P3" s="4">
        <v>10</v>
      </c>
      <c r="Q3" s="4">
        <v>20</v>
      </c>
      <c r="R3" s="4" t="s">
        <v>45</v>
      </c>
      <c r="S3" s="4" t="s">
        <v>45</v>
      </c>
      <c r="T3" s="4" t="s">
        <v>45</v>
      </c>
      <c r="U3" s="4">
        <v>110</v>
      </c>
      <c r="V3" s="4" t="s">
        <v>9</v>
      </c>
      <c r="W3" s="4" t="s">
        <v>54</v>
      </c>
    </row>
    <row r="4" spans="1:23" ht="30">
      <c r="A4" s="4">
        <v>2026</v>
      </c>
      <c r="B4" s="4" t="s">
        <v>55</v>
      </c>
      <c r="C4" s="4" t="s">
        <v>56</v>
      </c>
      <c r="D4" s="4">
        <v>7923673004</v>
      </c>
      <c r="E4" t="s">
        <v>11</v>
      </c>
      <c r="F4" s="9">
        <v>46210</v>
      </c>
      <c r="G4" s="4">
        <v>4</v>
      </c>
      <c r="H4" s="4" t="s">
        <v>57</v>
      </c>
      <c r="I4" s="4" t="s">
        <v>57</v>
      </c>
      <c r="J4" s="4" t="s">
        <v>51</v>
      </c>
      <c r="K4" s="4" t="s">
        <v>58</v>
      </c>
      <c r="L4" s="42" t="s">
        <v>59</v>
      </c>
      <c r="M4" s="4">
        <v>15</v>
      </c>
      <c r="N4" s="4">
        <v>20</v>
      </c>
      <c r="O4" s="4">
        <v>15</v>
      </c>
      <c r="P4" s="4">
        <v>15</v>
      </c>
      <c r="Q4" s="4">
        <v>15</v>
      </c>
      <c r="R4" s="4">
        <v>10</v>
      </c>
      <c r="S4" s="4">
        <v>0</v>
      </c>
      <c r="T4" s="4">
        <v>15</v>
      </c>
      <c r="U4" s="4">
        <v>105</v>
      </c>
      <c r="V4" s="4" t="s">
        <v>9</v>
      </c>
      <c r="W4" s="4" t="s">
        <v>60</v>
      </c>
    </row>
    <row r="5" spans="1:23" ht="75">
      <c r="A5" s="4">
        <v>2026</v>
      </c>
      <c r="B5" s="4" t="s">
        <v>61</v>
      </c>
      <c r="C5" s="4" t="s">
        <v>56</v>
      </c>
      <c r="D5" s="4">
        <v>7931608059</v>
      </c>
      <c r="E5" t="s">
        <v>11</v>
      </c>
      <c r="F5" s="9">
        <v>46077</v>
      </c>
      <c r="G5" s="4">
        <v>59</v>
      </c>
      <c r="H5" s="4" t="s">
        <v>62</v>
      </c>
      <c r="I5" s="4" t="s">
        <v>62</v>
      </c>
      <c r="J5" s="4" t="s">
        <v>42</v>
      </c>
      <c r="K5" s="4" t="s">
        <v>63</v>
      </c>
      <c r="L5" s="42" t="s">
        <v>64</v>
      </c>
      <c r="M5" s="4">
        <v>15</v>
      </c>
      <c r="N5" s="4">
        <v>20</v>
      </c>
      <c r="O5" s="4">
        <v>15</v>
      </c>
      <c r="P5" s="4">
        <v>15</v>
      </c>
      <c r="Q5" s="4">
        <v>15</v>
      </c>
      <c r="R5" s="4">
        <v>10</v>
      </c>
      <c r="S5" s="4">
        <v>0</v>
      </c>
      <c r="T5" s="4">
        <v>15</v>
      </c>
      <c r="U5" s="4">
        <v>105</v>
      </c>
      <c r="V5" s="4" t="s">
        <v>9</v>
      </c>
      <c r="W5" s="4" t="s">
        <v>65</v>
      </c>
    </row>
    <row r="6" spans="1:23" ht="255">
      <c r="A6" s="4">
        <v>2026</v>
      </c>
      <c r="B6" s="4" t="s">
        <v>66</v>
      </c>
      <c r="C6" s="4" t="s">
        <v>67</v>
      </c>
      <c r="D6" s="4">
        <v>7931610122</v>
      </c>
      <c r="E6" t="s">
        <v>11</v>
      </c>
      <c r="F6" s="9">
        <v>46225</v>
      </c>
      <c r="G6" s="4">
        <v>122</v>
      </c>
      <c r="H6" s="4" t="s">
        <v>68</v>
      </c>
      <c r="I6" s="4" t="s">
        <v>68</v>
      </c>
      <c r="J6" s="4" t="s">
        <v>42</v>
      </c>
      <c r="K6" s="4" t="s">
        <v>69</v>
      </c>
      <c r="L6" s="42" t="s">
        <v>70</v>
      </c>
      <c r="M6" s="4">
        <v>15</v>
      </c>
      <c r="N6" s="4">
        <v>20</v>
      </c>
      <c r="O6" s="4">
        <v>15</v>
      </c>
      <c r="P6" s="4">
        <v>15</v>
      </c>
      <c r="Q6" s="4">
        <v>15</v>
      </c>
      <c r="R6" s="4">
        <v>10</v>
      </c>
      <c r="S6" s="4">
        <v>0</v>
      </c>
      <c r="T6" s="4">
        <v>15</v>
      </c>
      <c r="U6" s="4">
        <v>105</v>
      </c>
      <c r="V6" s="4" t="s">
        <v>9</v>
      </c>
      <c r="W6" s="4" t="s">
        <v>71</v>
      </c>
    </row>
    <row r="7" spans="1:23" ht="195">
      <c r="A7" s="4">
        <v>2026</v>
      </c>
      <c r="B7" s="4" t="s">
        <v>72</v>
      </c>
      <c r="C7" s="4" t="s">
        <v>73</v>
      </c>
      <c r="D7" s="4">
        <v>5856070091</v>
      </c>
      <c r="E7" t="s">
        <v>10</v>
      </c>
      <c r="F7" s="9">
        <v>46230</v>
      </c>
      <c r="G7" s="4">
        <v>91</v>
      </c>
      <c r="H7" s="4" t="s">
        <v>74</v>
      </c>
      <c r="I7" s="4" t="s">
        <v>75</v>
      </c>
      <c r="J7" s="4" t="s">
        <v>76</v>
      </c>
      <c r="K7" s="4" t="s">
        <v>77</v>
      </c>
      <c r="L7" s="42" t="s">
        <v>78</v>
      </c>
      <c r="M7" s="4">
        <v>40</v>
      </c>
      <c r="N7" s="4">
        <v>20</v>
      </c>
      <c r="O7" s="4">
        <v>20</v>
      </c>
      <c r="P7" s="4">
        <v>20</v>
      </c>
      <c r="Q7" s="4">
        <v>0</v>
      </c>
      <c r="R7" s="4" t="s">
        <v>45</v>
      </c>
      <c r="S7" s="4" t="s">
        <v>45</v>
      </c>
      <c r="T7" s="4" t="s">
        <v>45</v>
      </c>
      <c r="U7" s="4">
        <v>100</v>
      </c>
      <c r="V7" s="4" t="s">
        <v>9</v>
      </c>
      <c r="W7" s="4" t="s">
        <v>79</v>
      </c>
    </row>
    <row r="8" spans="1:23" ht="75">
      <c r="A8" s="4">
        <v>2026</v>
      </c>
      <c r="B8" s="4" t="s">
        <v>80</v>
      </c>
      <c r="C8" s="4" t="s">
        <v>56</v>
      </c>
      <c r="D8" s="4">
        <v>7947203070</v>
      </c>
      <c r="E8" t="s">
        <v>11</v>
      </c>
      <c r="F8" s="9">
        <v>46211</v>
      </c>
      <c r="G8" s="4">
        <v>70</v>
      </c>
      <c r="H8" s="4" t="s">
        <v>81</v>
      </c>
      <c r="I8" s="4" t="s">
        <v>62</v>
      </c>
      <c r="J8" s="4" t="s">
        <v>42</v>
      </c>
      <c r="K8" s="4" t="s">
        <v>82</v>
      </c>
      <c r="L8" s="42" t="s">
        <v>83</v>
      </c>
      <c r="M8" s="4">
        <v>10</v>
      </c>
      <c r="N8" s="4">
        <v>20</v>
      </c>
      <c r="O8" s="4">
        <v>15</v>
      </c>
      <c r="P8" s="4">
        <v>15</v>
      </c>
      <c r="Q8" s="4">
        <v>15</v>
      </c>
      <c r="R8" s="4">
        <v>10</v>
      </c>
      <c r="S8" s="4">
        <v>0</v>
      </c>
      <c r="T8" s="4">
        <v>15</v>
      </c>
      <c r="U8" s="4">
        <v>100</v>
      </c>
      <c r="V8" s="4" t="s">
        <v>9</v>
      </c>
      <c r="W8" s="4" t="s">
        <v>84</v>
      </c>
    </row>
    <row r="9" spans="1:23" ht="75">
      <c r="A9" s="4">
        <v>2026</v>
      </c>
      <c r="B9" s="4" t="s">
        <v>85</v>
      </c>
      <c r="C9" s="4" t="s">
        <v>73</v>
      </c>
      <c r="D9" s="4">
        <v>7908705049</v>
      </c>
      <c r="E9" t="s">
        <v>11</v>
      </c>
      <c r="F9" s="9">
        <v>46209</v>
      </c>
      <c r="G9" s="4">
        <v>49</v>
      </c>
      <c r="H9" s="4" t="s">
        <v>86</v>
      </c>
      <c r="I9" s="4" t="s">
        <v>75</v>
      </c>
      <c r="J9" s="4" t="s">
        <v>76</v>
      </c>
      <c r="K9" s="4" t="s">
        <v>87</v>
      </c>
      <c r="L9" s="42" t="s">
        <v>88</v>
      </c>
      <c r="M9" s="4">
        <v>15</v>
      </c>
      <c r="N9" s="4">
        <v>20</v>
      </c>
      <c r="O9" s="4">
        <v>5</v>
      </c>
      <c r="P9" s="4">
        <v>15</v>
      </c>
      <c r="Q9" s="4">
        <v>15</v>
      </c>
      <c r="R9" s="4">
        <v>0</v>
      </c>
      <c r="S9" s="4">
        <v>10</v>
      </c>
      <c r="T9" s="4">
        <v>15</v>
      </c>
      <c r="U9" s="4">
        <v>95</v>
      </c>
      <c r="V9" s="4" t="s">
        <v>9</v>
      </c>
      <c r="W9" s="4" t="s">
        <v>89</v>
      </c>
    </row>
    <row r="10" spans="1:23" ht="150">
      <c r="A10" s="4">
        <v>2026</v>
      </c>
      <c r="B10" s="4" t="s">
        <v>90</v>
      </c>
      <c r="C10" s="4" t="s">
        <v>56</v>
      </c>
      <c r="D10" s="4">
        <v>7925744087</v>
      </c>
      <c r="E10" t="s">
        <v>11</v>
      </c>
      <c r="F10" s="9">
        <v>46111</v>
      </c>
      <c r="G10" s="4">
        <v>87</v>
      </c>
      <c r="H10" s="4" t="s">
        <v>91</v>
      </c>
      <c r="I10" s="4" t="s">
        <v>50</v>
      </c>
      <c r="J10" s="4" t="s">
        <v>51</v>
      </c>
      <c r="K10" s="4" t="s">
        <v>92</v>
      </c>
      <c r="L10" s="42" t="s">
        <v>93</v>
      </c>
      <c r="M10" s="4">
        <v>15</v>
      </c>
      <c r="N10" s="4">
        <v>20</v>
      </c>
      <c r="O10" s="4">
        <v>5</v>
      </c>
      <c r="P10" s="4">
        <v>15</v>
      </c>
      <c r="Q10" s="4">
        <v>15</v>
      </c>
      <c r="R10" s="4">
        <v>10</v>
      </c>
      <c r="S10" s="4">
        <v>0</v>
      </c>
      <c r="T10" s="4">
        <v>15</v>
      </c>
      <c r="U10" s="4">
        <v>95</v>
      </c>
      <c r="V10" s="4" t="s">
        <v>9</v>
      </c>
      <c r="W10" s="4" t="s">
        <v>94</v>
      </c>
    </row>
    <row r="11" spans="1:23" ht="150">
      <c r="A11" s="4">
        <v>2026</v>
      </c>
      <c r="B11" s="4" t="s">
        <v>95</v>
      </c>
      <c r="C11" s="4" t="s">
        <v>96</v>
      </c>
      <c r="D11" s="4">
        <v>7900117013</v>
      </c>
      <c r="E11" t="s">
        <v>11</v>
      </c>
      <c r="F11" s="9">
        <v>46224</v>
      </c>
      <c r="G11" s="4">
        <v>13</v>
      </c>
      <c r="H11" s="4" t="s">
        <v>97</v>
      </c>
      <c r="I11" s="4" t="s">
        <v>97</v>
      </c>
      <c r="J11" s="4" t="s">
        <v>42</v>
      </c>
      <c r="K11" s="4" t="s">
        <v>98</v>
      </c>
      <c r="L11" s="42" t="s">
        <v>99</v>
      </c>
      <c r="M11" s="4">
        <v>15</v>
      </c>
      <c r="N11" s="4">
        <v>20</v>
      </c>
      <c r="O11" s="4">
        <v>15</v>
      </c>
      <c r="P11" s="4">
        <v>15</v>
      </c>
      <c r="Q11" s="4">
        <v>15</v>
      </c>
      <c r="R11" s="4">
        <v>0</v>
      </c>
      <c r="S11" s="4">
        <v>0</v>
      </c>
      <c r="T11" s="4">
        <v>15</v>
      </c>
      <c r="U11" s="4">
        <v>95</v>
      </c>
      <c r="V11" s="4" t="s">
        <v>9</v>
      </c>
      <c r="W11" s="4" t="s">
        <v>100</v>
      </c>
    </row>
    <row r="12" spans="1:23" ht="135">
      <c r="A12" s="4">
        <v>2026</v>
      </c>
      <c r="B12" s="4" t="s">
        <v>101</v>
      </c>
      <c r="C12" s="4" t="s">
        <v>56</v>
      </c>
      <c r="D12" s="4">
        <v>7929376022</v>
      </c>
      <c r="E12" t="s">
        <v>11</v>
      </c>
      <c r="F12" s="9">
        <v>46203</v>
      </c>
      <c r="G12" s="4">
        <v>22</v>
      </c>
      <c r="H12" s="4" t="s">
        <v>102</v>
      </c>
      <c r="I12" s="4" t="s">
        <v>57</v>
      </c>
      <c r="J12" s="4" t="s">
        <v>51</v>
      </c>
      <c r="K12" s="4" t="s">
        <v>103</v>
      </c>
      <c r="L12" s="42" t="s">
        <v>104</v>
      </c>
      <c r="M12" s="4">
        <v>15</v>
      </c>
      <c r="N12" s="4">
        <v>20</v>
      </c>
      <c r="O12" s="4">
        <v>5</v>
      </c>
      <c r="P12" s="4">
        <v>15</v>
      </c>
      <c r="Q12" s="4">
        <v>15</v>
      </c>
      <c r="R12" s="4">
        <v>10</v>
      </c>
      <c r="S12" s="4">
        <v>0</v>
      </c>
      <c r="T12" s="4">
        <v>15</v>
      </c>
      <c r="U12" s="4">
        <v>95</v>
      </c>
      <c r="V12" s="4" t="s">
        <v>9</v>
      </c>
      <c r="W12" s="4" t="s">
        <v>105</v>
      </c>
    </row>
    <row r="13" spans="1:23" ht="195">
      <c r="A13" s="4">
        <v>2026</v>
      </c>
      <c r="B13" s="4" t="s">
        <v>106</v>
      </c>
      <c r="C13" s="4" t="s">
        <v>96</v>
      </c>
      <c r="D13" s="4">
        <v>7933726256</v>
      </c>
      <c r="E13" t="s">
        <v>11</v>
      </c>
      <c r="F13" s="9">
        <v>46212</v>
      </c>
      <c r="G13" s="4">
        <v>256</v>
      </c>
      <c r="H13" s="4" t="s">
        <v>107</v>
      </c>
      <c r="I13" s="4" t="s">
        <v>108</v>
      </c>
      <c r="J13" s="4" t="s">
        <v>42</v>
      </c>
      <c r="K13" s="4" t="s">
        <v>109</v>
      </c>
      <c r="L13" s="42" t="s">
        <v>110</v>
      </c>
      <c r="M13" s="4">
        <v>15</v>
      </c>
      <c r="N13" s="4">
        <v>10</v>
      </c>
      <c r="O13" s="4">
        <v>15</v>
      </c>
      <c r="P13" s="4">
        <v>15</v>
      </c>
      <c r="Q13" s="4">
        <v>15</v>
      </c>
      <c r="R13" s="4">
        <v>10</v>
      </c>
      <c r="S13" s="4">
        <v>0</v>
      </c>
      <c r="T13" s="4">
        <v>15</v>
      </c>
      <c r="U13" s="4">
        <v>95</v>
      </c>
      <c r="V13" s="4" t="s">
        <v>9</v>
      </c>
      <c r="W13" s="4" t="s">
        <v>111</v>
      </c>
    </row>
    <row r="14" spans="1:23" ht="195">
      <c r="A14" s="4">
        <v>2026</v>
      </c>
      <c r="B14" s="4" t="s">
        <v>112</v>
      </c>
      <c r="C14" s="4" t="s">
        <v>67</v>
      </c>
      <c r="D14" s="4">
        <v>7933766059</v>
      </c>
      <c r="E14" t="s">
        <v>11</v>
      </c>
      <c r="F14" s="9">
        <v>46225</v>
      </c>
      <c r="G14" s="4">
        <v>59</v>
      </c>
      <c r="H14" s="4" t="s">
        <v>62</v>
      </c>
      <c r="I14" s="4" t="s">
        <v>62</v>
      </c>
      <c r="J14" s="4" t="s">
        <v>42</v>
      </c>
      <c r="K14" s="4" t="s">
        <v>113</v>
      </c>
      <c r="L14" s="42" t="s">
        <v>114</v>
      </c>
      <c r="M14" s="4">
        <v>15</v>
      </c>
      <c r="N14" s="4">
        <v>20</v>
      </c>
      <c r="O14" s="4">
        <v>5</v>
      </c>
      <c r="P14" s="4">
        <v>15</v>
      </c>
      <c r="Q14" s="4">
        <v>15</v>
      </c>
      <c r="R14" s="4">
        <v>0</v>
      </c>
      <c r="S14" s="4">
        <v>10</v>
      </c>
      <c r="T14" s="4">
        <v>15</v>
      </c>
      <c r="U14" s="4">
        <v>95</v>
      </c>
      <c r="V14" s="4" t="s">
        <v>9</v>
      </c>
      <c r="W14" s="4" t="s">
        <v>115</v>
      </c>
    </row>
    <row r="15" spans="1:23" ht="180">
      <c r="A15" s="4">
        <v>2026</v>
      </c>
      <c r="B15" s="4" t="s">
        <v>116</v>
      </c>
      <c r="C15" s="4" t="s">
        <v>117</v>
      </c>
      <c r="D15" s="4">
        <v>7900594026</v>
      </c>
      <c r="E15" t="s">
        <v>11</v>
      </c>
      <c r="F15" s="9">
        <v>46219</v>
      </c>
      <c r="G15" s="4">
        <v>26</v>
      </c>
      <c r="H15" s="4" t="s">
        <v>108</v>
      </c>
      <c r="I15" s="4" t="s">
        <v>108</v>
      </c>
      <c r="J15" s="4" t="s">
        <v>42</v>
      </c>
      <c r="K15" s="4" t="s">
        <v>109</v>
      </c>
      <c r="L15" s="42" t="s">
        <v>118</v>
      </c>
      <c r="M15" s="4">
        <v>15</v>
      </c>
      <c r="N15" s="4">
        <v>20</v>
      </c>
      <c r="O15" s="4">
        <v>15</v>
      </c>
      <c r="P15" s="4">
        <v>15</v>
      </c>
      <c r="Q15" s="4">
        <v>15</v>
      </c>
      <c r="R15" s="4">
        <v>0</v>
      </c>
      <c r="S15" s="4">
        <v>0</v>
      </c>
      <c r="T15" s="4">
        <v>15</v>
      </c>
      <c r="U15" s="4">
        <v>95</v>
      </c>
      <c r="V15" s="4" t="s">
        <v>9</v>
      </c>
      <c r="W15" s="4" t="s">
        <v>119</v>
      </c>
    </row>
    <row r="16" spans="1:23" ht="120">
      <c r="A16" s="4">
        <v>2026</v>
      </c>
      <c r="B16" s="4" t="s">
        <v>120</v>
      </c>
      <c r="C16" s="4" t="s">
        <v>56</v>
      </c>
      <c r="D16" s="4">
        <v>7927413001</v>
      </c>
      <c r="E16" t="s">
        <v>11</v>
      </c>
      <c r="F16" s="9">
        <v>46216</v>
      </c>
      <c r="G16" s="4">
        <v>1</v>
      </c>
      <c r="H16" s="4" t="s">
        <v>41</v>
      </c>
      <c r="I16" s="4" t="s">
        <v>41</v>
      </c>
      <c r="J16" s="4" t="s">
        <v>42</v>
      </c>
      <c r="K16" s="4" t="s">
        <v>121</v>
      </c>
      <c r="L16" s="42" t="s">
        <v>122</v>
      </c>
      <c r="M16" s="4">
        <v>15</v>
      </c>
      <c r="N16" s="4">
        <v>5</v>
      </c>
      <c r="O16" s="4">
        <v>15</v>
      </c>
      <c r="P16" s="4">
        <v>15</v>
      </c>
      <c r="Q16" s="4">
        <v>15</v>
      </c>
      <c r="R16" s="4">
        <v>10</v>
      </c>
      <c r="S16" s="4">
        <v>0</v>
      </c>
      <c r="T16" s="4">
        <v>15</v>
      </c>
      <c r="U16" s="4">
        <v>90</v>
      </c>
      <c r="V16" s="4" t="s">
        <v>9</v>
      </c>
      <c r="W16" s="4" t="s">
        <v>123</v>
      </c>
    </row>
    <row r="17" spans="1:23" ht="120">
      <c r="A17" s="4">
        <v>2026</v>
      </c>
      <c r="B17" s="4" t="s">
        <v>124</v>
      </c>
      <c r="C17" s="4" t="s">
        <v>125</v>
      </c>
      <c r="D17" s="4">
        <v>7908686014</v>
      </c>
      <c r="E17" t="s">
        <v>11</v>
      </c>
      <c r="F17" s="9">
        <v>46213</v>
      </c>
      <c r="G17" s="4">
        <v>14</v>
      </c>
      <c r="H17" s="4" t="s">
        <v>126</v>
      </c>
      <c r="I17" s="4" t="s">
        <v>97</v>
      </c>
      <c r="J17" s="4" t="s">
        <v>42</v>
      </c>
      <c r="K17" s="4" t="s">
        <v>127</v>
      </c>
      <c r="L17" s="42" t="s">
        <v>128</v>
      </c>
      <c r="M17" s="4">
        <v>15</v>
      </c>
      <c r="N17" s="4">
        <v>20</v>
      </c>
      <c r="O17" s="4">
        <v>0</v>
      </c>
      <c r="P17" s="4">
        <v>15</v>
      </c>
      <c r="Q17" s="4">
        <v>15</v>
      </c>
      <c r="R17" s="4">
        <v>10</v>
      </c>
      <c r="S17" s="4">
        <v>0</v>
      </c>
      <c r="T17" s="4">
        <v>15</v>
      </c>
      <c r="U17" s="4">
        <v>90</v>
      </c>
      <c r="V17" s="4" t="s">
        <v>9</v>
      </c>
      <c r="W17" s="4" t="s">
        <v>129</v>
      </c>
    </row>
    <row r="18" spans="1:23" ht="30">
      <c r="A18" s="4">
        <v>2026</v>
      </c>
      <c r="B18" s="4" t="s">
        <v>130</v>
      </c>
      <c r="C18" s="4" t="s">
        <v>67</v>
      </c>
      <c r="D18" s="4">
        <v>7943790134</v>
      </c>
      <c r="E18" t="s">
        <v>11</v>
      </c>
      <c r="F18" s="9">
        <v>46183</v>
      </c>
      <c r="G18" s="4">
        <v>134</v>
      </c>
      <c r="H18" s="4" t="s">
        <v>131</v>
      </c>
      <c r="I18" s="4" t="s">
        <v>132</v>
      </c>
      <c r="J18" s="4" t="s">
        <v>51</v>
      </c>
      <c r="K18" s="4" t="s">
        <v>133</v>
      </c>
      <c r="L18" s="42" t="s">
        <v>134</v>
      </c>
      <c r="M18" s="4">
        <v>15</v>
      </c>
      <c r="N18" s="4">
        <v>10</v>
      </c>
      <c r="O18" s="4">
        <v>5</v>
      </c>
      <c r="P18" s="4">
        <v>15</v>
      </c>
      <c r="Q18" s="4">
        <v>15</v>
      </c>
      <c r="R18" s="4">
        <v>10</v>
      </c>
      <c r="S18" s="4">
        <v>0</v>
      </c>
      <c r="T18" s="4">
        <v>15</v>
      </c>
      <c r="U18" s="4">
        <v>85</v>
      </c>
      <c r="V18" s="4" t="s">
        <v>9</v>
      </c>
      <c r="W18" s="4" t="s">
        <v>135</v>
      </c>
    </row>
    <row r="19" spans="1:23" ht="150">
      <c r="A19" s="4">
        <v>2026</v>
      </c>
      <c r="B19" s="4" t="s">
        <v>136</v>
      </c>
      <c r="C19" s="4" t="s">
        <v>56</v>
      </c>
      <c r="D19" s="4">
        <v>7900453110</v>
      </c>
      <c r="E19" t="s">
        <v>11</v>
      </c>
      <c r="F19" s="9">
        <v>46139</v>
      </c>
      <c r="G19" s="4">
        <v>110</v>
      </c>
      <c r="H19" s="4" t="s">
        <v>137</v>
      </c>
      <c r="I19" s="4" t="s">
        <v>41</v>
      </c>
      <c r="J19" s="4" t="s">
        <v>42</v>
      </c>
      <c r="K19" s="4" t="s">
        <v>138</v>
      </c>
      <c r="L19" s="42" t="s">
        <v>139</v>
      </c>
      <c r="M19" s="4">
        <v>15</v>
      </c>
      <c r="N19" s="4">
        <v>10</v>
      </c>
      <c r="O19" s="4">
        <v>5</v>
      </c>
      <c r="P19" s="4">
        <v>15</v>
      </c>
      <c r="Q19" s="4">
        <v>15</v>
      </c>
      <c r="R19" s="4">
        <v>10</v>
      </c>
      <c r="S19" s="4">
        <v>0</v>
      </c>
      <c r="T19" s="4">
        <v>15</v>
      </c>
      <c r="U19" s="4">
        <v>85</v>
      </c>
      <c r="V19" s="4" t="s">
        <v>9</v>
      </c>
      <c r="W19" s="4" t="s">
        <v>140</v>
      </c>
    </row>
    <row r="20" spans="1:23" ht="45">
      <c r="A20" s="4">
        <v>2026</v>
      </c>
      <c r="B20" s="4" t="s">
        <v>141</v>
      </c>
      <c r="C20" s="4" t="s">
        <v>56</v>
      </c>
      <c r="D20" s="4">
        <v>7900453110</v>
      </c>
      <c r="E20" t="s">
        <v>11</v>
      </c>
      <c r="F20" s="9">
        <v>46218</v>
      </c>
      <c r="G20" s="4">
        <v>110</v>
      </c>
      <c r="H20" s="4" t="s">
        <v>137</v>
      </c>
      <c r="I20" s="4" t="s">
        <v>41</v>
      </c>
      <c r="J20" s="4" t="s">
        <v>42</v>
      </c>
      <c r="K20" s="4" t="s">
        <v>138</v>
      </c>
      <c r="L20" s="42" t="s">
        <v>142</v>
      </c>
      <c r="M20" s="4">
        <v>15</v>
      </c>
      <c r="N20" s="4">
        <v>10</v>
      </c>
      <c r="O20" s="4">
        <v>5</v>
      </c>
      <c r="P20" s="4">
        <v>15</v>
      </c>
      <c r="Q20" s="4">
        <v>15</v>
      </c>
      <c r="R20" s="4">
        <v>10</v>
      </c>
      <c r="S20" s="4">
        <v>0</v>
      </c>
      <c r="T20" s="4">
        <v>15</v>
      </c>
      <c r="U20" s="4">
        <v>85</v>
      </c>
      <c r="V20" s="4" t="s">
        <v>9</v>
      </c>
      <c r="W20" s="4" t="s">
        <v>140</v>
      </c>
    </row>
    <row r="21" spans="1:23" ht="75">
      <c r="A21" s="4">
        <v>2026</v>
      </c>
      <c r="B21" s="4" t="s">
        <v>143</v>
      </c>
      <c r="C21" s="4" t="s">
        <v>56</v>
      </c>
      <c r="D21" s="4">
        <v>7925871077</v>
      </c>
      <c r="E21" t="s">
        <v>11</v>
      </c>
      <c r="F21" s="9">
        <v>46097</v>
      </c>
      <c r="G21" s="4">
        <v>77</v>
      </c>
      <c r="H21" s="4" t="s">
        <v>144</v>
      </c>
      <c r="I21" s="4" t="s">
        <v>57</v>
      </c>
      <c r="J21" s="4" t="s">
        <v>51</v>
      </c>
      <c r="K21" s="4" t="s">
        <v>145</v>
      </c>
      <c r="L21" s="42" t="s">
        <v>146</v>
      </c>
      <c r="M21" s="4">
        <v>15</v>
      </c>
      <c r="N21" s="4">
        <v>10</v>
      </c>
      <c r="O21" s="4">
        <v>15</v>
      </c>
      <c r="P21" s="4">
        <v>15</v>
      </c>
      <c r="Q21" s="4">
        <v>15</v>
      </c>
      <c r="R21" s="4">
        <v>10</v>
      </c>
      <c r="S21" s="4">
        <v>0</v>
      </c>
      <c r="T21" s="4">
        <v>0</v>
      </c>
      <c r="U21" s="4">
        <v>80</v>
      </c>
      <c r="V21" s="4" t="s">
        <v>9</v>
      </c>
      <c r="W21" s="4" t="s">
        <v>147</v>
      </c>
    </row>
    <row r="22" spans="1:23" ht="210">
      <c r="A22" s="4">
        <v>2026</v>
      </c>
      <c r="B22" s="4" t="s">
        <v>148</v>
      </c>
      <c r="C22" s="4" t="s">
        <v>56</v>
      </c>
      <c r="D22" s="4">
        <v>5803327001</v>
      </c>
      <c r="E22" t="s">
        <v>10</v>
      </c>
      <c r="F22" s="9">
        <v>46223</v>
      </c>
      <c r="G22" s="4">
        <v>1</v>
      </c>
      <c r="H22" s="4" t="s">
        <v>41</v>
      </c>
      <c r="I22" s="4" t="s">
        <v>41</v>
      </c>
      <c r="J22" s="4" t="s">
        <v>42</v>
      </c>
      <c r="K22" s="4" t="s">
        <v>149</v>
      </c>
      <c r="L22" s="42" t="s">
        <v>150</v>
      </c>
      <c r="M22" s="4">
        <v>40</v>
      </c>
      <c r="N22" s="4">
        <v>0</v>
      </c>
      <c r="O22" s="4">
        <v>0</v>
      </c>
      <c r="P22" s="4">
        <v>20</v>
      </c>
      <c r="Q22" s="4">
        <v>20</v>
      </c>
      <c r="R22" s="4" t="s">
        <v>45</v>
      </c>
      <c r="S22" s="4" t="s">
        <v>45</v>
      </c>
      <c r="T22" s="4" t="s">
        <v>45</v>
      </c>
      <c r="U22" s="4">
        <v>80</v>
      </c>
      <c r="V22" s="4" t="s">
        <v>13</v>
      </c>
      <c r="W22" s="4" t="s">
        <v>151</v>
      </c>
    </row>
    <row r="23" spans="1:23" ht="225">
      <c r="A23" s="4">
        <v>2026</v>
      </c>
      <c r="B23" s="4" t="s">
        <v>152</v>
      </c>
      <c r="C23" s="4" t="s">
        <v>96</v>
      </c>
      <c r="D23" s="4">
        <v>7900230155</v>
      </c>
      <c r="E23" t="s">
        <v>11</v>
      </c>
      <c r="F23" s="9">
        <v>46211</v>
      </c>
      <c r="G23" s="4">
        <v>155</v>
      </c>
      <c r="H23" s="4" t="s">
        <v>153</v>
      </c>
      <c r="I23" s="4" t="s">
        <v>154</v>
      </c>
      <c r="J23" s="4" t="s">
        <v>51</v>
      </c>
      <c r="K23" s="4" t="s">
        <v>155</v>
      </c>
      <c r="L23" s="42" t="s">
        <v>156</v>
      </c>
      <c r="M23" s="4">
        <v>15</v>
      </c>
      <c r="N23" s="4">
        <v>20</v>
      </c>
      <c r="O23" s="4">
        <v>5</v>
      </c>
      <c r="P23" s="4">
        <v>15</v>
      </c>
      <c r="Q23" s="4">
        <v>0</v>
      </c>
      <c r="R23" s="4">
        <v>10</v>
      </c>
      <c r="S23" s="4">
        <v>0</v>
      </c>
      <c r="T23" s="4">
        <v>15</v>
      </c>
      <c r="U23" s="4">
        <v>80</v>
      </c>
      <c r="V23" s="4" t="s">
        <v>9</v>
      </c>
      <c r="W23" s="4" t="s">
        <v>157</v>
      </c>
    </row>
    <row r="24" spans="1:23" ht="30">
      <c r="A24" s="4">
        <v>2026</v>
      </c>
      <c r="B24" s="4" t="s">
        <v>158</v>
      </c>
      <c r="C24" s="4" t="s">
        <v>67</v>
      </c>
      <c r="D24" s="4">
        <v>7908302256</v>
      </c>
      <c r="E24" t="s">
        <v>11</v>
      </c>
      <c r="F24" s="9">
        <v>46213</v>
      </c>
      <c r="G24" s="4">
        <v>256</v>
      </c>
      <c r="H24" s="4" t="s">
        <v>107</v>
      </c>
      <c r="I24" s="4" t="s">
        <v>108</v>
      </c>
      <c r="J24" s="4" t="s">
        <v>42</v>
      </c>
      <c r="K24" s="4" t="s">
        <v>109</v>
      </c>
      <c r="L24" s="42" t="s">
        <v>159</v>
      </c>
      <c r="M24" s="4">
        <v>5</v>
      </c>
      <c r="N24" s="4">
        <v>10</v>
      </c>
      <c r="O24" s="4">
        <v>5</v>
      </c>
      <c r="P24" s="4">
        <v>15</v>
      </c>
      <c r="Q24" s="4">
        <v>15</v>
      </c>
      <c r="R24" s="4">
        <v>10</v>
      </c>
      <c r="S24" s="4">
        <v>0</v>
      </c>
      <c r="T24" s="4">
        <v>15</v>
      </c>
      <c r="U24" s="4">
        <v>75</v>
      </c>
      <c r="V24" s="4" t="s">
        <v>13</v>
      </c>
      <c r="W24" s="4" t="s">
        <v>160</v>
      </c>
    </row>
    <row r="25" spans="1:23" ht="150">
      <c r="A25" s="4">
        <v>2026</v>
      </c>
      <c r="B25" s="4" t="s">
        <v>161</v>
      </c>
      <c r="C25" s="4" t="s">
        <v>48</v>
      </c>
      <c r="D25" s="4">
        <v>5800371025</v>
      </c>
      <c r="E25" t="s">
        <v>10</v>
      </c>
      <c r="F25" s="9">
        <v>46230</v>
      </c>
      <c r="G25" s="4">
        <v>25</v>
      </c>
      <c r="H25" s="4" t="s">
        <v>162</v>
      </c>
      <c r="I25" s="4" t="s">
        <v>154</v>
      </c>
      <c r="J25" s="4" t="s">
        <v>51</v>
      </c>
      <c r="K25" s="4" t="s">
        <v>163</v>
      </c>
      <c r="L25" s="42" t="s">
        <v>164</v>
      </c>
      <c r="M25" s="4">
        <v>0</v>
      </c>
      <c r="N25" s="4">
        <v>20</v>
      </c>
      <c r="O25" s="4">
        <v>20</v>
      </c>
      <c r="P25" s="4">
        <v>10</v>
      </c>
      <c r="Q25" s="4">
        <v>20</v>
      </c>
      <c r="R25" s="4" t="s">
        <v>45</v>
      </c>
      <c r="S25" s="4" t="s">
        <v>45</v>
      </c>
      <c r="T25" s="4" t="s">
        <v>45</v>
      </c>
      <c r="U25" s="4">
        <v>70</v>
      </c>
      <c r="V25" s="4" t="s">
        <v>13</v>
      </c>
      <c r="W25" s="4" t="s">
        <v>165</v>
      </c>
    </row>
    <row r="26" spans="1:23" ht="135">
      <c r="A26" s="4">
        <v>2026</v>
      </c>
      <c r="B26" s="4" t="s">
        <v>166</v>
      </c>
      <c r="C26" s="4" t="s">
        <v>96</v>
      </c>
      <c r="D26" s="4">
        <v>5865120195</v>
      </c>
      <c r="E26" t="s">
        <v>10</v>
      </c>
      <c r="F26" s="9">
        <v>46211</v>
      </c>
      <c r="G26" s="4">
        <v>195</v>
      </c>
      <c r="H26" s="4" t="s">
        <v>167</v>
      </c>
      <c r="I26" s="4" t="s">
        <v>50</v>
      </c>
      <c r="J26" s="4" t="s">
        <v>51</v>
      </c>
      <c r="K26" s="4" t="s">
        <v>168</v>
      </c>
      <c r="L26" s="42" t="s">
        <v>169</v>
      </c>
      <c r="M26" s="4">
        <v>20</v>
      </c>
      <c r="N26" s="4">
        <v>20</v>
      </c>
      <c r="O26" s="4">
        <v>20</v>
      </c>
      <c r="P26" s="4">
        <v>10</v>
      </c>
      <c r="Q26" s="4">
        <v>0</v>
      </c>
      <c r="R26" s="4" t="s">
        <v>45</v>
      </c>
      <c r="S26" s="4" t="s">
        <v>45</v>
      </c>
      <c r="T26" s="4" t="s">
        <v>45</v>
      </c>
      <c r="U26" s="4">
        <v>70</v>
      </c>
      <c r="V26" s="4" t="s">
        <v>13</v>
      </c>
      <c r="W26" s="4" t="s">
        <v>170</v>
      </c>
    </row>
    <row r="27" spans="1:23" ht="135">
      <c r="A27" s="4">
        <v>2026</v>
      </c>
      <c r="B27" s="4" t="s">
        <v>171</v>
      </c>
      <c r="C27" s="4" t="s">
        <v>56</v>
      </c>
      <c r="D27" s="4">
        <v>7926089013</v>
      </c>
      <c r="E27" t="s">
        <v>11</v>
      </c>
      <c r="F27" s="9">
        <v>46135</v>
      </c>
      <c r="G27" s="4">
        <v>13</v>
      </c>
      <c r="H27" s="4" t="s">
        <v>97</v>
      </c>
      <c r="I27" s="4" t="s">
        <v>97</v>
      </c>
      <c r="J27" s="4" t="s">
        <v>42</v>
      </c>
      <c r="K27" s="4" t="s">
        <v>172</v>
      </c>
      <c r="L27" s="42" t="s">
        <v>173</v>
      </c>
      <c r="M27" s="4">
        <v>15</v>
      </c>
      <c r="N27" s="4">
        <v>10</v>
      </c>
      <c r="O27" s="4">
        <v>5</v>
      </c>
      <c r="P27" s="4">
        <v>15</v>
      </c>
      <c r="Q27" s="4">
        <v>15</v>
      </c>
      <c r="R27" s="4">
        <v>10</v>
      </c>
      <c r="S27" s="4">
        <v>0</v>
      </c>
      <c r="T27" s="4">
        <v>0</v>
      </c>
      <c r="U27" s="4">
        <v>70</v>
      </c>
      <c r="V27" s="4" t="s">
        <v>13</v>
      </c>
      <c r="W27" s="4" t="s">
        <v>174</v>
      </c>
    </row>
    <row r="28" spans="1:23" ht="75">
      <c r="A28" s="4">
        <v>2026</v>
      </c>
      <c r="B28" s="4" t="s">
        <v>175</v>
      </c>
      <c r="C28" s="4" t="s">
        <v>96</v>
      </c>
      <c r="D28" s="4">
        <v>7925087021</v>
      </c>
      <c r="E28" t="s">
        <v>11</v>
      </c>
      <c r="F28" s="9">
        <v>46223</v>
      </c>
      <c r="G28" s="4">
        <v>21</v>
      </c>
      <c r="H28" s="4" t="s">
        <v>176</v>
      </c>
      <c r="I28" s="4" t="s">
        <v>177</v>
      </c>
      <c r="J28" s="4" t="s">
        <v>76</v>
      </c>
      <c r="K28" s="4" t="s">
        <v>178</v>
      </c>
      <c r="L28" s="42" t="s">
        <v>179</v>
      </c>
      <c r="M28" s="4">
        <v>15</v>
      </c>
      <c r="N28" s="4">
        <v>10</v>
      </c>
      <c r="O28" s="4">
        <v>5</v>
      </c>
      <c r="P28" s="4">
        <v>0</v>
      </c>
      <c r="Q28" s="4">
        <v>15</v>
      </c>
      <c r="R28" s="4">
        <v>10</v>
      </c>
      <c r="S28" s="4">
        <v>0</v>
      </c>
      <c r="T28" s="4">
        <v>15</v>
      </c>
      <c r="U28" s="4">
        <v>70</v>
      </c>
      <c r="V28" s="4" t="s">
        <v>13</v>
      </c>
      <c r="W28" s="4" t="s">
        <v>180</v>
      </c>
    </row>
    <row r="29" spans="1:23" ht="225">
      <c r="A29" s="4">
        <v>2026</v>
      </c>
      <c r="B29" s="4" t="s">
        <v>181</v>
      </c>
      <c r="C29" s="4" t="s">
        <v>96</v>
      </c>
      <c r="D29" s="4">
        <v>5801866013</v>
      </c>
      <c r="E29" t="s">
        <v>10</v>
      </c>
      <c r="F29" s="9">
        <v>46220</v>
      </c>
      <c r="G29" s="4">
        <v>13</v>
      </c>
      <c r="H29" s="4" t="s">
        <v>97</v>
      </c>
      <c r="I29" s="4" t="s">
        <v>97</v>
      </c>
      <c r="J29" s="4" t="s">
        <v>42</v>
      </c>
      <c r="K29" s="4" t="s">
        <v>182</v>
      </c>
      <c r="L29" s="42" t="s">
        <v>183</v>
      </c>
      <c r="M29" s="4">
        <v>0</v>
      </c>
      <c r="N29" s="4">
        <v>20</v>
      </c>
      <c r="O29" s="4">
        <v>20</v>
      </c>
      <c r="P29" s="4">
        <v>20</v>
      </c>
      <c r="Q29" s="4">
        <v>10</v>
      </c>
      <c r="R29" s="4" t="s">
        <v>45</v>
      </c>
      <c r="S29" s="4" t="s">
        <v>45</v>
      </c>
      <c r="T29" s="4" t="s">
        <v>45</v>
      </c>
      <c r="U29" s="4">
        <v>70</v>
      </c>
      <c r="V29" s="4" t="s">
        <v>13</v>
      </c>
      <c r="W29" s="4" t="s">
        <v>184</v>
      </c>
    </row>
    <row r="30" spans="1:23" ht="135">
      <c r="A30" s="4">
        <v>2025</v>
      </c>
      <c r="B30" s="4" t="s">
        <v>185</v>
      </c>
      <c r="C30" s="4" t="s">
        <v>125</v>
      </c>
      <c r="D30" s="4">
        <v>5853360007</v>
      </c>
      <c r="E30" t="s">
        <v>10</v>
      </c>
      <c r="F30" s="9">
        <v>45946</v>
      </c>
      <c r="G30" s="4">
        <v>7</v>
      </c>
      <c r="H30" s="4" t="s">
        <v>186</v>
      </c>
      <c r="I30" s="4" t="s">
        <v>186</v>
      </c>
      <c r="J30" s="4" t="s">
        <v>42</v>
      </c>
      <c r="K30" s="4" t="s">
        <v>187</v>
      </c>
      <c r="L30" s="42" t="s">
        <v>188</v>
      </c>
      <c r="M30" s="4">
        <v>0</v>
      </c>
      <c r="N30" s="4">
        <v>20</v>
      </c>
      <c r="O30" s="4">
        <v>20</v>
      </c>
      <c r="P30" s="4">
        <v>10</v>
      </c>
      <c r="Q30" s="4">
        <v>20</v>
      </c>
      <c r="R30" s="4" t="s">
        <v>45</v>
      </c>
      <c r="S30" s="4" t="s">
        <v>45</v>
      </c>
      <c r="T30" s="4" t="s">
        <v>45</v>
      </c>
      <c r="U30" s="4">
        <v>70</v>
      </c>
      <c r="V30" s="4" t="s">
        <v>13</v>
      </c>
      <c r="W30" s="4" t="s">
        <v>189</v>
      </c>
    </row>
    <row r="31" spans="1:23" ht="135">
      <c r="A31" s="4">
        <v>2026</v>
      </c>
      <c r="B31" s="4" t="s">
        <v>190</v>
      </c>
      <c r="C31" s="4" t="s">
        <v>96</v>
      </c>
      <c r="D31" s="4">
        <v>7900573047</v>
      </c>
      <c r="E31" t="s">
        <v>11</v>
      </c>
      <c r="F31" s="9">
        <v>46223</v>
      </c>
      <c r="G31" s="4">
        <v>47</v>
      </c>
      <c r="H31" s="4" t="s">
        <v>191</v>
      </c>
      <c r="I31" s="4" t="s">
        <v>192</v>
      </c>
      <c r="J31" s="4" t="s">
        <v>76</v>
      </c>
      <c r="K31" s="4" t="s">
        <v>193</v>
      </c>
      <c r="L31" s="42" t="s">
        <v>194</v>
      </c>
      <c r="M31" s="4">
        <v>5</v>
      </c>
      <c r="N31" s="4">
        <v>5</v>
      </c>
      <c r="O31" s="4">
        <v>15</v>
      </c>
      <c r="P31" s="4">
        <v>0</v>
      </c>
      <c r="Q31" s="4">
        <v>15</v>
      </c>
      <c r="R31" s="4">
        <v>10</v>
      </c>
      <c r="S31" s="4">
        <v>0</v>
      </c>
      <c r="T31" s="4">
        <v>15</v>
      </c>
      <c r="U31" s="4">
        <v>65</v>
      </c>
      <c r="V31" s="4" t="s">
        <v>13</v>
      </c>
      <c r="W31" s="4" t="s">
        <v>195</v>
      </c>
    </row>
    <row r="32" spans="1:23" ht="120">
      <c r="A32" s="4">
        <v>2026</v>
      </c>
      <c r="B32" s="4" t="s">
        <v>196</v>
      </c>
      <c r="C32" s="4" t="s">
        <v>39</v>
      </c>
      <c r="D32" s="4">
        <v>7953610256</v>
      </c>
      <c r="E32" t="s">
        <v>11</v>
      </c>
      <c r="F32" s="9">
        <v>46219</v>
      </c>
      <c r="G32" s="4">
        <v>256</v>
      </c>
      <c r="H32" s="4" t="s">
        <v>107</v>
      </c>
      <c r="I32" s="4" t="s">
        <v>108</v>
      </c>
      <c r="J32" s="4" t="s">
        <v>42</v>
      </c>
      <c r="K32" s="4" t="s">
        <v>109</v>
      </c>
      <c r="L32" s="42" t="s">
        <v>197</v>
      </c>
      <c r="M32" s="4">
        <v>5</v>
      </c>
      <c r="N32" s="4">
        <v>5</v>
      </c>
      <c r="O32" s="4">
        <v>15</v>
      </c>
      <c r="P32" s="4">
        <v>15</v>
      </c>
      <c r="Q32" s="4">
        <v>0</v>
      </c>
      <c r="R32" s="4">
        <v>0</v>
      </c>
      <c r="S32" s="4">
        <v>10</v>
      </c>
      <c r="T32" s="4">
        <v>15</v>
      </c>
      <c r="U32" s="4">
        <v>65</v>
      </c>
      <c r="V32" s="4" t="s">
        <v>13</v>
      </c>
      <c r="W32" s="4" t="s">
        <v>198</v>
      </c>
    </row>
    <row r="33" spans="1:23" ht="195">
      <c r="A33" s="4">
        <v>2026</v>
      </c>
      <c r="B33" s="4" t="s">
        <v>199</v>
      </c>
      <c r="C33" s="4" t="s">
        <v>73</v>
      </c>
      <c r="D33" s="4">
        <v>5800438116</v>
      </c>
      <c r="E33" t="s">
        <v>10</v>
      </c>
      <c r="F33" s="9">
        <v>46204</v>
      </c>
      <c r="G33" s="4">
        <v>116</v>
      </c>
      <c r="H33" s="4" t="s">
        <v>200</v>
      </c>
      <c r="I33" s="4" t="s">
        <v>75</v>
      </c>
      <c r="J33" s="4" t="s">
        <v>76</v>
      </c>
      <c r="K33" s="4" t="s">
        <v>77</v>
      </c>
      <c r="L33" s="42" t="s">
        <v>201</v>
      </c>
      <c r="M33" s="4">
        <v>0</v>
      </c>
      <c r="N33" s="4">
        <v>20</v>
      </c>
      <c r="O33" s="4">
        <v>20</v>
      </c>
      <c r="P33" s="4">
        <v>20</v>
      </c>
      <c r="Q33" s="4">
        <v>0</v>
      </c>
      <c r="R33" s="4" t="s">
        <v>45</v>
      </c>
      <c r="S33" s="4" t="s">
        <v>45</v>
      </c>
      <c r="T33" s="4" t="s">
        <v>45</v>
      </c>
      <c r="U33" s="4">
        <v>60</v>
      </c>
      <c r="V33" s="4" t="s">
        <v>14</v>
      </c>
      <c r="W33" s="4" t="s">
        <v>202</v>
      </c>
    </row>
    <row r="34" spans="1:23" ht="90">
      <c r="A34" s="4">
        <v>2026</v>
      </c>
      <c r="B34" s="4" t="s">
        <v>203</v>
      </c>
      <c r="C34" s="4" t="s">
        <v>56</v>
      </c>
      <c r="D34" s="4">
        <v>5840227063</v>
      </c>
      <c r="E34" t="s">
        <v>10</v>
      </c>
      <c r="F34" s="9">
        <v>46223</v>
      </c>
      <c r="G34" s="4">
        <v>63</v>
      </c>
      <c r="H34" s="4" t="s">
        <v>204</v>
      </c>
      <c r="I34" s="4" t="s">
        <v>154</v>
      </c>
      <c r="J34" s="4" t="s">
        <v>51</v>
      </c>
      <c r="K34" s="4" t="s">
        <v>205</v>
      </c>
      <c r="L34" s="42" t="s">
        <v>206</v>
      </c>
      <c r="M34" s="4">
        <v>0</v>
      </c>
      <c r="N34" s="4">
        <v>20</v>
      </c>
      <c r="O34" s="4">
        <v>20</v>
      </c>
      <c r="P34" s="4">
        <v>10</v>
      </c>
      <c r="Q34" s="4">
        <v>10</v>
      </c>
      <c r="R34" s="4" t="s">
        <v>45</v>
      </c>
      <c r="S34" s="4" t="s">
        <v>45</v>
      </c>
      <c r="T34" s="4" t="s">
        <v>45</v>
      </c>
      <c r="U34" s="4">
        <v>60</v>
      </c>
      <c r="V34" s="4" t="s">
        <v>14</v>
      </c>
      <c r="W34" s="4" t="s">
        <v>207</v>
      </c>
    </row>
    <row r="35" spans="1:23" ht="195">
      <c r="A35" s="4">
        <v>2026</v>
      </c>
      <c r="B35" s="4" t="s">
        <v>208</v>
      </c>
      <c r="C35" s="4" t="s">
        <v>67</v>
      </c>
      <c r="D35" s="4">
        <v>5851753086</v>
      </c>
      <c r="E35" t="s">
        <v>10</v>
      </c>
      <c r="F35" s="9">
        <v>46175</v>
      </c>
      <c r="G35" s="4">
        <v>86</v>
      </c>
      <c r="H35" s="4" t="s">
        <v>209</v>
      </c>
      <c r="I35" s="4" t="s">
        <v>210</v>
      </c>
      <c r="J35" s="4" t="s">
        <v>42</v>
      </c>
      <c r="K35" s="4" t="s">
        <v>211</v>
      </c>
      <c r="L35" s="42" t="s">
        <v>212</v>
      </c>
      <c r="M35" s="4">
        <v>0</v>
      </c>
      <c r="N35" s="4">
        <v>20</v>
      </c>
      <c r="O35" s="4">
        <v>20</v>
      </c>
      <c r="P35" s="4">
        <v>10</v>
      </c>
      <c r="Q35" s="4">
        <v>10</v>
      </c>
      <c r="R35" s="4" t="s">
        <v>45</v>
      </c>
      <c r="S35" s="4" t="s">
        <v>45</v>
      </c>
      <c r="T35" s="4" t="s">
        <v>45</v>
      </c>
      <c r="U35" s="4">
        <v>60</v>
      </c>
      <c r="V35" s="4" t="s">
        <v>14</v>
      </c>
      <c r="W35" s="4" t="s">
        <v>213</v>
      </c>
    </row>
    <row r="36" spans="1:23" ht="105">
      <c r="A36" s="4">
        <v>2026</v>
      </c>
      <c r="B36" s="4" t="s">
        <v>214</v>
      </c>
      <c r="C36" s="4" t="s">
        <v>67</v>
      </c>
      <c r="D36" s="4">
        <v>5846328094</v>
      </c>
      <c r="E36" t="s">
        <v>10</v>
      </c>
      <c r="F36" s="9">
        <v>46211</v>
      </c>
      <c r="G36" s="4">
        <v>94</v>
      </c>
      <c r="H36" s="4" t="s">
        <v>177</v>
      </c>
      <c r="I36" s="4" t="s">
        <v>177</v>
      </c>
      <c r="J36" s="4" t="s">
        <v>76</v>
      </c>
      <c r="K36" s="4" t="s">
        <v>215</v>
      </c>
      <c r="L36" s="42" t="s">
        <v>216</v>
      </c>
      <c r="M36" s="4">
        <v>0</v>
      </c>
      <c r="N36" s="4">
        <v>20</v>
      </c>
      <c r="O36" s="4">
        <v>20</v>
      </c>
      <c r="P36" s="4">
        <v>10</v>
      </c>
      <c r="Q36" s="4">
        <v>10</v>
      </c>
      <c r="R36" s="4" t="s">
        <v>45</v>
      </c>
      <c r="S36" s="4" t="s">
        <v>45</v>
      </c>
      <c r="T36" s="4" t="s">
        <v>45</v>
      </c>
      <c r="U36" s="4">
        <v>60</v>
      </c>
      <c r="V36" s="4" t="s">
        <v>14</v>
      </c>
      <c r="W36" s="4" t="s">
        <v>217</v>
      </c>
    </row>
    <row r="37" spans="1:23" ht="60">
      <c r="A37" s="4">
        <v>2025</v>
      </c>
      <c r="B37" s="4" t="s">
        <v>218</v>
      </c>
      <c r="C37" s="4" t="s">
        <v>56</v>
      </c>
      <c r="D37" s="4">
        <v>7903112004</v>
      </c>
      <c r="E37" t="s">
        <v>11</v>
      </c>
      <c r="F37" s="9">
        <v>45903</v>
      </c>
      <c r="G37" s="4">
        <v>4</v>
      </c>
      <c r="H37" s="4" t="s">
        <v>57</v>
      </c>
      <c r="I37" s="4" t="s">
        <v>57</v>
      </c>
      <c r="J37" s="4" t="s">
        <v>51</v>
      </c>
      <c r="K37" s="4" t="s">
        <v>103</v>
      </c>
      <c r="L37" s="42" t="s">
        <v>219</v>
      </c>
      <c r="M37" s="4">
        <v>15</v>
      </c>
      <c r="N37" s="4">
        <v>10</v>
      </c>
      <c r="O37" s="4">
        <v>5</v>
      </c>
      <c r="P37" s="4">
        <v>15</v>
      </c>
      <c r="Q37" s="4">
        <v>0</v>
      </c>
      <c r="R37" s="4">
        <v>10</v>
      </c>
      <c r="S37" s="4">
        <v>0</v>
      </c>
      <c r="T37" s="4">
        <v>0</v>
      </c>
      <c r="U37" s="4">
        <v>55</v>
      </c>
      <c r="V37" s="4" t="s">
        <v>13</v>
      </c>
      <c r="W37" s="4" t="s">
        <v>220</v>
      </c>
    </row>
    <row r="38" spans="1:23" ht="120">
      <c r="A38" s="4">
        <v>2025</v>
      </c>
      <c r="B38" s="4" t="s">
        <v>221</v>
      </c>
      <c r="C38" s="4" t="s">
        <v>56</v>
      </c>
      <c r="D38" s="4">
        <v>7920024127</v>
      </c>
      <c r="E38" t="s">
        <v>11</v>
      </c>
      <c r="F38" s="9">
        <v>45839</v>
      </c>
      <c r="G38" s="4">
        <v>127</v>
      </c>
      <c r="H38" s="4" t="s">
        <v>222</v>
      </c>
      <c r="I38" s="4" t="s">
        <v>223</v>
      </c>
      <c r="J38" s="4" t="s">
        <v>51</v>
      </c>
      <c r="K38" s="4" t="s">
        <v>224</v>
      </c>
      <c r="L38" s="42" t="s">
        <v>225</v>
      </c>
      <c r="M38" s="4">
        <v>15</v>
      </c>
      <c r="N38" s="4">
        <v>10</v>
      </c>
      <c r="O38" s="4">
        <v>5</v>
      </c>
      <c r="P38" s="4">
        <v>15</v>
      </c>
      <c r="Q38" s="4">
        <v>0</v>
      </c>
      <c r="R38" s="4">
        <v>10</v>
      </c>
      <c r="S38" s="4">
        <v>0</v>
      </c>
      <c r="T38" s="4">
        <v>0</v>
      </c>
      <c r="U38" s="4">
        <v>55</v>
      </c>
      <c r="V38" s="4" t="s">
        <v>13</v>
      </c>
      <c r="W38" s="4" t="s">
        <v>226</v>
      </c>
    </row>
    <row r="39" spans="1:23" ht="90">
      <c r="A39" s="4">
        <v>2026</v>
      </c>
      <c r="B39" s="4" t="s">
        <v>227</v>
      </c>
      <c r="C39" s="4" t="s">
        <v>56</v>
      </c>
      <c r="D39" s="4">
        <v>7927646026</v>
      </c>
      <c r="E39" t="s">
        <v>11</v>
      </c>
      <c r="F39" s="9">
        <v>46057</v>
      </c>
      <c r="G39" s="4">
        <v>26</v>
      </c>
      <c r="H39" s="4" t="s">
        <v>108</v>
      </c>
      <c r="I39" s="4" t="s">
        <v>108</v>
      </c>
      <c r="J39" s="4" t="s">
        <v>42</v>
      </c>
      <c r="K39" s="4" t="s">
        <v>109</v>
      </c>
      <c r="L39" s="42" t="s">
        <v>228</v>
      </c>
      <c r="M39" s="4">
        <v>15</v>
      </c>
      <c r="N39" s="4">
        <v>10</v>
      </c>
      <c r="O39" s="4">
        <v>5</v>
      </c>
      <c r="P39" s="4">
        <v>0</v>
      </c>
      <c r="Q39" s="4">
        <v>15</v>
      </c>
      <c r="R39" s="4">
        <v>0</v>
      </c>
      <c r="S39" s="4">
        <v>10</v>
      </c>
      <c r="T39" s="4">
        <v>0</v>
      </c>
      <c r="U39" s="4">
        <v>55</v>
      </c>
      <c r="V39" s="4" t="s">
        <v>13</v>
      </c>
      <c r="W39" s="4" t="s">
        <v>229</v>
      </c>
    </row>
    <row r="40" spans="1:23" ht="120">
      <c r="A40" s="4">
        <v>2026</v>
      </c>
      <c r="B40" s="4" t="s">
        <v>230</v>
      </c>
      <c r="C40" s="4" t="s">
        <v>96</v>
      </c>
      <c r="D40" s="4">
        <v>7927169001</v>
      </c>
      <c r="E40" t="s">
        <v>11</v>
      </c>
      <c r="F40" s="9">
        <v>46224</v>
      </c>
      <c r="G40" s="4">
        <v>1</v>
      </c>
      <c r="H40" s="4" t="s">
        <v>41</v>
      </c>
      <c r="I40" s="4" t="s">
        <v>41</v>
      </c>
      <c r="J40" s="4" t="s">
        <v>42</v>
      </c>
      <c r="K40" s="4" t="s">
        <v>149</v>
      </c>
      <c r="L40" s="42" t="s">
        <v>231</v>
      </c>
      <c r="M40" s="4">
        <v>5</v>
      </c>
      <c r="N40" s="4">
        <v>5</v>
      </c>
      <c r="O40" s="4">
        <v>15</v>
      </c>
      <c r="P40" s="4">
        <v>0</v>
      </c>
      <c r="Q40" s="4">
        <v>15</v>
      </c>
      <c r="R40" s="4">
        <v>0</v>
      </c>
      <c r="S40" s="4">
        <v>0</v>
      </c>
      <c r="T40" s="4">
        <v>15</v>
      </c>
      <c r="U40" s="4">
        <v>55</v>
      </c>
      <c r="V40" s="4" t="s">
        <v>13</v>
      </c>
      <c r="W40" s="4" t="s">
        <v>232</v>
      </c>
    </row>
    <row r="41" spans="1:23" ht="135">
      <c r="A41" s="4">
        <v>2026</v>
      </c>
      <c r="B41" s="4" t="s">
        <v>233</v>
      </c>
      <c r="C41" s="4" t="s">
        <v>39</v>
      </c>
      <c r="D41" s="4">
        <v>5800291035</v>
      </c>
      <c r="E41" t="s">
        <v>10</v>
      </c>
      <c r="F41" s="9">
        <v>46112</v>
      </c>
      <c r="G41" s="4">
        <v>35</v>
      </c>
      <c r="H41" s="4" t="s">
        <v>234</v>
      </c>
      <c r="I41" s="4" t="s">
        <v>108</v>
      </c>
      <c r="J41" s="4" t="s">
        <v>42</v>
      </c>
      <c r="K41" s="4" t="s">
        <v>235</v>
      </c>
      <c r="L41" s="42" t="s">
        <v>236</v>
      </c>
      <c r="M41" s="4">
        <v>0</v>
      </c>
      <c r="N41" s="4">
        <v>20</v>
      </c>
      <c r="O41" s="4">
        <v>20</v>
      </c>
      <c r="P41" s="4">
        <v>10</v>
      </c>
      <c r="Q41" s="4">
        <v>0</v>
      </c>
      <c r="R41" s="4" t="s">
        <v>45</v>
      </c>
      <c r="S41" s="4" t="s">
        <v>45</v>
      </c>
      <c r="T41" s="4" t="s">
        <v>45</v>
      </c>
      <c r="U41" s="4">
        <v>50</v>
      </c>
      <c r="V41" s="4" t="s">
        <v>14</v>
      </c>
      <c r="W41" s="4" t="s">
        <v>237</v>
      </c>
    </row>
    <row r="42" spans="1:23" ht="90">
      <c r="A42" s="4">
        <v>2026</v>
      </c>
      <c r="B42" s="4" t="s">
        <v>238</v>
      </c>
      <c r="C42" s="4" t="s">
        <v>56</v>
      </c>
      <c r="D42" s="4">
        <v>7930428001</v>
      </c>
      <c r="E42" t="s">
        <v>11</v>
      </c>
      <c r="F42" s="9">
        <v>46223</v>
      </c>
      <c r="G42" s="4">
        <v>1</v>
      </c>
      <c r="H42" s="4" t="s">
        <v>41</v>
      </c>
      <c r="I42" s="4" t="s">
        <v>41</v>
      </c>
      <c r="J42" s="4" t="s">
        <v>42</v>
      </c>
      <c r="K42" s="4" t="s">
        <v>239</v>
      </c>
      <c r="L42" s="42" t="s">
        <v>240</v>
      </c>
      <c r="M42" s="4">
        <v>5</v>
      </c>
      <c r="N42" s="4">
        <v>5</v>
      </c>
      <c r="O42" s="4">
        <v>15</v>
      </c>
      <c r="P42" s="4">
        <v>0</v>
      </c>
      <c r="Q42" s="4">
        <v>15</v>
      </c>
      <c r="R42" s="4">
        <v>10</v>
      </c>
      <c r="S42" s="4">
        <v>0</v>
      </c>
      <c r="T42" s="4">
        <v>0</v>
      </c>
      <c r="U42" s="4">
        <v>50</v>
      </c>
      <c r="V42" s="4" t="s">
        <v>13</v>
      </c>
      <c r="W42" s="4" t="s">
        <v>241</v>
      </c>
    </row>
    <row r="43" spans="1:23" ht="150">
      <c r="A43" s="4">
        <v>2026</v>
      </c>
      <c r="B43" s="4" t="s">
        <v>242</v>
      </c>
      <c r="C43" s="4" t="s">
        <v>125</v>
      </c>
      <c r="D43" s="4">
        <v>5827102054</v>
      </c>
      <c r="E43" t="s">
        <v>10</v>
      </c>
      <c r="F43" s="9">
        <v>46202</v>
      </c>
      <c r="G43" s="4">
        <v>54</v>
      </c>
      <c r="H43" s="4" t="s">
        <v>243</v>
      </c>
      <c r="I43" s="4" t="s">
        <v>97</v>
      </c>
      <c r="J43" s="4" t="s">
        <v>42</v>
      </c>
      <c r="K43" s="4" t="s">
        <v>244</v>
      </c>
      <c r="L43" s="42" t="s">
        <v>245</v>
      </c>
      <c r="M43" s="4">
        <v>0</v>
      </c>
      <c r="N43" s="4">
        <v>20</v>
      </c>
      <c r="O43" s="4">
        <v>20</v>
      </c>
      <c r="P43" s="4">
        <v>10</v>
      </c>
      <c r="Q43" s="4">
        <v>0</v>
      </c>
      <c r="R43" s="4" t="s">
        <v>45</v>
      </c>
      <c r="S43" s="4" t="s">
        <v>45</v>
      </c>
      <c r="T43" s="4" t="s">
        <v>45</v>
      </c>
      <c r="U43" s="4">
        <v>50</v>
      </c>
      <c r="V43" s="4" t="s">
        <v>14</v>
      </c>
      <c r="W43" s="4" t="s">
        <v>246</v>
      </c>
    </row>
    <row r="44" spans="1:23" ht="120">
      <c r="A44" s="4">
        <v>2025</v>
      </c>
      <c r="B44" s="4" t="s">
        <v>247</v>
      </c>
      <c r="C44" s="4" t="s">
        <v>56</v>
      </c>
      <c r="D44" s="4">
        <v>7900535058</v>
      </c>
      <c r="E44" t="s">
        <v>11</v>
      </c>
      <c r="F44" s="9">
        <v>45894</v>
      </c>
      <c r="G44" s="4">
        <v>58</v>
      </c>
      <c r="H44" s="4" t="s">
        <v>248</v>
      </c>
      <c r="I44" s="4" t="s">
        <v>57</v>
      </c>
      <c r="J44" s="4" t="s">
        <v>51</v>
      </c>
      <c r="K44" s="4" t="s">
        <v>249</v>
      </c>
      <c r="L44" s="42" t="s">
        <v>250</v>
      </c>
      <c r="M44" s="4">
        <v>5</v>
      </c>
      <c r="N44" s="4">
        <v>10</v>
      </c>
      <c r="O44" s="4">
        <v>5</v>
      </c>
      <c r="P44" s="4">
        <v>0</v>
      </c>
      <c r="Q44" s="4">
        <v>15</v>
      </c>
      <c r="R44" s="4">
        <v>10</v>
      </c>
      <c r="S44" s="4">
        <v>0</v>
      </c>
      <c r="T44" s="4">
        <v>0</v>
      </c>
      <c r="U44" s="4">
        <v>45</v>
      </c>
      <c r="V44" s="4" t="s">
        <v>14</v>
      </c>
      <c r="W44" s="4" t="s">
        <v>251</v>
      </c>
    </row>
    <row r="45" spans="1:23" ht="45">
      <c r="A45" s="4">
        <v>2025</v>
      </c>
      <c r="B45" s="4" t="s">
        <v>252</v>
      </c>
      <c r="C45" s="4" t="s">
        <v>56</v>
      </c>
      <c r="D45" s="4">
        <v>5800961074</v>
      </c>
      <c r="E45" t="s">
        <v>10</v>
      </c>
      <c r="F45" s="9">
        <v>45996</v>
      </c>
      <c r="G45" s="4">
        <v>74</v>
      </c>
      <c r="H45" s="4" t="s">
        <v>75</v>
      </c>
      <c r="I45" s="4" t="s">
        <v>75</v>
      </c>
      <c r="J45" s="4" t="s">
        <v>76</v>
      </c>
      <c r="K45" s="4" t="s">
        <v>253</v>
      </c>
      <c r="L45" s="42" t="s">
        <v>254</v>
      </c>
      <c r="M45" s="4">
        <v>20</v>
      </c>
      <c r="N45" s="4">
        <v>0</v>
      </c>
      <c r="O45" s="4">
        <v>0</v>
      </c>
      <c r="P45" s="4">
        <v>20</v>
      </c>
      <c r="Q45" s="4">
        <v>0</v>
      </c>
      <c r="R45" s="4" t="s">
        <v>45</v>
      </c>
      <c r="S45" s="4" t="s">
        <v>45</v>
      </c>
      <c r="T45" s="4" t="s">
        <v>45</v>
      </c>
      <c r="U45" s="4">
        <v>40</v>
      </c>
      <c r="V45" s="4" t="s">
        <v>14</v>
      </c>
      <c r="W45" s="4" t="s">
        <v>255</v>
      </c>
    </row>
    <row r="46" spans="1:23" ht="60">
      <c r="A46" s="4">
        <v>2026</v>
      </c>
      <c r="B46" s="4" t="s">
        <v>256</v>
      </c>
      <c r="C46" s="4" t="s">
        <v>56</v>
      </c>
      <c r="D46" s="4">
        <v>7944559149</v>
      </c>
      <c r="E46" t="s">
        <v>11</v>
      </c>
      <c r="F46" s="9">
        <v>46112</v>
      </c>
      <c r="G46" s="4">
        <v>149</v>
      </c>
      <c r="H46" s="4" t="s">
        <v>257</v>
      </c>
      <c r="I46" s="4" t="s">
        <v>210</v>
      </c>
      <c r="J46" s="4" t="s">
        <v>42</v>
      </c>
      <c r="K46" s="4" t="s">
        <v>258</v>
      </c>
      <c r="L46" s="42" t="s">
        <v>259</v>
      </c>
      <c r="M46" s="4">
        <v>5</v>
      </c>
      <c r="N46" s="4">
        <v>10</v>
      </c>
      <c r="O46" s="4">
        <v>0</v>
      </c>
      <c r="P46" s="4">
        <v>0</v>
      </c>
      <c r="Q46" s="4">
        <v>15</v>
      </c>
      <c r="R46" s="4">
        <v>10</v>
      </c>
      <c r="S46" s="4">
        <v>0</v>
      </c>
      <c r="T46" s="4">
        <v>0</v>
      </c>
      <c r="U46" s="4">
        <v>40</v>
      </c>
      <c r="V46" s="4" t="s">
        <v>14</v>
      </c>
      <c r="W46" s="4" t="s">
        <v>260</v>
      </c>
    </row>
    <row r="47" spans="1:23" ht="45">
      <c r="A47" s="4">
        <v>2026</v>
      </c>
      <c r="B47" s="4" t="s">
        <v>261</v>
      </c>
      <c r="C47" s="4" t="s">
        <v>56</v>
      </c>
      <c r="D47" s="4">
        <v>7937102148</v>
      </c>
      <c r="E47" t="s">
        <v>11</v>
      </c>
      <c r="F47" s="9">
        <v>46210</v>
      </c>
      <c r="G47" s="4">
        <v>148</v>
      </c>
      <c r="H47" s="4" t="s">
        <v>262</v>
      </c>
      <c r="I47" s="4" t="s">
        <v>177</v>
      </c>
      <c r="J47" s="4" t="s">
        <v>76</v>
      </c>
      <c r="K47" s="4" t="s">
        <v>263</v>
      </c>
      <c r="L47" s="42" t="s">
        <v>264</v>
      </c>
      <c r="M47" s="4">
        <v>5</v>
      </c>
      <c r="N47" s="4">
        <v>5</v>
      </c>
      <c r="O47" s="4">
        <v>5</v>
      </c>
      <c r="P47" s="4">
        <v>0</v>
      </c>
      <c r="Q47" s="4">
        <v>15</v>
      </c>
      <c r="R47" s="4">
        <v>10</v>
      </c>
      <c r="S47" s="4">
        <v>0</v>
      </c>
      <c r="T47" s="4">
        <v>0</v>
      </c>
      <c r="U47" s="4">
        <v>40</v>
      </c>
      <c r="V47" s="4" t="s">
        <v>14</v>
      </c>
      <c r="W47" s="4" t="s">
        <v>265</v>
      </c>
    </row>
    <row r="48" spans="1:23" ht="60">
      <c r="A48" s="4">
        <v>2026</v>
      </c>
      <c r="B48" s="4" t="s">
        <v>266</v>
      </c>
      <c r="C48" s="4" t="s">
        <v>96</v>
      </c>
      <c r="D48" s="4">
        <v>7922995039</v>
      </c>
      <c r="E48" t="s">
        <v>11</v>
      </c>
      <c r="F48" s="9">
        <v>46202</v>
      </c>
      <c r="G48" s="4">
        <v>39</v>
      </c>
      <c r="H48" s="4" t="s">
        <v>267</v>
      </c>
      <c r="I48" s="4" t="s">
        <v>132</v>
      </c>
      <c r="J48" s="4" t="s">
        <v>51</v>
      </c>
      <c r="K48" s="4" t="s">
        <v>268</v>
      </c>
      <c r="L48" s="42" t="s">
        <v>269</v>
      </c>
      <c r="M48" s="4">
        <v>5</v>
      </c>
      <c r="N48" s="4">
        <v>5</v>
      </c>
      <c r="O48" s="4">
        <v>0</v>
      </c>
      <c r="P48" s="4">
        <v>0</v>
      </c>
      <c r="Q48" s="4">
        <v>15</v>
      </c>
      <c r="R48" s="4">
        <v>10</v>
      </c>
      <c r="S48" s="4">
        <v>0</v>
      </c>
      <c r="T48" s="4">
        <v>0</v>
      </c>
      <c r="U48" s="4">
        <v>35</v>
      </c>
      <c r="V48" s="4" t="s">
        <v>14</v>
      </c>
      <c r="W48" s="4" t="s">
        <v>270</v>
      </c>
    </row>
    <row r="49" spans="1:23" ht="30">
      <c r="A49" s="4">
        <v>2026</v>
      </c>
      <c r="B49" s="4" t="s">
        <v>271</v>
      </c>
      <c r="C49" s="4" t="s">
        <v>56</v>
      </c>
      <c r="D49" s="4">
        <v>7933585074</v>
      </c>
      <c r="E49" t="s">
        <v>11</v>
      </c>
      <c r="F49" s="9">
        <v>46049</v>
      </c>
      <c r="G49" s="4">
        <v>74</v>
      </c>
      <c r="H49" s="4" t="s">
        <v>75</v>
      </c>
      <c r="I49" s="4" t="s">
        <v>75</v>
      </c>
      <c r="J49" s="4" t="s">
        <v>76</v>
      </c>
      <c r="K49" s="4" t="s">
        <v>253</v>
      </c>
      <c r="L49" s="42" t="s">
        <v>272</v>
      </c>
      <c r="M49" s="4">
        <v>5</v>
      </c>
      <c r="N49" s="4">
        <v>5</v>
      </c>
      <c r="O49" s="4">
        <v>15</v>
      </c>
      <c r="P49" s="4">
        <v>0</v>
      </c>
      <c r="Q49" s="4">
        <v>0</v>
      </c>
      <c r="R49" s="4">
        <v>0</v>
      </c>
      <c r="S49" s="4">
        <v>10</v>
      </c>
      <c r="T49" s="4">
        <v>0</v>
      </c>
      <c r="U49" s="4">
        <v>35</v>
      </c>
      <c r="V49" s="4" t="s">
        <v>14</v>
      </c>
      <c r="W49" s="4" t="s">
        <v>273</v>
      </c>
    </row>
    <row r="50" spans="1:23" ht="60">
      <c r="A50" s="4">
        <v>2026</v>
      </c>
      <c r="B50" s="4" t="s">
        <v>274</v>
      </c>
      <c r="C50" s="4" t="s">
        <v>56</v>
      </c>
      <c r="D50" s="4">
        <v>7955986084</v>
      </c>
      <c r="E50" t="s">
        <v>11</v>
      </c>
      <c r="F50" s="9">
        <v>46211</v>
      </c>
      <c r="G50" s="4">
        <v>84</v>
      </c>
      <c r="H50" s="4" t="s">
        <v>210</v>
      </c>
      <c r="I50" s="4" t="s">
        <v>210</v>
      </c>
      <c r="J50" s="4" t="s">
        <v>42</v>
      </c>
      <c r="K50" s="4" t="s">
        <v>275</v>
      </c>
      <c r="L50" s="42" t="s">
        <v>276</v>
      </c>
      <c r="M50" s="4">
        <v>5</v>
      </c>
      <c r="N50" s="4">
        <v>5</v>
      </c>
      <c r="O50" s="4">
        <v>0</v>
      </c>
      <c r="P50" s="4">
        <v>0</v>
      </c>
      <c r="Q50" s="4">
        <v>15</v>
      </c>
      <c r="R50" s="4">
        <v>10</v>
      </c>
      <c r="S50" s="4">
        <v>0</v>
      </c>
      <c r="T50" s="4">
        <v>0</v>
      </c>
      <c r="U50" s="4">
        <v>35</v>
      </c>
      <c r="V50" s="4" t="s">
        <v>14</v>
      </c>
      <c r="W50" s="4" t="s">
        <v>277</v>
      </c>
    </row>
    <row r="51" spans="1:23" ht="75">
      <c r="A51" s="4">
        <v>2026</v>
      </c>
      <c r="B51" s="4" t="s">
        <v>278</v>
      </c>
      <c r="C51" s="4" t="s">
        <v>56</v>
      </c>
      <c r="D51" s="4">
        <v>7927396052</v>
      </c>
      <c r="E51" t="s">
        <v>11</v>
      </c>
      <c r="F51" s="9">
        <v>46083</v>
      </c>
      <c r="G51" s="4">
        <v>52</v>
      </c>
      <c r="H51" s="4" t="s">
        <v>192</v>
      </c>
      <c r="I51" s="4" t="s">
        <v>192</v>
      </c>
      <c r="J51" s="4" t="s">
        <v>76</v>
      </c>
      <c r="K51" s="4" t="s">
        <v>279</v>
      </c>
      <c r="L51" s="42" t="s">
        <v>280</v>
      </c>
      <c r="M51" s="4">
        <v>5</v>
      </c>
      <c r="N51" s="4">
        <v>5</v>
      </c>
      <c r="O51" s="4">
        <v>0</v>
      </c>
      <c r="P51" s="4">
        <v>0</v>
      </c>
      <c r="Q51" s="4">
        <v>15</v>
      </c>
      <c r="R51" s="4">
        <v>10</v>
      </c>
      <c r="S51" s="4">
        <v>0</v>
      </c>
      <c r="T51" s="4">
        <v>0</v>
      </c>
      <c r="U51" s="4">
        <v>35</v>
      </c>
      <c r="V51" s="4" t="s">
        <v>14</v>
      </c>
      <c r="W51" s="4" t="s">
        <v>281</v>
      </c>
    </row>
    <row r="52" spans="1:23" ht="150">
      <c r="A52" s="4">
        <v>2026</v>
      </c>
      <c r="B52" s="4" t="s">
        <v>282</v>
      </c>
      <c r="C52" s="4" t="s">
        <v>56</v>
      </c>
      <c r="D52" s="4">
        <v>7925733015</v>
      </c>
      <c r="E52" t="s">
        <v>11</v>
      </c>
      <c r="F52" s="9">
        <v>46111</v>
      </c>
      <c r="G52" s="4">
        <v>15</v>
      </c>
      <c r="H52" s="4" t="s">
        <v>283</v>
      </c>
      <c r="I52" s="4" t="s">
        <v>50</v>
      </c>
      <c r="J52" s="4" t="s">
        <v>51</v>
      </c>
      <c r="K52" s="4" t="s">
        <v>284</v>
      </c>
      <c r="L52" s="42" t="s">
        <v>285</v>
      </c>
      <c r="M52" s="4">
        <v>5</v>
      </c>
      <c r="N52" s="4">
        <v>5</v>
      </c>
      <c r="O52" s="4">
        <v>0</v>
      </c>
      <c r="P52" s="4">
        <v>0</v>
      </c>
      <c r="Q52" s="4">
        <v>15</v>
      </c>
      <c r="R52" s="4">
        <v>10</v>
      </c>
      <c r="S52" s="4">
        <v>0</v>
      </c>
      <c r="T52" s="4">
        <v>0</v>
      </c>
      <c r="U52" s="4">
        <v>35</v>
      </c>
      <c r="V52" s="4" t="s">
        <v>14</v>
      </c>
      <c r="W52" s="4" t="s">
        <v>286</v>
      </c>
    </row>
    <row r="53" spans="1:23" ht="75">
      <c r="A53" s="4">
        <v>2026</v>
      </c>
      <c r="B53" s="4" t="s">
        <v>287</v>
      </c>
      <c r="C53" s="4" t="s">
        <v>56</v>
      </c>
      <c r="D53" s="4">
        <v>7900525015</v>
      </c>
      <c r="E53" t="s">
        <v>11</v>
      </c>
      <c r="F53" s="9">
        <v>46210</v>
      </c>
      <c r="G53" s="4">
        <v>15</v>
      </c>
      <c r="H53" s="4" t="s">
        <v>283</v>
      </c>
      <c r="I53" s="4" t="s">
        <v>50</v>
      </c>
      <c r="J53" s="4" t="s">
        <v>51</v>
      </c>
      <c r="K53" s="4" t="s">
        <v>82</v>
      </c>
      <c r="L53" s="42" t="s">
        <v>288</v>
      </c>
      <c r="M53" s="4">
        <v>5</v>
      </c>
      <c r="N53" s="4">
        <v>5</v>
      </c>
      <c r="O53" s="4">
        <v>0</v>
      </c>
      <c r="P53" s="4">
        <v>0</v>
      </c>
      <c r="Q53" s="4">
        <v>15</v>
      </c>
      <c r="R53" s="4">
        <v>10</v>
      </c>
      <c r="S53" s="4">
        <v>0</v>
      </c>
      <c r="T53" s="4">
        <v>0</v>
      </c>
      <c r="U53" s="4">
        <v>35</v>
      </c>
      <c r="V53" s="4" t="s">
        <v>14</v>
      </c>
      <c r="W53" s="4" t="s">
        <v>289</v>
      </c>
    </row>
    <row r="54" spans="1:23" ht="90">
      <c r="A54" s="4">
        <v>2026</v>
      </c>
      <c r="B54" s="4" t="s">
        <v>290</v>
      </c>
      <c r="C54" s="4" t="s">
        <v>56</v>
      </c>
      <c r="D54" s="4">
        <v>7908249152</v>
      </c>
      <c r="E54" t="s">
        <v>11</v>
      </c>
      <c r="F54" s="9">
        <v>46077</v>
      </c>
      <c r="G54" s="4">
        <v>152</v>
      </c>
      <c r="H54" s="4" t="s">
        <v>291</v>
      </c>
      <c r="I54" s="4" t="s">
        <v>41</v>
      </c>
      <c r="J54" s="4" t="s">
        <v>42</v>
      </c>
      <c r="K54" s="4" t="s">
        <v>43</v>
      </c>
      <c r="L54" s="42" t="s">
        <v>292</v>
      </c>
      <c r="M54" s="4">
        <v>5</v>
      </c>
      <c r="N54" s="4">
        <v>5</v>
      </c>
      <c r="O54" s="4">
        <v>0</v>
      </c>
      <c r="P54" s="4">
        <v>0</v>
      </c>
      <c r="Q54" s="4">
        <v>15</v>
      </c>
      <c r="R54" s="4">
        <v>10</v>
      </c>
      <c r="S54" s="4">
        <v>0</v>
      </c>
      <c r="T54" s="4">
        <v>0</v>
      </c>
      <c r="U54" s="4">
        <v>35</v>
      </c>
      <c r="V54" s="4" t="s">
        <v>14</v>
      </c>
      <c r="W54" s="4" t="s">
        <v>293</v>
      </c>
    </row>
    <row r="55" spans="1:23" ht="105">
      <c r="A55" s="4">
        <v>2026</v>
      </c>
      <c r="B55" s="4" t="s">
        <v>294</v>
      </c>
      <c r="C55" s="4" t="s">
        <v>96</v>
      </c>
      <c r="D55" s="4">
        <v>7942572059</v>
      </c>
      <c r="E55" t="s">
        <v>11</v>
      </c>
      <c r="F55" s="9">
        <v>46224</v>
      </c>
      <c r="G55" s="4">
        <v>59</v>
      </c>
      <c r="H55" s="4" t="s">
        <v>62</v>
      </c>
      <c r="I55" s="4" t="s">
        <v>62</v>
      </c>
      <c r="J55" s="4" t="s">
        <v>42</v>
      </c>
      <c r="K55" s="4" t="s">
        <v>295</v>
      </c>
      <c r="L55" s="42" t="s">
        <v>296</v>
      </c>
      <c r="M55" s="4">
        <v>5</v>
      </c>
      <c r="N55" s="4">
        <v>5</v>
      </c>
      <c r="O55" s="4">
        <v>15</v>
      </c>
      <c r="P55" s="4">
        <v>0</v>
      </c>
      <c r="Q55" s="4">
        <v>0</v>
      </c>
      <c r="R55" s="4">
        <v>0</v>
      </c>
      <c r="S55" s="4">
        <v>10</v>
      </c>
      <c r="T55" s="4">
        <v>0</v>
      </c>
      <c r="U55" s="4">
        <v>35</v>
      </c>
      <c r="V55" s="4" t="s">
        <v>14</v>
      </c>
      <c r="W55" s="4" t="s">
        <v>297</v>
      </c>
    </row>
    <row r="56" spans="1:23" ht="60">
      <c r="A56" s="4">
        <v>2026</v>
      </c>
      <c r="B56" s="4" t="s">
        <v>298</v>
      </c>
      <c r="C56" s="4" t="s">
        <v>56</v>
      </c>
      <c r="D56" s="4">
        <v>7928564039</v>
      </c>
      <c r="E56" t="s">
        <v>11</v>
      </c>
      <c r="F56" s="9">
        <v>46210</v>
      </c>
      <c r="G56" s="4">
        <v>39</v>
      </c>
      <c r="H56" s="4" t="s">
        <v>267</v>
      </c>
      <c r="I56" s="4" t="s">
        <v>132</v>
      </c>
      <c r="J56" s="4" t="s">
        <v>51</v>
      </c>
      <c r="K56" s="4" t="s">
        <v>133</v>
      </c>
      <c r="L56" s="42" t="s">
        <v>299</v>
      </c>
      <c r="M56" s="4">
        <v>5</v>
      </c>
      <c r="N56" s="4">
        <v>10</v>
      </c>
      <c r="O56" s="4">
        <v>5</v>
      </c>
      <c r="P56" s="4">
        <v>0</v>
      </c>
      <c r="Q56" s="4">
        <v>0</v>
      </c>
      <c r="R56" s="4">
        <v>10</v>
      </c>
      <c r="S56" s="4">
        <v>0</v>
      </c>
      <c r="T56" s="4">
        <v>0</v>
      </c>
      <c r="U56" s="4">
        <v>30</v>
      </c>
      <c r="V56" s="4" t="s">
        <v>14</v>
      </c>
      <c r="W56" s="4" t="s">
        <v>300</v>
      </c>
    </row>
    <row r="57" spans="1:23" ht="105">
      <c r="A57" s="4">
        <v>2026</v>
      </c>
      <c r="B57" s="4" t="s">
        <v>301</v>
      </c>
      <c r="C57" s="4" t="s">
        <v>56</v>
      </c>
      <c r="D57" s="4">
        <v>5855411017</v>
      </c>
      <c r="E57" t="s">
        <v>10</v>
      </c>
      <c r="F57" s="9">
        <v>46227</v>
      </c>
      <c r="G57" s="4">
        <v>17</v>
      </c>
      <c r="H57" s="4" t="s">
        <v>302</v>
      </c>
      <c r="I57" s="4" t="s">
        <v>186</v>
      </c>
      <c r="J57" s="4" t="s">
        <v>42</v>
      </c>
      <c r="K57" s="4" t="s">
        <v>303</v>
      </c>
      <c r="L57" s="42" t="s">
        <v>304</v>
      </c>
      <c r="M57" s="4">
        <v>0</v>
      </c>
      <c r="N57" s="4">
        <v>0</v>
      </c>
      <c r="O57" s="4">
        <v>0</v>
      </c>
      <c r="P57" s="4">
        <v>10</v>
      </c>
      <c r="Q57" s="4">
        <v>20</v>
      </c>
      <c r="R57" s="4" t="s">
        <v>45</v>
      </c>
      <c r="S57" s="4" t="s">
        <v>45</v>
      </c>
      <c r="T57" s="4" t="s">
        <v>45</v>
      </c>
      <c r="U57" s="4">
        <v>30</v>
      </c>
      <c r="V57" s="4" t="s">
        <v>15</v>
      </c>
      <c r="W57" s="4" t="s">
        <v>305</v>
      </c>
    </row>
    <row r="58" spans="1:23" ht="150">
      <c r="A58" s="4">
        <v>2026</v>
      </c>
      <c r="B58" s="4" t="s">
        <v>306</v>
      </c>
      <c r="C58" s="4" t="s">
        <v>67</v>
      </c>
      <c r="D58" s="4">
        <v>7908196047</v>
      </c>
      <c r="E58" t="s">
        <v>11</v>
      </c>
      <c r="F58" s="9">
        <v>46216</v>
      </c>
      <c r="G58" s="4">
        <v>47</v>
      </c>
      <c r="H58" s="4" t="s">
        <v>191</v>
      </c>
      <c r="I58" s="4" t="s">
        <v>192</v>
      </c>
      <c r="J58" s="4" t="s">
        <v>76</v>
      </c>
      <c r="K58" s="4" t="s">
        <v>193</v>
      </c>
      <c r="L58" s="42" t="s">
        <v>307</v>
      </c>
      <c r="M58" s="4">
        <v>5</v>
      </c>
      <c r="N58" s="4">
        <v>5</v>
      </c>
      <c r="O58" s="4">
        <v>5</v>
      </c>
      <c r="P58" s="4">
        <v>0</v>
      </c>
      <c r="Q58" s="4">
        <v>0</v>
      </c>
      <c r="R58" s="4">
        <v>0</v>
      </c>
      <c r="S58" s="4">
        <v>10</v>
      </c>
      <c r="T58" s="4">
        <v>0</v>
      </c>
      <c r="U58" s="4">
        <v>25</v>
      </c>
      <c r="V58" s="4" t="s">
        <v>15</v>
      </c>
      <c r="W58" s="4" t="s">
        <v>308</v>
      </c>
    </row>
    <row r="59" spans="1:23" ht="60">
      <c r="A59" s="4">
        <v>2026</v>
      </c>
      <c r="B59" s="4" t="s">
        <v>309</v>
      </c>
      <c r="C59" s="4" t="s">
        <v>56</v>
      </c>
      <c r="D59" s="4">
        <v>7955946007</v>
      </c>
      <c r="E59" t="s">
        <v>11</v>
      </c>
      <c r="F59" s="9">
        <v>46211</v>
      </c>
      <c r="G59" s="4">
        <v>7</v>
      </c>
      <c r="H59" s="4" t="s">
        <v>186</v>
      </c>
      <c r="I59" s="4" t="s">
        <v>186</v>
      </c>
      <c r="J59" s="4" t="s">
        <v>42</v>
      </c>
      <c r="K59" s="4" t="s">
        <v>187</v>
      </c>
      <c r="L59" s="42" t="s">
        <v>310</v>
      </c>
      <c r="M59" s="4">
        <v>5</v>
      </c>
      <c r="N59" s="4">
        <v>5</v>
      </c>
      <c r="O59" s="4">
        <v>5</v>
      </c>
      <c r="P59" s="4">
        <v>0</v>
      </c>
      <c r="Q59" s="4">
        <v>0</v>
      </c>
      <c r="R59" s="4">
        <v>0</v>
      </c>
      <c r="S59" s="4">
        <v>10</v>
      </c>
      <c r="T59" s="4">
        <v>0</v>
      </c>
      <c r="U59" s="4">
        <v>25</v>
      </c>
      <c r="V59" s="4" t="s">
        <v>15</v>
      </c>
      <c r="W59" s="4" t="s">
        <v>311</v>
      </c>
    </row>
    <row r="60" spans="1:23" ht="75">
      <c r="A60" s="4">
        <v>2026</v>
      </c>
      <c r="B60" s="4" t="s">
        <v>312</v>
      </c>
      <c r="C60" s="4" t="s">
        <v>56</v>
      </c>
      <c r="D60" s="4">
        <v>7923927122</v>
      </c>
      <c r="E60" t="s">
        <v>11</v>
      </c>
      <c r="F60" s="9">
        <v>46219</v>
      </c>
      <c r="G60" s="4">
        <v>122</v>
      </c>
      <c r="H60" s="4" t="s">
        <v>68</v>
      </c>
      <c r="I60" s="4" t="s">
        <v>68</v>
      </c>
      <c r="J60" s="4" t="s">
        <v>42</v>
      </c>
      <c r="K60" s="4" t="s">
        <v>295</v>
      </c>
      <c r="L60" s="42" t="s">
        <v>313</v>
      </c>
      <c r="M60" s="4">
        <v>15</v>
      </c>
      <c r="N60" s="4">
        <v>0</v>
      </c>
      <c r="O60" s="4">
        <v>0</v>
      </c>
      <c r="P60" s="4">
        <v>0</v>
      </c>
      <c r="Q60" s="4">
        <v>0</v>
      </c>
      <c r="R60" s="4">
        <v>10</v>
      </c>
      <c r="S60" s="4">
        <v>0</v>
      </c>
      <c r="T60" s="4">
        <v>0</v>
      </c>
      <c r="U60" s="4">
        <v>25</v>
      </c>
      <c r="V60" s="4" t="s">
        <v>15</v>
      </c>
      <c r="W60" s="4" t="s">
        <v>314</v>
      </c>
    </row>
    <row r="61" spans="1:23" ht="90">
      <c r="A61" s="4">
        <v>2025</v>
      </c>
      <c r="B61" s="4" t="s">
        <v>315</v>
      </c>
      <c r="C61" s="4" t="s">
        <v>56</v>
      </c>
      <c r="D61" s="4">
        <v>7942485096</v>
      </c>
      <c r="E61" t="s">
        <v>11</v>
      </c>
      <c r="F61" s="9">
        <v>45861</v>
      </c>
      <c r="G61" s="4">
        <v>96</v>
      </c>
      <c r="H61" s="4" t="s">
        <v>316</v>
      </c>
      <c r="I61" s="4" t="s">
        <v>108</v>
      </c>
      <c r="J61" s="4" t="s">
        <v>42</v>
      </c>
      <c r="K61" s="4" t="s">
        <v>109</v>
      </c>
      <c r="L61" s="42" t="s">
        <v>317</v>
      </c>
      <c r="M61" s="4">
        <v>5</v>
      </c>
      <c r="N61" s="4">
        <v>5</v>
      </c>
      <c r="O61" s="4">
        <v>5</v>
      </c>
      <c r="P61" s="4">
        <v>0</v>
      </c>
      <c r="Q61" s="4">
        <v>0</v>
      </c>
      <c r="R61" s="4">
        <v>10</v>
      </c>
      <c r="S61" s="4">
        <v>0</v>
      </c>
      <c r="T61" s="4">
        <v>0</v>
      </c>
      <c r="U61" s="4">
        <v>25</v>
      </c>
      <c r="V61" s="4" t="s">
        <v>15</v>
      </c>
      <c r="W61" s="4" t="s">
        <v>318</v>
      </c>
    </row>
    <row r="62" spans="1:23" ht="120">
      <c r="A62" s="4">
        <v>2026</v>
      </c>
      <c r="B62" s="4" t="s">
        <v>319</v>
      </c>
      <c r="C62" s="4" t="s">
        <v>56</v>
      </c>
      <c r="D62" s="4">
        <v>7921202014</v>
      </c>
      <c r="E62" t="s">
        <v>11</v>
      </c>
      <c r="F62" s="9">
        <v>46211</v>
      </c>
      <c r="G62" s="4">
        <v>14</v>
      </c>
      <c r="H62" s="4" t="s">
        <v>126</v>
      </c>
      <c r="I62" s="4" t="s">
        <v>97</v>
      </c>
      <c r="J62" s="4" t="s">
        <v>42</v>
      </c>
      <c r="K62" s="4" t="s">
        <v>320</v>
      </c>
      <c r="L62" s="42" t="s">
        <v>321</v>
      </c>
      <c r="M62" s="4">
        <v>5</v>
      </c>
      <c r="N62" s="4">
        <v>5</v>
      </c>
      <c r="O62" s="4">
        <v>5</v>
      </c>
      <c r="P62" s="4">
        <v>0</v>
      </c>
      <c r="Q62" s="4">
        <v>0</v>
      </c>
      <c r="R62" s="4">
        <v>10</v>
      </c>
      <c r="S62" s="4">
        <v>0</v>
      </c>
      <c r="T62" s="4">
        <v>0</v>
      </c>
      <c r="U62" s="4">
        <v>25</v>
      </c>
      <c r="V62" s="4" t="s">
        <v>15</v>
      </c>
      <c r="W62" s="4" t="s">
        <v>322</v>
      </c>
    </row>
    <row r="63" spans="1:23" ht="105">
      <c r="A63" s="4">
        <v>2025</v>
      </c>
      <c r="B63" s="4" t="s">
        <v>323</v>
      </c>
      <c r="C63" s="4" t="s">
        <v>56</v>
      </c>
      <c r="D63" s="4">
        <v>7927446001</v>
      </c>
      <c r="E63" t="s">
        <v>11</v>
      </c>
      <c r="F63" s="9">
        <v>45846</v>
      </c>
      <c r="G63" s="4">
        <v>1</v>
      </c>
      <c r="H63" s="4" t="s">
        <v>41</v>
      </c>
      <c r="I63" s="4" t="s">
        <v>41</v>
      </c>
      <c r="J63" s="4" t="s">
        <v>42</v>
      </c>
      <c r="K63" s="4" t="s">
        <v>43</v>
      </c>
      <c r="L63" s="42" t="s">
        <v>324</v>
      </c>
      <c r="M63" s="4">
        <v>5</v>
      </c>
      <c r="N63" s="4">
        <v>5</v>
      </c>
      <c r="O63" s="4">
        <v>5</v>
      </c>
      <c r="P63" s="4">
        <v>0</v>
      </c>
      <c r="Q63" s="4">
        <v>0</v>
      </c>
      <c r="R63" s="4">
        <v>10</v>
      </c>
      <c r="S63" s="4">
        <v>0</v>
      </c>
      <c r="T63" s="4">
        <v>0</v>
      </c>
      <c r="U63" s="4">
        <v>25</v>
      </c>
      <c r="V63" s="4" t="s">
        <v>15</v>
      </c>
      <c r="W63" s="4" t="s">
        <v>325</v>
      </c>
    </row>
    <row r="64" spans="1:23" ht="90">
      <c r="A64" s="4">
        <v>2026</v>
      </c>
      <c r="B64" s="4" t="s">
        <v>326</v>
      </c>
      <c r="C64" s="4" t="s">
        <v>56</v>
      </c>
      <c r="D64" s="4">
        <v>7928241200</v>
      </c>
      <c r="E64" t="s">
        <v>11</v>
      </c>
      <c r="F64" s="9">
        <v>46210</v>
      </c>
      <c r="G64" s="4">
        <v>200</v>
      </c>
      <c r="H64" s="4" t="s">
        <v>327</v>
      </c>
      <c r="I64" s="4" t="s">
        <v>177</v>
      </c>
      <c r="J64" s="4" t="s">
        <v>76</v>
      </c>
      <c r="K64" s="4" t="s">
        <v>328</v>
      </c>
      <c r="L64" s="42" t="s">
        <v>329</v>
      </c>
      <c r="M64" s="4">
        <v>5</v>
      </c>
      <c r="N64" s="4">
        <v>5</v>
      </c>
      <c r="O64" s="4">
        <v>5</v>
      </c>
      <c r="P64" s="4">
        <v>0</v>
      </c>
      <c r="Q64" s="4">
        <v>0</v>
      </c>
      <c r="R64" s="4">
        <v>10</v>
      </c>
      <c r="S64" s="4">
        <v>0</v>
      </c>
      <c r="T64" s="4">
        <v>0</v>
      </c>
      <c r="U64" s="4">
        <v>25</v>
      </c>
      <c r="V64" s="4" t="s">
        <v>15</v>
      </c>
      <c r="W64" s="4" t="s">
        <v>330</v>
      </c>
    </row>
    <row r="65" spans="1:23" ht="90">
      <c r="A65" s="4">
        <v>2026</v>
      </c>
      <c r="B65" s="4" t="s">
        <v>331</v>
      </c>
      <c r="C65" s="4" t="s">
        <v>56</v>
      </c>
      <c r="D65" s="4">
        <v>7901110084</v>
      </c>
      <c r="E65" t="s">
        <v>11</v>
      </c>
      <c r="F65" s="9">
        <v>46112</v>
      </c>
      <c r="G65" s="4">
        <v>84</v>
      </c>
      <c r="H65" s="4" t="s">
        <v>210</v>
      </c>
      <c r="I65" s="4" t="s">
        <v>210</v>
      </c>
      <c r="J65" s="4" t="s">
        <v>42</v>
      </c>
      <c r="K65" s="4" t="s">
        <v>275</v>
      </c>
      <c r="L65" s="42" t="s">
        <v>332</v>
      </c>
      <c r="M65" s="4">
        <v>5</v>
      </c>
      <c r="N65" s="4">
        <v>5</v>
      </c>
      <c r="O65" s="4">
        <v>0</v>
      </c>
      <c r="P65" s="4">
        <v>0</v>
      </c>
      <c r="Q65" s="4">
        <v>0</v>
      </c>
      <c r="R65" s="4">
        <v>0</v>
      </c>
      <c r="S65" s="4">
        <v>10</v>
      </c>
      <c r="T65" s="4">
        <v>0</v>
      </c>
      <c r="U65" s="4">
        <v>20</v>
      </c>
      <c r="V65" s="4" t="s">
        <v>15</v>
      </c>
      <c r="W65" s="4" t="s">
        <v>333</v>
      </c>
    </row>
    <row r="66" spans="1:23" ht="75">
      <c r="A66" s="4">
        <v>2026</v>
      </c>
      <c r="B66" s="4" t="s">
        <v>334</v>
      </c>
      <c r="C66" s="4" t="s">
        <v>56</v>
      </c>
      <c r="D66" s="4">
        <v>7913662076</v>
      </c>
      <c r="E66" t="s">
        <v>11</v>
      </c>
      <c r="F66" s="9">
        <v>46183</v>
      </c>
      <c r="G66" s="4">
        <v>76</v>
      </c>
      <c r="H66" s="4" t="s">
        <v>335</v>
      </c>
      <c r="I66" s="4" t="s">
        <v>336</v>
      </c>
      <c r="J66" s="4" t="s">
        <v>76</v>
      </c>
      <c r="K66" s="4" t="s">
        <v>337</v>
      </c>
      <c r="L66" s="42" t="s">
        <v>338</v>
      </c>
      <c r="M66" s="4">
        <v>5</v>
      </c>
      <c r="N66" s="4">
        <v>5</v>
      </c>
      <c r="O66" s="4">
        <v>0</v>
      </c>
      <c r="P66" s="4">
        <v>0</v>
      </c>
      <c r="Q66" s="4">
        <v>0</v>
      </c>
      <c r="R66" s="4">
        <v>10</v>
      </c>
      <c r="S66" s="4">
        <v>0</v>
      </c>
      <c r="T66" s="4">
        <v>0</v>
      </c>
      <c r="U66" s="4">
        <v>20</v>
      </c>
      <c r="V66" s="4" t="s">
        <v>15</v>
      </c>
      <c r="W66" s="4" t="s">
        <v>339</v>
      </c>
    </row>
    <row r="67" spans="1:23" ht="60">
      <c r="A67" s="4">
        <v>2026</v>
      </c>
      <c r="B67" s="4" t="s">
        <v>340</v>
      </c>
      <c r="C67" s="4" t="s">
        <v>73</v>
      </c>
      <c r="D67" s="4">
        <v>5862236091</v>
      </c>
      <c r="E67" t="s">
        <v>10</v>
      </c>
      <c r="F67" s="9">
        <v>46223</v>
      </c>
      <c r="G67" s="4">
        <v>91</v>
      </c>
      <c r="H67" s="4" t="s">
        <v>74</v>
      </c>
      <c r="I67" s="4" t="s">
        <v>75</v>
      </c>
      <c r="J67" s="4" t="s">
        <v>76</v>
      </c>
      <c r="K67" s="4" t="s">
        <v>341</v>
      </c>
      <c r="L67" s="42" t="s">
        <v>342</v>
      </c>
      <c r="M67" s="4">
        <v>0</v>
      </c>
      <c r="N67" s="4">
        <v>0</v>
      </c>
      <c r="O67" s="4">
        <v>0</v>
      </c>
      <c r="P67" s="4">
        <v>20</v>
      </c>
      <c r="Q67" s="4">
        <v>0</v>
      </c>
      <c r="R67" s="4" t="s">
        <v>45</v>
      </c>
      <c r="S67" s="4" t="s">
        <v>45</v>
      </c>
      <c r="T67" s="4" t="s">
        <v>45</v>
      </c>
      <c r="U67" s="4">
        <v>20</v>
      </c>
      <c r="V67" s="4" t="s">
        <v>15</v>
      </c>
      <c r="W67" s="4" t="s">
        <v>343</v>
      </c>
    </row>
    <row r="68" spans="1:23" ht="30">
      <c r="A68" s="4">
        <v>2026</v>
      </c>
      <c r="B68" s="4" t="s">
        <v>344</v>
      </c>
      <c r="C68" s="4" t="s">
        <v>56</v>
      </c>
      <c r="D68" s="4">
        <v>5836786094</v>
      </c>
      <c r="E68" t="s">
        <v>10</v>
      </c>
      <c r="F68" s="9">
        <v>46160</v>
      </c>
      <c r="G68" s="4">
        <v>94</v>
      </c>
      <c r="H68" s="4" t="s">
        <v>177</v>
      </c>
      <c r="I68" s="4" t="s">
        <v>177</v>
      </c>
      <c r="J68" s="4" t="s">
        <v>76</v>
      </c>
      <c r="K68" s="4" t="s">
        <v>263</v>
      </c>
      <c r="L68" s="42" t="s">
        <v>345</v>
      </c>
      <c r="M68" s="4">
        <v>0</v>
      </c>
      <c r="N68" s="4">
        <v>0</v>
      </c>
      <c r="O68" s="4">
        <v>0</v>
      </c>
      <c r="P68" s="4">
        <v>10</v>
      </c>
      <c r="Q68" s="4">
        <v>10</v>
      </c>
      <c r="R68" s="4" t="s">
        <v>45</v>
      </c>
      <c r="S68" s="4" t="s">
        <v>45</v>
      </c>
      <c r="T68" s="4" t="s">
        <v>45</v>
      </c>
      <c r="U68" s="4">
        <v>20</v>
      </c>
      <c r="V68" s="4" t="s">
        <v>15</v>
      </c>
      <c r="W68" s="4" t="s">
        <v>346</v>
      </c>
    </row>
    <row r="69" spans="1:23" ht="210">
      <c r="A69" s="4">
        <v>2026</v>
      </c>
      <c r="B69" s="4" t="s">
        <v>347</v>
      </c>
      <c r="C69" s="4" t="s">
        <v>125</v>
      </c>
      <c r="D69" s="4">
        <v>7919270014</v>
      </c>
      <c r="E69" t="s">
        <v>11</v>
      </c>
      <c r="F69" s="9">
        <v>46225</v>
      </c>
      <c r="G69" s="4">
        <v>14</v>
      </c>
      <c r="H69" s="4" t="s">
        <v>126</v>
      </c>
      <c r="I69" s="4" t="s">
        <v>97</v>
      </c>
      <c r="J69" s="4" t="s">
        <v>42</v>
      </c>
      <c r="K69" s="4" t="s">
        <v>348</v>
      </c>
      <c r="L69" s="42" t="s">
        <v>349</v>
      </c>
      <c r="M69" s="4">
        <v>5</v>
      </c>
      <c r="N69" s="4">
        <v>5</v>
      </c>
      <c r="O69" s="4">
        <v>0</v>
      </c>
      <c r="P69" s="4">
        <v>0</v>
      </c>
      <c r="Q69" s="4">
        <v>0</v>
      </c>
      <c r="R69" s="4">
        <v>10</v>
      </c>
      <c r="S69" s="4">
        <v>0</v>
      </c>
      <c r="T69" s="4">
        <v>0</v>
      </c>
      <c r="U69" s="4">
        <v>20</v>
      </c>
      <c r="V69" s="4" t="s">
        <v>15</v>
      </c>
      <c r="W69" s="4" t="s">
        <v>350</v>
      </c>
    </row>
    <row r="70" spans="1:23" ht="135">
      <c r="A70" s="4">
        <v>2026</v>
      </c>
      <c r="B70" s="4" t="s">
        <v>351</v>
      </c>
      <c r="C70" s="4" t="s">
        <v>56</v>
      </c>
      <c r="D70" s="4">
        <v>7926442035</v>
      </c>
      <c r="E70" t="s">
        <v>11</v>
      </c>
      <c r="F70" s="9">
        <v>46099</v>
      </c>
      <c r="G70" s="4">
        <v>35</v>
      </c>
      <c r="H70" s="4" t="s">
        <v>234</v>
      </c>
      <c r="I70" s="4" t="s">
        <v>108</v>
      </c>
      <c r="J70" s="4" t="s">
        <v>42</v>
      </c>
      <c r="K70" s="4" t="s">
        <v>235</v>
      </c>
      <c r="L70" s="42" t="s">
        <v>352</v>
      </c>
      <c r="M70" s="4">
        <v>5</v>
      </c>
      <c r="N70" s="4">
        <v>5</v>
      </c>
      <c r="O70" s="4">
        <v>0</v>
      </c>
      <c r="P70" s="4">
        <v>0</v>
      </c>
      <c r="Q70" s="4">
        <v>0</v>
      </c>
      <c r="R70" s="4">
        <v>0</v>
      </c>
      <c r="S70" s="4">
        <v>10</v>
      </c>
      <c r="T70" s="4">
        <v>0</v>
      </c>
      <c r="U70" s="4">
        <v>20</v>
      </c>
      <c r="V70" s="4" t="s">
        <v>15</v>
      </c>
      <c r="W70" s="4" t="s">
        <v>353</v>
      </c>
    </row>
    <row r="71" spans="1:23" ht="105">
      <c r="A71" s="4">
        <v>2026</v>
      </c>
      <c r="B71" s="4" t="s">
        <v>354</v>
      </c>
      <c r="C71" s="4" t="s">
        <v>56</v>
      </c>
      <c r="D71" s="4">
        <v>7938137007</v>
      </c>
      <c r="E71" t="s">
        <v>11</v>
      </c>
      <c r="F71" s="9">
        <v>46218</v>
      </c>
      <c r="G71" s="4">
        <v>7</v>
      </c>
      <c r="H71" s="4" t="s">
        <v>186</v>
      </c>
      <c r="I71" s="4" t="s">
        <v>186</v>
      </c>
      <c r="J71" s="4" t="s">
        <v>42</v>
      </c>
      <c r="K71" s="4" t="s">
        <v>303</v>
      </c>
      <c r="L71" s="42" t="s">
        <v>355</v>
      </c>
      <c r="M71" s="4">
        <v>5</v>
      </c>
      <c r="N71" s="4">
        <v>5</v>
      </c>
      <c r="O71" s="4">
        <v>5</v>
      </c>
      <c r="P71" s="4">
        <v>0</v>
      </c>
      <c r="Q71" s="4">
        <v>0</v>
      </c>
      <c r="R71" s="4">
        <v>0</v>
      </c>
      <c r="S71" s="4">
        <v>0</v>
      </c>
      <c r="T71" s="4">
        <v>0</v>
      </c>
      <c r="U71" s="4">
        <v>15</v>
      </c>
      <c r="V71" s="4" t="s">
        <v>15</v>
      </c>
      <c r="W71" s="4" t="s">
        <v>356</v>
      </c>
    </row>
    <row r="72" spans="1:23" ht="150">
      <c r="A72" s="4">
        <v>2026</v>
      </c>
      <c r="B72" s="4" t="s">
        <v>357</v>
      </c>
      <c r="C72" s="4" t="s">
        <v>73</v>
      </c>
      <c r="D72" s="4">
        <v>5856156091</v>
      </c>
      <c r="E72" t="s">
        <v>10</v>
      </c>
      <c r="F72" s="9">
        <v>46202</v>
      </c>
      <c r="G72" s="4">
        <v>91</v>
      </c>
      <c r="H72" s="4" t="s">
        <v>74</v>
      </c>
      <c r="I72" s="4" t="s">
        <v>75</v>
      </c>
      <c r="J72" s="4" t="s">
        <v>76</v>
      </c>
      <c r="K72" s="4" t="s">
        <v>77</v>
      </c>
      <c r="L72" s="42" t="s">
        <v>358</v>
      </c>
      <c r="M72" s="4">
        <v>0</v>
      </c>
      <c r="N72" s="4">
        <v>0</v>
      </c>
      <c r="O72" s="4">
        <v>0</v>
      </c>
      <c r="P72" s="4">
        <v>0</v>
      </c>
      <c r="Q72" s="4">
        <v>0</v>
      </c>
      <c r="R72" s="4" t="s">
        <v>45</v>
      </c>
      <c r="S72" s="4" t="s">
        <v>45</v>
      </c>
      <c r="T72" s="4" t="s">
        <v>45</v>
      </c>
      <c r="U72" s="4">
        <v>0</v>
      </c>
      <c r="V72" s="4" t="s">
        <v>15</v>
      </c>
      <c r="W72" s="4" t="s">
        <v>359</v>
      </c>
    </row>
    <row r="73" spans="1:23" ht="135">
      <c r="A73" s="4">
        <v>2026</v>
      </c>
      <c r="B73" s="4" t="s">
        <v>360</v>
      </c>
      <c r="C73" s="4" t="s">
        <v>67</v>
      </c>
      <c r="D73" s="4">
        <v>5858783119</v>
      </c>
      <c r="E73" t="s">
        <v>10</v>
      </c>
      <c r="F73" s="9">
        <v>46230</v>
      </c>
      <c r="G73" s="4">
        <v>119</v>
      </c>
      <c r="H73" s="4" t="s">
        <v>361</v>
      </c>
      <c r="I73" s="4" t="s">
        <v>223</v>
      </c>
      <c r="J73" s="4" t="s">
        <v>51</v>
      </c>
      <c r="K73" s="4" t="s">
        <v>362</v>
      </c>
      <c r="L73" s="42" t="s">
        <v>363</v>
      </c>
      <c r="M73" s="4">
        <v>0</v>
      </c>
      <c r="N73" s="4">
        <v>0</v>
      </c>
      <c r="O73" s="4">
        <v>0</v>
      </c>
      <c r="P73" s="4">
        <v>0</v>
      </c>
      <c r="Q73" s="4">
        <v>0</v>
      </c>
      <c r="R73" s="4" t="s">
        <v>45</v>
      </c>
      <c r="S73" s="4" t="s">
        <v>45</v>
      </c>
      <c r="T73" s="4" t="s">
        <v>45</v>
      </c>
      <c r="U73" s="4">
        <v>0</v>
      </c>
      <c r="V73" s="4" t="s">
        <v>15</v>
      </c>
      <c r="W73" s="4" t="s">
        <v>364</v>
      </c>
    </row>
    <row r="74" spans="1:23" ht="60">
      <c r="A74" s="4">
        <v>2026</v>
      </c>
      <c r="B74" s="4" t="s">
        <v>365</v>
      </c>
      <c r="C74" s="4" t="s">
        <v>67</v>
      </c>
      <c r="D74" s="4">
        <v>7955832052</v>
      </c>
      <c r="E74" t="s">
        <v>11</v>
      </c>
      <c r="F74" s="9">
        <v>46207</v>
      </c>
      <c r="G74" s="4">
        <v>52</v>
      </c>
      <c r="H74" s="4" t="s">
        <v>192</v>
      </c>
      <c r="I74" s="4" t="s">
        <v>192</v>
      </c>
      <c r="J74" s="4" t="s">
        <v>76</v>
      </c>
      <c r="K74" s="4" t="s">
        <v>366</v>
      </c>
      <c r="L74" s="42" t="s">
        <v>367</v>
      </c>
      <c r="U74" s="4">
        <v>0</v>
      </c>
      <c r="V74" s="4" t="s">
        <v>368</v>
      </c>
    </row>
    <row r="75" spans="1:23" ht="60">
      <c r="A75" s="4">
        <v>2026</v>
      </c>
      <c r="B75" s="4" t="s">
        <v>369</v>
      </c>
      <c r="C75" s="4" t="s">
        <v>56</v>
      </c>
      <c r="D75" s="4">
        <v>7930359149</v>
      </c>
      <c r="E75" t="s">
        <v>11</v>
      </c>
      <c r="F75" s="9">
        <v>46216</v>
      </c>
      <c r="G75" s="4">
        <v>149</v>
      </c>
      <c r="H75" s="4" t="s">
        <v>257</v>
      </c>
      <c r="I75" s="4" t="s">
        <v>210</v>
      </c>
      <c r="J75" s="4" t="s">
        <v>42</v>
      </c>
      <c r="K75" s="4" t="s">
        <v>370</v>
      </c>
      <c r="L75" s="42" t="s">
        <v>371</v>
      </c>
      <c r="U75" s="4">
        <v>0</v>
      </c>
      <c r="V75" s="4" t="s">
        <v>368</v>
      </c>
    </row>
    <row r="76" spans="1:23" ht="30">
      <c r="A76" s="4">
        <v>2026</v>
      </c>
      <c r="B76" s="4" t="s">
        <v>372</v>
      </c>
      <c r="C76" s="4" t="s">
        <v>67</v>
      </c>
      <c r="D76" s="4">
        <v>7902098003</v>
      </c>
      <c r="E76" t="s">
        <v>11</v>
      </c>
      <c r="F76" s="9">
        <v>46188</v>
      </c>
      <c r="G76" s="4">
        <v>3</v>
      </c>
      <c r="H76" s="4" t="s">
        <v>336</v>
      </c>
      <c r="I76" s="4" t="s">
        <v>336</v>
      </c>
      <c r="J76" s="4" t="s">
        <v>76</v>
      </c>
      <c r="K76" s="4" t="s">
        <v>373</v>
      </c>
      <c r="L76" s="42" t="s">
        <v>374</v>
      </c>
      <c r="U76" s="4">
        <v>0</v>
      </c>
      <c r="V76" s="4" t="s">
        <v>368</v>
      </c>
    </row>
    <row r="77" spans="1:23" ht="45">
      <c r="A77" s="4">
        <v>2026</v>
      </c>
      <c r="B77" s="4" t="s">
        <v>375</v>
      </c>
      <c r="C77" s="4" t="s">
        <v>56</v>
      </c>
      <c r="D77" s="4">
        <v>7953211079</v>
      </c>
      <c r="E77" t="s">
        <v>11</v>
      </c>
      <c r="F77" s="9">
        <v>46219</v>
      </c>
      <c r="G77" s="4">
        <v>79</v>
      </c>
      <c r="H77" s="4" t="s">
        <v>376</v>
      </c>
      <c r="I77" s="4" t="s">
        <v>50</v>
      </c>
      <c r="J77" s="4" t="s">
        <v>51</v>
      </c>
      <c r="K77" s="4" t="s">
        <v>377</v>
      </c>
      <c r="L77" s="42" t="s">
        <v>378</v>
      </c>
      <c r="U77" s="4">
        <v>0</v>
      </c>
      <c r="V77" s="4" t="s">
        <v>368</v>
      </c>
    </row>
    <row r="78" spans="1:23" ht="30">
      <c r="A78" s="4">
        <v>2026</v>
      </c>
      <c r="B78" s="4" t="s">
        <v>379</v>
      </c>
      <c r="C78" s="4" t="s">
        <v>67</v>
      </c>
      <c r="D78" s="4">
        <v>7949648145</v>
      </c>
      <c r="E78" t="s">
        <v>11</v>
      </c>
      <c r="F78" s="9">
        <v>46186</v>
      </c>
      <c r="G78" s="4">
        <v>145</v>
      </c>
      <c r="H78" s="4" t="s">
        <v>380</v>
      </c>
      <c r="I78" s="4" t="s">
        <v>132</v>
      </c>
      <c r="J78" s="4" t="s">
        <v>51</v>
      </c>
      <c r="K78" s="4" t="s">
        <v>381</v>
      </c>
      <c r="L78" s="42" t="s">
        <v>382</v>
      </c>
      <c r="U78" s="4">
        <v>0</v>
      </c>
      <c r="V78" s="4" t="s">
        <v>368</v>
      </c>
    </row>
    <row r="79" spans="1:23" ht="30">
      <c r="A79" s="4">
        <v>2026</v>
      </c>
      <c r="B79" s="4" t="s">
        <v>383</v>
      </c>
      <c r="C79" s="4" t="s">
        <v>67</v>
      </c>
      <c r="D79" s="4">
        <v>7908300096</v>
      </c>
      <c r="E79" t="s">
        <v>11</v>
      </c>
      <c r="F79" s="9">
        <v>46191</v>
      </c>
      <c r="G79" s="4">
        <v>96</v>
      </c>
      <c r="H79" s="4" t="s">
        <v>316</v>
      </c>
      <c r="I79" s="4" t="s">
        <v>108</v>
      </c>
      <c r="J79" s="4" t="s">
        <v>42</v>
      </c>
      <c r="K79" s="4" t="s">
        <v>109</v>
      </c>
      <c r="L79" s="42" t="s">
        <v>384</v>
      </c>
      <c r="U79" s="4">
        <v>0</v>
      </c>
      <c r="V79" s="4" t="s">
        <v>368</v>
      </c>
    </row>
    <row r="80" spans="1:23" ht="60">
      <c r="A80" s="4">
        <v>2026</v>
      </c>
      <c r="B80" s="4" t="s">
        <v>385</v>
      </c>
      <c r="C80" s="4" t="s">
        <v>67</v>
      </c>
      <c r="D80" s="4">
        <v>7953570026</v>
      </c>
      <c r="E80" t="s">
        <v>11</v>
      </c>
      <c r="F80" s="9">
        <v>46179</v>
      </c>
      <c r="G80" s="4">
        <v>26</v>
      </c>
      <c r="H80" s="4" t="s">
        <v>108</v>
      </c>
      <c r="I80" s="4" t="s">
        <v>108</v>
      </c>
      <c r="J80" s="4" t="s">
        <v>42</v>
      </c>
      <c r="K80" s="4" t="s">
        <v>109</v>
      </c>
      <c r="L80" s="42" t="s">
        <v>386</v>
      </c>
      <c r="U80" s="4">
        <v>0</v>
      </c>
      <c r="V80" s="4" t="s">
        <v>368</v>
      </c>
    </row>
    <row r="81" spans="1:22" ht="30">
      <c r="A81" s="4">
        <v>2026</v>
      </c>
      <c r="B81" s="4" t="s">
        <v>387</v>
      </c>
      <c r="C81" s="4" t="s">
        <v>388</v>
      </c>
      <c r="D81" s="4">
        <v>7911120026</v>
      </c>
      <c r="E81" t="s">
        <v>11</v>
      </c>
      <c r="F81" s="9">
        <v>46204</v>
      </c>
      <c r="G81" s="4">
        <v>26</v>
      </c>
      <c r="H81" s="4" t="s">
        <v>108</v>
      </c>
      <c r="I81" s="4" t="s">
        <v>108</v>
      </c>
      <c r="J81" s="4" t="s">
        <v>42</v>
      </c>
      <c r="K81" s="4" t="s">
        <v>109</v>
      </c>
      <c r="L81" s="42" t="s">
        <v>389</v>
      </c>
      <c r="U81" s="4">
        <v>0</v>
      </c>
      <c r="V81" s="4" t="s">
        <v>368</v>
      </c>
    </row>
    <row r="82" spans="1:22" ht="45">
      <c r="A82" s="4">
        <v>2026</v>
      </c>
      <c r="B82" s="4" t="s">
        <v>390</v>
      </c>
      <c r="C82" s="4" t="s">
        <v>67</v>
      </c>
      <c r="D82" s="4">
        <v>7908716091</v>
      </c>
      <c r="E82" t="s">
        <v>11</v>
      </c>
      <c r="F82" s="9">
        <v>46223</v>
      </c>
      <c r="G82" s="4">
        <v>91</v>
      </c>
      <c r="H82" s="4" t="s">
        <v>74</v>
      </c>
      <c r="I82" s="4" t="s">
        <v>75</v>
      </c>
      <c r="J82" s="4" t="s">
        <v>76</v>
      </c>
      <c r="K82" s="4" t="s">
        <v>109</v>
      </c>
      <c r="L82" s="42" t="s">
        <v>391</v>
      </c>
      <c r="V82" s="4" t="s">
        <v>368</v>
      </c>
    </row>
    <row r="83" spans="1:22" ht="75">
      <c r="A83" s="4">
        <v>2026</v>
      </c>
      <c r="B83" s="4" t="s">
        <v>392</v>
      </c>
      <c r="C83" s="4" t="s">
        <v>67</v>
      </c>
      <c r="D83" s="4">
        <v>5848305116</v>
      </c>
      <c r="E83" t="s">
        <v>10</v>
      </c>
      <c r="F83" s="9">
        <v>46218</v>
      </c>
      <c r="G83" s="4">
        <v>116</v>
      </c>
      <c r="H83" s="4" t="s">
        <v>200</v>
      </c>
      <c r="I83" s="4" t="s">
        <v>75</v>
      </c>
      <c r="J83" s="4" t="s">
        <v>76</v>
      </c>
      <c r="K83" s="4" t="s">
        <v>77</v>
      </c>
      <c r="L83" s="42" t="s">
        <v>393</v>
      </c>
      <c r="V83" s="4" t="s">
        <v>368</v>
      </c>
    </row>
    <row r="84" spans="1:22" ht="30">
      <c r="A84" s="4">
        <v>2026</v>
      </c>
      <c r="B84" s="4" t="s">
        <v>394</v>
      </c>
      <c r="C84" s="4" t="s">
        <v>67</v>
      </c>
      <c r="D84" s="4">
        <v>7961368005</v>
      </c>
      <c r="E84" t="s">
        <v>11</v>
      </c>
      <c r="F84" s="9">
        <v>46219</v>
      </c>
      <c r="G84" s="4">
        <v>5</v>
      </c>
      <c r="H84" s="4" t="s">
        <v>395</v>
      </c>
      <c r="I84" s="4" t="s">
        <v>75</v>
      </c>
      <c r="J84" s="4" t="s">
        <v>76</v>
      </c>
      <c r="K84" s="4" t="s">
        <v>396</v>
      </c>
      <c r="L84" s="42" t="s">
        <v>397</v>
      </c>
      <c r="V84" s="4" t="s">
        <v>368</v>
      </c>
    </row>
    <row r="85" spans="1:22" ht="30">
      <c r="A85" s="4">
        <v>2026</v>
      </c>
      <c r="B85" s="4" t="s">
        <v>398</v>
      </c>
      <c r="C85" s="4" t="s">
        <v>67</v>
      </c>
      <c r="D85" s="4">
        <v>7929663074</v>
      </c>
      <c r="E85" t="s">
        <v>11</v>
      </c>
      <c r="F85" s="9">
        <v>46226</v>
      </c>
      <c r="G85" s="4">
        <v>74</v>
      </c>
      <c r="H85" s="4" t="s">
        <v>75</v>
      </c>
      <c r="I85" s="4" t="s">
        <v>75</v>
      </c>
      <c r="J85" s="4" t="s">
        <v>76</v>
      </c>
      <c r="K85" s="4" t="s">
        <v>399</v>
      </c>
      <c r="L85" s="42" t="s">
        <v>400</v>
      </c>
      <c r="V85" s="4" t="s">
        <v>368</v>
      </c>
    </row>
    <row r="86" spans="1:22">
      <c r="A86" s="4">
        <v>2026</v>
      </c>
      <c r="B86" s="4" t="s">
        <v>401</v>
      </c>
      <c r="C86" s="4" t="s">
        <v>67</v>
      </c>
      <c r="D86" s="4">
        <v>7900722193</v>
      </c>
      <c r="E86" t="s">
        <v>11</v>
      </c>
      <c r="F86" s="9">
        <v>46227</v>
      </c>
      <c r="G86" s="4">
        <v>193</v>
      </c>
      <c r="H86" s="4" t="s">
        <v>402</v>
      </c>
      <c r="I86" s="4" t="s">
        <v>57</v>
      </c>
      <c r="J86" s="4" t="s">
        <v>51</v>
      </c>
      <c r="K86" s="4" t="s">
        <v>403</v>
      </c>
      <c r="L86" s="42" t="s">
        <v>404</v>
      </c>
      <c r="V86" s="4" t="s">
        <v>368</v>
      </c>
    </row>
    <row r="87" spans="1:22" ht="45">
      <c r="A87" s="4">
        <v>2026</v>
      </c>
      <c r="B87" s="4" t="s">
        <v>405</v>
      </c>
      <c r="C87" s="4" t="s">
        <v>67</v>
      </c>
      <c r="D87" s="4">
        <v>7955792076</v>
      </c>
      <c r="E87" t="s">
        <v>11</v>
      </c>
      <c r="F87" s="9">
        <v>46215</v>
      </c>
      <c r="G87" s="4">
        <v>76</v>
      </c>
      <c r="H87" s="4" t="s">
        <v>335</v>
      </c>
      <c r="I87" s="4" t="s">
        <v>336</v>
      </c>
      <c r="J87" s="4" t="s">
        <v>76</v>
      </c>
      <c r="K87" s="4" t="s">
        <v>406</v>
      </c>
      <c r="L87" s="42" t="s">
        <v>407</v>
      </c>
      <c r="V87" s="4" t="s">
        <v>368</v>
      </c>
    </row>
    <row r="88" spans="1:22" ht="135">
      <c r="A88" s="4">
        <v>2026</v>
      </c>
      <c r="B88" s="4" t="s">
        <v>408</v>
      </c>
      <c r="C88" s="4" t="s">
        <v>67</v>
      </c>
      <c r="D88" s="4">
        <v>5839141113</v>
      </c>
      <c r="E88" t="s">
        <v>10</v>
      </c>
      <c r="F88" s="9">
        <v>46210</v>
      </c>
      <c r="G88" s="4">
        <v>113</v>
      </c>
      <c r="H88" s="4" t="s">
        <v>409</v>
      </c>
      <c r="I88" s="4" t="s">
        <v>50</v>
      </c>
      <c r="J88" s="4" t="s">
        <v>51</v>
      </c>
      <c r="K88" s="4" t="s">
        <v>410</v>
      </c>
      <c r="L88" s="42" t="s">
        <v>411</v>
      </c>
      <c r="V88" s="4" t="s">
        <v>368</v>
      </c>
    </row>
    <row r="89" spans="1:22">
      <c r="A89" s="4">
        <v>2026</v>
      </c>
      <c r="B89" s="4" t="s">
        <v>412</v>
      </c>
      <c r="C89" s="4" t="s">
        <v>67</v>
      </c>
      <c r="D89" s="4">
        <v>7908683122</v>
      </c>
      <c r="E89" t="s">
        <v>11</v>
      </c>
      <c r="F89" s="9">
        <v>46213</v>
      </c>
      <c r="G89" s="4">
        <v>122</v>
      </c>
      <c r="H89" s="4" t="s">
        <v>68</v>
      </c>
      <c r="I89" s="4" t="s">
        <v>68</v>
      </c>
      <c r="J89" s="4" t="s">
        <v>42</v>
      </c>
      <c r="K89" s="4" t="s">
        <v>413</v>
      </c>
      <c r="L89" s="42" t="s">
        <v>414</v>
      </c>
      <c r="V89" s="4" t="s">
        <v>368</v>
      </c>
    </row>
    <row r="90" spans="1:22" ht="45">
      <c r="A90" s="4">
        <v>2026</v>
      </c>
      <c r="B90" s="4" t="s">
        <v>415</v>
      </c>
      <c r="C90" s="4" t="s">
        <v>67</v>
      </c>
      <c r="D90" s="4">
        <v>7923110021</v>
      </c>
      <c r="E90" t="s">
        <v>11</v>
      </c>
      <c r="F90" s="9">
        <v>46226</v>
      </c>
      <c r="G90" s="4">
        <v>21</v>
      </c>
      <c r="H90" s="4" t="s">
        <v>176</v>
      </c>
      <c r="I90" s="4" t="s">
        <v>177</v>
      </c>
      <c r="J90" s="4" t="s">
        <v>76</v>
      </c>
      <c r="K90" s="4" t="s">
        <v>416</v>
      </c>
      <c r="L90" s="42" t="s">
        <v>417</v>
      </c>
      <c r="V90" s="4" t="s">
        <v>368</v>
      </c>
    </row>
    <row r="91" spans="1:22" ht="45">
      <c r="A91" s="4">
        <v>2026</v>
      </c>
      <c r="B91" s="4" t="s">
        <v>418</v>
      </c>
      <c r="C91" s="4" t="s">
        <v>67</v>
      </c>
      <c r="D91" s="4">
        <v>7900001096</v>
      </c>
      <c r="E91" t="s">
        <v>11</v>
      </c>
      <c r="F91" s="9">
        <v>46223</v>
      </c>
      <c r="G91" s="4">
        <v>96</v>
      </c>
      <c r="H91" s="4" t="s">
        <v>316</v>
      </c>
      <c r="I91" s="4" t="s">
        <v>108</v>
      </c>
      <c r="J91" s="4" t="s">
        <v>42</v>
      </c>
      <c r="K91" s="4" t="s">
        <v>109</v>
      </c>
      <c r="L91" s="42" t="s">
        <v>419</v>
      </c>
      <c r="V91" s="4" t="s">
        <v>368</v>
      </c>
    </row>
    <row r="92" spans="1:22" ht="30">
      <c r="A92" s="4">
        <v>2026</v>
      </c>
      <c r="B92" s="4" t="s">
        <v>420</v>
      </c>
      <c r="C92" s="4" t="s">
        <v>67</v>
      </c>
      <c r="D92" s="4">
        <v>7900451096</v>
      </c>
      <c r="E92" t="s">
        <v>11</v>
      </c>
      <c r="F92" s="9">
        <v>46223</v>
      </c>
      <c r="G92" s="4">
        <v>96</v>
      </c>
      <c r="H92" s="4" t="s">
        <v>316</v>
      </c>
      <c r="I92" s="4" t="s">
        <v>108</v>
      </c>
      <c r="J92" s="4" t="s">
        <v>42</v>
      </c>
      <c r="K92" s="4" t="s">
        <v>109</v>
      </c>
      <c r="L92" s="42" t="s">
        <v>421</v>
      </c>
      <c r="V92" s="4" t="s">
        <v>368</v>
      </c>
    </row>
    <row r="93" spans="1:22" ht="30">
      <c r="A93" s="4">
        <v>2026</v>
      </c>
      <c r="B93" s="4" t="s">
        <v>422</v>
      </c>
      <c r="C93" s="4" t="s">
        <v>67</v>
      </c>
      <c r="D93" s="4">
        <v>7900259096</v>
      </c>
      <c r="E93" t="s">
        <v>11</v>
      </c>
      <c r="F93" s="9">
        <v>46223</v>
      </c>
      <c r="G93" s="4">
        <v>96</v>
      </c>
      <c r="H93" s="4" t="s">
        <v>316</v>
      </c>
      <c r="I93" s="4" t="s">
        <v>108</v>
      </c>
      <c r="J93" s="4" t="s">
        <v>42</v>
      </c>
      <c r="K93" s="4" t="s">
        <v>109</v>
      </c>
      <c r="L93" s="42" t="s">
        <v>423</v>
      </c>
      <c r="V93" s="4" t="s">
        <v>368</v>
      </c>
    </row>
    <row r="94" spans="1:22" ht="30">
      <c r="A94" s="4">
        <v>2026</v>
      </c>
      <c r="B94" s="4" t="s">
        <v>424</v>
      </c>
      <c r="C94" s="4" t="s">
        <v>67</v>
      </c>
      <c r="D94" s="4">
        <v>7962734119</v>
      </c>
      <c r="E94" t="s">
        <v>11</v>
      </c>
      <c r="F94" s="9">
        <v>46219</v>
      </c>
      <c r="G94" s="4">
        <v>119</v>
      </c>
      <c r="H94" s="4" t="s">
        <v>361</v>
      </c>
      <c r="I94" s="4" t="s">
        <v>223</v>
      </c>
      <c r="J94" s="4" t="s">
        <v>51</v>
      </c>
      <c r="K94" s="4" t="s">
        <v>362</v>
      </c>
      <c r="L94" s="42" t="s">
        <v>425</v>
      </c>
      <c r="V94" s="4" t="s">
        <v>368</v>
      </c>
    </row>
  </sheetData>
  <conditionalFormatting sqref="D1:D1048576">
    <cfRule type="duplicateValues" dxfId="72" priority="22"/>
  </conditionalFormatting>
  <conditionalFormatting sqref="D2:D94">
    <cfRule type="duplicateValues" dxfId="71" priority="61"/>
  </conditionalFormatting>
  <pageMargins left="0.511811024" right="0.511811024" top="0.78740157499999996" bottom="0.78740157499999996" header="0.31496062000000002" footer="0.31496062000000002"/>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4AE06-8DDE-4A08-B07D-B3D96DDBC7BF}">
  <dimension ref="A1:W117"/>
  <sheetViews>
    <sheetView workbookViewId="0"/>
  </sheetViews>
  <sheetFormatPr defaultRowHeight="15"/>
  <cols>
    <col min="1" max="1" width="11" bestFit="1" customWidth="1"/>
    <col min="2" max="2" width="7.140625" bestFit="1" customWidth="1"/>
    <col min="3" max="3" width="29.140625" bestFit="1" customWidth="1"/>
    <col min="4" max="4" width="25.140625" bestFit="1" customWidth="1"/>
    <col min="5" max="5" width="11" bestFit="1" customWidth="1"/>
    <col min="6" max="6" width="22" bestFit="1" customWidth="1"/>
    <col min="7" max="7" width="81.140625" bestFit="1" customWidth="1"/>
    <col min="8" max="8" width="69.42578125" bestFit="1" customWidth="1"/>
    <col min="9" max="9" width="21.28515625" bestFit="1" customWidth="1"/>
    <col min="10" max="10" width="32.28515625" bestFit="1" customWidth="1"/>
    <col min="11" max="11" width="13.7109375" bestFit="1" customWidth="1"/>
    <col min="12" max="12" width="81.140625" bestFit="1" customWidth="1"/>
    <col min="13" max="20" width="12.7109375" bestFit="1" customWidth="1"/>
    <col min="21" max="21" width="13" bestFit="1" customWidth="1"/>
    <col min="22" max="22" width="12.85546875" bestFit="1" customWidth="1"/>
    <col min="23" max="23" width="81.140625" customWidth="1"/>
    <col min="24" max="24" width="81.140625" bestFit="1" customWidth="1"/>
    <col min="25" max="25" width="81.140625" customWidth="1"/>
    <col min="26" max="26" width="12.85546875" bestFit="1" customWidth="1"/>
    <col min="27" max="27" width="81.140625" customWidth="1"/>
  </cols>
  <sheetData>
    <row r="1" spans="1:23">
      <c r="A1" t="s">
        <v>426</v>
      </c>
      <c r="B1" t="s">
        <v>427</v>
      </c>
      <c r="C1" t="s">
        <v>428</v>
      </c>
      <c r="D1" t="s">
        <v>429</v>
      </c>
      <c r="E1" t="s">
        <v>430</v>
      </c>
      <c r="F1" t="s">
        <v>431</v>
      </c>
      <c r="G1" t="s">
        <v>432</v>
      </c>
      <c r="H1" t="s">
        <v>433</v>
      </c>
      <c r="I1" t="s">
        <v>434</v>
      </c>
      <c r="J1" t="s">
        <v>435</v>
      </c>
      <c r="K1" t="s">
        <v>3</v>
      </c>
      <c r="L1" t="s">
        <v>436</v>
      </c>
      <c r="M1" t="s">
        <v>28</v>
      </c>
      <c r="N1" t="s">
        <v>29</v>
      </c>
      <c r="O1" t="s">
        <v>30</v>
      </c>
      <c r="P1" t="s">
        <v>31</v>
      </c>
      <c r="Q1" t="s">
        <v>32</v>
      </c>
      <c r="R1" t="s">
        <v>33</v>
      </c>
      <c r="S1" t="s">
        <v>34</v>
      </c>
      <c r="T1" t="s">
        <v>35</v>
      </c>
      <c r="U1" t="s">
        <v>36</v>
      </c>
      <c r="V1" t="s">
        <v>2</v>
      </c>
      <c r="W1" t="s">
        <v>37</v>
      </c>
    </row>
    <row r="2" spans="1:23">
      <c r="A2">
        <v>5800291077</v>
      </c>
      <c r="B2" t="s">
        <v>10</v>
      </c>
      <c r="C2" t="s">
        <v>144</v>
      </c>
      <c r="D2" t="s">
        <v>57</v>
      </c>
      <c r="E2" t="s">
        <v>51</v>
      </c>
      <c r="F2" t="s">
        <v>437</v>
      </c>
      <c r="I2" t="s">
        <v>438</v>
      </c>
      <c r="L2" t="s">
        <v>439</v>
      </c>
      <c r="M2">
        <v>40</v>
      </c>
      <c r="N2">
        <v>20</v>
      </c>
      <c r="O2">
        <v>20</v>
      </c>
      <c r="P2">
        <v>20</v>
      </c>
      <c r="Q2">
        <v>20</v>
      </c>
      <c r="R2" t="s">
        <v>45</v>
      </c>
      <c r="S2" t="s">
        <v>45</v>
      </c>
      <c r="T2" t="s">
        <v>45</v>
      </c>
      <c r="U2">
        <v>120</v>
      </c>
      <c r="V2" t="s">
        <v>9</v>
      </c>
      <c r="W2" t="s">
        <v>440</v>
      </c>
    </row>
    <row r="3" spans="1:23">
      <c r="A3">
        <v>5854566043</v>
      </c>
      <c r="B3" t="s">
        <v>10</v>
      </c>
      <c r="C3" t="s">
        <v>40</v>
      </c>
      <c r="D3" t="s">
        <v>41</v>
      </c>
      <c r="E3" t="s">
        <v>42</v>
      </c>
      <c r="F3" t="s">
        <v>38</v>
      </c>
      <c r="G3" t="s">
        <v>441</v>
      </c>
      <c r="H3" t="s">
        <v>442</v>
      </c>
      <c r="I3" t="s">
        <v>443</v>
      </c>
      <c r="J3" t="s">
        <v>444</v>
      </c>
      <c r="K3">
        <v>1</v>
      </c>
      <c r="L3" t="s">
        <v>44</v>
      </c>
      <c r="M3">
        <v>40</v>
      </c>
      <c r="N3">
        <v>20</v>
      </c>
      <c r="O3">
        <v>20</v>
      </c>
      <c r="P3">
        <v>10</v>
      </c>
      <c r="Q3">
        <v>20</v>
      </c>
      <c r="R3" t="s">
        <v>45</v>
      </c>
      <c r="S3" t="s">
        <v>45</v>
      </c>
      <c r="T3" t="s">
        <v>45</v>
      </c>
      <c r="U3">
        <v>110</v>
      </c>
      <c r="V3" t="s">
        <v>9</v>
      </c>
      <c r="W3" t="s">
        <v>46</v>
      </c>
    </row>
    <row r="4" spans="1:23">
      <c r="A4">
        <v>5800859011</v>
      </c>
      <c r="B4" t="s">
        <v>10</v>
      </c>
      <c r="C4" t="s">
        <v>49</v>
      </c>
      <c r="D4" t="s">
        <v>50</v>
      </c>
      <c r="E4" t="s">
        <v>51</v>
      </c>
      <c r="F4" t="s">
        <v>47</v>
      </c>
      <c r="G4" t="s">
        <v>445</v>
      </c>
      <c r="H4" t="s">
        <v>446</v>
      </c>
      <c r="I4" t="s">
        <v>443</v>
      </c>
      <c r="J4" t="s">
        <v>447</v>
      </c>
      <c r="K4">
        <v>1</v>
      </c>
      <c r="L4" t="s">
        <v>53</v>
      </c>
      <c r="M4">
        <v>40</v>
      </c>
      <c r="N4">
        <v>20</v>
      </c>
      <c r="O4">
        <v>20</v>
      </c>
      <c r="P4">
        <v>10</v>
      </c>
      <c r="Q4">
        <v>20</v>
      </c>
      <c r="R4" t="s">
        <v>45</v>
      </c>
      <c r="S4" t="s">
        <v>45</v>
      </c>
      <c r="T4" t="s">
        <v>45</v>
      </c>
      <c r="U4">
        <v>110</v>
      </c>
      <c r="V4" t="s">
        <v>9</v>
      </c>
      <c r="W4" t="s">
        <v>54</v>
      </c>
    </row>
    <row r="5" spans="1:23">
      <c r="A5">
        <v>5836764032</v>
      </c>
      <c r="B5" t="s">
        <v>10</v>
      </c>
      <c r="C5" t="s">
        <v>448</v>
      </c>
      <c r="D5" t="s">
        <v>449</v>
      </c>
      <c r="E5" t="s">
        <v>76</v>
      </c>
      <c r="F5" t="s">
        <v>437</v>
      </c>
      <c r="I5" t="s">
        <v>438</v>
      </c>
      <c r="L5" t="s">
        <v>439</v>
      </c>
      <c r="M5">
        <v>40</v>
      </c>
      <c r="N5">
        <v>20</v>
      </c>
      <c r="O5">
        <v>20</v>
      </c>
      <c r="P5">
        <v>10</v>
      </c>
      <c r="Q5">
        <v>20</v>
      </c>
      <c r="R5" t="s">
        <v>45</v>
      </c>
      <c r="S5" t="s">
        <v>45</v>
      </c>
      <c r="T5" t="s">
        <v>45</v>
      </c>
      <c r="U5">
        <v>110</v>
      </c>
      <c r="V5" t="s">
        <v>9</v>
      </c>
      <c r="W5" t="s">
        <v>450</v>
      </c>
    </row>
    <row r="6" spans="1:23">
      <c r="A6">
        <v>7923673004</v>
      </c>
      <c r="B6" t="s">
        <v>11</v>
      </c>
      <c r="C6" t="s">
        <v>57</v>
      </c>
      <c r="D6" t="s">
        <v>57</v>
      </c>
      <c r="E6" t="s">
        <v>51</v>
      </c>
      <c r="F6" t="s">
        <v>55</v>
      </c>
      <c r="G6" t="s">
        <v>451</v>
      </c>
      <c r="H6" t="s">
        <v>452</v>
      </c>
      <c r="J6" t="s">
        <v>453</v>
      </c>
      <c r="K6">
        <v>1</v>
      </c>
      <c r="L6" t="s">
        <v>59</v>
      </c>
      <c r="M6">
        <v>15</v>
      </c>
      <c r="N6">
        <v>20</v>
      </c>
      <c r="O6">
        <v>15</v>
      </c>
      <c r="P6">
        <v>15</v>
      </c>
      <c r="Q6">
        <v>15</v>
      </c>
      <c r="R6">
        <v>10</v>
      </c>
      <c r="S6">
        <v>0</v>
      </c>
      <c r="T6">
        <v>15</v>
      </c>
      <c r="U6">
        <v>105</v>
      </c>
      <c r="V6" t="s">
        <v>9</v>
      </c>
      <c r="W6" t="s">
        <v>60</v>
      </c>
    </row>
    <row r="7" spans="1:23">
      <c r="A7">
        <v>7931608059</v>
      </c>
      <c r="B7" t="s">
        <v>11</v>
      </c>
      <c r="C7" t="s">
        <v>62</v>
      </c>
      <c r="D7" t="s">
        <v>62</v>
      </c>
      <c r="E7" t="s">
        <v>42</v>
      </c>
      <c r="F7" t="s">
        <v>61</v>
      </c>
      <c r="G7" t="s">
        <v>451</v>
      </c>
      <c r="J7" t="s">
        <v>454</v>
      </c>
      <c r="K7">
        <v>1</v>
      </c>
      <c r="L7" t="s">
        <v>64</v>
      </c>
      <c r="M7">
        <v>15</v>
      </c>
      <c r="N7">
        <v>20</v>
      </c>
      <c r="O7">
        <v>15</v>
      </c>
      <c r="P7">
        <v>15</v>
      </c>
      <c r="Q7">
        <v>15</v>
      </c>
      <c r="R7">
        <v>10</v>
      </c>
      <c r="S7">
        <v>0</v>
      </c>
      <c r="T7">
        <v>15</v>
      </c>
      <c r="U7">
        <v>105</v>
      </c>
      <c r="V7" t="s">
        <v>9</v>
      </c>
      <c r="W7" t="s">
        <v>65</v>
      </c>
    </row>
    <row r="8" spans="1:23">
      <c r="A8">
        <v>7931610122</v>
      </c>
      <c r="B8" t="s">
        <v>11</v>
      </c>
      <c r="C8" t="s">
        <v>68</v>
      </c>
      <c r="D8" t="s">
        <v>68</v>
      </c>
      <c r="E8" t="s">
        <v>42</v>
      </c>
      <c r="F8" t="s">
        <v>66</v>
      </c>
      <c r="G8" t="s">
        <v>455</v>
      </c>
      <c r="H8" t="s">
        <v>456</v>
      </c>
      <c r="I8" t="s">
        <v>443</v>
      </c>
      <c r="J8" t="s">
        <v>457</v>
      </c>
      <c r="K8">
        <v>1</v>
      </c>
      <c r="L8" t="s">
        <v>70</v>
      </c>
      <c r="M8">
        <v>15</v>
      </c>
      <c r="N8">
        <v>20</v>
      </c>
      <c r="O8">
        <v>15</v>
      </c>
      <c r="P8">
        <v>15</v>
      </c>
      <c r="Q8">
        <v>15</v>
      </c>
      <c r="R8">
        <v>10</v>
      </c>
      <c r="S8">
        <v>0</v>
      </c>
      <c r="T8">
        <v>15</v>
      </c>
      <c r="U8">
        <v>105</v>
      </c>
      <c r="V8" t="s">
        <v>9</v>
      </c>
      <c r="W8" t="s">
        <v>71</v>
      </c>
    </row>
    <row r="9" spans="1:23">
      <c r="A9">
        <v>7900648055</v>
      </c>
      <c r="B9" t="s">
        <v>11</v>
      </c>
      <c r="C9" t="s">
        <v>458</v>
      </c>
      <c r="D9" t="s">
        <v>210</v>
      </c>
      <c r="E9" t="s">
        <v>42</v>
      </c>
      <c r="F9" t="s">
        <v>437</v>
      </c>
      <c r="L9" t="s">
        <v>439</v>
      </c>
      <c r="M9">
        <v>15</v>
      </c>
      <c r="N9">
        <v>20</v>
      </c>
      <c r="O9">
        <v>15</v>
      </c>
      <c r="P9">
        <v>15</v>
      </c>
      <c r="Q9">
        <v>15</v>
      </c>
      <c r="R9">
        <v>10</v>
      </c>
      <c r="S9">
        <v>0</v>
      </c>
      <c r="T9">
        <v>15</v>
      </c>
      <c r="U9">
        <v>105</v>
      </c>
      <c r="V9" t="s">
        <v>9</v>
      </c>
      <c r="W9" t="s">
        <v>459</v>
      </c>
    </row>
    <row r="10" spans="1:23">
      <c r="A10">
        <v>7947203070</v>
      </c>
      <c r="B10" t="s">
        <v>11</v>
      </c>
      <c r="C10" t="s">
        <v>81</v>
      </c>
      <c r="D10" t="s">
        <v>62</v>
      </c>
      <c r="E10" t="s">
        <v>42</v>
      </c>
      <c r="F10" t="s">
        <v>80</v>
      </c>
      <c r="G10" t="s">
        <v>451</v>
      </c>
      <c r="H10" t="s">
        <v>452</v>
      </c>
      <c r="J10" t="s">
        <v>460</v>
      </c>
      <c r="K10">
        <v>1</v>
      </c>
      <c r="L10" t="s">
        <v>83</v>
      </c>
      <c r="M10">
        <v>10</v>
      </c>
      <c r="N10">
        <v>20</v>
      </c>
      <c r="O10">
        <v>15</v>
      </c>
      <c r="P10">
        <v>15</v>
      </c>
      <c r="Q10">
        <v>15</v>
      </c>
      <c r="R10">
        <v>10</v>
      </c>
      <c r="S10">
        <v>0</v>
      </c>
      <c r="T10">
        <v>15</v>
      </c>
      <c r="U10">
        <v>100</v>
      </c>
      <c r="V10" t="s">
        <v>9</v>
      </c>
      <c r="W10" t="s">
        <v>84</v>
      </c>
    </row>
    <row r="11" spans="1:23">
      <c r="A11">
        <v>5856070091</v>
      </c>
      <c r="B11" t="s">
        <v>10</v>
      </c>
      <c r="C11" t="s">
        <v>74</v>
      </c>
      <c r="D11" t="s">
        <v>75</v>
      </c>
      <c r="E11" t="s">
        <v>76</v>
      </c>
      <c r="F11" t="s">
        <v>72</v>
      </c>
      <c r="G11" t="s">
        <v>445</v>
      </c>
      <c r="H11" t="s">
        <v>461</v>
      </c>
      <c r="I11" t="s">
        <v>443</v>
      </c>
      <c r="J11" t="s">
        <v>462</v>
      </c>
      <c r="K11">
        <v>3</v>
      </c>
      <c r="L11" t="s">
        <v>78</v>
      </c>
      <c r="M11">
        <v>40</v>
      </c>
      <c r="N11">
        <v>20</v>
      </c>
      <c r="O11">
        <v>20</v>
      </c>
      <c r="P11">
        <v>20</v>
      </c>
      <c r="Q11">
        <v>0</v>
      </c>
      <c r="R11" t="s">
        <v>45</v>
      </c>
      <c r="S11" t="s">
        <v>45</v>
      </c>
      <c r="T11" t="s">
        <v>45</v>
      </c>
      <c r="U11">
        <v>100</v>
      </c>
      <c r="V11" t="s">
        <v>9</v>
      </c>
      <c r="W11" t="s">
        <v>79</v>
      </c>
    </row>
    <row r="12" spans="1:23">
      <c r="A12">
        <v>7903569004</v>
      </c>
      <c r="B12" t="s">
        <v>11</v>
      </c>
      <c r="C12" t="s">
        <v>57</v>
      </c>
      <c r="D12" t="s">
        <v>57</v>
      </c>
      <c r="E12" t="s">
        <v>51</v>
      </c>
      <c r="F12" t="s">
        <v>437</v>
      </c>
      <c r="L12" t="s">
        <v>439</v>
      </c>
      <c r="M12">
        <v>15</v>
      </c>
      <c r="N12">
        <v>20</v>
      </c>
      <c r="O12">
        <v>5</v>
      </c>
      <c r="P12">
        <v>15</v>
      </c>
      <c r="Q12">
        <v>15</v>
      </c>
      <c r="R12">
        <v>10</v>
      </c>
      <c r="S12">
        <v>0</v>
      </c>
      <c r="T12">
        <v>15</v>
      </c>
      <c r="U12">
        <v>95</v>
      </c>
      <c r="V12" t="s">
        <v>9</v>
      </c>
      <c r="W12" t="s">
        <v>463</v>
      </c>
    </row>
    <row r="13" spans="1:23">
      <c r="A13">
        <v>7925744087</v>
      </c>
      <c r="B13" t="s">
        <v>11</v>
      </c>
      <c r="C13" t="s">
        <v>91</v>
      </c>
      <c r="D13" t="s">
        <v>50</v>
      </c>
      <c r="E13" t="s">
        <v>51</v>
      </c>
      <c r="F13" t="s">
        <v>90</v>
      </c>
      <c r="G13" t="s">
        <v>451</v>
      </c>
      <c r="H13" t="s">
        <v>464</v>
      </c>
      <c r="J13" t="s">
        <v>465</v>
      </c>
      <c r="K13">
        <v>1</v>
      </c>
      <c r="L13" t="s">
        <v>93</v>
      </c>
      <c r="M13">
        <v>15</v>
      </c>
      <c r="N13">
        <v>20</v>
      </c>
      <c r="O13">
        <v>5</v>
      </c>
      <c r="P13">
        <v>15</v>
      </c>
      <c r="Q13">
        <v>15</v>
      </c>
      <c r="R13">
        <v>10</v>
      </c>
      <c r="S13">
        <v>0</v>
      </c>
      <c r="T13">
        <v>15</v>
      </c>
      <c r="U13">
        <v>95</v>
      </c>
      <c r="V13" t="s">
        <v>9</v>
      </c>
      <c r="W13" t="s">
        <v>94</v>
      </c>
    </row>
    <row r="14" spans="1:23">
      <c r="A14">
        <v>7900117013</v>
      </c>
      <c r="B14" t="s">
        <v>11</v>
      </c>
      <c r="C14" t="s">
        <v>97</v>
      </c>
      <c r="D14" t="s">
        <v>97</v>
      </c>
      <c r="E14" t="s">
        <v>42</v>
      </c>
      <c r="F14" t="s">
        <v>95</v>
      </c>
      <c r="G14" t="s">
        <v>455</v>
      </c>
      <c r="H14" t="s">
        <v>466</v>
      </c>
      <c r="I14" t="s">
        <v>443</v>
      </c>
      <c r="J14" t="s">
        <v>460</v>
      </c>
      <c r="K14">
        <v>1</v>
      </c>
      <c r="L14" t="s">
        <v>99</v>
      </c>
      <c r="M14">
        <v>15</v>
      </c>
      <c r="N14">
        <v>20</v>
      </c>
      <c r="O14">
        <v>15</v>
      </c>
      <c r="P14">
        <v>15</v>
      </c>
      <c r="Q14">
        <v>15</v>
      </c>
      <c r="R14">
        <v>0</v>
      </c>
      <c r="S14">
        <v>0</v>
      </c>
      <c r="T14">
        <v>15</v>
      </c>
      <c r="U14">
        <v>95</v>
      </c>
      <c r="V14" t="s">
        <v>9</v>
      </c>
      <c r="W14" t="s">
        <v>100</v>
      </c>
    </row>
    <row r="15" spans="1:23">
      <c r="A15">
        <v>7929376022</v>
      </c>
      <c r="B15" t="s">
        <v>11</v>
      </c>
      <c r="C15" t="s">
        <v>102</v>
      </c>
      <c r="D15" t="s">
        <v>57</v>
      </c>
      <c r="E15" t="s">
        <v>51</v>
      </c>
      <c r="F15" t="s">
        <v>101</v>
      </c>
      <c r="G15" t="s">
        <v>467</v>
      </c>
      <c r="H15" t="s">
        <v>468</v>
      </c>
      <c r="I15" t="s">
        <v>443</v>
      </c>
      <c r="J15" t="s">
        <v>469</v>
      </c>
      <c r="K15">
        <v>1</v>
      </c>
      <c r="L15" t="s">
        <v>104</v>
      </c>
      <c r="M15">
        <v>15</v>
      </c>
      <c r="N15">
        <v>20</v>
      </c>
      <c r="O15">
        <v>5</v>
      </c>
      <c r="P15">
        <v>15</v>
      </c>
      <c r="Q15">
        <v>15</v>
      </c>
      <c r="R15">
        <v>10</v>
      </c>
      <c r="S15">
        <v>0</v>
      </c>
      <c r="T15">
        <v>15</v>
      </c>
      <c r="U15">
        <v>95</v>
      </c>
      <c r="V15" t="s">
        <v>9</v>
      </c>
      <c r="W15" t="s">
        <v>105</v>
      </c>
    </row>
    <row r="16" spans="1:23">
      <c r="A16">
        <v>7908705049</v>
      </c>
      <c r="B16" t="s">
        <v>11</v>
      </c>
      <c r="C16" t="s">
        <v>86</v>
      </c>
      <c r="D16" t="s">
        <v>75</v>
      </c>
      <c r="E16" t="s">
        <v>76</v>
      </c>
      <c r="F16" t="s">
        <v>85</v>
      </c>
      <c r="G16" t="s">
        <v>445</v>
      </c>
      <c r="H16" t="s">
        <v>470</v>
      </c>
      <c r="I16" t="s">
        <v>443</v>
      </c>
      <c r="J16" t="s">
        <v>469</v>
      </c>
      <c r="K16">
        <v>1</v>
      </c>
      <c r="L16" t="s">
        <v>88</v>
      </c>
      <c r="M16">
        <v>15</v>
      </c>
      <c r="N16">
        <v>20</v>
      </c>
      <c r="O16">
        <v>5</v>
      </c>
      <c r="P16">
        <v>15</v>
      </c>
      <c r="Q16">
        <v>15</v>
      </c>
      <c r="R16">
        <v>0</v>
      </c>
      <c r="S16">
        <v>10</v>
      </c>
      <c r="T16">
        <v>15</v>
      </c>
      <c r="U16">
        <v>95</v>
      </c>
      <c r="V16" t="s">
        <v>9</v>
      </c>
      <c r="W16" t="s">
        <v>89</v>
      </c>
    </row>
    <row r="17" spans="1:23">
      <c r="A17">
        <v>7933726256</v>
      </c>
      <c r="B17" t="s">
        <v>11</v>
      </c>
      <c r="C17" t="s">
        <v>107</v>
      </c>
      <c r="D17" t="s">
        <v>108</v>
      </c>
      <c r="E17" t="s">
        <v>42</v>
      </c>
      <c r="F17" t="s">
        <v>106</v>
      </c>
      <c r="G17" t="s">
        <v>471</v>
      </c>
      <c r="H17" t="s">
        <v>472</v>
      </c>
      <c r="I17" t="s">
        <v>443</v>
      </c>
      <c r="J17" t="s">
        <v>473</v>
      </c>
      <c r="K17">
        <v>1</v>
      </c>
      <c r="L17" t="s">
        <v>110</v>
      </c>
      <c r="M17">
        <v>15</v>
      </c>
      <c r="N17">
        <v>10</v>
      </c>
      <c r="O17">
        <v>15</v>
      </c>
      <c r="P17">
        <v>15</v>
      </c>
      <c r="Q17">
        <v>15</v>
      </c>
      <c r="R17">
        <v>10</v>
      </c>
      <c r="S17">
        <v>0</v>
      </c>
      <c r="T17">
        <v>15</v>
      </c>
      <c r="U17">
        <v>95</v>
      </c>
      <c r="V17" t="s">
        <v>9</v>
      </c>
      <c r="W17" t="s">
        <v>111</v>
      </c>
    </row>
    <row r="18" spans="1:23">
      <c r="A18">
        <v>7933766059</v>
      </c>
      <c r="B18" t="s">
        <v>11</v>
      </c>
      <c r="C18" t="s">
        <v>62</v>
      </c>
      <c r="D18" t="s">
        <v>62</v>
      </c>
      <c r="E18" t="s">
        <v>42</v>
      </c>
      <c r="F18" t="s">
        <v>112</v>
      </c>
      <c r="G18" t="s">
        <v>445</v>
      </c>
      <c r="H18" t="s">
        <v>456</v>
      </c>
      <c r="I18" t="s">
        <v>443</v>
      </c>
      <c r="J18" t="s">
        <v>473</v>
      </c>
      <c r="K18">
        <v>1</v>
      </c>
      <c r="L18" t="s">
        <v>114</v>
      </c>
      <c r="M18">
        <v>15</v>
      </c>
      <c r="N18">
        <v>20</v>
      </c>
      <c r="O18">
        <v>5</v>
      </c>
      <c r="P18">
        <v>15</v>
      </c>
      <c r="Q18">
        <v>15</v>
      </c>
      <c r="R18">
        <v>0</v>
      </c>
      <c r="S18">
        <v>10</v>
      </c>
      <c r="T18">
        <v>15</v>
      </c>
      <c r="U18">
        <v>95</v>
      </c>
      <c r="V18" t="s">
        <v>9</v>
      </c>
      <c r="W18" t="s">
        <v>115</v>
      </c>
    </row>
    <row r="19" spans="1:23">
      <c r="A19">
        <v>7900594026</v>
      </c>
      <c r="B19" t="s">
        <v>11</v>
      </c>
      <c r="C19" t="s">
        <v>108</v>
      </c>
      <c r="D19" t="s">
        <v>108</v>
      </c>
      <c r="E19" t="s">
        <v>42</v>
      </c>
      <c r="F19" t="s">
        <v>474</v>
      </c>
      <c r="G19" t="s">
        <v>445</v>
      </c>
      <c r="H19" t="s">
        <v>475</v>
      </c>
      <c r="I19" t="s">
        <v>443</v>
      </c>
      <c r="J19" t="s">
        <v>469</v>
      </c>
      <c r="K19">
        <v>1</v>
      </c>
      <c r="L19" t="s">
        <v>118</v>
      </c>
      <c r="M19">
        <v>15</v>
      </c>
      <c r="N19">
        <v>20</v>
      </c>
      <c r="O19">
        <v>15</v>
      </c>
      <c r="P19">
        <v>15</v>
      </c>
      <c r="Q19">
        <v>15</v>
      </c>
      <c r="R19">
        <v>0</v>
      </c>
      <c r="S19">
        <v>0</v>
      </c>
      <c r="T19">
        <v>15</v>
      </c>
      <c r="U19">
        <v>95</v>
      </c>
      <c r="V19" t="s">
        <v>9</v>
      </c>
      <c r="W19" t="s">
        <v>119</v>
      </c>
    </row>
    <row r="20" spans="1:23">
      <c r="A20">
        <v>7921040031</v>
      </c>
      <c r="B20" t="s">
        <v>11</v>
      </c>
      <c r="C20" t="s">
        <v>476</v>
      </c>
      <c r="D20" t="s">
        <v>186</v>
      </c>
      <c r="E20" t="s">
        <v>42</v>
      </c>
      <c r="F20" t="s">
        <v>437</v>
      </c>
      <c r="I20" t="s">
        <v>438</v>
      </c>
      <c r="L20" t="s">
        <v>439</v>
      </c>
      <c r="M20">
        <v>15</v>
      </c>
      <c r="N20">
        <v>20</v>
      </c>
      <c r="O20">
        <v>5</v>
      </c>
      <c r="P20">
        <v>15</v>
      </c>
      <c r="Q20">
        <v>15</v>
      </c>
      <c r="R20">
        <v>10</v>
      </c>
      <c r="S20">
        <v>0</v>
      </c>
      <c r="T20">
        <v>15</v>
      </c>
      <c r="U20">
        <v>95</v>
      </c>
      <c r="V20" t="s">
        <v>9</v>
      </c>
      <c r="W20" t="s">
        <v>477</v>
      </c>
    </row>
    <row r="21" spans="1:23">
      <c r="A21">
        <v>7957620015</v>
      </c>
      <c r="B21" t="s">
        <v>11</v>
      </c>
      <c r="C21" t="s">
        <v>283</v>
      </c>
      <c r="D21" t="s">
        <v>50</v>
      </c>
      <c r="E21" t="s">
        <v>51</v>
      </c>
      <c r="F21" t="s">
        <v>437</v>
      </c>
      <c r="I21" t="s">
        <v>438</v>
      </c>
      <c r="L21" t="s">
        <v>439</v>
      </c>
      <c r="M21">
        <v>15</v>
      </c>
      <c r="N21">
        <v>20</v>
      </c>
      <c r="O21">
        <v>15</v>
      </c>
      <c r="P21">
        <v>15</v>
      </c>
      <c r="Q21">
        <v>15</v>
      </c>
      <c r="R21">
        <v>0</v>
      </c>
      <c r="S21">
        <v>0</v>
      </c>
      <c r="T21">
        <v>15</v>
      </c>
      <c r="U21">
        <v>95</v>
      </c>
      <c r="V21" t="s">
        <v>9</v>
      </c>
      <c r="W21" t="s">
        <v>478</v>
      </c>
    </row>
    <row r="22" spans="1:23">
      <c r="A22">
        <v>7927413001</v>
      </c>
      <c r="B22" t="s">
        <v>11</v>
      </c>
      <c r="C22" t="s">
        <v>41</v>
      </c>
      <c r="D22" t="s">
        <v>41</v>
      </c>
      <c r="E22" t="s">
        <v>42</v>
      </c>
      <c r="F22" t="s">
        <v>120</v>
      </c>
      <c r="G22" t="s">
        <v>451</v>
      </c>
      <c r="H22" t="s">
        <v>452</v>
      </c>
      <c r="J22" t="s">
        <v>469</v>
      </c>
      <c r="K22">
        <v>1</v>
      </c>
      <c r="L22" t="s">
        <v>479</v>
      </c>
      <c r="M22">
        <v>15</v>
      </c>
      <c r="N22">
        <v>5</v>
      </c>
      <c r="O22">
        <v>15</v>
      </c>
      <c r="P22">
        <v>15</v>
      </c>
      <c r="Q22">
        <v>15</v>
      </c>
      <c r="R22">
        <v>10</v>
      </c>
      <c r="S22">
        <v>0</v>
      </c>
      <c r="T22">
        <v>15</v>
      </c>
      <c r="U22">
        <v>90</v>
      </c>
      <c r="V22" t="s">
        <v>9</v>
      </c>
      <c r="W22" t="s">
        <v>123</v>
      </c>
    </row>
    <row r="23" spans="1:23">
      <c r="A23">
        <v>7908686014</v>
      </c>
      <c r="B23" t="s">
        <v>11</v>
      </c>
      <c r="C23" t="s">
        <v>126</v>
      </c>
      <c r="D23" t="s">
        <v>97</v>
      </c>
      <c r="E23" t="s">
        <v>42</v>
      </c>
      <c r="F23" t="s">
        <v>124</v>
      </c>
      <c r="G23" t="s">
        <v>445</v>
      </c>
      <c r="H23">
        <v>46226</v>
      </c>
      <c r="I23" t="s">
        <v>443</v>
      </c>
      <c r="J23" t="s">
        <v>480</v>
      </c>
      <c r="K23">
        <v>1</v>
      </c>
      <c r="L23" t="s">
        <v>128</v>
      </c>
      <c r="M23">
        <v>15</v>
      </c>
      <c r="N23">
        <v>20</v>
      </c>
      <c r="O23">
        <v>0</v>
      </c>
      <c r="P23">
        <v>15</v>
      </c>
      <c r="Q23">
        <v>15</v>
      </c>
      <c r="R23">
        <v>10</v>
      </c>
      <c r="S23">
        <v>0</v>
      </c>
      <c r="T23">
        <v>15</v>
      </c>
      <c r="U23">
        <v>90</v>
      </c>
      <c r="V23" t="s">
        <v>9</v>
      </c>
      <c r="W23" t="s">
        <v>129</v>
      </c>
    </row>
    <row r="24" spans="1:23">
      <c r="A24">
        <v>5800440256</v>
      </c>
      <c r="B24" t="s">
        <v>10</v>
      </c>
      <c r="C24" t="s">
        <v>107</v>
      </c>
      <c r="D24" t="s">
        <v>108</v>
      </c>
      <c r="E24" t="s">
        <v>42</v>
      </c>
      <c r="F24" t="s">
        <v>437</v>
      </c>
      <c r="L24" t="s">
        <v>439</v>
      </c>
      <c r="M24">
        <v>20</v>
      </c>
      <c r="N24">
        <v>20</v>
      </c>
      <c r="O24">
        <v>20</v>
      </c>
      <c r="P24">
        <v>10</v>
      </c>
      <c r="Q24">
        <v>20</v>
      </c>
      <c r="R24" t="s">
        <v>45</v>
      </c>
      <c r="S24" t="s">
        <v>45</v>
      </c>
      <c r="T24" t="s">
        <v>45</v>
      </c>
      <c r="U24">
        <v>90</v>
      </c>
      <c r="V24" t="s">
        <v>9</v>
      </c>
      <c r="W24" t="s">
        <v>481</v>
      </c>
    </row>
    <row r="25" spans="1:23">
      <c r="A25">
        <v>7943790134</v>
      </c>
      <c r="B25" t="s">
        <v>11</v>
      </c>
      <c r="C25" t="s">
        <v>131</v>
      </c>
      <c r="D25" t="s">
        <v>132</v>
      </c>
      <c r="E25" t="s">
        <v>51</v>
      </c>
      <c r="F25" t="s">
        <v>130</v>
      </c>
      <c r="G25" t="s">
        <v>482</v>
      </c>
      <c r="I25" t="s">
        <v>443</v>
      </c>
      <c r="J25" t="s">
        <v>480</v>
      </c>
      <c r="K25">
        <v>1</v>
      </c>
      <c r="L25" t="s">
        <v>134</v>
      </c>
      <c r="M25">
        <v>15</v>
      </c>
      <c r="N25">
        <v>10</v>
      </c>
      <c r="O25">
        <v>5</v>
      </c>
      <c r="P25">
        <v>15</v>
      </c>
      <c r="Q25">
        <v>15</v>
      </c>
      <c r="R25">
        <v>10</v>
      </c>
      <c r="S25">
        <v>0</v>
      </c>
      <c r="T25">
        <v>15</v>
      </c>
      <c r="U25">
        <v>85</v>
      </c>
      <c r="V25" t="s">
        <v>9</v>
      </c>
      <c r="W25" t="s">
        <v>135</v>
      </c>
    </row>
    <row r="26" spans="1:23">
      <c r="A26">
        <v>7900453110</v>
      </c>
      <c r="B26" t="s">
        <v>11</v>
      </c>
      <c r="C26" t="s">
        <v>137</v>
      </c>
      <c r="D26" t="s">
        <v>41</v>
      </c>
      <c r="E26" t="s">
        <v>42</v>
      </c>
      <c r="F26" t="s">
        <v>136</v>
      </c>
      <c r="G26" t="s">
        <v>451</v>
      </c>
      <c r="H26" t="s">
        <v>483</v>
      </c>
      <c r="J26" t="s">
        <v>480</v>
      </c>
      <c r="K26">
        <v>1</v>
      </c>
      <c r="L26" t="s">
        <v>139</v>
      </c>
      <c r="M26">
        <v>15</v>
      </c>
      <c r="N26">
        <v>10</v>
      </c>
      <c r="O26">
        <v>5</v>
      </c>
      <c r="P26">
        <v>15</v>
      </c>
      <c r="Q26">
        <v>15</v>
      </c>
      <c r="R26">
        <v>10</v>
      </c>
      <c r="S26">
        <v>0</v>
      </c>
      <c r="T26">
        <v>15</v>
      </c>
      <c r="U26">
        <v>85</v>
      </c>
      <c r="V26" t="s">
        <v>9</v>
      </c>
      <c r="W26" t="s">
        <v>140</v>
      </c>
    </row>
    <row r="27" spans="1:23">
      <c r="A27">
        <v>7925871077</v>
      </c>
      <c r="B27" t="s">
        <v>11</v>
      </c>
      <c r="C27" t="s">
        <v>144</v>
      </c>
      <c r="D27" t="s">
        <v>57</v>
      </c>
      <c r="E27" t="s">
        <v>51</v>
      </c>
      <c r="F27" t="s">
        <v>143</v>
      </c>
      <c r="G27" t="s">
        <v>484</v>
      </c>
      <c r="J27" t="s">
        <v>480</v>
      </c>
      <c r="K27">
        <v>1</v>
      </c>
      <c r="L27" t="s">
        <v>146</v>
      </c>
      <c r="M27">
        <v>15</v>
      </c>
      <c r="N27">
        <v>10</v>
      </c>
      <c r="O27">
        <v>15</v>
      </c>
      <c r="P27">
        <v>15</v>
      </c>
      <c r="Q27">
        <v>15</v>
      </c>
      <c r="R27">
        <v>10</v>
      </c>
      <c r="S27">
        <v>0</v>
      </c>
      <c r="T27">
        <v>0</v>
      </c>
      <c r="U27">
        <v>80</v>
      </c>
      <c r="V27" t="s">
        <v>9</v>
      </c>
      <c r="W27" t="s">
        <v>147</v>
      </c>
    </row>
    <row r="28" spans="1:23">
      <c r="A28">
        <v>5803327001</v>
      </c>
      <c r="B28" t="s">
        <v>10</v>
      </c>
      <c r="C28" t="s">
        <v>41</v>
      </c>
      <c r="D28" t="s">
        <v>41</v>
      </c>
      <c r="E28" t="s">
        <v>42</v>
      </c>
      <c r="F28" t="s">
        <v>148</v>
      </c>
      <c r="G28" t="s">
        <v>485</v>
      </c>
      <c r="H28" t="s">
        <v>486</v>
      </c>
      <c r="J28" t="s">
        <v>487</v>
      </c>
      <c r="K28">
        <v>1</v>
      </c>
      <c r="L28" t="s">
        <v>488</v>
      </c>
      <c r="M28">
        <v>40</v>
      </c>
      <c r="N28">
        <v>0</v>
      </c>
      <c r="O28">
        <v>0</v>
      </c>
      <c r="P28">
        <v>20</v>
      </c>
      <c r="Q28">
        <v>20</v>
      </c>
      <c r="R28" t="s">
        <v>45</v>
      </c>
      <c r="S28" t="s">
        <v>45</v>
      </c>
      <c r="T28" t="s">
        <v>45</v>
      </c>
      <c r="U28">
        <v>80</v>
      </c>
      <c r="V28" t="s">
        <v>13</v>
      </c>
      <c r="W28" t="s">
        <v>151</v>
      </c>
    </row>
    <row r="29" spans="1:23">
      <c r="A29">
        <v>7900230155</v>
      </c>
      <c r="B29" t="s">
        <v>11</v>
      </c>
      <c r="C29" t="s">
        <v>153</v>
      </c>
      <c r="D29" t="s">
        <v>154</v>
      </c>
      <c r="E29" t="s">
        <v>51</v>
      </c>
      <c r="F29" t="s">
        <v>152</v>
      </c>
      <c r="G29" t="s">
        <v>471</v>
      </c>
      <c r="I29" t="s">
        <v>443</v>
      </c>
      <c r="J29" t="s">
        <v>489</v>
      </c>
      <c r="K29">
        <v>1</v>
      </c>
      <c r="L29" t="s">
        <v>156</v>
      </c>
      <c r="M29">
        <v>15</v>
      </c>
      <c r="N29">
        <v>20</v>
      </c>
      <c r="O29">
        <v>5</v>
      </c>
      <c r="P29">
        <v>15</v>
      </c>
      <c r="Q29">
        <v>0</v>
      </c>
      <c r="R29">
        <v>10</v>
      </c>
      <c r="S29">
        <v>0</v>
      </c>
      <c r="T29">
        <v>15</v>
      </c>
      <c r="U29">
        <v>80</v>
      </c>
      <c r="V29" t="s">
        <v>9</v>
      </c>
      <c r="W29" t="s">
        <v>157</v>
      </c>
    </row>
    <row r="30" spans="1:23">
      <c r="A30">
        <v>7900543083</v>
      </c>
      <c r="B30" t="s">
        <v>11</v>
      </c>
      <c r="C30" t="s">
        <v>490</v>
      </c>
      <c r="D30" t="s">
        <v>62</v>
      </c>
      <c r="E30" t="s">
        <v>42</v>
      </c>
      <c r="F30" t="s">
        <v>437</v>
      </c>
      <c r="I30" t="s">
        <v>438</v>
      </c>
      <c r="L30" t="s">
        <v>439</v>
      </c>
      <c r="M30">
        <v>15</v>
      </c>
      <c r="N30">
        <v>20</v>
      </c>
      <c r="O30">
        <v>5</v>
      </c>
      <c r="P30">
        <v>15</v>
      </c>
      <c r="Q30">
        <v>0</v>
      </c>
      <c r="R30">
        <v>0</v>
      </c>
      <c r="S30">
        <v>10</v>
      </c>
      <c r="T30">
        <v>15</v>
      </c>
      <c r="U30">
        <v>80</v>
      </c>
      <c r="V30" t="s">
        <v>9</v>
      </c>
      <c r="W30" t="s">
        <v>491</v>
      </c>
    </row>
    <row r="31" spans="1:23">
      <c r="A31">
        <v>7900930040</v>
      </c>
      <c r="B31" t="s">
        <v>11</v>
      </c>
      <c r="C31" t="s">
        <v>492</v>
      </c>
      <c r="D31" t="s">
        <v>57</v>
      </c>
      <c r="E31" t="s">
        <v>51</v>
      </c>
      <c r="F31" t="s">
        <v>437</v>
      </c>
      <c r="I31" t="s">
        <v>438</v>
      </c>
      <c r="L31" t="s">
        <v>439</v>
      </c>
      <c r="M31">
        <v>15</v>
      </c>
      <c r="N31">
        <v>20</v>
      </c>
      <c r="O31">
        <v>5</v>
      </c>
      <c r="P31">
        <v>15</v>
      </c>
      <c r="Q31">
        <v>0</v>
      </c>
      <c r="R31">
        <v>0</v>
      </c>
      <c r="S31">
        <v>10</v>
      </c>
      <c r="T31">
        <v>15</v>
      </c>
      <c r="U31">
        <v>80</v>
      </c>
      <c r="V31" t="s">
        <v>9</v>
      </c>
      <c r="W31" t="s">
        <v>493</v>
      </c>
    </row>
    <row r="32" spans="1:23">
      <c r="A32">
        <v>7931383086</v>
      </c>
      <c r="B32" t="s">
        <v>11</v>
      </c>
      <c r="C32" t="s">
        <v>209</v>
      </c>
      <c r="D32" t="s">
        <v>210</v>
      </c>
      <c r="E32" t="s">
        <v>42</v>
      </c>
      <c r="F32" t="s">
        <v>437</v>
      </c>
      <c r="I32" t="s">
        <v>438</v>
      </c>
      <c r="L32" t="s">
        <v>439</v>
      </c>
      <c r="M32">
        <v>15</v>
      </c>
      <c r="N32">
        <v>20</v>
      </c>
      <c r="O32">
        <v>5</v>
      </c>
      <c r="P32">
        <v>15</v>
      </c>
      <c r="Q32">
        <v>0</v>
      </c>
      <c r="R32">
        <v>10</v>
      </c>
      <c r="S32">
        <v>0</v>
      </c>
      <c r="T32">
        <v>15</v>
      </c>
      <c r="U32">
        <v>80</v>
      </c>
      <c r="V32" t="s">
        <v>9</v>
      </c>
      <c r="W32" t="s">
        <v>494</v>
      </c>
    </row>
    <row r="33" spans="1:23">
      <c r="A33">
        <v>7908302256</v>
      </c>
      <c r="B33" t="s">
        <v>11</v>
      </c>
      <c r="C33" t="s">
        <v>107</v>
      </c>
      <c r="D33" t="s">
        <v>108</v>
      </c>
      <c r="E33" t="s">
        <v>42</v>
      </c>
      <c r="F33" t="s">
        <v>158</v>
      </c>
      <c r="G33" t="s">
        <v>495</v>
      </c>
      <c r="L33" t="s">
        <v>159</v>
      </c>
      <c r="M33">
        <v>5</v>
      </c>
      <c r="N33">
        <v>10</v>
      </c>
      <c r="O33">
        <v>5</v>
      </c>
      <c r="P33">
        <v>15</v>
      </c>
      <c r="Q33">
        <v>15</v>
      </c>
      <c r="R33">
        <v>10</v>
      </c>
      <c r="S33">
        <v>0</v>
      </c>
      <c r="T33">
        <v>15</v>
      </c>
      <c r="U33">
        <v>75</v>
      </c>
      <c r="V33" t="s">
        <v>13</v>
      </c>
      <c r="W33" t="s">
        <v>160</v>
      </c>
    </row>
    <row r="34" spans="1:23">
      <c r="A34">
        <v>5800371025</v>
      </c>
      <c r="B34" t="s">
        <v>10</v>
      </c>
      <c r="C34" t="s">
        <v>162</v>
      </c>
      <c r="D34" t="s">
        <v>154</v>
      </c>
      <c r="E34" t="s">
        <v>51</v>
      </c>
      <c r="F34" t="s">
        <v>161</v>
      </c>
      <c r="G34" t="s">
        <v>445</v>
      </c>
      <c r="H34" t="s">
        <v>496</v>
      </c>
      <c r="I34" t="s">
        <v>443</v>
      </c>
      <c r="J34" t="s">
        <v>460</v>
      </c>
      <c r="K34">
        <v>1</v>
      </c>
      <c r="L34" t="s">
        <v>164</v>
      </c>
      <c r="M34">
        <v>0</v>
      </c>
      <c r="N34">
        <v>20</v>
      </c>
      <c r="O34">
        <v>20</v>
      </c>
      <c r="P34">
        <v>10</v>
      </c>
      <c r="Q34">
        <v>20</v>
      </c>
      <c r="R34" t="s">
        <v>45</v>
      </c>
      <c r="S34" t="s">
        <v>45</v>
      </c>
      <c r="T34" t="s">
        <v>45</v>
      </c>
      <c r="U34">
        <v>70</v>
      </c>
      <c r="V34" t="s">
        <v>13</v>
      </c>
      <c r="W34" t="s">
        <v>165</v>
      </c>
    </row>
    <row r="35" spans="1:23">
      <c r="A35">
        <v>7926089013</v>
      </c>
      <c r="B35" t="s">
        <v>11</v>
      </c>
      <c r="C35" t="s">
        <v>97</v>
      </c>
      <c r="D35" t="s">
        <v>97</v>
      </c>
      <c r="E35" t="s">
        <v>42</v>
      </c>
      <c r="F35" t="s">
        <v>171</v>
      </c>
      <c r="G35" t="s">
        <v>451</v>
      </c>
      <c r="J35" t="s">
        <v>480</v>
      </c>
      <c r="K35">
        <v>1</v>
      </c>
      <c r="L35" t="s">
        <v>173</v>
      </c>
      <c r="M35">
        <v>15</v>
      </c>
      <c r="N35">
        <v>10</v>
      </c>
      <c r="O35">
        <v>5</v>
      </c>
      <c r="P35">
        <v>15</v>
      </c>
      <c r="Q35">
        <v>15</v>
      </c>
      <c r="R35">
        <v>10</v>
      </c>
      <c r="S35">
        <v>0</v>
      </c>
      <c r="T35">
        <v>0</v>
      </c>
      <c r="U35">
        <v>70</v>
      </c>
      <c r="V35" t="s">
        <v>13</v>
      </c>
      <c r="W35" t="s">
        <v>174</v>
      </c>
    </row>
    <row r="36" spans="1:23">
      <c r="A36">
        <v>7925087021</v>
      </c>
      <c r="B36" t="s">
        <v>11</v>
      </c>
      <c r="C36" t="s">
        <v>176</v>
      </c>
      <c r="D36" t="s">
        <v>177</v>
      </c>
      <c r="E36" t="s">
        <v>76</v>
      </c>
      <c r="F36" t="s">
        <v>175</v>
      </c>
      <c r="G36" t="s">
        <v>445</v>
      </c>
      <c r="H36">
        <v>46233</v>
      </c>
      <c r="I36" t="s">
        <v>443</v>
      </c>
      <c r="J36" t="s">
        <v>480</v>
      </c>
      <c r="K36">
        <v>1</v>
      </c>
      <c r="L36" t="s">
        <v>179</v>
      </c>
      <c r="M36">
        <v>15</v>
      </c>
      <c r="N36">
        <v>10</v>
      </c>
      <c r="O36">
        <v>5</v>
      </c>
      <c r="P36">
        <v>0</v>
      </c>
      <c r="Q36">
        <v>15</v>
      </c>
      <c r="R36">
        <v>10</v>
      </c>
      <c r="S36">
        <v>0</v>
      </c>
      <c r="T36">
        <v>15</v>
      </c>
      <c r="U36">
        <v>70</v>
      </c>
      <c r="V36" t="s">
        <v>13</v>
      </c>
      <c r="W36" t="s">
        <v>180</v>
      </c>
    </row>
    <row r="37" spans="1:23">
      <c r="A37">
        <v>5801866013</v>
      </c>
      <c r="B37" t="s">
        <v>10</v>
      </c>
      <c r="C37" t="s">
        <v>97</v>
      </c>
      <c r="D37" t="s">
        <v>97</v>
      </c>
      <c r="E37" t="s">
        <v>42</v>
      </c>
      <c r="F37" t="s">
        <v>181</v>
      </c>
      <c r="G37" t="s">
        <v>471</v>
      </c>
      <c r="I37" t="s">
        <v>443</v>
      </c>
      <c r="J37" t="s">
        <v>444</v>
      </c>
      <c r="K37">
        <v>1</v>
      </c>
      <c r="L37" t="s">
        <v>183</v>
      </c>
      <c r="M37">
        <v>0</v>
      </c>
      <c r="N37">
        <v>20</v>
      </c>
      <c r="O37">
        <v>20</v>
      </c>
      <c r="P37">
        <v>20</v>
      </c>
      <c r="Q37">
        <v>10</v>
      </c>
      <c r="R37" t="s">
        <v>45</v>
      </c>
      <c r="S37" t="s">
        <v>45</v>
      </c>
      <c r="T37" t="s">
        <v>45</v>
      </c>
      <c r="U37">
        <v>70</v>
      </c>
      <c r="V37" t="s">
        <v>13</v>
      </c>
      <c r="W37" t="s">
        <v>184</v>
      </c>
    </row>
    <row r="38" spans="1:23">
      <c r="A38">
        <v>5865120195</v>
      </c>
      <c r="B38" t="s">
        <v>10</v>
      </c>
      <c r="C38" t="s">
        <v>167</v>
      </c>
      <c r="D38" t="s">
        <v>50</v>
      </c>
      <c r="E38" t="s">
        <v>51</v>
      </c>
      <c r="F38" t="s">
        <v>166</v>
      </c>
      <c r="G38" t="s">
        <v>471</v>
      </c>
      <c r="J38" t="s">
        <v>497</v>
      </c>
      <c r="K38">
        <v>1</v>
      </c>
      <c r="L38" t="s">
        <v>169</v>
      </c>
      <c r="M38">
        <v>20</v>
      </c>
      <c r="N38">
        <v>20</v>
      </c>
      <c r="O38">
        <v>20</v>
      </c>
      <c r="P38">
        <v>10</v>
      </c>
      <c r="Q38">
        <v>0</v>
      </c>
      <c r="R38" t="s">
        <v>45</v>
      </c>
      <c r="S38" t="s">
        <v>45</v>
      </c>
      <c r="T38" t="s">
        <v>45</v>
      </c>
      <c r="U38">
        <v>70</v>
      </c>
      <c r="V38" t="s">
        <v>13</v>
      </c>
      <c r="W38" t="s">
        <v>170</v>
      </c>
    </row>
    <row r="39" spans="1:23">
      <c r="A39">
        <v>5853360007</v>
      </c>
      <c r="B39" t="s">
        <v>10</v>
      </c>
      <c r="C39" t="s">
        <v>186</v>
      </c>
      <c r="D39" t="s">
        <v>186</v>
      </c>
      <c r="E39" t="s">
        <v>42</v>
      </c>
      <c r="F39" t="s">
        <v>185</v>
      </c>
      <c r="G39" t="s">
        <v>498</v>
      </c>
      <c r="H39" t="s">
        <v>499</v>
      </c>
      <c r="J39" t="s">
        <v>497</v>
      </c>
      <c r="K39">
        <v>1</v>
      </c>
      <c r="L39" t="s">
        <v>188</v>
      </c>
      <c r="M39">
        <v>0</v>
      </c>
      <c r="N39">
        <v>20</v>
      </c>
      <c r="O39">
        <v>20</v>
      </c>
      <c r="P39">
        <v>10</v>
      </c>
      <c r="Q39">
        <v>20</v>
      </c>
      <c r="R39" t="s">
        <v>45</v>
      </c>
      <c r="S39" t="s">
        <v>45</v>
      </c>
      <c r="T39" t="s">
        <v>45</v>
      </c>
      <c r="U39">
        <v>70</v>
      </c>
      <c r="V39" t="s">
        <v>13</v>
      </c>
      <c r="W39" t="s">
        <v>189</v>
      </c>
    </row>
    <row r="40" spans="1:23">
      <c r="A40">
        <v>5800366016</v>
      </c>
      <c r="B40" t="s">
        <v>10</v>
      </c>
      <c r="C40" t="s">
        <v>500</v>
      </c>
      <c r="D40" t="s">
        <v>223</v>
      </c>
      <c r="E40" t="s">
        <v>51</v>
      </c>
      <c r="F40" t="s">
        <v>437</v>
      </c>
      <c r="I40" t="s">
        <v>438</v>
      </c>
      <c r="L40" t="s">
        <v>439</v>
      </c>
      <c r="M40">
        <v>0</v>
      </c>
      <c r="N40">
        <v>20</v>
      </c>
      <c r="O40">
        <v>20</v>
      </c>
      <c r="P40">
        <v>20</v>
      </c>
      <c r="Q40">
        <v>10</v>
      </c>
      <c r="R40" t="s">
        <v>45</v>
      </c>
      <c r="S40" t="s">
        <v>45</v>
      </c>
      <c r="T40" t="s">
        <v>45</v>
      </c>
      <c r="U40">
        <v>70</v>
      </c>
      <c r="V40" t="s">
        <v>13</v>
      </c>
      <c r="W40" t="s">
        <v>501</v>
      </c>
    </row>
    <row r="41" spans="1:23">
      <c r="A41">
        <v>7955523028</v>
      </c>
      <c r="B41" t="s">
        <v>11</v>
      </c>
      <c r="C41" t="s">
        <v>502</v>
      </c>
      <c r="D41" t="s">
        <v>75</v>
      </c>
      <c r="E41" t="s">
        <v>76</v>
      </c>
      <c r="F41" t="s">
        <v>437</v>
      </c>
      <c r="I41" t="s">
        <v>438</v>
      </c>
      <c r="L41" t="s">
        <v>439</v>
      </c>
      <c r="M41">
        <v>15</v>
      </c>
      <c r="N41">
        <v>10</v>
      </c>
      <c r="O41">
        <v>5</v>
      </c>
      <c r="P41">
        <v>15</v>
      </c>
      <c r="Q41">
        <v>15</v>
      </c>
      <c r="R41">
        <v>10</v>
      </c>
      <c r="S41">
        <v>0</v>
      </c>
      <c r="T41">
        <v>0</v>
      </c>
      <c r="U41">
        <v>70</v>
      </c>
      <c r="V41" t="s">
        <v>13</v>
      </c>
      <c r="W41" t="s">
        <v>503</v>
      </c>
    </row>
    <row r="42" spans="1:23">
      <c r="A42">
        <v>7900573047</v>
      </c>
      <c r="B42" t="s">
        <v>11</v>
      </c>
      <c r="C42" t="s">
        <v>191</v>
      </c>
      <c r="D42" t="s">
        <v>449</v>
      </c>
      <c r="E42" t="s">
        <v>76</v>
      </c>
      <c r="F42" t="s">
        <v>190</v>
      </c>
      <c r="G42" t="s">
        <v>445</v>
      </c>
      <c r="H42">
        <v>46233</v>
      </c>
      <c r="I42" t="s">
        <v>443</v>
      </c>
      <c r="J42" t="s">
        <v>469</v>
      </c>
      <c r="K42">
        <v>1</v>
      </c>
      <c r="L42" t="s">
        <v>194</v>
      </c>
      <c r="M42">
        <v>5</v>
      </c>
      <c r="N42">
        <v>5</v>
      </c>
      <c r="O42">
        <v>15</v>
      </c>
      <c r="P42">
        <v>0</v>
      </c>
      <c r="Q42">
        <v>15</v>
      </c>
      <c r="R42">
        <v>10</v>
      </c>
      <c r="S42">
        <v>0</v>
      </c>
      <c r="T42">
        <v>15</v>
      </c>
      <c r="U42">
        <v>65</v>
      </c>
      <c r="V42" t="s">
        <v>13</v>
      </c>
      <c r="W42" t="s">
        <v>195</v>
      </c>
    </row>
    <row r="43" spans="1:23">
      <c r="A43">
        <v>7953610256</v>
      </c>
      <c r="B43" t="s">
        <v>11</v>
      </c>
      <c r="C43" t="s">
        <v>107</v>
      </c>
      <c r="D43" t="s">
        <v>108</v>
      </c>
      <c r="E43" t="s">
        <v>42</v>
      </c>
      <c r="F43" t="s">
        <v>196</v>
      </c>
      <c r="G43" t="s">
        <v>467</v>
      </c>
      <c r="H43" t="s">
        <v>504</v>
      </c>
      <c r="J43" t="s">
        <v>465</v>
      </c>
      <c r="K43">
        <v>1</v>
      </c>
      <c r="L43" t="s">
        <v>197</v>
      </c>
      <c r="M43">
        <v>5</v>
      </c>
      <c r="N43">
        <v>5</v>
      </c>
      <c r="O43">
        <v>15</v>
      </c>
      <c r="P43">
        <v>15</v>
      </c>
      <c r="Q43">
        <v>0</v>
      </c>
      <c r="R43">
        <v>0</v>
      </c>
      <c r="S43">
        <v>10</v>
      </c>
      <c r="T43">
        <v>15</v>
      </c>
      <c r="U43">
        <v>65</v>
      </c>
      <c r="V43" t="s">
        <v>13</v>
      </c>
      <c r="W43" t="s">
        <v>198</v>
      </c>
    </row>
    <row r="44" spans="1:23">
      <c r="A44">
        <v>5800438116</v>
      </c>
      <c r="B44" t="s">
        <v>10</v>
      </c>
      <c r="C44" t="s">
        <v>200</v>
      </c>
      <c r="D44" t="s">
        <v>75</v>
      </c>
      <c r="E44" t="s">
        <v>76</v>
      </c>
      <c r="F44" t="s">
        <v>199</v>
      </c>
      <c r="G44" t="s">
        <v>445</v>
      </c>
      <c r="H44" t="s">
        <v>505</v>
      </c>
      <c r="I44" t="s">
        <v>443</v>
      </c>
      <c r="J44" t="s">
        <v>444</v>
      </c>
      <c r="K44">
        <v>2</v>
      </c>
      <c r="L44" t="s">
        <v>201</v>
      </c>
      <c r="M44">
        <v>0</v>
      </c>
      <c r="N44">
        <v>20</v>
      </c>
      <c r="O44">
        <v>20</v>
      </c>
      <c r="P44">
        <v>20</v>
      </c>
      <c r="Q44">
        <v>0</v>
      </c>
      <c r="R44" t="s">
        <v>45</v>
      </c>
      <c r="S44" t="s">
        <v>45</v>
      </c>
      <c r="T44" t="s">
        <v>45</v>
      </c>
      <c r="U44">
        <v>60</v>
      </c>
      <c r="V44" t="s">
        <v>14</v>
      </c>
      <c r="W44" t="s">
        <v>202</v>
      </c>
    </row>
    <row r="45" spans="1:23">
      <c r="A45">
        <v>5800090147</v>
      </c>
      <c r="B45" t="s">
        <v>10</v>
      </c>
      <c r="C45" t="s">
        <v>506</v>
      </c>
      <c r="D45" t="s">
        <v>75</v>
      </c>
      <c r="E45" t="s">
        <v>76</v>
      </c>
      <c r="F45" t="s">
        <v>437</v>
      </c>
      <c r="I45" t="s">
        <v>438</v>
      </c>
      <c r="L45" t="s">
        <v>439</v>
      </c>
      <c r="M45">
        <v>0</v>
      </c>
      <c r="N45">
        <v>20</v>
      </c>
      <c r="O45">
        <v>20</v>
      </c>
      <c r="P45">
        <v>10</v>
      </c>
      <c r="Q45">
        <v>10</v>
      </c>
      <c r="R45" t="s">
        <v>45</v>
      </c>
      <c r="S45" t="s">
        <v>45</v>
      </c>
      <c r="T45" t="s">
        <v>45</v>
      </c>
      <c r="U45">
        <v>60</v>
      </c>
      <c r="V45" t="s">
        <v>14</v>
      </c>
      <c r="W45" t="s">
        <v>507</v>
      </c>
    </row>
    <row r="46" spans="1:23">
      <c r="A46">
        <v>5840227063</v>
      </c>
      <c r="B46" t="s">
        <v>10</v>
      </c>
      <c r="C46" t="s">
        <v>204</v>
      </c>
      <c r="D46" t="s">
        <v>154</v>
      </c>
      <c r="E46" t="s">
        <v>51</v>
      </c>
      <c r="F46" t="s">
        <v>203</v>
      </c>
      <c r="G46" t="s">
        <v>495</v>
      </c>
      <c r="L46" t="s">
        <v>508</v>
      </c>
      <c r="M46">
        <v>0</v>
      </c>
      <c r="N46">
        <v>20</v>
      </c>
      <c r="O46">
        <v>20</v>
      </c>
      <c r="P46">
        <v>10</v>
      </c>
      <c r="Q46">
        <v>10</v>
      </c>
      <c r="R46" t="s">
        <v>45</v>
      </c>
      <c r="S46" t="s">
        <v>45</v>
      </c>
      <c r="T46" t="s">
        <v>45</v>
      </c>
      <c r="U46">
        <v>60</v>
      </c>
      <c r="V46" t="s">
        <v>14</v>
      </c>
      <c r="W46" t="s">
        <v>207</v>
      </c>
    </row>
    <row r="47" spans="1:23">
      <c r="A47">
        <v>5846328094</v>
      </c>
      <c r="B47" t="s">
        <v>10</v>
      </c>
      <c r="C47" t="s">
        <v>177</v>
      </c>
      <c r="D47" t="s">
        <v>177</v>
      </c>
      <c r="E47" t="s">
        <v>76</v>
      </c>
      <c r="F47" t="s">
        <v>214</v>
      </c>
      <c r="G47" t="s">
        <v>482</v>
      </c>
      <c r="I47" t="s">
        <v>443</v>
      </c>
      <c r="J47" t="s">
        <v>497</v>
      </c>
      <c r="K47">
        <v>1</v>
      </c>
      <c r="L47" t="s">
        <v>216</v>
      </c>
      <c r="M47">
        <v>0</v>
      </c>
      <c r="N47">
        <v>20</v>
      </c>
      <c r="O47">
        <v>20</v>
      </c>
      <c r="P47">
        <v>10</v>
      </c>
      <c r="Q47">
        <v>10</v>
      </c>
      <c r="R47" t="s">
        <v>45</v>
      </c>
      <c r="S47" t="s">
        <v>45</v>
      </c>
      <c r="T47" t="s">
        <v>45</v>
      </c>
      <c r="U47">
        <v>60</v>
      </c>
      <c r="V47" t="s">
        <v>14</v>
      </c>
      <c r="W47" t="s">
        <v>217</v>
      </c>
    </row>
    <row r="48" spans="1:23">
      <c r="A48">
        <v>5851753086</v>
      </c>
      <c r="B48" t="s">
        <v>10</v>
      </c>
      <c r="C48" t="s">
        <v>209</v>
      </c>
      <c r="D48" t="s">
        <v>210</v>
      </c>
      <c r="E48" t="s">
        <v>42</v>
      </c>
      <c r="F48" t="s">
        <v>208</v>
      </c>
      <c r="G48" t="s">
        <v>482</v>
      </c>
      <c r="I48" t="s">
        <v>443</v>
      </c>
      <c r="J48" t="s">
        <v>497</v>
      </c>
      <c r="K48">
        <v>1</v>
      </c>
      <c r="L48" t="s">
        <v>212</v>
      </c>
      <c r="M48">
        <v>0</v>
      </c>
      <c r="N48">
        <v>20</v>
      </c>
      <c r="O48">
        <v>20</v>
      </c>
      <c r="P48">
        <v>10</v>
      </c>
      <c r="Q48">
        <v>10</v>
      </c>
      <c r="R48" t="s">
        <v>45</v>
      </c>
      <c r="S48" t="s">
        <v>45</v>
      </c>
      <c r="T48" t="s">
        <v>45</v>
      </c>
      <c r="U48">
        <v>60</v>
      </c>
      <c r="V48" t="s">
        <v>14</v>
      </c>
      <c r="W48" t="s">
        <v>213</v>
      </c>
    </row>
    <row r="49" spans="1:23">
      <c r="A49">
        <v>7903112004</v>
      </c>
      <c r="B49" t="s">
        <v>11</v>
      </c>
      <c r="C49" t="s">
        <v>57</v>
      </c>
      <c r="D49" t="s">
        <v>57</v>
      </c>
      <c r="E49" t="s">
        <v>51</v>
      </c>
      <c r="F49" t="s">
        <v>218</v>
      </c>
      <c r="G49" t="s">
        <v>467</v>
      </c>
      <c r="H49" t="s">
        <v>509</v>
      </c>
      <c r="I49" t="s">
        <v>443</v>
      </c>
      <c r="J49" t="s">
        <v>480</v>
      </c>
      <c r="K49">
        <v>1</v>
      </c>
      <c r="L49" t="s">
        <v>219</v>
      </c>
      <c r="M49">
        <v>15</v>
      </c>
      <c r="N49">
        <v>10</v>
      </c>
      <c r="O49">
        <v>5</v>
      </c>
      <c r="P49">
        <v>15</v>
      </c>
      <c r="Q49">
        <v>0</v>
      </c>
      <c r="R49">
        <v>10</v>
      </c>
      <c r="S49">
        <v>0</v>
      </c>
      <c r="T49">
        <v>0</v>
      </c>
      <c r="U49">
        <v>55</v>
      </c>
      <c r="V49" t="s">
        <v>13</v>
      </c>
      <c r="W49" t="s">
        <v>220</v>
      </c>
    </row>
    <row r="50" spans="1:23">
      <c r="A50">
        <v>7920024127</v>
      </c>
      <c r="B50" t="s">
        <v>11</v>
      </c>
      <c r="C50" t="s">
        <v>222</v>
      </c>
      <c r="D50" t="s">
        <v>223</v>
      </c>
      <c r="E50" t="s">
        <v>51</v>
      </c>
      <c r="F50" t="s">
        <v>221</v>
      </c>
      <c r="G50" t="s">
        <v>451</v>
      </c>
      <c r="J50" t="s">
        <v>510</v>
      </c>
      <c r="K50">
        <v>1</v>
      </c>
      <c r="L50" t="s">
        <v>225</v>
      </c>
      <c r="M50">
        <v>15</v>
      </c>
      <c r="N50">
        <v>10</v>
      </c>
      <c r="O50">
        <v>5</v>
      </c>
      <c r="P50">
        <v>15</v>
      </c>
      <c r="Q50">
        <v>0</v>
      </c>
      <c r="R50">
        <v>10</v>
      </c>
      <c r="S50">
        <v>0</v>
      </c>
      <c r="T50">
        <v>0</v>
      </c>
      <c r="U50">
        <v>55</v>
      </c>
      <c r="V50" t="s">
        <v>13</v>
      </c>
      <c r="W50" t="s">
        <v>226</v>
      </c>
    </row>
    <row r="51" spans="1:23">
      <c r="A51">
        <v>7927646026</v>
      </c>
      <c r="B51" t="s">
        <v>11</v>
      </c>
      <c r="C51" t="s">
        <v>108</v>
      </c>
      <c r="D51" t="s">
        <v>108</v>
      </c>
      <c r="E51" t="s">
        <v>42</v>
      </c>
      <c r="F51" t="s">
        <v>227</v>
      </c>
      <c r="G51" t="s">
        <v>451</v>
      </c>
      <c r="J51" t="s">
        <v>480</v>
      </c>
      <c r="K51">
        <v>1</v>
      </c>
      <c r="L51" t="s">
        <v>228</v>
      </c>
      <c r="M51">
        <v>15</v>
      </c>
      <c r="N51">
        <v>10</v>
      </c>
      <c r="O51">
        <v>5</v>
      </c>
      <c r="P51">
        <v>0</v>
      </c>
      <c r="Q51">
        <v>15</v>
      </c>
      <c r="R51">
        <v>0</v>
      </c>
      <c r="S51">
        <v>10</v>
      </c>
      <c r="T51">
        <v>0</v>
      </c>
      <c r="U51">
        <v>55</v>
      </c>
      <c r="V51" t="s">
        <v>13</v>
      </c>
      <c r="W51" t="s">
        <v>229</v>
      </c>
    </row>
    <row r="52" spans="1:23">
      <c r="A52">
        <v>7927169001</v>
      </c>
      <c r="B52" t="s">
        <v>11</v>
      </c>
      <c r="C52" t="s">
        <v>41</v>
      </c>
      <c r="D52" t="s">
        <v>41</v>
      </c>
      <c r="E52" t="s">
        <v>42</v>
      </c>
      <c r="F52" t="s">
        <v>230</v>
      </c>
      <c r="G52" t="s">
        <v>455</v>
      </c>
      <c r="H52" t="s">
        <v>456</v>
      </c>
      <c r="I52" t="s">
        <v>443</v>
      </c>
      <c r="J52" t="s">
        <v>480</v>
      </c>
      <c r="L52" t="s">
        <v>231</v>
      </c>
      <c r="M52">
        <v>5</v>
      </c>
      <c r="N52">
        <v>5</v>
      </c>
      <c r="O52">
        <v>15</v>
      </c>
      <c r="P52">
        <v>0</v>
      </c>
      <c r="Q52">
        <v>15</v>
      </c>
      <c r="R52">
        <v>0</v>
      </c>
      <c r="S52">
        <v>0</v>
      </c>
      <c r="T52">
        <v>15</v>
      </c>
      <c r="U52">
        <v>55</v>
      </c>
      <c r="V52" t="s">
        <v>13</v>
      </c>
      <c r="W52" t="s">
        <v>232</v>
      </c>
    </row>
    <row r="53" spans="1:23">
      <c r="A53">
        <v>7900018004</v>
      </c>
      <c r="B53" t="s">
        <v>11</v>
      </c>
      <c r="C53" t="s">
        <v>57</v>
      </c>
      <c r="D53" t="s">
        <v>57</v>
      </c>
      <c r="E53" t="s">
        <v>51</v>
      </c>
      <c r="F53" t="s">
        <v>437</v>
      </c>
      <c r="I53" t="s">
        <v>438</v>
      </c>
      <c r="L53" t="s">
        <v>439</v>
      </c>
      <c r="M53">
        <v>15</v>
      </c>
      <c r="N53">
        <v>10</v>
      </c>
      <c r="O53">
        <v>5</v>
      </c>
      <c r="P53">
        <v>15</v>
      </c>
      <c r="Q53">
        <v>0</v>
      </c>
      <c r="R53">
        <v>10</v>
      </c>
      <c r="S53">
        <v>0</v>
      </c>
      <c r="T53">
        <v>0</v>
      </c>
      <c r="U53">
        <v>55</v>
      </c>
      <c r="V53" t="s">
        <v>13</v>
      </c>
      <c r="W53" t="s">
        <v>511</v>
      </c>
    </row>
    <row r="54" spans="1:23">
      <c r="A54">
        <v>7934698002</v>
      </c>
      <c r="B54" t="s">
        <v>11</v>
      </c>
      <c r="C54" t="s">
        <v>223</v>
      </c>
      <c r="D54" t="s">
        <v>223</v>
      </c>
      <c r="E54" t="s">
        <v>51</v>
      </c>
      <c r="F54" t="s">
        <v>437</v>
      </c>
      <c r="I54" t="s">
        <v>438</v>
      </c>
      <c r="L54" t="s">
        <v>439</v>
      </c>
      <c r="M54">
        <v>5</v>
      </c>
      <c r="N54">
        <v>5</v>
      </c>
      <c r="O54">
        <v>5</v>
      </c>
      <c r="P54">
        <v>0</v>
      </c>
      <c r="Q54">
        <v>15</v>
      </c>
      <c r="R54">
        <v>0</v>
      </c>
      <c r="S54">
        <v>10</v>
      </c>
      <c r="T54">
        <v>15</v>
      </c>
      <c r="U54">
        <v>55</v>
      </c>
      <c r="V54" t="s">
        <v>13</v>
      </c>
      <c r="W54" t="s">
        <v>512</v>
      </c>
    </row>
    <row r="55" spans="1:23">
      <c r="A55">
        <v>7930428001</v>
      </c>
      <c r="B55" t="s">
        <v>11</v>
      </c>
      <c r="C55" t="s">
        <v>41</v>
      </c>
      <c r="D55" t="s">
        <v>41</v>
      </c>
      <c r="E55" t="s">
        <v>42</v>
      </c>
      <c r="F55" t="s">
        <v>238</v>
      </c>
      <c r="G55" t="s">
        <v>451</v>
      </c>
      <c r="H55" t="s">
        <v>452</v>
      </c>
      <c r="J55" t="s">
        <v>480</v>
      </c>
      <c r="K55">
        <v>1</v>
      </c>
      <c r="L55" t="s">
        <v>240</v>
      </c>
      <c r="M55">
        <v>5</v>
      </c>
      <c r="N55">
        <v>5</v>
      </c>
      <c r="O55">
        <v>15</v>
      </c>
      <c r="P55">
        <v>0</v>
      </c>
      <c r="Q55">
        <v>15</v>
      </c>
      <c r="R55">
        <v>10</v>
      </c>
      <c r="S55">
        <v>0</v>
      </c>
      <c r="T55">
        <v>0</v>
      </c>
      <c r="U55">
        <v>50</v>
      </c>
      <c r="V55" t="s">
        <v>13</v>
      </c>
      <c r="W55" t="s">
        <v>241</v>
      </c>
    </row>
    <row r="56" spans="1:23">
      <c r="A56">
        <v>7936038076</v>
      </c>
      <c r="B56" t="s">
        <v>11</v>
      </c>
      <c r="C56" t="s">
        <v>335</v>
      </c>
      <c r="D56" t="s">
        <v>336</v>
      </c>
      <c r="E56" t="s">
        <v>76</v>
      </c>
      <c r="F56" t="s">
        <v>437</v>
      </c>
      <c r="G56" t="s">
        <v>484</v>
      </c>
      <c r="L56" t="s">
        <v>439</v>
      </c>
      <c r="M56">
        <v>5</v>
      </c>
      <c r="N56">
        <v>5</v>
      </c>
      <c r="O56">
        <v>15</v>
      </c>
      <c r="P56">
        <v>0</v>
      </c>
      <c r="Q56">
        <v>15</v>
      </c>
      <c r="R56">
        <v>10</v>
      </c>
      <c r="S56">
        <v>0</v>
      </c>
      <c r="T56">
        <v>0</v>
      </c>
      <c r="U56">
        <v>50</v>
      </c>
      <c r="V56" t="s">
        <v>13</v>
      </c>
      <c r="W56" t="s">
        <v>513</v>
      </c>
    </row>
    <row r="57" spans="1:23">
      <c r="A57">
        <v>7955520116</v>
      </c>
      <c r="B57" t="s">
        <v>11</v>
      </c>
      <c r="C57" t="s">
        <v>200</v>
      </c>
      <c r="D57" t="s">
        <v>75</v>
      </c>
      <c r="E57" t="s">
        <v>76</v>
      </c>
      <c r="F57" t="s">
        <v>437</v>
      </c>
      <c r="G57" t="s">
        <v>451</v>
      </c>
      <c r="H57" t="s">
        <v>514</v>
      </c>
      <c r="J57" t="s">
        <v>480</v>
      </c>
      <c r="K57">
        <v>1</v>
      </c>
      <c r="L57" t="s">
        <v>439</v>
      </c>
      <c r="M57">
        <v>5</v>
      </c>
      <c r="N57">
        <v>5</v>
      </c>
      <c r="O57">
        <v>15</v>
      </c>
      <c r="P57">
        <v>0</v>
      </c>
      <c r="Q57">
        <v>0</v>
      </c>
      <c r="R57">
        <v>10</v>
      </c>
      <c r="S57">
        <v>0</v>
      </c>
      <c r="T57">
        <v>15</v>
      </c>
      <c r="U57">
        <v>50</v>
      </c>
      <c r="V57" t="s">
        <v>13</v>
      </c>
      <c r="W57" t="s">
        <v>515</v>
      </c>
    </row>
    <row r="58" spans="1:23">
      <c r="A58">
        <v>5800291035</v>
      </c>
      <c r="B58" t="s">
        <v>10</v>
      </c>
      <c r="C58" t="s">
        <v>234</v>
      </c>
      <c r="D58" t="s">
        <v>108</v>
      </c>
      <c r="E58" t="s">
        <v>42</v>
      </c>
      <c r="F58" t="s">
        <v>233</v>
      </c>
      <c r="G58" t="s">
        <v>497</v>
      </c>
      <c r="H58">
        <v>46232</v>
      </c>
      <c r="J58" t="s">
        <v>497</v>
      </c>
      <c r="K58">
        <v>1</v>
      </c>
      <c r="L58" t="s">
        <v>236</v>
      </c>
      <c r="M58">
        <v>0</v>
      </c>
      <c r="N58">
        <v>20</v>
      </c>
      <c r="O58">
        <v>20</v>
      </c>
      <c r="P58">
        <v>10</v>
      </c>
      <c r="Q58">
        <v>0</v>
      </c>
      <c r="R58" t="s">
        <v>45</v>
      </c>
      <c r="S58" t="s">
        <v>45</v>
      </c>
      <c r="T58" t="s">
        <v>45</v>
      </c>
      <c r="U58">
        <v>50</v>
      </c>
      <c r="V58" t="s">
        <v>14</v>
      </c>
      <c r="W58" t="s">
        <v>237</v>
      </c>
    </row>
    <row r="59" spans="1:23">
      <c r="A59">
        <v>5827102054</v>
      </c>
      <c r="B59" t="s">
        <v>10</v>
      </c>
      <c r="C59" t="s">
        <v>243</v>
      </c>
      <c r="D59" t="s">
        <v>97</v>
      </c>
      <c r="E59" t="s">
        <v>42</v>
      </c>
      <c r="F59" t="s">
        <v>242</v>
      </c>
      <c r="G59" t="s">
        <v>516</v>
      </c>
      <c r="H59">
        <v>46231</v>
      </c>
      <c r="L59" t="s">
        <v>245</v>
      </c>
      <c r="M59">
        <v>0</v>
      </c>
      <c r="N59">
        <v>20</v>
      </c>
      <c r="O59">
        <v>20</v>
      </c>
      <c r="P59">
        <v>10</v>
      </c>
      <c r="Q59">
        <v>0</v>
      </c>
      <c r="R59" t="s">
        <v>45</v>
      </c>
      <c r="S59" t="s">
        <v>45</v>
      </c>
      <c r="T59" t="s">
        <v>45</v>
      </c>
      <c r="U59">
        <v>50</v>
      </c>
      <c r="V59" t="s">
        <v>14</v>
      </c>
      <c r="W59" t="s">
        <v>246</v>
      </c>
    </row>
    <row r="60" spans="1:23">
      <c r="A60">
        <v>5850308009</v>
      </c>
      <c r="B60" t="s">
        <v>10</v>
      </c>
      <c r="C60" t="s">
        <v>50</v>
      </c>
      <c r="D60" t="s">
        <v>50</v>
      </c>
      <c r="E60" t="s">
        <v>51</v>
      </c>
      <c r="F60" t="s">
        <v>437</v>
      </c>
      <c r="I60" t="s">
        <v>438</v>
      </c>
      <c r="L60" t="s">
        <v>439</v>
      </c>
      <c r="M60">
        <v>0</v>
      </c>
      <c r="N60">
        <v>20</v>
      </c>
      <c r="O60">
        <v>20</v>
      </c>
      <c r="P60">
        <v>0</v>
      </c>
      <c r="Q60">
        <v>10</v>
      </c>
      <c r="R60" t="s">
        <v>45</v>
      </c>
      <c r="S60" t="s">
        <v>45</v>
      </c>
      <c r="T60" t="s">
        <v>45</v>
      </c>
      <c r="U60">
        <v>50</v>
      </c>
      <c r="V60" t="s">
        <v>14</v>
      </c>
      <c r="W60" t="s">
        <v>517</v>
      </c>
    </row>
    <row r="61" spans="1:23">
      <c r="A61">
        <v>7900535058</v>
      </c>
      <c r="B61" t="s">
        <v>11</v>
      </c>
      <c r="C61" t="s">
        <v>248</v>
      </c>
      <c r="D61" t="s">
        <v>57</v>
      </c>
      <c r="E61" t="s">
        <v>51</v>
      </c>
      <c r="F61" t="s">
        <v>247</v>
      </c>
      <c r="G61" t="s">
        <v>451</v>
      </c>
      <c r="J61" t="s">
        <v>460</v>
      </c>
      <c r="K61">
        <v>1</v>
      </c>
      <c r="L61" t="s">
        <v>250</v>
      </c>
      <c r="M61">
        <v>5</v>
      </c>
      <c r="N61">
        <v>10</v>
      </c>
      <c r="O61">
        <v>5</v>
      </c>
      <c r="P61">
        <v>0</v>
      </c>
      <c r="Q61">
        <v>15</v>
      </c>
      <c r="R61">
        <v>10</v>
      </c>
      <c r="S61">
        <v>0</v>
      </c>
      <c r="T61">
        <v>0</v>
      </c>
      <c r="U61">
        <v>45</v>
      </c>
      <c r="V61" t="s">
        <v>14</v>
      </c>
      <c r="W61" t="s">
        <v>251</v>
      </c>
    </row>
    <row r="62" spans="1:23">
      <c r="A62">
        <v>7927713200</v>
      </c>
      <c r="B62" t="s">
        <v>11</v>
      </c>
      <c r="C62" t="s">
        <v>327</v>
      </c>
      <c r="D62" t="s">
        <v>177</v>
      </c>
      <c r="E62" t="s">
        <v>76</v>
      </c>
      <c r="F62" t="s">
        <v>437</v>
      </c>
      <c r="G62" t="s">
        <v>451</v>
      </c>
      <c r="J62" t="s">
        <v>480</v>
      </c>
      <c r="K62">
        <v>1</v>
      </c>
      <c r="L62" t="s">
        <v>439</v>
      </c>
      <c r="M62">
        <v>5</v>
      </c>
      <c r="N62">
        <v>5</v>
      </c>
      <c r="O62">
        <v>5</v>
      </c>
      <c r="P62">
        <v>0</v>
      </c>
      <c r="Q62">
        <v>15</v>
      </c>
      <c r="R62">
        <v>10</v>
      </c>
      <c r="S62">
        <v>0</v>
      </c>
      <c r="T62">
        <v>0</v>
      </c>
      <c r="U62">
        <v>40</v>
      </c>
      <c r="V62" t="s">
        <v>14</v>
      </c>
      <c r="W62" t="s">
        <v>518</v>
      </c>
    </row>
    <row r="63" spans="1:23">
      <c r="A63">
        <v>7937102148</v>
      </c>
      <c r="B63" t="s">
        <v>11</v>
      </c>
      <c r="C63" t="s">
        <v>262</v>
      </c>
      <c r="D63" t="s">
        <v>177</v>
      </c>
      <c r="E63" t="s">
        <v>76</v>
      </c>
      <c r="F63" t="s">
        <v>261</v>
      </c>
      <c r="G63" t="s">
        <v>451</v>
      </c>
      <c r="J63" t="s">
        <v>480</v>
      </c>
      <c r="K63">
        <v>1</v>
      </c>
      <c r="L63" t="s">
        <v>264</v>
      </c>
      <c r="M63">
        <v>5</v>
      </c>
      <c r="N63">
        <v>5</v>
      </c>
      <c r="O63">
        <v>5</v>
      </c>
      <c r="P63">
        <v>0</v>
      </c>
      <c r="Q63">
        <v>15</v>
      </c>
      <c r="R63">
        <v>10</v>
      </c>
      <c r="S63">
        <v>0</v>
      </c>
      <c r="T63">
        <v>0</v>
      </c>
      <c r="U63">
        <v>40</v>
      </c>
      <c r="V63" t="s">
        <v>14</v>
      </c>
      <c r="W63" t="s">
        <v>265</v>
      </c>
    </row>
    <row r="64" spans="1:23">
      <c r="A64">
        <v>7944559149</v>
      </c>
      <c r="B64" t="s">
        <v>11</v>
      </c>
      <c r="C64" t="s">
        <v>257</v>
      </c>
      <c r="D64" t="s">
        <v>210</v>
      </c>
      <c r="E64" t="s">
        <v>42</v>
      </c>
      <c r="F64" t="s">
        <v>256</v>
      </c>
      <c r="G64" t="s">
        <v>451</v>
      </c>
      <c r="J64" t="s">
        <v>460</v>
      </c>
      <c r="K64">
        <v>1</v>
      </c>
      <c r="L64" t="s">
        <v>259</v>
      </c>
      <c r="M64">
        <v>5</v>
      </c>
      <c r="N64">
        <v>10</v>
      </c>
      <c r="O64">
        <v>0</v>
      </c>
      <c r="P64">
        <v>0</v>
      </c>
      <c r="Q64">
        <v>15</v>
      </c>
      <c r="R64">
        <v>10</v>
      </c>
      <c r="S64">
        <v>0</v>
      </c>
      <c r="T64">
        <v>0</v>
      </c>
      <c r="U64">
        <v>40</v>
      </c>
      <c r="V64" t="s">
        <v>14</v>
      </c>
      <c r="W64" t="s">
        <v>260</v>
      </c>
    </row>
    <row r="65" spans="1:23">
      <c r="A65">
        <v>5800961074</v>
      </c>
      <c r="B65" t="s">
        <v>10</v>
      </c>
      <c r="C65" t="s">
        <v>75</v>
      </c>
      <c r="D65" t="s">
        <v>75</v>
      </c>
      <c r="E65" t="s">
        <v>76</v>
      </c>
      <c r="F65" t="s">
        <v>252</v>
      </c>
      <c r="G65" t="s">
        <v>519</v>
      </c>
      <c r="H65" t="s">
        <v>520</v>
      </c>
      <c r="J65" t="s">
        <v>521</v>
      </c>
      <c r="K65">
        <v>3</v>
      </c>
      <c r="L65" t="s">
        <v>254</v>
      </c>
      <c r="M65">
        <v>20</v>
      </c>
      <c r="N65">
        <v>0</v>
      </c>
      <c r="O65">
        <v>0</v>
      </c>
      <c r="P65">
        <v>20</v>
      </c>
      <c r="Q65">
        <v>0</v>
      </c>
      <c r="R65" t="s">
        <v>45</v>
      </c>
      <c r="S65" t="s">
        <v>45</v>
      </c>
      <c r="T65" t="s">
        <v>45</v>
      </c>
      <c r="U65">
        <v>40</v>
      </c>
      <c r="V65" t="s">
        <v>14</v>
      </c>
      <c r="W65" t="s">
        <v>255</v>
      </c>
    </row>
    <row r="66" spans="1:23">
      <c r="A66">
        <v>7908249152</v>
      </c>
      <c r="B66" t="s">
        <v>11</v>
      </c>
      <c r="C66" t="s">
        <v>291</v>
      </c>
      <c r="D66" t="s">
        <v>41</v>
      </c>
      <c r="E66" t="s">
        <v>42</v>
      </c>
      <c r="F66" t="s">
        <v>290</v>
      </c>
      <c r="G66" t="s">
        <v>451</v>
      </c>
      <c r="J66" t="s">
        <v>469</v>
      </c>
      <c r="K66">
        <v>1</v>
      </c>
      <c r="L66" t="s">
        <v>292</v>
      </c>
      <c r="M66">
        <v>5</v>
      </c>
      <c r="N66">
        <v>5</v>
      </c>
      <c r="O66">
        <v>0</v>
      </c>
      <c r="P66">
        <v>0</v>
      </c>
      <c r="Q66">
        <v>15</v>
      </c>
      <c r="R66">
        <v>10</v>
      </c>
      <c r="S66">
        <v>0</v>
      </c>
      <c r="T66">
        <v>0</v>
      </c>
      <c r="U66">
        <v>35</v>
      </c>
      <c r="V66" t="s">
        <v>14</v>
      </c>
      <c r="W66" t="s">
        <v>293</v>
      </c>
    </row>
    <row r="67" spans="1:23">
      <c r="A67">
        <v>7922995039</v>
      </c>
      <c r="B67" t="s">
        <v>11</v>
      </c>
      <c r="C67" t="s">
        <v>267</v>
      </c>
      <c r="D67" t="s">
        <v>132</v>
      </c>
      <c r="E67" t="s">
        <v>51</v>
      </c>
      <c r="F67" t="s">
        <v>266</v>
      </c>
      <c r="I67" t="s">
        <v>522</v>
      </c>
      <c r="L67" t="s">
        <v>269</v>
      </c>
      <c r="M67">
        <v>5</v>
      </c>
      <c r="N67">
        <v>5</v>
      </c>
      <c r="O67">
        <v>0</v>
      </c>
      <c r="P67">
        <v>0</v>
      </c>
      <c r="Q67">
        <v>15</v>
      </c>
      <c r="R67">
        <v>10</v>
      </c>
      <c r="S67">
        <v>0</v>
      </c>
      <c r="T67">
        <v>0</v>
      </c>
      <c r="U67">
        <v>35</v>
      </c>
      <c r="V67" t="s">
        <v>14</v>
      </c>
      <c r="W67" t="s">
        <v>270</v>
      </c>
    </row>
    <row r="68" spans="1:23">
      <c r="A68">
        <v>7925733015</v>
      </c>
      <c r="B68" t="s">
        <v>11</v>
      </c>
      <c r="C68" t="s">
        <v>283</v>
      </c>
      <c r="D68" t="s">
        <v>50</v>
      </c>
      <c r="E68" t="s">
        <v>51</v>
      </c>
      <c r="F68" t="s">
        <v>282</v>
      </c>
      <c r="G68" t="s">
        <v>451</v>
      </c>
      <c r="J68" t="s">
        <v>480</v>
      </c>
      <c r="K68">
        <v>1</v>
      </c>
      <c r="L68" t="s">
        <v>285</v>
      </c>
      <c r="M68">
        <v>5</v>
      </c>
      <c r="N68">
        <v>5</v>
      </c>
      <c r="O68">
        <v>0</v>
      </c>
      <c r="P68">
        <v>0</v>
      </c>
      <c r="Q68">
        <v>15</v>
      </c>
      <c r="R68">
        <v>10</v>
      </c>
      <c r="S68">
        <v>0</v>
      </c>
      <c r="T68">
        <v>0</v>
      </c>
      <c r="U68">
        <v>35</v>
      </c>
      <c r="V68" t="s">
        <v>14</v>
      </c>
      <c r="W68" t="s">
        <v>286</v>
      </c>
    </row>
    <row r="69" spans="1:23">
      <c r="A69">
        <v>7927396052</v>
      </c>
      <c r="B69" t="s">
        <v>11</v>
      </c>
      <c r="C69" t="s">
        <v>192</v>
      </c>
      <c r="D69" t="s">
        <v>192</v>
      </c>
      <c r="E69" t="s">
        <v>76</v>
      </c>
      <c r="F69" t="s">
        <v>278</v>
      </c>
      <c r="G69" t="s">
        <v>451</v>
      </c>
      <c r="J69" t="s">
        <v>480</v>
      </c>
      <c r="K69">
        <v>1</v>
      </c>
      <c r="L69" t="s">
        <v>280</v>
      </c>
      <c r="M69">
        <v>5</v>
      </c>
      <c r="N69">
        <v>5</v>
      </c>
      <c r="O69">
        <v>0</v>
      </c>
      <c r="P69">
        <v>0</v>
      </c>
      <c r="Q69">
        <v>15</v>
      </c>
      <c r="R69">
        <v>10</v>
      </c>
      <c r="S69">
        <v>0</v>
      </c>
      <c r="T69">
        <v>0</v>
      </c>
      <c r="U69">
        <v>35</v>
      </c>
      <c r="V69" t="s">
        <v>14</v>
      </c>
      <c r="W69" t="s">
        <v>281</v>
      </c>
    </row>
    <row r="70" spans="1:23">
      <c r="A70">
        <v>7933585074</v>
      </c>
      <c r="B70" t="s">
        <v>11</v>
      </c>
      <c r="C70" t="s">
        <v>75</v>
      </c>
      <c r="D70" t="s">
        <v>75</v>
      </c>
      <c r="E70" t="s">
        <v>76</v>
      </c>
      <c r="F70" t="s">
        <v>271</v>
      </c>
      <c r="G70" t="s">
        <v>451</v>
      </c>
      <c r="H70" t="s">
        <v>452</v>
      </c>
      <c r="J70" t="s">
        <v>480</v>
      </c>
      <c r="K70">
        <v>1</v>
      </c>
      <c r="L70" t="s">
        <v>523</v>
      </c>
      <c r="M70">
        <v>5</v>
      </c>
      <c r="N70">
        <v>5</v>
      </c>
      <c r="O70">
        <v>15</v>
      </c>
      <c r="P70">
        <v>0</v>
      </c>
      <c r="Q70">
        <v>0</v>
      </c>
      <c r="R70">
        <v>0</v>
      </c>
      <c r="S70">
        <v>10</v>
      </c>
      <c r="T70">
        <v>0</v>
      </c>
      <c r="U70">
        <v>35</v>
      </c>
      <c r="V70" t="s">
        <v>14</v>
      </c>
      <c r="W70" t="s">
        <v>273</v>
      </c>
    </row>
    <row r="71" spans="1:23">
      <c r="A71">
        <v>7942572059</v>
      </c>
      <c r="B71" t="s">
        <v>11</v>
      </c>
      <c r="C71" t="s">
        <v>62</v>
      </c>
      <c r="D71" t="s">
        <v>62</v>
      </c>
      <c r="E71" t="s">
        <v>42</v>
      </c>
      <c r="F71" t="s">
        <v>294</v>
      </c>
      <c r="G71" t="s">
        <v>497</v>
      </c>
      <c r="I71" t="s">
        <v>522</v>
      </c>
      <c r="L71" t="s">
        <v>296</v>
      </c>
      <c r="M71">
        <v>5</v>
      </c>
      <c r="N71">
        <v>5</v>
      </c>
      <c r="O71">
        <v>15</v>
      </c>
      <c r="P71">
        <v>0</v>
      </c>
      <c r="Q71">
        <v>0</v>
      </c>
      <c r="R71">
        <v>0</v>
      </c>
      <c r="S71">
        <v>10</v>
      </c>
      <c r="T71">
        <v>0</v>
      </c>
      <c r="U71">
        <v>35</v>
      </c>
      <c r="V71" t="s">
        <v>14</v>
      </c>
      <c r="W71" t="s">
        <v>297</v>
      </c>
    </row>
    <row r="72" spans="1:23">
      <c r="A72">
        <v>7944319149</v>
      </c>
      <c r="B72" t="s">
        <v>11</v>
      </c>
      <c r="C72" t="s">
        <v>257</v>
      </c>
      <c r="D72" t="s">
        <v>210</v>
      </c>
      <c r="E72" t="s">
        <v>42</v>
      </c>
      <c r="F72" t="s">
        <v>437</v>
      </c>
      <c r="I72" t="s">
        <v>438</v>
      </c>
      <c r="L72" t="s">
        <v>439</v>
      </c>
      <c r="M72">
        <v>5</v>
      </c>
      <c r="N72">
        <v>5</v>
      </c>
      <c r="O72">
        <v>15</v>
      </c>
      <c r="P72">
        <v>0</v>
      </c>
      <c r="Q72">
        <v>0</v>
      </c>
      <c r="R72">
        <v>0</v>
      </c>
      <c r="S72">
        <v>10</v>
      </c>
      <c r="T72">
        <v>0</v>
      </c>
      <c r="U72">
        <v>35</v>
      </c>
      <c r="V72" t="s">
        <v>14</v>
      </c>
      <c r="W72" t="s">
        <v>524</v>
      </c>
    </row>
    <row r="73" spans="1:23">
      <c r="A73">
        <v>7955986084</v>
      </c>
      <c r="B73" t="s">
        <v>11</v>
      </c>
      <c r="C73" t="s">
        <v>210</v>
      </c>
      <c r="D73" t="s">
        <v>210</v>
      </c>
      <c r="E73" t="s">
        <v>42</v>
      </c>
      <c r="F73" t="s">
        <v>274</v>
      </c>
      <c r="G73" t="s">
        <v>451</v>
      </c>
      <c r="L73" t="s">
        <v>276</v>
      </c>
      <c r="M73">
        <v>5</v>
      </c>
      <c r="N73">
        <v>5</v>
      </c>
      <c r="O73">
        <v>0</v>
      </c>
      <c r="P73">
        <v>0</v>
      </c>
      <c r="Q73">
        <v>15</v>
      </c>
      <c r="R73">
        <v>10</v>
      </c>
      <c r="S73">
        <v>0</v>
      </c>
      <c r="T73">
        <v>0</v>
      </c>
      <c r="U73">
        <v>35</v>
      </c>
      <c r="V73" t="s">
        <v>14</v>
      </c>
      <c r="W73" t="s">
        <v>277</v>
      </c>
    </row>
    <row r="74" spans="1:23">
      <c r="A74">
        <v>7967181127</v>
      </c>
      <c r="B74" t="s">
        <v>11</v>
      </c>
      <c r="C74" t="s">
        <v>222</v>
      </c>
      <c r="D74" t="s">
        <v>223</v>
      </c>
      <c r="E74" t="s">
        <v>51</v>
      </c>
      <c r="F74" t="s">
        <v>437</v>
      </c>
      <c r="G74" t="s">
        <v>525</v>
      </c>
      <c r="H74" t="s">
        <v>526</v>
      </c>
      <c r="L74" t="s">
        <v>439</v>
      </c>
      <c r="M74">
        <v>5</v>
      </c>
      <c r="N74">
        <v>5</v>
      </c>
      <c r="O74">
        <v>0</v>
      </c>
      <c r="P74">
        <v>0</v>
      </c>
      <c r="Q74">
        <v>15</v>
      </c>
      <c r="R74">
        <v>10</v>
      </c>
      <c r="S74">
        <v>0</v>
      </c>
      <c r="T74">
        <v>0</v>
      </c>
      <c r="U74">
        <v>35</v>
      </c>
      <c r="V74" t="s">
        <v>14</v>
      </c>
      <c r="W74" t="s">
        <v>527</v>
      </c>
    </row>
    <row r="75" spans="1:23">
      <c r="A75">
        <v>7900525015</v>
      </c>
      <c r="B75" t="s">
        <v>11</v>
      </c>
      <c r="C75" t="s">
        <v>283</v>
      </c>
      <c r="D75" t="s">
        <v>50</v>
      </c>
      <c r="E75" t="s">
        <v>51</v>
      </c>
      <c r="F75" t="s">
        <v>287</v>
      </c>
      <c r="G75" t="s">
        <v>451</v>
      </c>
      <c r="J75" t="s">
        <v>480</v>
      </c>
      <c r="K75">
        <v>1</v>
      </c>
      <c r="L75" t="s">
        <v>288</v>
      </c>
      <c r="M75">
        <v>5</v>
      </c>
      <c r="N75">
        <v>5</v>
      </c>
      <c r="O75">
        <v>0</v>
      </c>
      <c r="P75">
        <v>0</v>
      </c>
      <c r="Q75">
        <v>15</v>
      </c>
      <c r="R75">
        <v>10</v>
      </c>
      <c r="S75">
        <v>0</v>
      </c>
      <c r="T75">
        <v>0</v>
      </c>
      <c r="U75">
        <v>35</v>
      </c>
      <c r="V75" t="s">
        <v>14</v>
      </c>
      <c r="W75" t="s">
        <v>289</v>
      </c>
    </row>
    <row r="76" spans="1:23">
      <c r="A76">
        <v>7928564039</v>
      </c>
      <c r="B76" t="s">
        <v>11</v>
      </c>
      <c r="C76" t="s">
        <v>267</v>
      </c>
      <c r="D76" t="s">
        <v>132</v>
      </c>
      <c r="E76" t="s">
        <v>51</v>
      </c>
      <c r="F76" t="s">
        <v>298</v>
      </c>
      <c r="G76" t="s">
        <v>451</v>
      </c>
      <c r="J76" t="s">
        <v>469</v>
      </c>
      <c r="K76">
        <v>1</v>
      </c>
      <c r="L76" t="s">
        <v>299</v>
      </c>
      <c r="M76">
        <v>5</v>
      </c>
      <c r="N76">
        <v>10</v>
      </c>
      <c r="O76">
        <v>5</v>
      </c>
      <c r="P76">
        <v>0</v>
      </c>
      <c r="Q76">
        <v>0</v>
      </c>
      <c r="R76">
        <v>10</v>
      </c>
      <c r="S76">
        <v>0</v>
      </c>
      <c r="T76">
        <v>0</v>
      </c>
      <c r="U76">
        <v>30</v>
      </c>
      <c r="V76" t="s">
        <v>14</v>
      </c>
      <c r="W76" t="s">
        <v>300</v>
      </c>
    </row>
    <row r="77" spans="1:23">
      <c r="A77">
        <v>7957126085</v>
      </c>
      <c r="B77" t="s">
        <v>11</v>
      </c>
      <c r="C77" t="s">
        <v>528</v>
      </c>
      <c r="D77" t="s">
        <v>97</v>
      </c>
      <c r="E77" t="s">
        <v>42</v>
      </c>
      <c r="F77" t="s">
        <v>437</v>
      </c>
      <c r="I77" t="s">
        <v>438</v>
      </c>
      <c r="L77" t="s">
        <v>439</v>
      </c>
      <c r="M77">
        <v>5</v>
      </c>
      <c r="N77">
        <v>10</v>
      </c>
      <c r="O77">
        <v>5</v>
      </c>
      <c r="P77">
        <v>0</v>
      </c>
      <c r="Q77">
        <v>0</v>
      </c>
      <c r="R77">
        <v>10</v>
      </c>
      <c r="S77">
        <v>0</v>
      </c>
      <c r="T77">
        <v>0</v>
      </c>
      <c r="U77">
        <v>30</v>
      </c>
      <c r="V77" t="s">
        <v>14</v>
      </c>
      <c r="W77" t="s">
        <v>529</v>
      </c>
    </row>
    <row r="78" spans="1:23">
      <c r="A78">
        <v>5841308190</v>
      </c>
      <c r="B78" t="s">
        <v>10</v>
      </c>
      <c r="C78" t="s">
        <v>530</v>
      </c>
      <c r="D78" t="s">
        <v>75</v>
      </c>
      <c r="E78" t="s">
        <v>76</v>
      </c>
      <c r="F78" t="s">
        <v>437</v>
      </c>
      <c r="I78" t="s">
        <v>531</v>
      </c>
      <c r="J78" t="s">
        <v>45</v>
      </c>
      <c r="L78" t="s">
        <v>439</v>
      </c>
      <c r="M78">
        <v>0</v>
      </c>
      <c r="N78">
        <v>20</v>
      </c>
      <c r="O78">
        <v>0</v>
      </c>
      <c r="P78">
        <v>10</v>
      </c>
      <c r="Q78">
        <v>0</v>
      </c>
      <c r="R78" t="s">
        <v>45</v>
      </c>
      <c r="S78" t="s">
        <v>45</v>
      </c>
      <c r="T78" t="s">
        <v>45</v>
      </c>
      <c r="U78">
        <v>30</v>
      </c>
      <c r="V78" t="s">
        <v>15</v>
      </c>
      <c r="W78" t="s">
        <v>532</v>
      </c>
    </row>
    <row r="79" spans="1:23">
      <c r="A79">
        <v>5844630060</v>
      </c>
      <c r="B79" t="s">
        <v>10</v>
      </c>
      <c r="C79" t="s">
        <v>533</v>
      </c>
      <c r="D79" t="s">
        <v>154</v>
      </c>
      <c r="E79" t="s">
        <v>51</v>
      </c>
      <c r="F79" t="s">
        <v>437</v>
      </c>
      <c r="G79" t="s">
        <v>467</v>
      </c>
      <c r="H79" t="s">
        <v>534</v>
      </c>
      <c r="J79" t="s">
        <v>444</v>
      </c>
      <c r="K79">
        <v>1</v>
      </c>
      <c r="L79" t="s">
        <v>439</v>
      </c>
      <c r="M79">
        <v>20</v>
      </c>
      <c r="N79">
        <v>0</v>
      </c>
      <c r="O79">
        <v>0</v>
      </c>
      <c r="P79">
        <v>10</v>
      </c>
      <c r="Q79">
        <v>0</v>
      </c>
      <c r="R79" t="s">
        <v>45</v>
      </c>
      <c r="S79" t="s">
        <v>45</v>
      </c>
      <c r="T79" t="s">
        <v>45</v>
      </c>
      <c r="U79">
        <v>30</v>
      </c>
      <c r="V79" t="s">
        <v>15</v>
      </c>
      <c r="W79" t="s">
        <v>535</v>
      </c>
    </row>
    <row r="80" spans="1:23">
      <c r="A80">
        <v>5855411017</v>
      </c>
      <c r="B80" t="s">
        <v>10</v>
      </c>
      <c r="C80" t="s">
        <v>302</v>
      </c>
      <c r="D80" t="s">
        <v>186</v>
      </c>
      <c r="E80" t="s">
        <v>42</v>
      </c>
      <c r="F80" t="s">
        <v>301</v>
      </c>
      <c r="G80" t="s">
        <v>536</v>
      </c>
      <c r="H80" t="s">
        <v>537</v>
      </c>
      <c r="I80" t="s">
        <v>443</v>
      </c>
      <c r="J80" t="s">
        <v>460</v>
      </c>
      <c r="K80">
        <v>1</v>
      </c>
      <c r="L80" t="s">
        <v>538</v>
      </c>
      <c r="M80">
        <v>0</v>
      </c>
      <c r="N80">
        <v>0</v>
      </c>
      <c r="O80">
        <v>0</v>
      </c>
      <c r="P80">
        <v>10</v>
      </c>
      <c r="Q80">
        <v>20</v>
      </c>
      <c r="R80" t="s">
        <v>45</v>
      </c>
      <c r="S80" t="s">
        <v>45</v>
      </c>
      <c r="T80" t="s">
        <v>45</v>
      </c>
      <c r="U80">
        <v>30</v>
      </c>
      <c r="V80" t="s">
        <v>15</v>
      </c>
      <c r="W80" t="s">
        <v>305</v>
      </c>
    </row>
    <row r="81" spans="1:23">
      <c r="A81">
        <v>7900505026</v>
      </c>
      <c r="B81" t="s">
        <v>11</v>
      </c>
      <c r="C81" t="s">
        <v>108</v>
      </c>
      <c r="D81" t="s">
        <v>108</v>
      </c>
      <c r="E81" t="s">
        <v>42</v>
      </c>
      <c r="F81" t="s">
        <v>437</v>
      </c>
      <c r="L81" t="s">
        <v>439</v>
      </c>
      <c r="M81">
        <v>5</v>
      </c>
      <c r="N81">
        <v>5</v>
      </c>
      <c r="O81">
        <v>5</v>
      </c>
      <c r="P81">
        <v>0</v>
      </c>
      <c r="Q81">
        <v>0</v>
      </c>
      <c r="R81">
        <v>0</v>
      </c>
      <c r="S81">
        <v>10</v>
      </c>
      <c r="T81">
        <v>0</v>
      </c>
      <c r="U81">
        <v>25</v>
      </c>
      <c r="V81" t="s">
        <v>15</v>
      </c>
      <c r="W81" t="s">
        <v>539</v>
      </c>
    </row>
    <row r="82" spans="1:23">
      <c r="A82">
        <v>7908196047</v>
      </c>
      <c r="B82" t="s">
        <v>11</v>
      </c>
      <c r="C82" t="s">
        <v>191</v>
      </c>
      <c r="D82" t="s">
        <v>449</v>
      </c>
      <c r="E82" t="s">
        <v>76</v>
      </c>
      <c r="F82" t="s">
        <v>306</v>
      </c>
      <c r="G82" t="s">
        <v>451</v>
      </c>
      <c r="J82" t="s">
        <v>469</v>
      </c>
      <c r="K82">
        <v>1</v>
      </c>
      <c r="L82" t="s">
        <v>307</v>
      </c>
      <c r="M82">
        <v>5</v>
      </c>
      <c r="N82">
        <v>5</v>
      </c>
      <c r="O82">
        <v>5</v>
      </c>
      <c r="P82">
        <v>0</v>
      </c>
      <c r="Q82">
        <v>0</v>
      </c>
      <c r="R82">
        <v>0</v>
      </c>
      <c r="S82">
        <v>10</v>
      </c>
      <c r="T82">
        <v>0</v>
      </c>
      <c r="U82">
        <v>25</v>
      </c>
      <c r="V82" t="s">
        <v>15</v>
      </c>
      <c r="W82" t="s">
        <v>308</v>
      </c>
    </row>
    <row r="83" spans="1:23">
      <c r="A83">
        <v>7921202014</v>
      </c>
      <c r="B83" t="s">
        <v>11</v>
      </c>
      <c r="C83" t="s">
        <v>126</v>
      </c>
      <c r="D83" t="s">
        <v>97</v>
      </c>
      <c r="E83" t="s">
        <v>42</v>
      </c>
      <c r="F83" t="s">
        <v>319</v>
      </c>
      <c r="G83" t="s">
        <v>451</v>
      </c>
      <c r="H83" t="s">
        <v>452</v>
      </c>
      <c r="J83" t="s">
        <v>480</v>
      </c>
      <c r="K83">
        <v>1</v>
      </c>
      <c r="L83" t="s">
        <v>321</v>
      </c>
      <c r="M83">
        <v>5</v>
      </c>
      <c r="N83">
        <v>5</v>
      </c>
      <c r="O83">
        <v>5</v>
      </c>
      <c r="P83">
        <v>0</v>
      </c>
      <c r="Q83">
        <v>0</v>
      </c>
      <c r="R83">
        <v>10</v>
      </c>
      <c r="S83">
        <v>0</v>
      </c>
      <c r="T83">
        <v>0</v>
      </c>
      <c r="U83">
        <v>25</v>
      </c>
      <c r="V83" t="s">
        <v>15</v>
      </c>
      <c r="W83" t="s">
        <v>322</v>
      </c>
    </row>
    <row r="84" spans="1:23">
      <c r="A84">
        <v>7923927122</v>
      </c>
      <c r="B84" t="s">
        <v>11</v>
      </c>
      <c r="C84" t="s">
        <v>68</v>
      </c>
      <c r="D84" t="s">
        <v>68</v>
      </c>
      <c r="E84" t="s">
        <v>42</v>
      </c>
      <c r="F84" t="s">
        <v>312</v>
      </c>
      <c r="G84" t="s">
        <v>495</v>
      </c>
      <c r="J84" t="s">
        <v>480</v>
      </c>
      <c r="K84">
        <v>1</v>
      </c>
      <c r="L84" t="s">
        <v>313</v>
      </c>
      <c r="M84">
        <v>15</v>
      </c>
      <c r="N84">
        <v>0</v>
      </c>
      <c r="O84">
        <v>0</v>
      </c>
      <c r="P84">
        <v>0</v>
      </c>
      <c r="Q84">
        <v>0</v>
      </c>
      <c r="R84">
        <v>10</v>
      </c>
      <c r="S84">
        <v>0</v>
      </c>
      <c r="T84">
        <v>0</v>
      </c>
      <c r="U84">
        <v>25</v>
      </c>
      <c r="V84" t="s">
        <v>15</v>
      </c>
      <c r="W84" t="s">
        <v>314</v>
      </c>
    </row>
    <row r="85" spans="1:23">
      <c r="A85">
        <v>7927446001</v>
      </c>
      <c r="B85" t="s">
        <v>11</v>
      </c>
      <c r="C85" t="s">
        <v>41</v>
      </c>
      <c r="D85" t="s">
        <v>41</v>
      </c>
      <c r="E85" t="s">
        <v>42</v>
      </c>
      <c r="F85" t="s">
        <v>323</v>
      </c>
      <c r="G85" t="s">
        <v>451</v>
      </c>
      <c r="H85" t="s">
        <v>452</v>
      </c>
      <c r="J85" t="s">
        <v>469</v>
      </c>
      <c r="K85">
        <v>1</v>
      </c>
      <c r="L85" t="s">
        <v>324</v>
      </c>
      <c r="M85">
        <v>5</v>
      </c>
      <c r="N85">
        <v>5</v>
      </c>
      <c r="O85">
        <v>5</v>
      </c>
      <c r="P85">
        <v>0</v>
      </c>
      <c r="Q85">
        <v>0</v>
      </c>
      <c r="R85">
        <v>10</v>
      </c>
      <c r="S85">
        <v>0</v>
      </c>
      <c r="T85">
        <v>0</v>
      </c>
      <c r="U85">
        <v>25</v>
      </c>
      <c r="V85" t="s">
        <v>15</v>
      </c>
      <c r="W85" t="s">
        <v>325</v>
      </c>
    </row>
    <row r="86" spans="1:23">
      <c r="A86">
        <v>7928241200</v>
      </c>
      <c r="B86" t="s">
        <v>11</v>
      </c>
      <c r="C86" t="s">
        <v>327</v>
      </c>
      <c r="D86" t="s">
        <v>177</v>
      </c>
      <c r="E86" t="s">
        <v>76</v>
      </c>
      <c r="F86" t="s">
        <v>326</v>
      </c>
      <c r="G86" t="s">
        <v>451</v>
      </c>
      <c r="H86" t="s">
        <v>452</v>
      </c>
      <c r="J86" t="s">
        <v>480</v>
      </c>
      <c r="K86">
        <v>1</v>
      </c>
      <c r="L86" t="s">
        <v>329</v>
      </c>
      <c r="M86">
        <v>5</v>
      </c>
      <c r="N86">
        <v>5</v>
      </c>
      <c r="O86">
        <v>5</v>
      </c>
      <c r="P86">
        <v>0</v>
      </c>
      <c r="Q86">
        <v>0</v>
      </c>
      <c r="R86">
        <v>10</v>
      </c>
      <c r="S86">
        <v>0</v>
      </c>
      <c r="T86">
        <v>0</v>
      </c>
      <c r="U86">
        <v>25</v>
      </c>
      <c r="V86" t="s">
        <v>15</v>
      </c>
      <c r="W86" t="s">
        <v>330</v>
      </c>
    </row>
    <row r="87" spans="1:23">
      <c r="A87">
        <v>7942485096</v>
      </c>
      <c r="B87" t="s">
        <v>11</v>
      </c>
      <c r="C87" t="s">
        <v>316</v>
      </c>
      <c r="D87" t="s">
        <v>108</v>
      </c>
      <c r="E87" t="s">
        <v>42</v>
      </c>
      <c r="F87" t="s">
        <v>315</v>
      </c>
      <c r="G87" t="s">
        <v>451</v>
      </c>
      <c r="J87" t="s">
        <v>480</v>
      </c>
      <c r="K87">
        <v>1</v>
      </c>
      <c r="L87" t="s">
        <v>317</v>
      </c>
      <c r="M87">
        <v>5</v>
      </c>
      <c r="N87">
        <v>5</v>
      </c>
      <c r="O87">
        <v>5</v>
      </c>
      <c r="P87">
        <v>0</v>
      </c>
      <c r="Q87">
        <v>0</v>
      </c>
      <c r="R87">
        <v>10</v>
      </c>
      <c r="S87">
        <v>0</v>
      </c>
      <c r="T87">
        <v>0</v>
      </c>
      <c r="U87">
        <v>25</v>
      </c>
      <c r="V87" t="s">
        <v>15</v>
      </c>
      <c r="W87" t="s">
        <v>318</v>
      </c>
    </row>
    <row r="88" spans="1:23">
      <c r="A88">
        <v>7955430075</v>
      </c>
      <c r="B88" t="s">
        <v>11</v>
      </c>
      <c r="C88" t="s">
        <v>540</v>
      </c>
      <c r="D88" t="s">
        <v>210</v>
      </c>
      <c r="E88" t="s">
        <v>42</v>
      </c>
      <c r="F88" t="s">
        <v>437</v>
      </c>
      <c r="I88" t="s">
        <v>438</v>
      </c>
      <c r="L88" t="s">
        <v>439</v>
      </c>
      <c r="M88">
        <v>5</v>
      </c>
      <c r="N88">
        <v>5</v>
      </c>
      <c r="O88">
        <v>5</v>
      </c>
      <c r="P88">
        <v>0</v>
      </c>
      <c r="Q88">
        <v>0</v>
      </c>
      <c r="R88">
        <v>0</v>
      </c>
      <c r="S88">
        <v>10</v>
      </c>
      <c r="T88">
        <v>0</v>
      </c>
      <c r="U88">
        <v>25</v>
      </c>
      <c r="V88" t="s">
        <v>15</v>
      </c>
      <c r="W88" t="s">
        <v>541</v>
      </c>
    </row>
    <row r="89" spans="1:23">
      <c r="A89">
        <v>7955686076</v>
      </c>
      <c r="B89" t="s">
        <v>11</v>
      </c>
      <c r="C89" t="s">
        <v>335</v>
      </c>
      <c r="D89" t="s">
        <v>336</v>
      </c>
      <c r="E89" t="s">
        <v>76</v>
      </c>
      <c r="F89" t="s">
        <v>437</v>
      </c>
      <c r="I89" t="s">
        <v>438</v>
      </c>
      <c r="L89" t="s">
        <v>439</v>
      </c>
      <c r="M89">
        <v>5</v>
      </c>
      <c r="N89">
        <v>5</v>
      </c>
      <c r="O89">
        <v>0</v>
      </c>
      <c r="P89">
        <v>0</v>
      </c>
      <c r="Q89">
        <v>15</v>
      </c>
      <c r="R89">
        <v>0</v>
      </c>
      <c r="S89">
        <v>0</v>
      </c>
      <c r="T89">
        <v>0</v>
      </c>
      <c r="U89">
        <v>25</v>
      </c>
      <c r="V89" t="s">
        <v>15</v>
      </c>
      <c r="W89" t="s">
        <v>542</v>
      </c>
    </row>
    <row r="90" spans="1:23">
      <c r="A90">
        <v>7955946007</v>
      </c>
      <c r="B90" t="s">
        <v>11</v>
      </c>
      <c r="C90" t="s">
        <v>186</v>
      </c>
      <c r="D90" t="s">
        <v>186</v>
      </c>
      <c r="E90" t="s">
        <v>42</v>
      </c>
      <c r="F90" t="s">
        <v>309</v>
      </c>
      <c r="G90" t="s">
        <v>451</v>
      </c>
      <c r="J90" t="s">
        <v>447</v>
      </c>
      <c r="K90">
        <v>1</v>
      </c>
      <c r="L90" t="s">
        <v>310</v>
      </c>
      <c r="M90">
        <v>5</v>
      </c>
      <c r="N90">
        <v>5</v>
      </c>
      <c r="O90">
        <v>5</v>
      </c>
      <c r="P90">
        <v>0</v>
      </c>
      <c r="Q90">
        <v>0</v>
      </c>
      <c r="R90">
        <v>0</v>
      </c>
      <c r="S90">
        <v>10</v>
      </c>
      <c r="T90">
        <v>0</v>
      </c>
      <c r="U90">
        <v>25</v>
      </c>
      <c r="V90" t="s">
        <v>15</v>
      </c>
      <c r="W90" t="s">
        <v>311</v>
      </c>
    </row>
    <row r="91" spans="1:23">
      <c r="A91">
        <v>7901110084</v>
      </c>
      <c r="B91" t="s">
        <v>11</v>
      </c>
      <c r="C91" t="s">
        <v>210</v>
      </c>
      <c r="D91" t="s">
        <v>210</v>
      </c>
      <c r="E91" t="s">
        <v>42</v>
      </c>
      <c r="F91" t="s">
        <v>331</v>
      </c>
      <c r="G91" t="s">
        <v>451</v>
      </c>
      <c r="L91" t="s">
        <v>332</v>
      </c>
      <c r="M91">
        <v>5</v>
      </c>
      <c r="N91">
        <v>5</v>
      </c>
      <c r="O91">
        <v>0</v>
      </c>
      <c r="P91">
        <v>0</v>
      </c>
      <c r="Q91">
        <v>0</v>
      </c>
      <c r="R91">
        <v>0</v>
      </c>
      <c r="S91">
        <v>10</v>
      </c>
      <c r="T91">
        <v>0</v>
      </c>
      <c r="U91">
        <v>20</v>
      </c>
      <c r="V91" t="s">
        <v>15</v>
      </c>
      <c r="W91" t="s">
        <v>333</v>
      </c>
    </row>
    <row r="92" spans="1:23">
      <c r="A92">
        <v>7908206074</v>
      </c>
      <c r="B92" t="s">
        <v>11</v>
      </c>
      <c r="C92" t="s">
        <v>75</v>
      </c>
      <c r="D92" t="s">
        <v>75</v>
      </c>
      <c r="E92" t="s">
        <v>76</v>
      </c>
      <c r="F92" t="s">
        <v>437</v>
      </c>
      <c r="I92" t="s">
        <v>438</v>
      </c>
      <c r="L92" t="s">
        <v>439</v>
      </c>
      <c r="M92">
        <v>5</v>
      </c>
      <c r="N92">
        <v>5</v>
      </c>
      <c r="O92">
        <v>0</v>
      </c>
      <c r="P92">
        <v>0</v>
      </c>
      <c r="Q92">
        <v>0</v>
      </c>
      <c r="R92">
        <v>0</v>
      </c>
      <c r="S92">
        <v>10</v>
      </c>
      <c r="T92">
        <v>0</v>
      </c>
      <c r="U92">
        <v>20</v>
      </c>
      <c r="V92" t="s">
        <v>15</v>
      </c>
      <c r="W92" t="s">
        <v>543</v>
      </c>
    </row>
    <row r="93" spans="1:23">
      <c r="A93">
        <v>7908708116</v>
      </c>
      <c r="B93" t="s">
        <v>11</v>
      </c>
      <c r="C93" t="s">
        <v>200</v>
      </c>
      <c r="D93" t="s">
        <v>75</v>
      </c>
      <c r="E93" t="s">
        <v>76</v>
      </c>
      <c r="F93" t="s">
        <v>437</v>
      </c>
      <c r="G93" t="s">
        <v>484</v>
      </c>
      <c r="J93" t="s">
        <v>544</v>
      </c>
      <c r="L93" t="s">
        <v>439</v>
      </c>
      <c r="M93">
        <v>5</v>
      </c>
      <c r="N93">
        <v>5</v>
      </c>
      <c r="O93">
        <v>0</v>
      </c>
      <c r="P93">
        <v>0</v>
      </c>
      <c r="Q93">
        <v>0</v>
      </c>
      <c r="R93">
        <v>0</v>
      </c>
      <c r="S93">
        <v>10</v>
      </c>
      <c r="T93">
        <v>0</v>
      </c>
      <c r="U93">
        <v>20</v>
      </c>
      <c r="V93" t="s">
        <v>15</v>
      </c>
      <c r="W93" t="s">
        <v>545</v>
      </c>
    </row>
    <row r="94" spans="1:23">
      <c r="A94">
        <v>7910027196</v>
      </c>
      <c r="B94" t="s">
        <v>11</v>
      </c>
      <c r="C94" t="s">
        <v>546</v>
      </c>
      <c r="D94" t="s">
        <v>62</v>
      </c>
      <c r="E94" t="s">
        <v>42</v>
      </c>
      <c r="F94" t="s">
        <v>437</v>
      </c>
      <c r="G94" t="s">
        <v>547</v>
      </c>
      <c r="J94" t="s">
        <v>548</v>
      </c>
      <c r="L94" t="s">
        <v>439</v>
      </c>
      <c r="M94">
        <v>5</v>
      </c>
      <c r="N94">
        <v>5</v>
      </c>
      <c r="O94">
        <v>0</v>
      </c>
      <c r="P94">
        <v>0</v>
      </c>
      <c r="Q94">
        <v>0</v>
      </c>
      <c r="R94">
        <v>0</v>
      </c>
      <c r="S94">
        <v>10</v>
      </c>
      <c r="T94">
        <v>0</v>
      </c>
      <c r="U94">
        <v>20</v>
      </c>
      <c r="V94" t="s">
        <v>15</v>
      </c>
      <c r="W94" t="s">
        <v>549</v>
      </c>
    </row>
    <row r="95" spans="1:23">
      <c r="A95">
        <v>7913662076</v>
      </c>
      <c r="B95" t="s">
        <v>11</v>
      </c>
      <c r="C95" t="s">
        <v>335</v>
      </c>
      <c r="D95" t="s">
        <v>336</v>
      </c>
      <c r="E95" t="s">
        <v>76</v>
      </c>
      <c r="F95" t="s">
        <v>334</v>
      </c>
      <c r="G95" t="s">
        <v>550</v>
      </c>
      <c r="L95" t="s">
        <v>338</v>
      </c>
      <c r="M95">
        <v>5</v>
      </c>
      <c r="N95">
        <v>5</v>
      </c>
      <c r="O95">
        <v>0</v>
      </c>
      <c r="P95">
        <v>0</v>
      </c>
      <c r="Q95">
        <v>0</v>
      </c>
      <c r="R95">
        <v>10</v>
      </c>
      <c r="S95">
        <v>0</v>
      </c>
      <c r="T95">
        <v>0</v>
      </c>
      <c r="U95">
        <v>20</v>
      </c>
      <c r="V95" t="s">
        <v>15</v>
      </c>
      <c r="W95" t="s">
        <v>339</v>
      </c>
    </row>
    <row r="96" spans="1:23">
      <c r="A96">
        <v>5862236091</v>
      </c>
      <c r="B96" t="s">
        <v>10</v>
      </c>
      <c r="C96" t="s">
        <v>74</v>
      </c>
      <c r="D96" t="s">
        <v>75</v>
      </c>
      <c r="E96" t="s">
        <v>76</v>
      </c>
      <c r="F96" t="s">
        <v>340</v>
      </c>
      <c r="G96" t="s">
        <v>451</v>
      </c>
      <c r="J96" t="s">
        <v>444</v>
      </c>
      <c r="K96">
        <v>1</v>
      </c>
      <c r="L96" t="s">
        <v>551</v>
      </c>
      <c r="M96">
        <v>0</v>
      </c>
      <c r="N96">
        <v>0</v>
      </c>
      <c r="O96">
        <v>0</v>
      </c>
      <c r="P96">
        <v>20</v>
      </c>
      <c r="Q96">
        <v>0</v>
      </c>
      <c r="R96" t="s">
        <v>45</v>
      </c>
      <c r="S96" t="s">
        <v>45</v>
      </c>
      <c r="T96" t="s">
        <v>45</v>
      </c>
      <c r="U96">
        <v>20</v>
      </c>
      <c r="V96" t="s">
        <v>15</v>
      </c>
      <c r="W96" t="s">
        <v>343</v>
      </c>
    </row>
    <row r="97" spans="1:23">
      <c r="A97">
        <v>5836786094</v>
      </c>
      <c r="B97" t="s">
        <v>10</v>
      </c>
      <c r="C97" t="s">
        <v>177</v>
      </c>
      <c r="D97" t="s">
        <v>177</v>
      </c>
      <c r="E97" t="s">
        <v>76</v>
      </c>
      <c r="F97" t="s">
        <v>344</v>
      </c>
      <c r="G97" t="s">
        <v>552</v>
      </c>
      <c r="L97" t="s">
        <v>345</v>
      </c>
      <c r="M97">
        <v>0</v>
      </c>
      <c r="N97">
        <v>0</v>
      </c>
      <c r="O97">
        <v>0</v>
      </c>
      <c r="P97">
        <v>10</v>
      </c>
      <c r="Q97">
        <v>10</v>
      </c>
      <c r="R97" t="s">
        <v>45</v>
      </c>
      <c r="S97" t="s">
        <v>45</v>
      </c>
      <c r="T97" t="s">
        <v>45</v>
      </c>
      <c r="U97">
        <v>20</v>
      </c>
      <c r="V97" t="s">
        <v>15</v>
      </c>
      <c r="W97" t="s">
        <v>346</v>
      </c>
    </row>
    <row r="98" spans="1:23">
      <c r="A98">
        <v>7919270014</v>
      </c>
      <c r="B98" t="s">
        <v>11</v>
      </c>
      <c r="C98" t="s">
        <v>126</v>
      </c>
      <c r="D98" t="s">
        <v>97</v>
      </c>
      <c r="E98" t="s">
        <v>42</v>
      </c>
      <c r="F98" t="s">
        <v>347</v>
      </c>
      <c r="G98" t="s">
        <v>550</v>
      </c>
      <c r="L98" t="s">
        <v>349</v>
      </c>
      <c r="M98">
        <v>5</v>
      </c>
      <c r="N98">
        <v>5</v>
      </c>
      <c r="O98">
        <v>0</v>
      </c>
      <c r="P98">
        <v>0</v>
      </c>
      <c r="Q98">
        <v>0</v>
      </c>
      <c r="R98">
        <v>10</v>
      </c>
      <c r="S98">
        <v>0</v>
      </c>
      <c r="T98">
        <v>0</v>
      </c>
      <c r="U98">
        <v>20</v>
      </c>
      <c r="V98" t="s">
        <v>15</v>
      </c>
      <c r="W98" t="s">
        <v>350</v>
      </c>
    </row>
    <row r="99" spans="1:23">
      <c r="A99">
        <v>7926442035</v>
      </c>
      <c r="B99" t="s">
        <v>11</v>
      </c>
      <c r="C99" t="s">
        <v>234</v>
      </c>
      <c r="D99" t="s">
        <v>108</v>
      </c>
      <c r="E99" t="s">
        <v>42</v>
      </c>
      <c r="F99" t="s">
        <v>351</v>
      </c>
      <c r="G99" t="s">
        <v>451</v>
      </c>
      <c r="L99" t="s">
        <v>352</v>
      </c>
      <c r="M99">
        <v>5</v>
      </c>
      <c r="N99">
        <v>5</v>
      </c>
      <c r="O99">
        <v>0</v>
      </c>
      <c r="P99">
        <v>0</v>
      </c>
      <c r="Q99">
        <v>0</v>
      </c>
      <c r="R99">
        <v>0</v>
      </c>
      <c r="S99">
        <v>10</v>
      </c>
      <c r="T99">
        <v>0</v>
      </c>
      <c r="U99">
        <v>20</v>
      </c>
      <c r="V99" t="s">
        <v>15</v>
      </c>
      <c r="W99" t="s">
        <v>353</v>
      </c>
    </row>
    <row r="100" spans="1:23">
      <c r="A100">
        <v>7954668084</v>
      </c>
      <c r="B100" t="s">
        <v>11</v>
      </c>
      <c r="C100" t="s">
        <v>210</v>
      </c>
      <c r="D100" t="s">
        <v>210</v>
      </c>
      <c r="E100" t="s">
        <v>42</v>
      </c>
      <c r="F100" t="s">
        <v>437</v>
      </c>
      <c r="J100" t="s">
        <v>553</v>
      </c>
      <c r="L100" t="s">
        <v>439</v>
      </c>
      <c r="M100">
        <v>5</v>
      </c>
      <c r="N100">
        <v>5</v>
      </c>
      <c r="O100">
        <v>0</v>
      </c>
      <c r="P100">
        <v>0</v>
      </c>
      <c r="Q100">
        <v>0</v>
      </c>
      <c r="R100">
        <v>0</v>
      </c>
      <c r="S100">
        <v>10</v>
      </c>
      <c r="U100">
        <v>20</v>
      </c>
      <c r="V100" t="s">
        <v>15</v>
      </c>
      <c r="W100" t="s">
        <v>554</v>
      </c>
    </row>
    <row r="101" spans="1:23">
      <c r="A101">
        <v>7938137007</v>
      </c>
      <c r="B101" t="s">
        <v>11</v>
      </c>
      <c r="C101" t="s">
        <v>186</v>
      </c>
      <c r="D101" t="s">
        <v>186</v>
      </c>
      <c r="E101" t="s">
        <v>42</v>
      </c>
      <c r="F101" t="s">
        <v>354</v>
      </c>
      <c r="G101" t="s">
        <v>555</v>
      </c>
      <c r="J101" t="s">
        <v>556</v>
      </c>
      <c r="L101" t="s">
        <v>355</v>
      </c>
      <c r="M101">
        <v>5</v>
      </c>
      <c r="N101">
        <v>5</v>
      </c>
      <c r="O101">
        <v>5</v>
      </c>
      <c r="P101">
        <v>0</v>
      </c>
      <c r="Q101">
        <v>0</v>
      </c>
      <c r="R101">
        <v>0</v>
      </c>
      <c r="S101">
        <v>0</v>
      </c>
      <c r="T101">
        <v>0</v>
      </c>
      <c r="U101">
        <v>15</v>
      </c>
      <c r="V101" t="s">
        <v>15</v>
      </c>
      <c r="W101" t="s">
        <v>356</v>
      </c>
    </row>
    <row r="102" spans="1:23">
      <c r="A102">
        <v>5856156091</v>
      </c>
      <c r="B102" t="s">
        <v>10</v>
      </c>
      <c r="C102" t="s">
        <v>74</v>
      </c>
      <c r="D102" t="s">
        <v>75</v>
      </c>
      <c r="E102" t="s">
        <v>76</v>
      </c>
      <c r="F102" t="s">
        <v>357</v>
      </c>
      <c r="G102" t="s">
        <v>451</v>
      </c>
      <c r="H102" t="s">
        <v>557</v>
      </c>
      <c r="J102" t="s">
        <v>462</v>
      </c>
      <c r="K102">
        <v>3</v>
      </c>
      <c r="L102" t="s">
        <v>358</v>
      </c>
      <c r="M102">
        <v>0</v>
      </c>
      <c r="N102">
        <v>0</v>
      </c>
      <c r="O102">
        <v>0</v>
      </c>
      <c r="P102">
        <v>0</v>
      </c>
      <c r="Q102">
        <v>0</v>
      </c>
      <c r="R102" t="s">
        <v>45</v>
      </c>
      <c r="S102" t="s">
        <v>45</v>
      </c>
      <c r="T102" t="s">
        <v>45</v>
      </c>
      <c r="U102">
        <v>0</v>
      </c>
      <c r="V102" t="s">
        <v>15</v>
      </c>
      <c r="W102" t="s">
        <v>359</v>
      </c>
    </row>
    <row r="103" spans="1:23">
      <c r="A103">
        <v>5858783119</v>
      </c>
      <c r="B103" t="s">
        <v>10</v>
      </c>
      <c r="C103" t="s">
        <v>361</v>
      </c>
      <c r="D103" t="s">
        <v>223</v>
      </c>
      <c r="E103" t="s">
        <v>51</v>
      </c>
      <c r="F103" t="s">
        <v>360</v>
      </c>
      <c r="G103" t="s">
        <v>558</v>
      </c>
      <c r="J103" t="s">
        <v>559</v>
      </c>
      <c r="L103" t="s">
        <v>363</v>
      </c>
      <c r="M103">
        <v>0</v>
      </c>
      <c r="N103">
        <v>0</v>
      </c>
      <c r="O103">
        <v>0</v>
      </c>
      <c r="P103">
        <v>0</v>
      </c>
      <c r="Q103">
        <v>0</v>
      </c>
      <c r="R103" t="s">
        <v>45</v>
      </c>
      <c r="S103" t="s">
        <v>45</v>
      </c>
      <c r="T103" t="s">
        <v>45</v>
      </c>
      <c r="U103">
        <v>0</v>
      </c>
      <c r="V103" t="s">
        <v>15</v>
      </c>
      <c r="W103" t="s">
        <v>364</v>
      </c>
    </row>
    <row r="104" spans="1:23">
      <c r="A104">
        <v>7900532053</v>
      </c>
      <c r="B104" t="s">
        <v>11</v>
      </c>
      <c r="C104" t="s">
        <v>560</v>
      </c>
      <c r="D104" t="s">
        <v>223</v>
      </c>
      <c r="E104" t="s">
        <v>51</v>
      </c>
      <c r="F104" t="s">
        <v>437</v>
      </c>
      <c r="G104" t="s">
        <v>561</v>
      </c>
      <c r="J104" t="s">
        <v>453</v>
      </c>
      <c r="L104" t="s">
        <v>439</v>
      </c>
      <c r="M104">
        <v>0</v>
      </c>
      <c r="N104">
        <v>0</v>
      </c>
      <c r="O104">
        <v>0</v>
      </c>
      <c r="P104">
        <v>0</v>
      </c>
      <c r="Q104">
        <v>0</v>
      </c>
      <c r="R104">
        <v>0</v>
      </c>
      <c r="S104">
        <v>0</v>
      </c>
      <c r="T104">
        <v>0</v>
      </c>
      <c r="U104">
        <v>0</v>
      </c>
      <c r="V104" t="s">
        <v>15</v>
      </c>
      <c r="W104" t="s">
        <v>562</v>
      </c>
    </row>
    <row r="105" spans="1:23">
      <c r="A105">
        <v>7925713040</v>
      </c>
      <c r="B105" t="s">
        <v>11</v>
      </c>
      <c r="C105" t="s">
        <v>492</v>
      </c>
      <c r="D105" t="s">
        <v>57</v>
      </c>
      <c r="E105" t="s">
        <v>51</v>
      </c>
      <c r="F105" t="s">
        <v>437</v>
      </c>
      <c r="L105" t="s">
        <v>439</v>
      </c>
      <c r="U105">
        <v>0</v>
      </c>
    </row>
    <row r="106" spans="1:23">
      <c r="A106">
        <v>7948412064</v>
      </c>
      <c r="B106" t="s">
        <v>11</v>
      </c>
      <c r="C106" t="s">
        <v>563</v>
      </c>
      <c r="D106" t="s">
        <v>50</v>
      </c>
      <c r="E106" t="s">
        <v>51</v>
      </c>
      <c r="F106" t="s">
        <v>437</v>
      </c>
      <c r="L106" t="s">
        <v>439</v>
      </c>
      <c r="U106">
        <v>0</v>
      </c>
    </row>
    <row r="107" spans="1:23">
      <c r="A107">
        <v>7955832052</v>
      </c>
      <c r="B107" t="s">
        <v>11</v>
      </c>
      <c r="C107" t="s">
        <v>192</v>
      </c>
      <c r="D107" t="s">
        <v>192</v>
      </c>
      <c r="E107" t="s">
        <v>76</v>
      </c>
      <c r="F107" t="s">
        <v>365</v>
      </c>
      <c r="L107" t="s">
        <v>367</v>
      </c>
      <c r="U107">
        <v>0</v>
      </c>
    </row>
    <row r="108" spans="1:23">
      <c r="A108">
        <v>7930359149</v>
      </c>
      <c r="B108" t="s">
        <v>11</v>
      </c>
      <c r="C108" t="s">
        <v>257</v>
      </c>
      <c r="D108" t="s">
        <v>210</v>
      </c>
      <c r="E108" t="s">
        <v>42</v>
      </c>
      <c r="F108" t="s">
        <v>369</v>
      </c>
      <c r="L108" t="s">
        <v>371</v>
      </c>
      <c r="U108">
        <v>0</v>
      </c>
    </row>
    <row r="109" spans="1:23">
      <c r="A109">
        <v>7902098003</v>
      </c>
      <c r="B109" t="s">
        <v>11</v>
      </c>
      <c r="C109" t="s">
        <v>336</v>
      </c>
      <c r="D109" t="s">
        <v>336</v>
      </c>
      <c r="E109" t="s">
        <v>76</v>
      </c>
      <c r="F109" t="s">
        <v>372</v>
      </c>
      <c r="L109" t="s">
        <v>374</v>
      </c>
      <c r="U109">
        <v>0</v>
      </c>
    </row>
    <row r="110" spans="1:23">
      <c r="A110">
        <v>7953211079</v>
      </c>
      <c r="B110" t="s">
        <v>11</v>
      </c>
      <c r="C110" t="s">
        <v>376</v>
      </c>
      <c r="D110" t="s">
        <v>50</v>
      </c>
      <c r="E110" t="s">
        <v>51</v>
      </c>
      <c r="F110" t="s">
        <v>375</v>
      </c>
      <c r="L110" t="s">
        <v>378</v>
      </c>
      <c r="U110">
        <v>0</v>
      </c>
    </row>
    <row r="111" spans="1:23">
      <c r="A111">
        <v>7949648145</v>
      </c>
      <c r="B111" t="s">
        <v>11</v>
      </c>
      <c r="C111" t="s">
        <v>380</v>
      </c>
      <c r="D111" t="s">
        <v>132</v>
      </c>
      <c r="E111" t="s">
        <v>51</v>
      </c>
      <c r="F111" t="s">
        <v>379</v>
      </c>
      <c r="L111" t="s">
        <v>382</v>
      </c>
      <c r="U111">
        <v>0</v>
      </c>
    </row>
    <row r="112" spans="1:23">
      <c r="A112">
        <v>7957021094</v>
      </c>
      <c r="B112" t="s">
        <v>11</v>
      </c>
      <c r="C112" t="s">
        <v>177</v>
      </c>
      <c r="D112" t="s">
        <v>177</v>
      </c>
      <c r="E112" t="s">
        <v>76</v>
      </c>
      <c r="F112" t="s">
        <v>437</v>
      </c>
      <c r="L112" t="s">
        <v>439</v>
      </c>
      <c r="U112">
        <v>0</v>
      </c>
    </row>
    <row r="113" spans="1:21">
      <c r="A113">
        <v>7908300096</v>
      </c>
      <c r="B113" t="s">
        <v>11</v>
      </c>
      <c r="C113" t="s">
        <v>316</v>
      </c>
      <c r="D113" t="s">
        <v>108</v>
      </c>
      <c r="E113" t="s">
        <v>42</v>
      </c>
      <c r="F113" t="s">
        <v>383</v>
      </c>
      <c r="L113" t="s">
        <v>384</v>
      </c>
      <c r="U113">
        <v>0</v>
      </c>
    </row>
    <row r="114" spans="1:21">
      <c r="A114">
        <v>7953570026</v>
      </c>
      <c r="B114" t="s">
        <v>11</v>
      </c>
      <c r="C114" t="s">
        <v>108</v>
      </c>
      <c r="D114" t="s">
        <v>108</v>
      </c>
      <c r="E114" t="s">
        <v>42</v>
      </c>
      <c r="F114" t="s">
        <v>385</v>
      </c>
      <c r="L114" t="s">
        <v>386</v>
      </c>
      <c r="U114">
        <v>0</v>
      </c>
    </row>
    <row r="115" spans="1:21">
      <c r="A115">
        <v>7911120026</v>
      </c>
      <c r="B115" t="s">
        <v>11</v>
      </c>
      <c r="C115" t="s">
        <v>108</v>
      </c>
      <c r="D115" t="s">
        <v>108</v>
      </c>
      <c r="E115" t="s">
        <v>42</v>
      </c>
      <c r="F115" t="s">
        <v>387</v>
      </c>
      <c r="G115" t="s">
        <v>497</v>
      </c>
      <c r="L115" t="s">
        <v>389</v>
      </c>
      <c r="U115">
        <v>0</v>
      </c>
    </row>
    <row r="116" spans="1:21">
      <c r="A116">
        <v>5820790038</v>
      </c>
      <c r="B116" t="s">
        <v>10</v>
      </c>
      <c r="C116" t="s">
        <v>564</v>
      </c>
      <c r="D116" t="s">
        <v>75</v>
      </c>
      <c r="E116" t="s">
        <v>76</v>
      </c>
      <c r="F116" t="s">
        <v>437</v>
      </c>
      <c r="L116" t="s">
        <v>439</v>
      </c>
      <c r="U116">
        <v>0</v>
      </c>
    </row>
    <row r="117" spans="1:21">
      <c r="A117">
        <v>7934697002</v>
      </c>
      <c r="B117" t="s">
        <v>11</v>
      </c>
      <c r="C117" t="s">
        <v>223</v>
      </c>
      <c r="D117" t="s">
        <v>223</v>
      </c>
      <c r="E117" t="s">
        <v>51</v>
      </c>
      <c r="F117" t="s">
        <v>437</v>
      </c>
      <c r="L117" t="s">
        <v>439</v>
      </c>
      <c r="U117">
        <v>0</v>
      </c>
    </row>
  </sheetData>
  <pageMargins left="0.511811024" right="0.511811024" top="0.78740157499999996" bottom="0.78740157499999996" header="0.31496062000000002" footer="0.31496062000000002"/>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FADE3D-1447-4665-A98F-5317D339A57E}">
  <dimension ref="A2:E35"/>
  <sheetViews>
    <sheetView workbookViewId="0">
      <selection activeCell="B34" sqref="B29:B34"/>
    </sheetView>
  </sheetViews>
  <sheetFormatPr defaultRowHeight="15"/>
  <cols>
    <col min="1" max="1" width="57.85546875" bestFit="1" customWidth="1"/>
    <col min="2" max="2" width="18.140625" bestFit="1" customWidth="1"/>
    <col min="3" max="3" width="15" customWidth="1"/>
    <col min="4" max="4" width="51.5703125" bestFit="1" customWidth="1"/>
    <col min="5" max="5" width="22.28515625" bestFit="1" customWidth="1"/>
    <col min="6" max="7" width="15" customWidth="1"/>
  </cols>
  <sheetData>
    <row r="2" spans="1:5">
      <c r="D2" s="13" t="s">
        <v>432</v>
      </c>
      <c r="E2" t="s">
        <v>445</v>
      </c>
    </row>
    <row r="3" spans="1:5">
      <c r="A3" s="13" t="s">
        <v>565</v>
      </c>
      <c r="B3" t="s">
        <v>566</v>
      </c>
    </row>
    <row r="4" spans="1:5">
      <c r="A4" s="10" t="s">
        <v>9</v>
      </c>
      <c r="B4">
        <v>30</v>
      </c>
      <c r="D4" s="13" t="s">
        <v>565</v>
      </c>
      <c r="E4" t="s">
        <v>566</v>
      </c>
    </row>
    <row r="5" spans="1:5">
      <c r="A5" s="48" t="s">
        <v>482</v>
      </c>
      <c r="B5">
        <v>4</v>
      </c>
      <c r="D5" s="10" t="s">
        <v>9</v>
      </c>
      <c r="E5">
        <v>3</v>
      </c>
    </row>
    <row r="6" spans="1:5">
      <c r="A6" s="48" t="s">
        <v>471</v>
      </c>
      <c r="B6">
        <v>3</v>
      </c>
      <c r="D6" s="48" t="s">
        <v>567</v>
      </c>
      <c r="E6">
        <v>2</v>
      </c>
    </row>
    <row r="7" spans="1:5">
      <c r="A7" s="48" t="s">
        <v>451</v>
      </c>
      <c r="B7">
        <v>7</v>
      </c>
      <c r="D7" s="48" t="s">
        <v>568</v>
      </c>
      <c r="E7">
        <v>1</v>
      </c>
    </row>
    <row r="8" spans="1:5">
      <c r="A8" s="48" t="s">
        <v>467</v>
      </c>
      <c r="B8">
        <v>1</v>
      </c>
      <c r="D8" s="10" t="s">
        <v>13</v>
      </c>
      <c r="E8">
        <v>1</v>
      </c>
    </row>
    <row r="9" spans="1:5">
      <c r="A9" s="48" t="s">
        <v>445</v>
      </c>
      <c r="B9">
        <v>3</v>
      </c>
      <c r="D9" s="48" t="s">
        <v>569</v>
      </c>
      <c r="E9">
        <v>1</v>
      </c>
    </row>
    <row r="10" spans="1:5">
      <c r="A10" s="48" t="s">
        <v>570</v>
      </c>
      <c r="B10">
        <v>2</v>
      </c>
      <c r="D10" s="10" t="s">
        <v>14</v>
      </c>
      <c r="E10">
        <v>1</v>
      </c>
    </row>
    <row r="11" spans="1:5">
      <c r="A11" s="48" t="s">
        <v>571</v>
      </c>
      <c r="B11">
        <v>10</v>
      </c>
      <c r="D11" s="48" t="s">
        <v>567</v>
      </c>
      <c r="E11">
        <v>1</v>
      </c>
    </row>
    <row r="12" spans="1:5">
      <c r="A12" s="10" t="s">
        <v>13</v>
      </c>
      <c r="B12">
        <v>21</v>
      </c>
      <c r="D12" s="10" t="s">
        <v>12</v>
      </c>
      <c r="E12">
        <v>5</v>
      </c>
    </row>
    <row r="13" spans="1:5">
      <c r="A13" s="48" t="s">
        <v>484</v>
      </c>
      <c r="B13">
        <v>1</v>
      </c>
    </row>
    <row r="14" spans="1:5">
      <c r="A14" s="48" t="s">
        <v>471</v>
      </c>
      <c r="B14">
        <v>5</v>
      </c>
      <c r="D14" s="13" t="s">
        <v>432</v>
      </c>
      <c r="E14" t="s">
        <v>467</v>
      </c>
    </row>
    <row r="15" spans="1:5">
      <c r="A15" s="48" t="s">
        <v>451</v>
      </c>
      <c r="B15">
        <v>5</v>
      </c>
    </row>
    <row r="16" spans="1:5">
      <c r="A16" s="48" t="s">
        <v>467</v>
      </c>
      <c r="B16">
        <v>2</v>
      </c>
      <c r="D16" s="13" t="s">
        <v>565</v>
      </c>
      <c r="E16" t="s">
        <v>566</v>
      </c>
    </row>
    <row r="17" spans="1:5">
      <c r="A17" s="48" t="s">
        <v>445</v>
      </c>
      <c r="B17">
        <v>1</v>
      </c>
      <c r="D17" s="10" t="s">
        <v>9</v>
      </c>
      <c r="E17">
        <v>1</v>
      </c>
    </row>
    <row r="18" spans="1:5">
      <c r="A18" s="48" t="s">
        <v>495</v>
      </c>
      <c r="B18">
        <v>1</v>
      </c>
      <c r="D18" s="48" t="s">
        <v>572</v>
      </c>
      <c r="E18">
        <v>1</v>
      </c>
    </row>
    <row r="19" spans="1:5">
      <c r="A19" s="48" t="s">
        <v>498</v>
      </c>
      <c r="B19">
        <v>1</v>
      </c>
      <c r="D19" s="10" t="s">
        <v>13</v>
      </c>
      <c r="E19">
        <v>2</v>
      </c>
    </row>
    <row r="20" spans="1:5">
      <c r="A20" s="48" t="s">
        <v>573</v>
      </c>
      <c r="B20">
        <v>1</v>
      </c>
      <c r="D20" s="48" t="s">
        <v>572</v>
      </c>
      <c r="E20">
        <v>1</v>
      </c>
    </row>
    <row r="21" spans="1:5">
      <c r="A21" s="48" t="s">
        <v>571</v>
      </c>
      <c r="B21">
        <v>4</v>
      </c>
      <c r="D21" s="48" t="s">
        <v>574</v>
      </c>
      <c r="E21">
        <v>1</v>
      </c>
    </row>
    <row r="22" spans="1:5">
      <c r="A22" s="10" t="s">
        <v>14</v>
      </c>
      <c r="B22">
        <v>25</v>
      </c>
      <c r="D22" s="10" t="s">
        <v>15</v>
      </c>
      <c r="E22">
        <v>2</v>
      </c>
    </row>
    <row r="23" spans="1:5">
      <c r="A23" s="48" t="s">
        <v>482</v>
      </c>
      <c r="B23">
        <v>4</v>
      </c>
      <c r="D23" s="48" t="s">
        <v>575</v>
      </c>
      <c r="E23">
        <v>1</v>
      </c>
    </row>
    <row r="24" spans="1:5">
      <c r="A24" s="48" t="s">
        <v>451</v>
      </c>
      <c r="B24">
        <v>13</v>
      </c>
      <c r="D24" s="48" t="s">
        <v>534</v>
      </c>
      <c r="E24">
        <v>1</v>
      </c>
    </row>
    <row r="25" spans="1:5">
      <c r="A25" s="48" t="s">
        <v>445</v>
      </c>
      <c r="B25">
        <v>1</v>
      </c>
      <c r="D25" s="10" t="s">
        <v>12</v>
      </c>
      <c r="E25">
        <v>5</v>
      </c>
    </row>
    <row r="26" spans="1:5">
      <c r="A26" s="48" t="s">
        <v>497</v>
      </c>
      <c r="B26">
        <v>1</v>
      </c>
    </row>
    <row r="27" spans="1:5">
      <c r="A27" s="48" t="s">
        <v>571</v>
      </c>
      <c r="B27">
        <v>6</v>
      </c>
    </row>
    <row r="28" spans="1:5">
      <c r="A28" s="10" t="s">
        <v>15</v>
      </c>
      <c r="B28">
        <v>27</v>
      </c>
    </row>
    <row r="29" spans="1:5">
      <c r="A29" s="48" t="s">
        <v>484</v>
      </c>
      <c r="B29">
        <v>1</v>
      </c>
    </row>
    <row r="30" spans="1:5">
      <c r="A30" s="48" t="s">
        <v>576</v>
      </c>
      <c r="B30">
        <v>1</v>
      </c>
    </row>
    <row r="31" spans="1:5">
      <c r="A31" s="48" t="s">
        <v>451</v>
      </c>
      <c r="B31">
        <v>16</v>
      </c>
    </row>
    <row r="32" spans="1:5">
      <c r="A32" s="48" t="s">
        <v>467</v>
      </c>
      <c r="B32">
        <v>2</v>
      </c>
    </row>
    <row r="33" spans="1:2">
      <c r="A33" s="48" t="s">
        <v>561</v>
      </c>
      <c r="B33">
        <v>1</v>
      </c>
    </row>
    <row r="34" spans="1:2">
      <c r="A34" s="48" t="s">
        <v>571</v>
      </c>
      <c r="B34">
        <v>6</v>
      </c>
    </row>
    <row r="35" spans="1:2">
      <c r="A35" s="10" t="s">
        <v>12</v>
      </c>
      <c r="B35">
        <v>103</v>
      </c>
    </row>
  </sheetData>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FDBC2-B103-445C-98CB-621423E01279}">
  <dimension ref="A1:L40"/>
  <sheetViews>
    <sheetView workbookViewId="0">
      <selection activeCell="D1" sqref="D1"/>
    </sheetView>
  </sheetViews>
  <sheetFormatPr defaultRowHeight="15"/>
  <cols>
    <col min="1" max="1" width="10.42578125" bestFit="1" customWidth="1"/>
    <col min="2" max="2" width="21.42578125" bestFit="1" customWidth="1"/>
    <col min="3" max="3" width="14" bestFit="1" customWidth="1"/>
    <col min="4" max="4" width="18.42578125" bestFit="1" customWidth="1"/>
    <col min="5" max="5" width="17.42578125" bestFit="1" customWidth="1"/>
    <col min="6" max="6" width="19.140625" bestFit="1" customWidth="1"/>
    <col min="7" max="7" width="11.5703125" bestFit="1" customWidth="1"/>
    <col min="8" max="8" width="29.140625" bestFit="1" customWidth="1"/>
    <col min="9" max="9" width="23.5703125" bestFit="1" customWidth="1"/>
    <col min="10" max="10" width="12.42578125" bestFit="1" customWidth="1"/>
    <col min="11" max="11" width="16.5703125" bestFit="1" customWidth="1"/>
    <col min="12" max="12" width="81.140625" bestFit="1" customWidth="1"/>
  </cols>
  <sheetData>
    <row r="1" spans="1:12">
      <c r="A1" t="s">
        <v>17</v>
      </c>
      <c r="B1" t="s">
        <v>18</v>
      </c>
      <c r="C1" t="s">
        <v>0</v>
      </c>
      <c r="D1" t="s">
        <v>19</v>
      </c>
      <c r="E1" t="s">
        <v>21</v>
      </c>
      <c r="F1" t="s">
        <v>577</v>
      </c>
      <c r="G1" t="s">
        <v>22</v>
      </c>
      <c r="H1" t="s">
        <v>23</v>
      </c>
      <c r="I1" t="s">
        <v>24</v>
      </c>
      <c r="J1" t="s">
        <v>25</v>
      </c>
      <c r="K1" t="s">
        <v>26</v>
      </c>
      <c r="L1" t="s">
        <v>27</v>
      </c>
    </row>
    <row r="2" spans="1:12">
      <c r="A2">
        <v>2026</v>
      </c>
      <c r="B2" t="s">
        <v>578</v>
      </c>
      <c r="C2" t="s">
        <v>67</v>
      </c>
      <c r="D2">
        <v>5833578028</v>
      </c>
      <c r="E2" s="7">
        <v>46150</v>
      </c>
      <c r="F2" s="7">
        <v>46174</v>
      </c>
      <c r="G2">
        <v>28</v>
      </c>
      <c r="H2" t="s">
        <v>502</v>
      </c>
      <c r="I2" t="s">
        <v>75</v>
      </c>
      <c r="J2" t="s">
        <v>76</v>
      </c>
      <c r="K2" t="s">
        <v>77</v>
      </c>
      <c r="L2" t="s">
        <v>579</v>
      </c>
    </row>
    <row r="3" spans="1:12">
      <c r="A3">
        <v>2026</v>
      </c>
      <c r="B3" t="s">
        <v>580</v>
      </c>
      <c r="C3" t="s">
        <v>67</v>
      </c>
      <c r="D3">
        <v>7913657147</v>
      </c>
      <c r="E3" s="7">
        <v>46142</v>
      </c>
      <c r="F3" s="7">
        <v>46175</v>
      </c>
      <c r="G3">
        <v>147</v>
      </c>
      <c r="H3" t="s">
        <v>506</v>
      </c>
      <c r="I3" t="s">
        <v>75</v>
      </c>
      <c r="J3" t="s">
        <v>76</v>
      </c>
      <c r="K3" t="s">
        <v>399</v>
      </c>
      <c r="L3" t="s">
        <v>581</v>
      </c>
    </row>
    <row r="4" spans="1:12">
      <c r="A4">
        <v>2026</v>
      </c>
      <c r="B4" t="s">
        <v>582</v>
      </c>
      <c r="C4" t="s">
        <v>67</v>
      </c>
      <c r="D4">
        <v>7944353028</v>
      </c>
      <c r="E4" s="7">
        <v>46119</v>
      </c>
      <c r="F4" s="7">
        <v>46175</v>
      </c>
      <c r="G4">
        <v>28</v>
      </c>
      <c r="H4" t="s">
        <v>502</v>
      </c>
      <c r="I4" t="s">
        <v>75</v>
      </c>
      <c r="J4" t="s">
        <v>76</v>
      </c>
      <c r="K4" t="s">
        <v>77</v>
      </c>
      <c r="L4" t="s">
        <v>583</v>
      </c>
    </row>
    <row r="5" spans="1:12">
      <c r="A5">
        <v>2026</v>
      </c>
      <c r="B5" t="s">
        <v>584</v>
      </c>
      <c r="C5" t="s">
        <v>67</v>
      </c>
      <c r="D5">
        <v>7931863074</v>
      </c>
      <c r="E5" s="7">
        <v>46134</v>
      </c>
      <c r="F5" s="7">
        <v>46176</v>
      </c>
      <c r="G5">
        <v>74</v>
      </c>
      <c r="H5" t="s">
        <v>75</v>
      </c>
      <c r="I5" t="s">
        <v>75</v>
      </c>
      <c r="J5" t="s">
        <v>76</v>
      </c>
      <c r="K5" t="s">
        <v>585</v>
      </c>
      <c r="L5" t="s">
        <v>586</v>
      </c>
    </row>
    <row r="6" spans="1:12">
      <c r="A6">
        <v>2026</v>
      </c>
      <c r="B6" t="s">
        <v>587</v>
      </c>
      <c r="C6" t="s">
        <v>67</v>
      </c>
      <c r="D6">
        <v>7964803072</v>
      </c>
      <c r="E6" s="7">
        <v>46127</v>
      </c>
      <c r="F6" s="7">
        <v>46176</v>
      </c>
      <c r="G6">
        <v>72</v>
      </c>
      <c r="H6" t="s">
        <v>588</v>
      </c>
      <c r="I6" t="s">
        <v>75</v>
      </c>
      <c r="J6" t="s">
        <v>76</v>
      </c>
      <c r="K6" t="s">
        <v>178</v>
      </c>
      <c r="L6" t="s">
        <v>589</v>
      </c>
    </row>
    <row r="7" spans="1:12">
      <c r="A7">
        <v>2026</v>
      </c>
      <c r="B7" t="s">
        <v>590</v>
      </c>
      <c r="C7" t="s">
        <v>67</v>
      </c>
      <c r="D7">
        <v>7903572004</v>
      </c>
      <c r="E7" s="7">
        <v>46173</v>
      </c>
      <c r="F7" s="7">
        <v>46176</v>
      </c>
      <c r="G7">
        <v>4</v>
      </c>
      <c r="H7" t="s">
        <v>57</v>
      </c>
      <c r="I7" t="s">
        <v>57</v>
      </c>
      <c r="J7" t="s">
        <v>51</v>
      </c>
      <c r="K7" t="s">
        <v>58</v>
      </c>
      <c r="L7" t="s">
        <v>591</v>
      </c>
    </row>
    <row r="8" spans="1:12">
      <c r="A8">
        <v>2025</v>
      </c>
      <c r="B8" t="s">
        <v>592</v>
      </c>
      <c r="C8" t="s">
        <v>56</v>
      </c>
      <c r="D8">
        <v>7943790134</v>
      </c>
      <c r="E8" s="7">
        <v>45902</v>
      </c>
      <c r="F8" s="7">
        <v>46179</v>
      </c>
      <c r="G8">
        <v>134</v>
      </c>
      <c r="H8" t="s">
        <v>131</v>
      </c>
      <c r="I8" t="s">
        <v>132</v>
      </c>
      <c r="J8" t="s">
        <v>51</v>
      </c>
      <c r="K8" t="s">
        <v>133</v>
      </c>
      <c r="L8" t="s">
        <v>593</v>
      </c>
    </row>
    <row r="9" spans="1:12">
      <c r="A9">
        <v>2026</v>
      </c>
      <c r="B9" t="s">
        <v>594</v>
      </c>
      <c r="C9" t="s">
        <v>67</v>
      </c>
      <c r="D9">
        <v>5843904032</v>
      </c>
      <c r="E9" s="7">
        <v>46160</v>
      </c>
      <c r="F9" s="7">
        <v>46183</v>
      </c>
      <c r="G9">
        <v>32</v>
      </c>
      <c r="H9" t="s">
        <v>448</v>
      </c>
      <c r="I9" t="s">
        <v>192</v>
      </c>
      <c r="J9" t="s">
        <v>76</v>
      </c>
      <c r="K9" t="s">
        <v>595</v>
      </c>
      <c r="L9" t="s">
        <v>596</v>
      </c>
    </row>
    <row r="10" spans="1:12">
      <c r="A10">
        <v>2026</v>
      </c>
      <c r="B10" t="s">
        <v>597</v>
      </c>
      <c r="C10" t="s">
        <v>67</v>
      </c>
      <c r="D10">
        <v>5837543086</v>
      </c>
      <c r="E10" s="7">
        <v>46146</v>
      </c>
      <c r="F10" s="7">
        <v>46183</v>
      </c>
      <c r="G10">
        <v>86</v>
      </c>
      <c r="H10" t="s">
        <v>209</v>
      </c>
      <c r="I10" t="s">
        <v>210</v>
      </c>
      <c r="J10" t="s">
        <v>42</v>
      </c>
      <c r="K10" t="s">
        <v>211</v>
      </c>
      <c r="L10" t="s">
        <v>598</v>
      </c>
    </row>
    <row r="11" spans="1:12">
      <c r="A11">
        <v>2026</v>
      </c>
      <c r="B11" t="s">
        <v>599</v>
      </c>
      <c r="C11" t="s">
        <v>67</v>
      </c>
      <c r="D11">
        <v>7957920111</v>
      </c>
      <c r="E11" s="7">
        <v>46152</v>
      </c>
      <c r="F11" s="7">
        <v>46184</v>
      </c>
      <c r="G11">
        <v>111</v>
      </c>
      <c r="H11" t="s">
        <v>600</v>
      </c>
      <c r="I11" t="s">
        <v>50</v>
      </c>
      <c r="J11" t="s">
        <v>51</v>
      </c>
      <c r="K11" t="s">
        <v>601</v>
      </c>
      <c r="L11" t="s">
        <v>602</v>
      </c>
    </row>
    <row r="12" spans="1:12">
      <c r="A12">
        <v>2026</v>
      </c>
      <c r="B12" t="s">
        <v>603</v>
      </c>
      <c r="C12" t="s">
        <v>67</v>
      </c>
      <c r="D12">
        <v>7957620015</v>
      </c>
      <c r="E12" s="7">
        <v>46174</v>
      </c>
      <c r="F12" s="7">
        <v>46185</v>
      </c>
      <c r="G12">
        <v>15</v>
      </c>
      <c r="H12" t="s">
        <v>283</v>
      </c>
      <c r="I12" t="s">
        <v>50</v>
      </c>
      <c r="J12" t="s">
        <v>51</v>
      </c>
      <c r="K12" t="s">
        <v>604</v>
      </c>
      <c r="L12" t="s">
        <v>605</v>
      </c>
    </row>
    <row r="13" spans="1:12">
      <c r="A13">
        <v>2026</v>
      </c>
      <c r="B13" t="s">
        <v>606</v>
      </c>
      <c r="C13" t="s">
        <v>67</v>
      </c>
      <c r="D13">
        <v>7964802072</v>
      </c>
      <c r="E13" s="7">
        <v>46123</v>
      </c>
      <c r="F13" s="7">
        <v>46185</v>
      </c>
      <c r="G13">
        <v>72</v>
      </c>
      <c r="H13" t="s">
        <v>588</v>
      </c>
      <c r="I13" t="s">
        <v>75</v>
      </c>
      <c r="J13" t="s">
        <v>76</v>
      </c>
      <c r="K13" t="s">
        <v>178</v>
      </c>
      <c r="L13" t="s">
        <v>607</v>
      </c>
    </row>
    <row r="14" spans="1:12">
      <c r="A14">
        <v>2026</v>
      </c>
      <c r="B14" t="s">
        <v>608</v>
      </c>
      <c r="C14" t="s">
        <v>73</v>
      </c>
      <c r="D14">
        <v>7955635116</v>
      </c>
      <c r="E14" s="7">
        <v>46174</v>
      </c>
      <c r="F14" s="7">
        <v>46188</v>
      </c>
      <c r="G14">
        <v>116</v>
      </c>
      <c r="H14" t="s">
        <v>200</v>
      </c>
      <c r="I14" t="s">
        <v>75</v>
      </c>
      <c r="J14" t="s">
        <v>76</v>
      </c>
      <c r="K14" t="s">
        <v>77</v>
      </c>
      <c r="L14" t="s">
        <v>609</v>
      </c>
    </row>
    <row r="15" spans="1:12">
      <c r="A15">
        <v>2026</v>
      </c>
      <c r="B15" t="s">
        <v>610</v>
      </c>
      <c r="C15" t="s">
        <v>67</v>
      </c>
      <c r="D15">
        <v>7907536092</v>
      </c>
      <c r="E15" s="7">
        <v>46128</v>
      </c>
      <c r="F15" s="7">
        <v>46189</v>
      </c>
      <c r="G15">
        <v>92</v>
      </c>
      <c r="H15" t="s">
        <v>611</v>
      </c>
      <c r="I15" t="s">
        <v>62</v>
      </c>
      <c r="J15" t="s">
        <v>42</v>
      </c>
      <c r="K15" t="s">
        <v>612</v>
      </c>
      <c r="L15" t="s">
        <v>613</v>
      </c>
    </row>
    <row r="16" spans="1:12">
      <c r="A16">
        <v>2026</v>
      </c>
      <c r="B16" t="s">
        <v>614</v>
      </c>
      <c r="C16" t="s">
        <v>67</v>
      </c>
      <c r="D16">
        <v>7910027196</v>
      </c>
      <c r="E16" s="7">
        <v>46202</v>
      </c>
      <c r="F16" s="7">
        <v>46190</v>
      </c>
      <c r="G16">
        <v>196</v>
      </c>
      <c r="H16" t="s">
        <v>546</v>
      </c>
      <c r="I16" t="s">
        <v>62</v>
      </c>
      <c r="J16" t="s">
        <v>42</v>
      </c>
      <c r="K16" t="s">
        <v>295</v>
      </c>
      <c r="L16" t="s">
        <v>615</v>
      </c>
    </row>
    <row r="17" spans="1:12">
      <c r="A17">
        <v>2026</v>
      </c>
      <c r="B17" t="s">
        <v>616</v>
      </c>
      <c r="C17" t="s">
        <v>67</v>
      </c>
      <c r="D17">
        <v>7931604122</v>
      </c>
      <c r="E17" s="7">
        <v>46183</v>
      </c>
      <c r="F17" s="7">
        <v>46191</v>
      </c>
      <c r="G17">
        <v>122</v>
      </c>
      <c r="H17" t="s">
        <v>68</v>
      </c>
      <c r="I17" t="s">
        <v>68</v>
      </c>
      <c r="J17" t="s">
        <v>42</v>
      </c>
      <c r="K17" t="s">
        <v>617</v>
      </c>
      <c r="L17" t="s">
        <v>618</v>
      </c>
    </row>
    <row r="18" spans="1:12">
      <c r="A18">
        <v>2026</v>
      </c>
      <c r="B18" t="s">
        <v>619</v>
      </c>
      <c r="C18" t="s">
        <v>67</v>
      </c>
      <c r="D18">
        <v>7929763027</v>
      </c>
      <c r="E18" s="7">
        <v>46152</v>
      </c>
      <c r="F18" s="7">
        <v>46196</v>
      </c>
      <c r="G18">
        <v>27</v>
      </c>
      <c r="H18" t="s">
        <v>620</v>
      </c>
      <c r="I18" t="s">
        <v>75</v>
      </c>
      <c r="J18" t="s">
        <v>76</v>
      </c>
      <c r="K18" t="s">
        <v>621</v>
      </c>
      <c r="L18" t="s">
        <v>622</v>
      </c>
    </row>
    <row r="19" spans="1:12">
      <c r="A19">
        <v>2026</v>
      </c>
      <c r="B19" t="s">
        <v>623</v>
      </c>
      <c r="C19" t="s">
        <v>67</v>
      </c>
      <c r="D19">
        <v>7908203091</v>
      </c>
      <c r="E19" s="7">
        <v>46182</v>
      </c>
      <c r="F19" s="7">
        <v>46196</v>
      </c>
      <c r="G19">
        <v>91</v>
      </c>
      <c r="H19" t="s">
        <v>74</v>
      </c>
      <c r="I19" t="s">
        <v>75</v>
      </c>
      <c r="J19" t="s">
        <v>76</v>
      </c>
      <c r="K19" t="s">
        <v>624</v>
      </c>
      <c r="L19" t="s">
        <v>625</v>
      </c>
    </row>
    <row r="20" spans="1:12">
      <c r="A20">
        <v>2026</v>
      </c>
      <c r="B20" t="s">
        <v>626</v>
      </c>
      <c r="C20" t="s">
        <v>67</v>
      </c>
      <c r="D20">
        <v>7900018004</v>
      </c>
      <c r="E20" s="7">
        <v>46169</v>
      </c>
      <c r="F20" s="7">
        <v>46196</v>
      </c>
      <c r="G20">
        <v>4</v>
      </c>
      <c r="H20" t="s">
        <v>57</v>
      </c>
      <c r="I20" t="s">
        <v>57</v>
      </c>
      <c r="J20" t="s">
        <v>51</v>
      </c>
      <c r="K20" t="s">
        <v>627</v>
      </c>
      <c r="L20" t="s">
        <v>628</v>
      </c>
    </row>
    <row r="21" spans="1:12">
      <c r="A21">
        <v>2026</v>
      </c>
      <c r="B21" t="s">
        <v>629</v>
      </c>
      <c r="C21" t="s">
        <v>67</v>
      </c>
      <c r="D21">
        <v>7929658038</v>
      </c>
      <c r="E21" s="7">
        <v>46173</v>
      </c>
      <c r="F21" s="7">
        <v>46197</v>
      </c>
      <c r="G21">
        <v>38</v>
      </c>
      <c r="H21" t="s">
        <v>564</v>
      </c>
      <c r="I21" t="s">
        <v>75</v>
      </c>
      <c r="J21" t="s">
        <v>76</v>
      </c>
      <c r="K21" t="s">
        <v>630</v>
      </c>
      <c r="L21" t="s">
        <v>631</v>
      </c>
    </row>
    <row r="22" spans="1:12">
      <c r="A22">
        <v>2026</v>
      </c>
      <c r="B22" t="s">
        <v>632</v>
      </c>
      <c r="C22" t="s">
        <v>67</v>
      </c>
      <c r="D22">
        <v>7925107033</v>
      </c>
      <c r="E22" s="7">
        <v>46152</v>
      </c>
      <c r="F22" s="7">
        <v>46197</v>
      </c>
      <c r="G22">
        <v>33</v>
      </c>
      <c r="H22" t="s">
        <v>633</v>
      </c>
      <c r="I22" t="s">
        <v>50</v>
      </c>
      <c r="J22" t="s">
        <v>51</v>
      </c>
      <c r="K22" t="s">
        <v>634</v>
      </c>
      <c r="L22" t="s">
        <v>635</v>
      </c>
    </row>
    <row r="23" spans="1:12">
      <c r="A23">
        <v>2026</v>
      </c>
      <c r="B23" t="s">
        <v>636</v>
      </c>
      <c r="C23" t="s">
        <v>67</v>
      </c>
      <c r="D23">
        <v>7926785070</v>
      </c>
      <c r="E23" s="7">
        <v>46171</v>
      </c>
      <c r="F23" s="7">
        <v>46198</v>
      </c>
      <c r="G23">
        <v>70</v>
      </c>
      <c r="H23" t="s">
        <v>81</v>
      </c>
      <c r="I23" t="s">
        <v>62</v>
      </c>
      <c r="J23" t="s">
        <v>42</v>
      </c>
      <c r="K23" t="s">
        <v>82</v>
      </c>
      <c r="L23" t="s">
        <v>637</v>
      </c>
    </row>
    <row r="24" spans="1:12">
      <c r="A24">
        <v>2026</v>
      </c>
      <c r="B24" t="s">
        <v>638</v>
      </c>
      <c r="C24" t="s">
        <v>67</v>
      </c>
      <c r="D24">
        <v>7900510045</v>
      </c>
      <c r="E24" s="7">
        <v>46186</v>
      </c>
      <c r="F24" s="7">
        <v>46199</v>
      </c>
      <c r="G24">
        <v>45</v>
      </c>
      <c r="H24" t="s">
        <v>132</v>
      </c>
      <c r="I24" t="s">
        <v>132</v>
      </c>
      <c r="J24" t="s">
        <v>51</v>
      </c>
      <c r="K24" t="s">
        <v>639</v>
      </c>
      <c r="L24" t="s">
        <v>640</v>
      </c>
    </row>
    <row r="25" spans="1:12">
      <c r="A25">
        <v>2026</v>
      </c>
      <c r="B25" t="s">
        <v>641</v>
      </c>
      <c r="C25" t="s">
        <v>67</v>
      </c>
      <c r="D25">
        <v>5800440256</v>
      </c>
      <c r="E25" s="7">
        <v>46192</v>
      </c>
      <c r="F25" s="7">
        <v>46199</v>
      </c>
      <c r="G25">
        <v>256</v>
      </c>
      <c r="H25" t="s">
        <v>107</v>
      </c>
      <c r="I25" t="s">
        <v>108</v>
      </c>
      <c r="J25" t="s">
        <v>42</v>
      </c>
      <c r="K25" t="s">
        <v>109</v>
      </c>
      <c r="L25" t="s">
        <v>642</v>
      </c>
    </row>
    <row r="26" spans="1:12">
      <c r="A26">
        <v>2026</v>
      </c>
      <c r="B26" t="s">
        <v>643</v>
      </c>
      <c r="C26" t="s">
        <v>67</v>
      </c>
      <c r="D26">
        <v>7962635060</v>
      </c>
      <c r="E26" s="7">
        <v>46190</v>
      </c>
      <c r="F26" s="7">
        <v>46202</v>
      </c>
      <c r="G26">
        <v>60</v>
      </c>
      <c r="H26" t="s">
        <v>533</v>
      </c>
      <c r="I26" t="s">
        <v>154</v>
      </c>
      <c r="J26" t="s">
        <v>51</v>
      </c>
      <c r="K26" t="s">
        <v>644</v>
      </c>
      <c r="L26" t="s">
        <v>645</v>
      </c>
    </row>
    <row r="27" spans="1:12">
      <c r="A27">
        <v>2026</v>
      </c>
      <c r="B27" t="s">
        <v>646</v>
      </c>
      <c r="C27" t="s">
        <v>67</v>
      </c>
      <c r="D27">
        <v>7903569004</v>
      </c>
      <c r="E27" s="7">
        <v>46202</v>
      </c>
      <c r="F27" s="7">
        <v>46210</v>
      </c>
      <c r="G27">
        <v>4</v>
      </c>
      <c r="H27" t="s">
        <v>57</v>
      </c>
      <c r="I27" t="s">
        <v>57</v>
      </c>
      <c r="J27" t="s">
        <v>51</v>
      </c>
      <c r="K27" t="s">
        <v>647</v>
      </c>
      <c r="L27" t="s">
        <v>648</v>
      </c>
    </row>
    <row r="28" spans="1:12">
      <c r="A28">
        <v>2026</v>
      </c>
      <c r="B28" t="s">
        <v>649</v>
      </c>
      <c r="C28" t="s">
        <v>67</v>
      </c>
      <c r="D28">
        <v>7954668084</v>
      </c>
      <c r="E28" s="7">
        <v>46192</v>
      </c>
      <c r="F28" s="7">
        <v>46210</v>
      </c>
      <c r="G28">
        <v>84</v>
      </c>
      <c r="H28" t="s">
        <v>210</v>
      </c>
      <c r="I28" t="s">
        <v>210</v>
      </c>
      <c r="J28" t="s">
        <v>42</v>
      </c>
      <c r="K28" t="s">
        <v>275</v>
      </c>
      <c r="L28" t="s">
        <v>650</v>
      </c>
    </row>
    <row r="29" spans="1:12">
      <c r="A29">
        <v>2026</v>
      </c>
      <c r="B29" t="s">
        <v>651</v>
      </c>
      <c r="C29" t="s">
        <v>67</v>
      </c>
      <c r="D29">
        <v>7927713200</v>
      </c>
      <c r="E29" s="7">
        <v>46202</v>
      </c>
      <c r="F29" s="7">
        <v>46211</v>
      </c>
      <c r="G29">
        <v>200</v>
      </c>
      <c r="H29" t="s">
        <v>327</v>
      </c>
      <c r="I29" t="s">
        <v>177</v>
      </c>
      <c r="J29" t="s">
        <v>76</v>
      </c>
      <c r="K29" t="s">
        <v>652</v>
      </c>
      <c r="L29" t="s">
        <v>653</v>
      </c>
    </row>
    <row r="30" spans="1:12">
      <c r="A30">
        <v>2026</v>
      </c>
      <c r="B30" t="s">
        <v>654</v>
      </c>
      <c r="C30" t="s">
        <v>67</v>
      </c>
      <c r="D30">
        <v>7936038076</v>
      </c>
      <c r="E30" s="7">
        <v>46202</v>
      </c>
      <c r="F30" s="7">
        <v>46211</v>
      </c>
      <c r="G30">
        <v>76</v>
      </c>
      <c r="H30" t="s">
        <v>335</v>
      </c>
      <c r="I30" t="s">
        <v>336</v>
      </c>
      <c r="J30" t="s">
        <v>76</v>
      </c>
      <c r="K30" t="s">
        <v>406</v>
      </c>
      <c r="L30" t="s">
        <v>655</v>
      </c>
    </row>
    <row r="31" spans="1:12">
      <c r="A31">
        <v>2026</v>
      </c>
      <c r="B31" t="s">
        <v>656</v>
      </c>
      <c r="C31" t="s">
        <v>67</v>
      </c>
      <c r="D31">
        <v>7908708116</v>
      </c>
      <c r="E31" s="7">
        <v>46202</v>
      </c>
      <c r="F31" s="7">
        <v>46211</v>
      </c>
      <c r="G31">
        <v>116</v>
      </c>
      <c r="H31" t="s">
        <v>200</v>
      </c>
      <c r="I31" t="s">
        <v>75</v>
      </c>
      <c r="J31" t="s">
        <v>76</v>
      </c>
      <c r="K31" t="s">
        <v>77</v>
      </c>
      <c r="L31" t="s">
        <v>657</v>
      </c>
    </row>
    <row r="32" spans="1:12">
      <c r="A32">
        <v>2026</v>
      </c>
      <c r="B32" t="s">
        <v>658</v>
      </c>
      <c r="C32" t="s">
        <v>67</v>
      </c>
      <c r="D32">
        <v>7955520116</v>
      </c>
      <c r="E32" s="7">
        <v>46202</v>
      </c>
      <c r="F32" s="7">
        <v>46211</v>
      </c>
      <c r="G32">
        <v>116</v>
      </c>
      <c r="H32" t="s">
        <v>200</v>
      </c>
      <c r="I32" t="s">
        <v>75</v>
      </c>
      <c r="J32" t="s">
        <v>76</v>
      </c>
      <c r="K32" t="s">
        <v>77</v>
      </c>
      <c r="L32" t="s">
        <v>659</v>
      </c>
    </row>
    <row r="33" spans="1:12">
      <c r="A33">
        <v>2026</v>
      </c>
      <c r="B33" t="s">
        <v>660</v>
      </c>
      <c r="C33" t="s">
        <v>67</v>
      </c>
      <c r="D33">
        <v>7957021094</v>
      </c>
      <c r="E33" s="7">
        <v>46162</v>
      </c>
      <c r="F33" s="7">
        <v>46213</v>
      </c>
      <c r="G33">
        <v>94</v>
      </c>
      <c r="H33" t="s">
        <v>177</v>
      </c>
      <c r="I33" t="s">
        <v>177</v>
      </c>
      <c r="J33" t="s">
        <v>76</v>
      </c>
      <c r="K33" t="s">
        <v>263</v>
      </c>
      <c r="L33" t="s">
        <v>661</v>
      </c>
    </row>
    <row r="34" spans="1:12">
      <c r="A34">
        <v>2026</v>
      </c>
      <c r="B34" t="s">
        <v>662</v>
      </c>
      <c r="C34" t="s">
        <v>96</v>
      </c>
      <c r="D34">
        <v>5820790038</v>
      </c>
      <c r="E34" s="7">
        <v>46200</v>
      </c>
      <c r="F34" s="7">
        <v>46216</v>
      </c>
      <c r="G34">
        <v>38</v>
      </c>
      <c r="H34" t="s">
        <v>564</v>
      </c>
      <c r="I34" t="s">
        <v>75</v>
      </c>
      <c r="J34" t="s">
        <v>76</v>
      </c>
      <c r="K34" t="s">
        <v>663</v>
      </c>
      <c r="L34" t="s">
        <v>664</v>
      </c>
    </row>
    <row r="35" spans="1:12">
      <c r="A35">
        <v>2026</v>
      </c>
      <c r="B35" t="s">
        <v>665</v>
      </c>
      <c r="C35" t="s">
        <v>67</v>
      </c>
      <c r="D35">
        <v>7948412064</v>
      </c>
      <c r="E35" s="7">
        <v>46203</v>
      </c>
      <c r="F35" s="7">
        <v>46216</v>
      </c>
      <c r="G35">
        <v>64</v>
      </c>
      <c r="H35" t="s">
        <v>563</v>
      </c>
      <c r="I35" t="s">
        <v>50</v>
      </c>
      <c r="J35" t="s">
        <v>51</v>
      </c>
      <c r="K35" t="s">
        <v>666</v>
      </c>
      <c r="L35" t="s">
        <v>667</v>
      </c>
    </row>
    <row r="36" spans="1:12">
      <c r="A36">
        <v>2026</v>
      </c>
      <c r="B36" t="s">
        <v>668</v>
      </c>
      <c r="C36" t="s">
        <v>96</v>
      </c>
      <c r="D36">
        <v>5800657026</v>
      </c>
      <c r="E36" s="7">
        <v>46216</v>
      </c>
      <c r="F36" s="7">
        <v>46216</v>
      </c>
      <c r="G36">
        <v>26</v>
      </c>
      <c r="H36" t="s">
        <v>108</v>
      </c>
      <c r="I36" t="s">
        <v>108</v>
      </c>
      <c r="J36" t="s">
        <v>42</v>
      </c>
      <c r="K36" t="s">
        <v>109</v>
      </c>
      <c r="L36" t="s">
        <v>669</v>
      </c>
    </row>
    <row r="37" spans="1:12">
      <c r="A37">
        <v>2026</v>
      </c>
      <c r="B37" t="s">
        <v>670</v>
      </c>
      <c r="C37" t="s">
        <v>125</v>
      </c>
      <c r="D37">
        <v>5801866013</v>
      </c>
      <c r="E37" s="7">
        <v>46213</v>
      </c>
      <c r="F37" s="7">
        <v>46217</v>
      </c>
      <c r="G37">
        <v>13</v>
      </c>
      <c r="H37" t="s">
        <v>97</v>
      </c>
      <c r="I37" t="s">
        <v>97</v>
      </c>
      <c r="J37" t="s">
        <v>42</v>
      </c>
      <c r="K37" t="s">
        <v>182</v>
      </c>
      <c r="L37" t="s">
        <v>671</v>
      </c>
    </row>
    <row r="38" spans="1:12">
      <c r="A38">
        <v>2026</v>
      </c>
      <c r="B38" t="s">
        <v>672</v>
      </c>
      <c r="C38" t="s">
        <v>67</v>
      </c>
      <c r="D38">
        <v>7925713040</v>
      </c>
      <c r="E38" s="7">
        <v>46183</v>
      </c>
      <c r="F38" s="7">
        <v>46220</v>
      </c>
      <c r="G38">
        <v>40</v>
      </c>
      <c r="H38" t="s">
        <v>492</v>
      </c>
      <c r="I38" t="s">
        <v>57</v>
      </c>
      <c r="J38" t="s">
        <v>51</v>
      </c>
      <c r="K38" t="s">
        <v>249</v>
      </c>
      <c r="L38" t="s">
        <v>673</v>
      </c>
    </row>
    <row r="39" spans="1:12">
      <c r="A39">
        <v>2026</v>
      </c>
      <c r="B39" t="s">
        <v>674</v>
      </c>
      <c r="C39" t="s">
        <v>67</v>
      </c>
      <c r="D39">
        <v>7934697002</v>
      </c>
      <c r="E39" s="7">
        <v>46199</v>
      </c>
      <c r="F39" s="7">
        <v>46223</v>
      </c>
      <c r="G39">
        <v>2</v>
      </c>
      <c r="H39" t="s">
        <v>223</v>
      </c>
      <c r="I39" t="s">
        <v>223</v>
      </c>
      <c r="J39" t="s">
        <v>51</v>
      </c>
      <c r="K39" t="s">
        <v>675</v>
      </c>
      <c r="L39" t="s">
        <v>676</v>
      </c>
    </row>
    <row r="40" spans="1:12">
      <c r="A40">
        <v>2026</v>
      </c>
      <c r="B40" t="s">
        <v>677</v>
      </c>
      <c r="C40" t="s">
        <v>678</v>
      </c>
      <c r="D40">
        <v>5844630060</v>
      </c>
      <c r="E40" s="7">
        <v>46223</v>
      </c>
      <c r="F40" s="7">
        <v>46227</v>
      </c>
      <c r="G40">
        <v>60</v>
      </c>
      <c r="H40" t="s">
        <v>533</v>
      </c>
      <c r="I40" t="s">
        <v>154</v>
      </c>
      <c r="J40" t="s">
        <v>51</v>
      </c>
      <c r="K40" t="s">
        <v>644</v>
      </c>
      <c r="L40" t="s">
        <v>679</v>
      </c>
    </row>
  </sheetData>
  <pageMargins left="0.511811024" right="0.511811024" top="0.78740157499999996" bottom="0.78740157499999996" header="0.31496062000000002" footer="0.31496062000000002"/>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83E57-83F9-433A-8E20-FF9303444787}">
  <dimension ref="A1:Z135"/>
  <sheetViews>
    <sheetView tabSelected="1" topLeftCell="G9" zoomScale="115" zoomScaleNormal="115" workbookViewId="0">
      <selection activeCell="I62" sqref="I62"/>
    </sheetView>
  </sheetViews>
  <sheetFormatPr defaultRowHeight="15" customHeight="1"/>
  <cols>
    <col min="1" max="1" width="16.85546875" style="4" customWidth="1"/>
    <col min="2" max="2" width="8.7109375" style="5" customWidth="1"/>
    <col min="3" max="3" width="34" style="5" bestFit="1" customWidth="1"/>
    <col min="4" max="4" width="28.140625" style="5" bestFit="1" customWidth="1"/>
    <col min="5" max="5" width="18.28515625" style="5" bestFit="1" customWidth="1"/>
    <col min="6" max="6" width="33.85546875" style="4" bestFit="1" customWidth="1"/>
    <col min="7" max="7" width="55.5703125" style="4" customWidth="1"/>
    <col min="8" max="8" width="64" style="4" bestFit="1" customWidth="1"/>
    <col min="9" max="9" width="29.140625" style="4" customWidth="1"/>
    <col min="10" max="10" width="52.140625" bestFit="1" customWidth="1"/>
    <col min="11" max="11" width="18.28515625" style="30" customWidth="1"/>
    <col min="12" max="12" width="255.7109375" bestFit="1" customWidth="1"/>
    <col min="13" max="22" width="12.7109375" customWidth="1"/>
    <col min="23" max="23" width="144.5703125" bestFit="1" customWidth="1"/>
    <col min="24" max="27" width="17.28515625" customWidth="1"/>
  </cols>
  <sheetData>
    <row r="1" spans="1:26" ht="15" customHeight="1">
      <c r="A1" s="4" t="s">
        <v>426</v>
      </c>
      <c r="B1" s="5" t="s">
        <v>427</v>
      </c>
      <c r="C1" s="5" t="s">
        <v>428</v>
      </c>
      <c r="D1" s="5" t="s">
        <v>429</v>
      </c>
      <c r="E1" s="5" t="s">
        <v>430</v>
      </c>
      <c r="F1" s="4" t="s">
        <v>431</v>
      </c>
      <c r="G1" s="4" t="s">
        <v>432</v>
      </c>
      <c r="H1" s="4" t="s">
        <v>433</v>
      </c>
      <c r="I1" s="4" t="s">
        <v>434</v>
      </c>
      <c r="J1" t="s">
        <v>435</v>
      </c>
      <c r="K1" s="10" t="s">
        <v>3</v>
      </c>
      <c r="L1" t="s">
        <v>436</v>
      </c>
      <c r="M1" t="s">
        <v>28</v>
      </c>
      <c r="N1" t="s">
        <v>29</v>
      </c>
      <c r="O1" t="s">
        <v>30</v>
      </c>
      <c r="P1" t="s">
        <v>31</v>
      </c>
      <c r="Q1" t="s">
        <v>32</v>
      </c>
      <c r="R1" t="s">
        <v>33</v>
      </c>
      <c r="S1" t="s">
        <v>34</v>
      </c>
      <c r="T1" t="s">
        <v>35</v>
      </c>
      <c r="U1" t="s">
        <v>36</v>
      </c>
      <c r="V1" t="s">
        <v>2</v>
      </c>
      <c r="W1" t="s">
        <v>37</v>
      </c>
      <c r="Y1" s="51" t="s">
        <v>680</v>
      </c>
      <c r="Z1" s="52"/>
    </row>
    <row r="2" spans="1:26" ht="15" customHeight="1">
      <c r="A2" s="4">
        <v>5800291077</v>
      </c>
      <c r="B2" s="5" t="str">
        <f>MID(Table[[#This Row],[Ativo]],1,2)</f>
        <v>58</v>
      </c>
      <c r="C2" s="5" t="s">
        <v>144</v>
      </c>
      <c r="D2" s="5" t="s">
        <v>57</v>
      </c>
      <c r="E2" s="5" t="s">
        <v>51</v>
      </c>
      <c r="F2" s="4" t="str">
        <f>IFERROR(_xlfn.XLOOKUP(Table[[#This Row],[Ativo]],Pendentes[COD_RELIGADOR],Pendentes[SS_ORIGINAL]),"CONCLUÍDA")</f>
        <v>CONCLUÍDA</v>
      </c>
      <c r="I2" s="4" t="s">
        <v>438</v>
      </c>
      <c r="J2" s="29"/>
      <c r="K2" s="31"/>
      <c r="L2" t="str">
        <f>IFERROR(_xlfn.XLOOKUP(Table[[#This Row],[Ativo]],Pendentes[COD_RELIGADOR],Pendentes[DESCRICAO]),"")</f>
        <v/>
      </c>
      <c r="M2" s="5">
        <v>40</v>
      </c>
      <c r="N2" s="5">
        <v>20</v>
      </c>
      <c r="O2" s="5">
        <v>20</v>
      </c>
      <c r="P2" s="5">
        <v>20</v>
      </c>
      <c r="Q2" s="5">
        <v>20</v>
      </c>
      <c r="R2" s="5" t="s">
        <v>45</v>
      </c>
      <c r="S2" s="5" t="s">
        <v>45</v>
      </c>
      <c r="T2" s="5" t="s">
        <v>45</v>
      </c>
      <c r="U2" s="5">
        <f>SUM(Table[[#This Row],[Premissa 1]:[Premissa 8]])</f>
        <v>120</v>
      </c>
      <c r="V2" s="5" t="s">
        <v>9</v>
      </c>
      <c r="W2" t="s">
        <v>440</v>
      </c>
      <c r="Y2" s="8" t="s">
        <v>681</v>
      </c>
      <c r="Z2" s="8" t="s">
        <v>682</v>
      </c>
    </row>
    <row r="3" spans="1:26" ht="15" hidden="1" customHeight="1">
      <c r="A3" s="12">
        <v>5854566043</v>
      </c>
      <c r="B3" s="5" t="str">
        <f>MID(Table[[#This Row],[Ativo]],1,2)</f>
        <v>58</v>
      </c>
      <c r="C3" s="5" t="s">
        <v>40</v>
      </c>
      <c r="D3" s="5" t="s">
        <v>41</v>
      </c>
      <c r="E3" s="5" t="s">
        <v>42</v>
      </c>
      <c r="F3" s="4" t="str">
        <f>IFERROR(_xlfn.XLOOKUP(Table[[#This Row],[Ativo]],Pendentes[COD_RELIGADOR],Pendentes[SS_ORIGINAL]),"CONCLUÍDA")</f>
        <v>ETO-RD-PO 00213/2026</v>
      </c>
      <c r="G3" s="5" t="s">
        <v>683</v>
      </c>
      <c r="H3" s="4" t="s">
        <v>684</v>
      </c>
      <c r="I3" s="4" t="s">
        <v>443</v>
      </c>
      <c r="J3" s="29" t="s">
        <v>444</v>
      </c>
      <c r="K3" s="31">
        <v>1</v>
      </c>
      <c r="L3" t="str">
        <f>IFERROR(_xlfn.XLOOKUP(Table[[#This Row],[Ativo]],Pendentes[COD_RELIGADOR],Pendentes[DESCRICAO]),"")</f>
        <v>22/07/2026 PARECER COEP: EQUIPAMENTO ENTREGUE AOS COCM´SPRAZO DE 7 DIAS CONTANDO O SLA.PARECER COEP: EQUIPAMENTO ENTREGUE AOS COCM´S FAVOR SUSBSTTUIR , E AGUARDO O PRAZO DE PREVISÃO DE SUBSTIUIÇÃOboa noite,segue SS para as devidas tratativas com equipe de manutenção com apoio de equipe de linha viva substituir regulador de tensão 5854566043 queimado célula fase c, LD Porto / Silvanópolis mesmo deverá ser substituído com apoio de equipe de linha viva PARECER DMSL: Foi realizado inspeção visual e ensaios de isolação, relação de transformação e resistência de enrolamento. A fase B está danificada e será necessário substituir a mesma. Malha de aterramento está relativamente boa e conectada. Fase A e C passaram nos ensaios. Substituir fase B.</v>
      </c>
      <c r="M3" s="5">
        <v>40</v>
      </c>
      <c r="N3" s="5">
        <v>20</v>
      </c>
      <c r="O3" s="5">
        <v>20</v>
      </c>
      <c r="P3" s="5">
        <v>10</v>
      </c>
      <c r="Q3" s="5">
        <v>20</v>
      </c>
      <c r="R3" s="5" t="s">
        <v>45</v>
      </c>
      <c r="S3" s="5" t="s">
        <v>45</v>
      </c>
      <c r="T3" s="5" t="s">
        <v>45</v>
      </c>
      <c r="U3" s="5">
        <f>SUM(Table[[#This Row],[Premissa 1]:[Premissa 8]])</f>
        <v>110</v>
      </c>
      <c r="V3" s="5" t="s">
        <v>9</v>
      </c>
      <c r="W3" t="s">
        <v>46</v>
      </c>
    </row>
    <row r="4" spans="1:26" ht="15" hidden="1" customHeight="1">
      <c r="A4" s="12">
        <v>5800859011</v>
      </c>
      <c r="B4" s="5" t="str">
        <f>MID(Table[[#This Row],[Ativo]],1,2)</f>
        <v>58</v>
      </c>
      <c r="C4" s="5" t="s">
        <v>49</v>
      </c>
      <c r="D4" s="5" t="s">
        <v>50</v>
      </c>
      <c r="E4" s="5" t="s">
        <v>51</v>
      </c>
      <c r="F4" s="4" t="str">
        <f>IFERROR(_xlfn.XLOOKUP(Table[[#This Row],[Ativo]],Pendentes[COD_RELIGADOR],Pendentes[SS_ORIGINAL]),"CONCLUÍDA")</f>
        <v>ETO-RD-GR 00735/2026</v>
      </c>
      <c r="G4" s="4" t="s">
        <v>455</v>
      </c>
      <c r="H4" s="4" t="s">
        <v>568</v>
      </c>
      <c r="I4" s="4" t="s">
        <v>443</v>
      </c>
      <c r="J4" s="29" t="s">
        <v>447</v>
      </c>
      <c r="K4" s="31">
        <v>1</v>
      </c>
      <c r="L4" t="str">
        <f>IFERROR(_xlfn.XLOOKUP(Table[[#This Row],[Ativo]],Pendentes[COD_RELIGADOR],Pendentes[DESCRICAO]),"")</f>
        <v>16/07/2026 PARECER COEP: ALINHADO COM O JEAN DO DMSL E O KELLITON , KELLITON IRÁ FAZER A INSTALAÇÃO DO CONTROLE RUA E O JEAN IRÁ REALIZAR O COMISSIONAMENTO , FAZENDO A COMPATIBILIZAÇÃO DOS CABOS ASSIM COMO FICARÁ UM CONTROLE RUA NO NOSSO ESTOQUE SOBRESSALENTE PARA ATENDER O DE ARAPOEMA, ATÉ A CHEGADA DOS CABOS QUE O JEAN ME DEU REPORTE DE QUE SERIA ATÉ O DIA 16/08 , FAVOR COCM'S REALIZAREM A INSTALAÇÃO E GUARDAR CONTROLE RUA SOBRESSALENTE PARA ARAPOEMAPEÇA ENVIADA: CONTROLEPARECER DMSL: *FEEDBACK EQUIP. ESPECIAIS**Nº DO EQUIPAMENTO:* 5800859011*TIPO EQUIPAMENTO:* RT ITB *TIPO DE COMUNICAÇÃO:* Não *DATA DA MANUTENÇÃO:* 09/06/2026*SID:* 3195/2026*DESCRIÇÃO:* _ Foi identificado relé da fase C com defeito conforme orientação da supervisão e necessário realiza retrofit para instalação de controle rua.*FICOU EM OPERAÇÃO* Não*PENDÊNCIA:* Realizado Retrofit *DADOS DIVERGENTES DA PROGRAMAÇÃO:* Não*BATERIA SUBSTITUÍDA?:* Não*TIPO DE BATERIA:**EQUIPE:* Edeglan e Brunno.Observação: trocar por um controle RUA.------------------------------------------------------------------------------------------Enviar equipe do DMSL, para  fazer correção no RT 5800859011, o mesmo está com o displey da fase C apagado , dificutando  realizar  manobras no mesmo, emvirtude  disso o mesmo ficou BAY PASSADO EM CAMPO</v>
      </c>
      <c r="M4" s="5">
        <v>40</v>
      </c>
      <c r="N4" s="5">
        <v>20</v>
      </c>
      <c r="O4" s="5">
        <v>20</v>
      </c>
      <c r="P4" s="5">
        <v>10</v>
      </c>
      <c r="Q4" s="5">
        <v>20</v>
      </c>
      <c r="R4" s="5" t="s">
        <v>45</v>
      </c>
      <c r="S4" s="5" t="s">
        <v>45</v>
      </c>
      <c r="T4" s="5" t="s">
        <v>45</v>
      </c>
      <c r="U4" s="5">
        <f>SUM(Table[[#This Row],[Premissa 1]:[Premissa 8]])</f>
        <v>110</v>
      </c>
      <c r="V4" s="5" t="s">
        <v>9</v>
      </c>
      <c r="W4" t="s">
        <v>54</v>
      </c>
    </row>
    <row r="5" spans="1:26" ht="15" customHeight="1">
      <c r="A5" s="4">
        <v>5836764032</v>
      </c>
      <c r="B5" s="5" t="str">
        <f>MID(Table[[#This Row],[Ativo]],1,2)</f>
        <v>58</v>
      </c>
      <c r="C5" s="5" t="s">
        <v>448</v>
      </c>
      <c r="D5" s="5" t="s">
        <v>449</v>
      </c>
      <c r="E5" s="5" t="s">
        <v>76</v>
      </c>
      <c r="F5" s="4" t="str">
        <f>IFERROR(_xlfn.XLOOKUP(Table[[#This Row],[Ativo]],Pendentes[COD_RELIGADOR],Pendentes[SS_ORIGINAL]),"CONCLUÍDA")</f>
        <v>CONCLUÍDA</v>
      </c>
      <c r="I5" s="4" t="s">
        <v>438</v>
      </c>
      <c r="J5" s="29"/>
      <c r="K5" s="31"/>
      <c r="L5" t="str">
        <f>IFERROR(_xlfn.XLOOKUP(Table[[#This Row],[Ativo]],Pendentes[COD_RELIGADOR],Pendentes[DESCRICAO]),"")</f>
        <v/>
      </c>
      <c r="M5" s="5">
        <v>40</v>
      </c>
      <c r="N5" s="5">
        <v>20</v>
      </c>
      <c r="O5" s="5">
        <v>20</v>
      </c>
      <c r="P5" s="5">
        <v>10</v>
      </c>
      <c r="Q5" s="5">
        <v>20</v>
      </c>
      <c r="R5" s="5" t="s">
        <v>45</v>
      </c>
      <c r="S5" s="5" t="s">
        <v>45</v>
      </c>
      <c r="T5" s="5" t="s">
        <v>45</v>
      </c>
      <c r="U5" s="5">
        <f>SUM(Table[[#This Row],[Premissa 1]:[Premissa 8]])</f>
        <v>110</v>
      </c>
      <c r="V5" s="5" t="s">
        <v>9</v>
      </c>
      <c r="W5" t="s">
        <v>450</v>
      </c>
    </row>
    <row r="6" spans="1:26" ht="15" hidden="1" customHeight="1">
      <c r="A6" s="4">
        <v>7923673004</v>
      </c>
      <c r="B6" s="5" t="str">
        <f>MID(Table[[#This Row],[Ativo]],1,2)</f>
        <v>79</v>
      </c>
      <c r="C6" s="5" t="s">
        <v>57</v>
      </c>
      <c r="D6" s="5" t="s">
        <v>57</v>
      </c>
      <c r="E6" s="5" t="s">
        <v>51</v>
      </c>
      <c r="F6" s="4" t="str">
        <f>IFERROR(_xlfn.XLOOKUP(Table[[#This Row],[Ativo]],Pendentes[COD_RELIGADOR],Pendentes[SS_ORIGINAL]),"CONCLUÍDA")</f>
        <v>ETO-COEP 00124/2026</v>
      </c>
      <c r="G6" s="4" t="s">
        <v>451</v>
      </c>
      <c r="H6" s="4" t="s">
        <v>452</v>
      </c>
      <c r="I6" s="4" t="s">
        <v>685</v>
      </c>
      <c r="J6" s="29" t="s">
        <v>469</v>
      </c>
      <c r="K6" s="31">
        <v>1</v>
      </c>
      <c r="L6" t="str">
        <f>IFERROR(_xlfn.XLOOKUP(Table[[#This Row],[Ativo]],Pendentes[COD_RELIGADOR],Pendentes[DESCRICAO]),"")</f>
        <v>PARECER COEP: Verificar Disponibilidade de equipamento no Scada e enviar modelo e tensão para a compra.RELIGADOR COM RELÉ DANIFICADO, REALIZAR SUBSTITUIÇÃO</v>
      </c>
      <c r="M6" s="5">
        <v>15</v>
      </c>
      <c r="N6" s="5">
        <v>20</v>
      </c>
      <c r="O6" s="5">
        <v>15</v>
      </c>
      <c r="P6" s="5">
        <v>15</v>
      </c>
      <c r="Q6" s="5">
        <v>15</v>
      </c>
      <c r="R6" s="5">
        <v>10</v>
      </c>
      <c r="S6" s="5">
        <v>0</v>
      </c>
      <c r="T6" s="5">
        <v>15</v>
      </c>
      <c r="U6" s="5">
        <f>SUM(Table[[#This Row],[Premissa 1]:[Premissa 8]])</f>
        <v>105</v>
      </c>
      <c r="V6" s="5" t="s">
        <v>9</v>
      </c>
      <c r="W6" t="s">
        <v>60</v>
      </c>
    </row>
    <row r="7" spans="1:26" ht="15" hidden="1" customHeight="1">
      <c r="A7" s="4">
        <v>7931608059</v>
      </c>
      <c r="B7" s="5" t="str">
        <f>MID(Table[[#This Row],[Ativo]],1,2)</f>
        <v>79</v>
      </c>
      <c r="C7" s="5" t="s">
        <v>62</v>
      </c>
      <c r="D7" s="5" t="s">
        <v>62</v>
      </c>
      <c r="E7" s="5" t="s">
        <v>42</v>
      </c>
      <c r="F7" s="4" t="str">
        <f>IFERROR(_xlfn.XLOOKUP(Table[[#This Row],[Ativo]],Pendentes[COD_RELIGADOR],Pendentes[SS_ORIGINAL]),"CONCLUÍDA")</f>
        <v>ETO-COEP 00040/2026</v>
      </c>
      <c r="G7" s="4" t="s">
        <v>451</v>
      </c>
      <c r="I7" s="4" t="s">
        <v>685</v>
      </c>
      <c r="J7" s="29" t="s">
        <v>454</v>
      </c>
      <c r="K7" s="31">
        <v>1</v>
      </c>
      <c r="L7" t="str">
        <f>IFERROR(_xlfn.XLOOKUP(Table[[#This Row],[Ativo]],Pendentes[COD_RELIGADOR],Pendentes[DESCRICAO]),"")</f>
        <v>PARECER COEP: EQUIPAMENTO SELECIONADO PARA COMPRADMSL:Serviço Executado: Foi feita uma análise técnica no equipamento, devido à falta de comunicação. Também foi identificado que o tanque do equipamento está danificado, sendo assim,  necessário substituir o tanque e o rádio do equipamento, que está queimado, sendo necessário substituir também.</v>
      </c>
      <c r="M7" s="5">
        <v>15</v>
      </c>
      <c r="N7" s="5">
        <v>20</v>
      </c>
      <c r="O7" s="5">
        <v>15</v>
      </c>
      <c r="P7" s="5">
        <v>15</v>
      </c>
      <c r="Q7" s="5">
        <v>15</v>
      </c>
      <c r="R7" s="5">
        <v>10</v>
      </c>
      <c r="S7" s="5">
        <v>0</v>
      </c>
      <c r="T7" s="5">
        <v>15</v>
      </c>
      <c r="U7" s="5">
        <f>SUM(Table[[#This Row],[Premissa 1]:[Premissa 8]])</f>
        <v>105</v>
      </c>
      <c r="V7" s="5" t="s">
        <v>9</v>
      </c>
      <c r="W7" t="s">
        <v>65</v>
      </c>
    </row>
    <row r="8" spans="1:26" ht="15" hidden="1" customHeight="1">
      <c r="A8" s="4">
        <v>7931610122</v>
      </c>
      <c r="B8" s="5" t="str">
        <f>MID(Table[[#This Row],[Ativo]],1,2)</f>
        <v>79</v>
      </c>
      <c r="C8" s="5" t="s">
        <v>68</v>
      </c>
      <c r="D8" s="5" t="s">
        <v>68</v>
      </c>
      <c r="E8" s="5" t="s">
        <v>42</v>
      </c>
      <c r="F8" s="4" t="str">
        <f>IFERROR(_xlfn.XLOOKUP(Table[[#This Row],[Ativo]],Pendentes[COD_RELIGADOR],Pendentes[SS_ORIGINAL]),"CONCLUÍDA")</f>
        <v>ETO-TELE 01025/2026</v>
      </c>
      <c r="G8" s="4" t="s">
        <v>482</v>
      </c>
      <c r="I8" s="4" t="s">
        <v>443</v>
      </c>
      <c r="J8" s="29" t="s">
        <v>686</v>
      </c>
      <c r="K8" s="31">
        <v>1</v>
      </c>
      <c r="L8" t="str">
        <f>IFERROR(_xlfn.XLOOKUP(Table[[#This Row],[Ativo]],Pendentes[COD_RELIGADOR],Pendentes[DESCRICAO]),"")</f>
        <v>PARECER DA PROTEÇÃO:FAVOR COMISSIONAR RELIGADOR. AJUSTES PERMANECEM OS MESMOS E DISPONÍVEIS NO APP DA PROTEÇÃO.Estagiário Rafael P Marques.******************30/06 PARECER COEP: EQUIPAMENTO ENTREGUE, SEGUE SS PARA O COCM´S , PARA REALIZAR O ATENDIMENTO,FAVOR ADICIONAR O PARECER PARA MANDAR PARA PROTEÇÃOBom dia,Segue SS para verificação RL sem comunicação com painel apagado equipe DEOP fez primeiro ataque sem sucesso RL 7931610122 RDU de Palmas.Feedback Equipamentos Especiais DMSL: *RLG 7931610122 RDU Palmas*Noja rc10 Data: 14/10/2025SID: 5412Dados de comunicação divergentes da programação: Não. Serviço Executado: Houve um curto no equipamento danificando a parte ativa, e antena! Será necessário fazer a substituição somente da parte ativa (tanque) e da antena.Equipamento ficou em operação?: Não Pendência: Sim, substituir a parte ativa.Bateria(s) substituída(s)?: NãoData Fabricação/Instalação da(s) bateria(s): 2024Equipe: Benvindo, Juliano e Sérgio.***** Parecer do COCM CENTRO*****Equipamento Substituido em campo pela Ordem de ServiÇO DLP-MPPA01 243/2026, ONDE OS RELATORIO ESTÃO ANEXADO.--------------------------------------------------------Parecer DMSL:Equipamento substituído porém não informado se antena também foi substituída. Levar antena para caso da mesmo não ter sido substituída.</v>
      </c>
      <c r="M8" s="5">
        <v>15</v>
      </c>
      <c r="N8" s="5">
        <v>20</v>
      </c>
      <c r="O8" s="5">
        <v>15</v>
      </c>
      <c r="P8" s="5">
        <v>15</v>
      </c>
      <c r="Q8" s="5">
        <v>15</v>
      </c>
      <c r="R8" s="5">
        <v>10</v>
      </c>
      <c r="S8" s="5">
        <v>0</v>
      </c>
      <c r="T8" s="5">
        <v>15</v>
      </c>
      <c r="U8" s="5">
        <f>SUM(Table[[#This Row],[Premissa 1]:[Premissa 8]])</f>
        <v>105</v>
      </c>
      <c r="V8" s="5" t="s">
        <v>9</v>
      </c>
      <c r="W8" t="s">
        <v>71</v>
      </c>
    </row>
    <row r="9" spans="1:26" ht="15" customHeight="1">
      <c r="A9" s="4">
        <v>7900648055</v>
      </c>
      <c r="B9" s="5" t="str">
        <f>MID(Table[[#This Row],[Ativo]],1,2)</f>
        <v>79</v>
      </c>
      <c r="C9" s="5" t="s">
        <v>458</v>
      </c>
      <c r="D9" s="5" t="s">
        <v>210</v>
      </c>
      <c r="E9" s="5" t="s">
        <v>42</v>
      </c>
      <c r="F9" s="4" t="str">
        <f>IFERROR(_xlfn.XLOOKUP(Table[[#This Row],[Ativo]],Pendentes[COD_RELIGADOR],Pendentes[SS_ORIGINAL]),"CONCLUÍDA")</f>
        <v>CONCLUÍDA</v>
      </c>
      <c r="I9" s="4" t="s">
        <v>438</v>
      </c>
      <c r="J9" s="29"/>
      <c r="K9" s="31"/>
      <c r="L9" t="str">
        <f>IFERROR(_xlfn.XLOOKUP(Table[[#This Row],[Ativo]],Pendentes[COD_RELIGADOR],Pendentes[DESCRICAO]),"")</f>
        <v/>
      </c>
      <c r="M9" s="5">
        <v>15</v>
      </c>
      <c r="N9" s="5">
        <v>20</v>
      </c>
      <c r="O9" s="5">
        <v>15</v>
      </c>
      <c r="P9" s="5">
        <v>15</v>
      </c>
      <c r="Q9" s="5">
        <v>15</v>
      </c>
      <c r="R9" s="5">
        <v>10</v>
      </c>
      <c r="S9" s="5">
        <v>0</v>
      </c>
      <c r="T9" s="5">
        <v>15</v>
      </c>
      <c r="U9" s="5">
        <f>SUM(Table[[#This Row],[Premissa 1]:[Premissa 8]])</f>
        <v>105</v>
      </c>
      <c r="V9" s="5" t="s">
        <v>9</v>
      </c>
      <c r="W9" t="s">
        <v>459</v>
      </c>
    </row>
    <row r="10" spans="1:26" ht="15" hidden="1" customHeight="1">
      <c r="A10" s="4">
        <v>7947203070</v>
      </c>
      <c r="B10" s="5" t="str">
        <f>MID(Table[[#This Row],[Ativo]],1,2)</f>
        <v>79</v>
      </c>
      <c r="C10" s="5" t="s">
        <v>81</v>
      </c>
      <c r="D10" s="5" t="s">
        <v>62</v>
      </c>
      <c r="E10" s="5" t="s">
        <v>42</v>
      </c>
      <c r="F10" s="4" t="str">
        <f>IFERROR(_xlfn.XLOOKUP(Table[[#This Row],[Ativo]],Pendentes[COD_RELIGADOR],Pendentes[SS_ORIGINAL]),"CONCLUÍDA")</f>
        <v>ETO-COEP 00131/2026</v>
      </c>
      <c r="G10" s="4" t="s">
        <v>451</v>
      </c>
      <c r="I10" s="4" t="s">
        <v>685</v>
      </c>
      <c r="J10" s="29" t="s">
        <v>460</v>
      </c>
      <c r="K10" s="31">
        <v>1</v>
      </c>
      <c r="L10" t="str">
        <f>IFERROR(_xlfn.XLOOKUP(Table[[#This Row],[Ativo]],Pendentes[COD_RELIGADOR],Pendentes[DESCRICAO]),"")</f>
        <v>13/07 PARECER COEP: SELECIONADO PARA COMPRA CONTROLE favor verificar RL 7947203070, sem comunicaçao, feito 1° ataque pela equipe 070OP01 e nao retornou a comunicaçao , linformaçao no Scada de bateria.PARECER DMSL: Foi feito análise técnica, a placa do equipamento está queimada nessesario subistituir o equipamento completo -Carliel e Benvindo-05/02</v>
      </c>
      <c r="M10" s="5">
        <v>10</v>
      </c>
      <c r="N10" s="5">
        <v>20</v>
      </c>
      <c r="O10" s="5">
        <v>15</v>
      </c>
      <c r="P10" s="5">
        <v>15</v>
      </c>
      <c r="Q10" s="5">
        <v>15</v>
      </c>
      <c r="R10" s="5">
        <v>10</v>
      </c>
      <c r="S10" s="5">
        <v>0</v>
      </c>
      <c r="T10" s="5">
        <v>15</v>
      </c>
      <c r="U10" s="5">
        <f>SUM(Table[[#This Row],[Premissa 1]:[Premissa 8]])</f>
        <v>100</v>
      </c>
      <c r="V10" s="5" t="s">
        <v>9</v>
      </c>
      <c r="W10" t="s">
        <v>84</v>
      </c>
    </row>
    <row r="11" spans="1:26" ht="15" hidden="1" customHeight="1">
      <c r="A11" s="4">
        <v>5856070091</v>
      </c>
      <c r="B11" s="5" t="str">
        <f>MID(Table[[#This Row],[Ativo]],1,2)</f>
        <v>58</v>
      </c>
      <c r="C11" s="5" t="s">
        <v>74</v>
      </c>
      <c r="D11" s="5" t="s">
        <v>75</v>
      </c>
      <c r="E11" s="5" t="s">
        <v>76</v>
      </c>
      <c r="F11" s="4" t="str">
        <f>IFERROR(_xlfn.XLOOKUP(Table[[#This Row],[Ativo]],Pendentes[COD_RELIGADOR],Pendentes[SS_ORIGINAL]),"CONCLUÍDA")</f>
        <v>ETO-RD-DP 00479/2026</v>
      </c>
      <c r="G11" s="4" t="s">
        <v>445</v>
      </c>
      <c r="H11" s="4" t="s">
        <v>687</v>
      </c>
      <c r="I11" s="4" t="s">
        <v>443</v>
      </c>
      <c r="J11" s="29" t="s">
        <v>462</v>
      </c>
      <c r="K11" s="31">
        <v>3</v>
      </c>
      <c r="L11" t="str">
        <f>IFERROR(_xlfn.XLOOKUP(Table[[#This Row],[Ativo]],Pendentes[COD_RELIGADOR],Pendentes[DESCRICAO]),"")</f>
        <v>PARECER DMSL: não foi regularizado a instalação do equipamento, nota repassada conforme alinhado com o supervisor.____________________________________________COCMS 26.03.26. SS REPASSADA PARA COEP PROVIDENCIAR MATERIAL. NÃO TEMOS AS PÇ EM ESTOQUE PARA FAZER A SUBSTITUIÇÃO. Solicitação de serviço para reposição de equipamentos furtados .COEP: Equipamento fornecido ao COCM-S para regularização.COCMS: Equipamento substituido conforme solicitado. Gentileza comissionar.PARECER DA PROTEÇÃO:SEGUE NOTA REPASSADA PARA DMSL COMISSIONAR.ENG° IRLLEY CASTELO BRANCOPARECER DMSL(23/09/2025): Feito a parte de comunicação, fechando enlace, configuração do rádio GE. Feito a medição de aterramento. Após uma inspeção, foi identificado que o regulador de tensão está instalado errado, carga está para o lado de fonte e fonte está do lado de carga. O certo é a fonte vim de almas, atualmente está vindo de natividade. Favor fazer a instalação correta.</v>
      </c>
      <c r="M11" s="5">
        <v>40</v>
      </c>
      <c r="N11" s="5">
        <v>20</v>
      </c>
      <c r="O11" s="5">
        <v>20</v>
      </c>
      <c r="P11" s="5">
        <v>20</v>
      </c>
      <c r="Q11" s="5">
        <v>0</v>
      </c>
      <c r="R11" s="5" t="s">
        <v>45</v>
      </c>
      <c r="S11" s="5" t="s">
        <v>45</v>
      </c>
      <c r="T11" s="5" t="s">
        <v>45</v>
      </c>
      <c r="U11" s="5">
        <f>SUM(Table[[#This Row],[Premissa 1]:[Premissa 8]])</f>
        <v>100</v>
      </c>
      <c r="V11" s="5" t="s">
        <v>9</v>
      </c>
      <c r="W11" t="s">
        <v>79</v>
      </c>
    </row>
    <row r="12" spans="1:26" ht="15" customHeight="1">
      <c r="A12" s="12">
        <v>7903569004</v>
      </c>
      <c r="B12" s="5" t="str">
        <f>MID(Table[[#This Row],[Ativo]],1,2)</f>
        <v>79</v>
      </c>
      <c r="C12" s="5" t="s">
        <v>57</v>
      </c>
      <c r="D12" s="5" t="s">
        <v>57</v>
      </c>
      <c r="E12" s="5" t="s">
        <v>51</v>
      </c>
      <c r="F12" s="4" t="str">
        <f>IFERROR(_xlfn.XLOOKUP(Table[[#This Row],[Ativo]],Pendentes[COD_RELIGADOR],Pendentes[SS_ORIGINAL]),"CONCLUÍDA")</f>
        <v>CONCLUÍDA</v>
      </c>
      <c r="J12" s="29"/>
      <c r="K12" s="31"/>
      <c r="L12" t="str">
        <f>IFERROR(_xlfn.XLOOKUP(Table[[#This Row],[Ativo]],Pendentes[COD_RELIGADOR],Pendentes[DESCRICAO]),"")</f>
        <v/>
      </c>
      <c r="M12" s="5">
        <v>15</v>
      </c>
      <c r="N12" s="5">
        <v>20</v>
      </c>
      <c r="O12" s="5">
        <v>5</v>
      </c>
      <c r="P12" s="5">
        <v>15</v>
      </c>
      <c r="Q12" s="5">
        <v>15</v>
      </c>
      <c r="R12" s="5">
        <v>10</v>
      </c>
      <c r="S12" s="5">
        <v>0</v>
      </c>
      <c r="T12" s="5">
        <v>15</v>
      </c>
      <c r="U12" s="5">
        <f>SUM(Table[[#This Row],[Premissa 1]:[Premissa 8]])</f>
        <v>95</v>
      </c>
      <c r="V12" s="5" t="s">
        <v>9</v>
      </c>
      <c r="W12" t="s">
        <v>463</v>
      </c>
    </row>
    <row r="13" spans="1:26" ht="15" hidden="1" customHeight="1">
      <c r="A13" s="4">
        <v>7925744087</v>
      </c>
      <c r="B13" s="5" t="str">
        <f>MID(Table[[#This Row],[Ativo]],1,2)</f>
        <v>79</v>
      </c>
      <c r="C13" s="5" t="s">
        <v>91</v>
      </c>
      <c r="D13" s="5" t="s">
        <v>50</v>
      </c>
      <c r="E13" s="5" t="s">
        <v>51</v>
      </c>
      <c r="F13" s="4" t="str">
        <f>IFERROR(_xlfn.XLOOKUP(Table[[#This Row],[Ativo]],Pendentes[COD_RELIGADOR],Pendentes[SS_ORIGINAL]),"CONCLUÍDA")</f>
        <v>ETO-COEP 00059/2026</v>
      </c>
      <c r="G13" s="4" t="s">
        <v>451</v>
      </c>
      <c r="H13" s="4" t="s">
        <v>464</v>
      </c>
      <c r="I13" s="4" t="s">
        <v>685</v>
      </c>
      <c r="J13" s="29" t="s">
        <v>465</v>
      </c>
      <c r="K13" s="31">
        <v>1</v>
      </c>
      <c r="L13" t="str">
        <f>IFERROR(_xlfn.XLOOKUP(Table[[#This Row],[Ativo]],Pendentes[COD_RELIGADOR],Pendentes[DESCRICAO]),"")</f>
        <v>PARECER COEP: EQUIPAMENTO SELECIONADO PARA COMPRAPARECER DMSL: FEEDBACK EQUIP. ESPECIAISNº DO EQUIPAMENTO:  7925744087TIPO EQUIPAMENTO: Noja RC 10TIPO DE COMUNICAÇÃO: Radio GE IPDATA DA MANUTENÇÃO: 19/02/2026SID: 735/2026 DESCRIÇÃO: foi identificado água dentro da parte interna do tanque e cabo umbilical encharcado de água foi passado essas informações para COS.FICOU EM OPERAÇÃO?: Não PENDÊNCIA: Sim substituir tanque e cabo umbilicalDADOS DIVERGENTES DA PROGRAMAÇÃO: NãoBATERIA SUBSTITUÍDA?: Não DATA DA BATERIA: 07/05/2025TIPO DE BATERIA: Lítio EQUIPE: Edeglan e Janio-------------------------------------------------------------------------------------------------RELIGADOR SEM COMUNICAÇÃO, APOS PRIMEIRO ATAQUE RETORNA E FICAR INDEFINIDO.</v>
      </c>
      <c r="M13" s="5">
        <v>15</v>
      </c>
      <c r="N13" s="5">
        <v>20</v>
      </c>
      <c r="O13" s="5">
        <v>5</v>
      </c>
      <c r="P13" s="5">
        <v>15</v>
      </c>
      <c r="Q13" s="5">
        <v>15</v>
      </c>
      <c r="R13" s="5">
        <v>10</v>
      </c>
      <c r="S13" s="5">
        <v>0</v>
      </c>
      <c r="T13" s="5">
        <v>15</v>
      </c>
      <c r="U13" s="5">
        <f>SUM(Table[[#This Row],[Premissa 1]:[Premissa 8]])</f>
        <v>95</v>
      </c>
      <c r="V13" s="5" t="s">
        <v>9</v>
      </c>
      <c r="W13" t="s">
        <v>94</v>
      </c>
    </row>
    <row r="14" spans="1:26" ht="15" hidden="1" customHeight="1">
      <c r="A14" s="4">
        <v>7900117013</v>
      </c>
      <c r="B14" s="5" t="str">
        <f>MID(Table[[#This Row],[Ativo]],1,2)</f>
        <v>79</v>
      </c>
      <c r="C14" s="5" t="s">
        <v>97</v>
      </c>
      <c r="D14" s="5" t="s">
        <v>97</v>
      </c>
      <c r="E14" s="5" t="s">
        <v>42</v>
      </c>
      <c r="F14" s="4" t="str">
        <f>IFERROR(_xlfn.XLOOKUP(Table[[#This Row],[Ativo]],Pendentes[COD_RELIGADOR],Pendentes[SS_ORIGINAL]),"CONCLUÍDA")</f>
        <v>ETO-PROT 00154/2026</v>
      </c>
      <c r="G14" s="4" t="s">
        <v>471</v>
      </c>
      <c r="I14" s="4" t="s">
        <v>443</v>
      </c>
      <c r="J14" s="29" t="s">
        <v>460</v>
      </c>
      <c r="K14" s="31">
        <v>1</v>
      </c>
      <c r="L14" t="str">
        <f>IFERROR(_xlfn.XLOOKUP(Table[[#This Row],[Ativo]],Pendentes[COD_RELIGADOR],Pendentes[DESCRICAO]),"")</f>
        <v>15/07 PARECER COCM: EQUIPAMENTO FOI SUBSTITUÍDO OBRA 021260042210/07 PARECER COEP: EQUIPAMENTO ENTREGUE AOS COCM´S FAVOR INFORMAR PRAZO DE SUBSTUIÇÃO PARA O DMSL E REPASSAR DEPOIS PARA PROTEÇÃO REALIZAR OS AJUSTES E DESCREVER NA SS O SERVIÇO REALIZADOPARECER COEP: PREVISÃO DE ENTREGA AOS COCM'S 01/07Segue nota para correção de anomalia e provável substituição de religador , religador 7900117013 -RDU - Paraiso .OBS: equipe DMSL Elisfran estava atualizando firmware no equipamento  , porém relé parou de funcionar devido essa atualização , sendo necessário sua substituição .em campo o modelo e   cooper Form6 , segundo tecnico deve ser substituído por um Noja .Repassado para o COEP para aquisição do equipamento e posterior repasse para o COCM.</v>
      </c>
      <c r="M14" s="5">
        <v>15</v>
      </c>
      <c r="N14" s="5">
        <v>20</v>
      </c>
      <c r="O14" s="5">
        <v>15</v>
      </c>
      <c r="P14" s="5">
        <v>15</v>
      </c>
      <c r="Q14" s="5">
        <v>15</v>
      </c>
      <c r="R14" s="5">
        <v>0</v>
      </c>
      <c r="S14" s="5">
        <v>0</v>
      </c>
      <c r="T14" s="5">
        <v>15</v>
      </c>
      <c r="U14" s="5">
        <f>SUM(Table[[#This Row],[Premissa 1]:[Premissa 8]])</f>
        <v>95</v>
      </c>
      <c r="V14" s="5" t="s">
        <v>9</v>
      </c>
      <c r="W14" t="s">
        <v>100</v>
      </c>
    </row>
    <row r="15" spans="1:26" ht="15" hidden="1" customHeight="1">
      <c r="A15" s="4">
        <v>7929376022</v>
      </c>
      <c r="B15" s="5" t="str">
        <f>MID(Table[[#This Row],[Ativo]],1,2)</f>
        <v>79</v>
      </c>
      <c r="C15" s="5" t="s">
        <v>102</v>
      </c>
      <c r="D15" s="5" t="s">
        <v>57</v>
      </c>
      <c r="E15" s="5" t="s">
        <v>51</v>
      </c>
      <c r="F15" s="4" t="str">
        <f>IFERROR(_xlfn.XLOOKUP(Table[[#This Row],[Ativo]],Pendentes[COD_RELIGADOR],Pendentes[SS_ORIGINAL]),"CONCLUÍDA")</f>
        <v>ETO-COEP 00120/2026</v>
      </c>
      <c r="G15" s="4" t="s">
        <v>688</v>
      </c>
      <c r="H15" s="4" t="s">
        <v>689</v>
      </c>
      <c r="I15" s="4" t="s">
        <v>443</v>
      </c>
      <c r="J15" s="29" t="s">
        <v>469</v>
      </c>
      <c r="K15" s="31">
        <v>1</v>
      </c>
      <c r="L15" t="str">
        <f>IFERROR(_xlfn.XLOOKUP(Table[[#This Row],[Ativo]],Pendentes[COD_RELIGADOR],Pendentes[DESCRICAO]),"")</f>
        <v>PARECER COEP: PROBLEMA NO ENVIO COCM'S CONTROLE ENVIADO FOI O NOJA , DEVIDO A FALTA DO MODELO NA SS (GRAVE)PARECER DMSL: *FEEDBACK EQUIP. ESPECIAIS**Nº DO EQUIPAMENTO:* 7929376022 *DATA DA MANUTENÇÃO:* 02/04/2026*SID:* 1677/2026*DESCRIÇÃO:* Trocar controle completo*PENDÊNCIA:* Sim.*DADOS DIVERGENTES DA PROGRAMAÇÃO:* Não*BATERIA SUBSTITUÍDA?:* Não*EQUIPE:* Adeilton e Edicleber __________________________________________________________POR GENTILEZA ATENDER SOLICITAÇÃO PRIMEIRO ATAQUE IDENTIFICOU QUE RELE ESTA EM CURTO NOTA ABERTA 224/2026 FOI BAIXADA POREM NÃO FOI CORRIGIDO PROBLEMA EM CAMPO.</v>
      </c>
      <c r="M15" s="5">
        <v>15</v>
      </c>
      <c r="N15" s="5">
        <v>20</v>
      </c>
      <c r="O15" s="5">
        <v>5</v>
      </c>
      <c r="P15" s="5">
        <v>15</v>
      </c>
      <c r="Q15" s="5">
        <v>15</v>
      </c>
      <c r="R15" s="5">
        <v>10</v>
      </c>
      <c r="S15" s="5">
        <v>0</v>
      </c>
      <c r="T15" s="5">
        <v>15</v>
      </c>
      <c r="U15" s="5">
        <f>SUM(Table[[#This Row],[Premissa 1]:[Premissa 8]])</f>
        <v>95</v>
      </c>
      <c r="V15" s="5" t="s">
        <v>9</v>
      </c>
      <c r="W15" t="s">
        <v>105</v>
      </c>
    </row>
    <row r="16" spans="1:26" ht="15" hidden="1" customHeight="1">
      <c r="A16" s="40">
        <v>7908705049</v>
      </c>
      <c r="B16" s="5" t="str">
        <f>MID(Table[[#This Row],[Ativo]],1,2)</f>
        <v>79</v>
      </c>
      <c r="C16" s="5" t="s">
        <v>86</v>
      </c>
      <c r="D16" s="5" t="s">
        <v>75</v>
      </c>
      <c r="E16" s="5" t="s">
        <v>76</v>
      </c>
      <c r="F16" s="4" t="str">
        <f>IFERROR(_xlfn.XLOOKUP(Table[[#This Row],[Ativo]],Pendentes[COD_RELIGADOR],Pendentes[SS_ORIGINAL]),"CONCLUÍDA")</f>
        <v>ETO-RD-DP 00409/2026</v>
      </c>
      <c r="G16" s="4" t="s">
        <v>445</v>
      </c>
      <c r="H16" s="4" t="s">
        <v>690</v>
      </c>
      <c r="I16" s="4" t="s">
        <v>443</v>
      </c>
      <c r="J16" s="29" t="s">
        <v>469</v>
      </c>
      <c r="K16" s="31">
        <v>1</v>
      </c>
      <c r="L16" t="str">
        <f>IFERROR(_xlfn.XLOOKUP(Table[[#This Row],[Ativo]],Pendentes[COD_RELIGADOR],Pendentes[DESCRICAO]),"")</f>
        <v>EQUIPAMENTO ENTREGUE, SOLICITO PREVISÃO PARA SUBSTITUIÇÃO:PARECER COEP: PREVISÃO DE ENTREGA AOS COCM'S 01/07Manutenção no RL 7908705049PARECER DMSL(28/08/2025): Equipe foi fazer manutenção no RL e constatou que o tanque e o relé do mesmo se encontra queimado, providenciar substituição.PARECER COCMS 30/04/2026CRIADO OBRA 0512600135 PARA REQUISIÇÃO MATERIAL</v>
      </c>
      <c r="M16" s="5">
        <v>15</v>
      </c>
      <c r="N16" s="5">
        <v>20</v>
      </c>
      <c r="O16" s="5">
        <v>5</v>
      </c>
      <c r="P16" s="5">
        <v>15</v>
      </c>
      <c r="Q16" s="5">
        <v>15</v>
      </c>
      <c r="R16" s="5">
        <v>0</v>
      </c>
      <c r="S16" s="5">
        <v>10</v>
      </c>
      <c r="T16" s="5">
        <v>15</v>
      </c>
      <c r="U16" s="5">
        <f>SUM(Table[[#This Row],[Premissa 1]:[Premissa 8]])</f>
        <v>95</v>
      </c>
      <c r="V16" s="5" t="s">
        <v>9</v>
      </c>
      <c r="W16" t="s">
        <v>89</v>
      </c>
    </row>
    <row r="17" spans="1:23" ht="15" hidden="1" customHeight="1">
      <c r="A17" s="4">
        <v>7933726256</v>
      </c>
      <c r="B17" s="5" t="str">
        <f>MID(Table[[#This Row],[Ativo]],1,2)</f>
        <v>79</v>
      </c>
      <c r="C17" s="5" t="s">
        <v>107</v>
      </c>
      <c r="D17" s="5" t="s">
        <v>108</v>
      </c>
      <c r="E17" s="5" t="s">
        <v>42</v>
      </c>
      <c r="F17" s="4" t="str">
        <f>IFERROR(_xlfn.XLOOKUP(Table[[#This Row],[Ativo]],Pendentes[COD_RELIGADOR],Pendentes[SS_ORIGINAL]),"CONCLUÍDA")</f>
        <v>ETO-PROT 00145/2026</v>
      </c>
      <c r="G17" s="4" t="s">
        <v>471</v>
      </c>
      <c r="H17" s="4" t="s">
        <v>691</v>
      </c>
      <c r="I17" s="4" t="s">
        <v>443</v>
      </c>
      <c r="J17" s="29" t="s">
        <v>473</v>
      </c>
      <c r="K17" s="31">
        <v>1</v>
      </c>
      <c r="L17" t="str">
        <f>IFERROR(_xlfn.XLOOKUP(Table[[#This Row],[Ativo]],Pendentes[COD_RELIGADOR],Pendentes[DESCRICAO]),"")</f>
        <v>07/07 Equipamento foi substituido na OS: ETO-RD-PO 1859/2026 OBRA 031260035101/07 PARECER COEP: REDIRECIONADO PARA O POSTO DO COCM´S EQUIPAMENTO CHEGOU NO LOCAL, FAVOR ENTRAR EM CONTATO COM O DMSL, DEVIDO A URGÊNCIA DO EQUIPAMENTO EM OPERAÇÃO.30/06 PARECER COEP: DEVIDO A ALINHAMENTO COM COI UTILIZAREMOS PARTE ATIVA QUE ORIGINALMENTE FOI ENCOMENDADA PARA 7933726256PARECER DMSL: N° do Equipamento: _RLG 7933726256 MateirosTipo de Equipamento: _RLG NOJA RC 10 REL IIData: _06/05/2026SID: _2288/2026-Serviço Executado: _Equipamento com defeito na parte ativa, será necessário fazer a substituição da parte ativa e fazer melhoria na malha de terra!Equipamento ficou em operação?: _NaoPendência: _SimBateria(s) substituída(s)? NÃOData Fabricação/Instalação da(s) bateria(s):_06/2025Equipe: _Benvindo e Almir-------------------------------------------------------------------------------Religador 7933726256, sem comunicação apos primeiroa ataque não retornou as comunicação.</v>
      </c>
      <c r="M17" s="5">
        <v>15</v>
      </c>
      <c r="N17" s="5">
        <v>10</v>
      </c>
      <c r="O17" s="5">
        <v>15</v>
      </c>
      <c r="P17" s="5">
        <v>15</v>
      </c>
      <c r="Q17" s="5">
        <v>15</v>
      </c>
      <c r="R17" s="5">
        <v>10</v>
      </c>
      <c r="S17" s="5">
        <v>0</v>
      </c>
      <c r="T17" s="5">
        <v>15</v>
      </c>
      <c r="U17" s="5">
        <f>SUM(Table[[#This Row],[Premissa 1]:[Premissa 8]])</f>
        <v>95</v>
      </c>
      <c r="V17" s="5" t="s">
        <v>9</v>
      </c>
      <c r="W17" t="s">
        <v>111</v>
      </c>
    </row>
    <row r="18" spans="1:23" ht="15" hidden="1" customHeight="1">
      <c r="A18" s="4">
        <v>7933766059</v>
      </c>
      <c r="B18" s="5" t="str">
        <f>MID(Table[[#This Row],[Ativo]],1,2)</f>
        <v>79</v>
      </c>
      <c r="C18" s="5" t="s">
        <v>62</v>
      </c>
      <c r="D18" s="5" t="s">
        <v>62</v>
      </c>
      <c r="E18" s="5" t="s">
        <v>42</v>
      </c>
      <c r="F18" s="4" t="str">
        <f>IFERROR(_xlfn.XLOOKUP(Table[[#This Row],[Ativo]],Pendentes[COD_RELIGADOR],Pendentes[SS_ORIGINAL]),"CONCLUÍDA")</f>
        <v>ETO-TELE 01024/2026</v>
      </c>
      <c r="G18" s="4" t="s">
        <v>482</v>
      </c>
      <c r="H18" s="9"/>
      <c r="I18" s="4" t="s">
        <v>443</v>
      </c>
      <c r="J18" s="29" t="s">
        <v>473</v>
      </c>
      <c r="K18" s="31">
        <v>1</v>
      </c>
      <c r="L18" t="str">
        <f>IFERROR(_xlfn.XLOOKUP(Table[[#This Row],[Ativo]],Pendentes[COD_RELIGADOR],Pendentes[DESCRICAO]),"")</f>
        <v>PARECER DA PROTEÇÃO:RECOMISSIONAR RELIGADOR, AJUSTES DE PROTEÇÃO PERMANECEM OS MESMOS.Estagiário Rafael P Marques****************************PARECER COEP: EQUIPAMENTO ENTREGUE, SEGUE SS PARA O COCM´S , PARA REALIZAR O ATENDIMENTO,FAVOR ADICIONAR O PARECER PARA MANDAR PARA PROTEÇÃOSegue SS para verficar religador de poste 7933766059.Religador esta com defeito na parte ativa no tanque Porte gentilezaenviar equipe verificar.Endereço: TaquariPARECER DMSL: RLG 7933766059 RELÉ NOJA RC 10Mestre 2 Rep. taquaruçu GESID: 5457/2025Data: 15/10/2025Serviço Executado: Houve um curto na parte ativa do equipamento danificando a mesma, será necessário fazer a substituição somente do tanque, parte ativa.*Equipamento ficou em operação?:*Nao Pendência: Sim, substituir parte ativa.Equipe: Benvindo, Juliano e Sérgio.****** Parecer do COCM Centro***Equipámento Substituido em Campo pela Ordem de ServIÇO DLP-MPPA01 244/2026, ONDE OS RELATORIO ESTÃO ANEXADO..</v>
      </c>
      <c r="M18" s="5">
        <v>15</v>
      </c>
      <c r="N18" s="5">
        <v>20</v>
      </c>
      <c r="O18" s="5">
        <v>5</v>
      </c>
      <c r="P18" s="5">
        <v>15</v>
      </c>
      <c r="Q18" s="5">
        <v>15</v>
      </c>
      <c r="R18" s="5">
        <v>0</v>
      </c>
      <c r="S18" s="5">
        <v>10</v>
      </c>
      <c r="T18" s="5">
        <v>15</v>
      </c>
      <c r="U18" s="5">
        <f>SUM(Table[[#This Row],[Premissa 1]:[Premissa 8]])</f>
        <v>95</v>
      </c>
      <c r="V18" s="5" t="s">
        <v>9</v>
      </c>
      <c r="W18" t="s">
        <v>115</v>
      </c>
    </row>
    <row r="19" spans="1:23" ht="15" hidden="1" customHeight="1">
      <c r="A19" s="4">
        <v>7900594026</v>
      </c>
      <c r="B19" s="5" t="str">
        <f>MID(Table[[#This Row],[Ativo]],1,2)</f>
        <v>79</v>
      </c>
      <c r="C19" s="5" t="s">
        <v>108</v>
      </c>
      <c r="D19" s="5" t="s">
        <v>108</v>
      </c>
      <c r="E19" s="5" t="s">
        <v>42</v>
      </c>
      <c r="F19" s="4" t="str">
        <f>IFERROR(_xlfn.XLOOKUP(Table[[#This Row],[Ativo]],Pendentes[COD_RELIGADOR],Pendentes[SS_ORIGINAL]),"CONCLUÍDA")</f>
        <v>ETO-SE-PA 00107/2026</v>
      </c>
      <c r="G19" s="4" t="s">
        <v>482</v>
      </c>
      <c r="I19" s="4" t="s">
        <v>443</v>
      </c>
      <c r="J19" s="29" t="s">
        <v>469</v>
      </c>
      <c r="K19" s="31">
        <v>1</v>
      </c>
      <c r="L19" t="str">
        <f>IFERROR(_xlfn.XLOOKUP(Table[[#This Row],[Ativo]],Pendentes[COD_RELIGADOR],Pendentes[DESCRICAO]),"")</f>
        <v>PARECER DA PROTEÇÃO:16/07/2026 AJUSTES DISPONIBILIZADOS NO APP DA PROTEÇÃO15/07/2026 EQUIPAMENTO SUBSTITUIDO NA OS ETO-RD-PO 1860 OBRA 031260035414/07/2026 PARECER COCM/ COEP: DE ACORDO COM O EDSON CURCINO FOI FEITA S SUBSTITUIÇÃO DO EQUIPAMENTO , SEGUE PARA PROTEÇÃO ELABORAR AJUSTE10/07 PARECER COEP: EQUIPAMENTO DESLOCADO QUE ESTAVA EM GUARAÍ FOI ALINHADO COM O VALMOR QUE SERIA SUBSTITUIDO DIA 07/07/2026 , FAVOR PASSAR PARA PROTEÇÃO 7900594026PARECER COEP: AGUARDANDO COCM'S PARA ABRIR REQUISIÇÃOPARECER DMSL 10/06/2026: Tem uma nota aberta para esse equipamento solicitando a substituição desde 20/10/2025, como a nota não foi atendida estamos repassando para área responsável. Nota em aberto repassada ETO-COEP 210/2025.Segue nota para verificar intermitência de comunicação nos religadores 7908301026 , 7911120026, 7947959026 , 7908692026, 7900594026 rural- Ponte Alta .</v>
      </c>
      <c r="M19" s="5">
        <v>15</v>
      </c>
      <c r="N19" s="5">
        <v>20</v>
      </c>
      <c r="O19" s="5">
        <v>15</v>
      </c>
      <c r="P19" s="5">
        <v>15</v>
      </c>
      <c r="Q19" s="5">
        <v>15</v>
      </c>
      <c r="R19" s="5">
        <v>0</v>
      </c>
      <c r="S19" s="5">
        <v>0</v>
      </c>
      <c r="T19" s="5">
        <v>15</v>
      </c>
      <c r="U19" s="5">
        <f>SUM(Table[[#This Row],[Premissa 1]:[Premissa 8]])</f>
        <v>95</v>
      </c>
      <c r="V19" s="5" t="s">
        <v>9</v>
      </c>
      <c r="W19" t="s">
        <v>119</v>
      </c>
    </row>
    <row r="20" spans="1:23" ht="15" customHeight="1">
      <c r="A20" s="4">
        <v>7921040031</v>
      </c>
      <c r="B20" s="5" t="str">
        <f>MID(Table[[#This Row],[Ativo]],1,2)</f>
        <v>79</v>
      </c>
      <c r="C20" s="5" t="s">
        <v>476</v>
      </c>
      <c r="D20" s="5" t="s">
        <v>186</v>
      </c>
      <c r="E20" s="5" t="s">
        <v>42</v>
      </c>
      <c r="F20" s="4" t="str">
        <f>IFERROR(_xlfn.XLOOKUP(Table[[#This Row],[Ativo]],Pendentes[COD_RELIGADOR],Pendentes[SS_ORIGINAL]),"CONCLUÍDA")</f>
        <v>CONCLUÍDA</v>
      </c>
      <c r="I20" s="4" t="s">
        <v>438</v>
      </c>
      <c r="J20" s="29"/>
      <c r="K20" s="31"/>
      <c r="L20" t="str">
        <f>IFERROR(_xlfn.XLOOKUP(Table[[#This Row],[Ativo]],Pendentes[COD_RELIGADOR],Pendentes[DESCRICAO]),"")</f>
        <v/>
      </c>
      <c r="M20" s="5">
        <v>15</v>
      </c>
      <c r="N20" s="5">
        <v>20</v>
      </c>
      <c r="O20" s="5">
        <v>5</v>
      </c>
      <c r="P20" s="5">
        <v>15</v>
      </c>
      <c r="Q20" s="5">
        <v>15</v>
      </c>
      <c r="R20" s="5">
        <v>10</v>
      </c>
      <c r="S20" s="5">
        <v>0</v>
      </c>
      <c r="T20" s="5">
        <v>15</v>
      </c>
      <c r="U20" s="5">
        <f>SUM(Table[[#This Row],[Premissa 1]:[Premissa 8]])</f>
        <v>95</v>
      </c>
      <c r="V20" s="5" t="s">
        <v>9</v>
      </c>
      <c r="W20" t="s">
        <v>477</v>
      </c>
    </row>
    <row r="21" spans="1:23" ht="15" customHeight="1">
      <c r="A21" s="4">
        <v>7957620015</v>
      </c>
      <c r="B21" s="5" t="str">
        <f>MID(Table[[#This Row],[Ativo]],1,2)</f>
        <v>79</v>
      </c>
      <c r="C21" s="5" t="s">
        <v>283</v>
      </c>
      <c r="D21" s="5" t="s">
        <v>50</v>
      </c>
      <c r="E21" s="5" t="s">
        <v>51</v>
      </c>
      <c r="F21" s="4" t="str">
        <f>IFERROR(_xlfn.XLOOKUP(Table[[#This Row],[Ativo]],Pendentes[COD_RELIGADOR],Pendentes[SS_ORIGINAL]),"CONCLUÍDA")</f>
        <v>CONCLUÍDA</v>
      </c>
      <c r="I21" s="4" t="s">
        <v>438</v>
      </c>
      <c r="J21" s="29"/>
      <c r="K21" s="31"/>
      <c r="L21" t="str">
        <f>IFERROR(_xlfn.XLOOKUP(Table[[#This Row],[Ativo]],Pendentes[COD_RELIGADOR],Pendentes[DESCRICAO]),"")</f>
        <v/>
      </c>
      <c r="M21" s="5">
        <v>15</v>
      </c>
      <c r="N21" s="5">
        <v>20</v>
      </c>
      <c r="O21" s="5">
        <v>15</v>
      </c>
      <c r="P21" s="5">
        <v>15</v>
      </c>
      <c r="Q21" s="5">
        <v>15</v>
      </c>
      <c r="R21" s="5">
        <v>0</v>
      </c>
      <c r="S21" s="5">
        <v>0</v>
      </c>
      <c r="T21" s="5">
        <v>15</v>
      </c>
      <c r="U21" s="5">
        <f>SUM(Table[[#This Row],[Premissa 1]:[Premissa 8]])</f>
        <v>95</v>
      </c>
      <c r="V21" s="5" t="s">
        <v>9</v>
      </c>
      <c r="W21" t="s">
        <v>478</v>
      </c>
    </row>
    <row r="22" spans="1:23" ht="15" hidden="1" customHeight="1">
      <c r="A22" s="4">
        <v>7927413001</v>
      </c>
      <c r="B22" s="5" t="str">
        <f>MID(Table[[#This Row],[Ativo]],1,2)</f>
        <v>79</v>
      </c>
      <c r="C22" s="5" t="s">
        <v>41</v>
      </c>
      <c r="D22" s="5" t="s">
        <v>41</v>
      </c>
      <c r="E22" s="5" t="s">
        <v>42</v>
      </c>
      <c r="F22" s="4" t="str">
        <f>IFERROR(_xlfn.XLOOKUP(Table[[#This Row],[Ativo]],Pendentes[COD_RELIGADOR],Pendentes[SS_ORIGINAL]),"CONCLUÍDA")</f>
        <v>ETO-COEP 00141/2026</v>
      </c>
      <c r="G22" s="4" t="s">
        <v>451</v>
      </c>
      <c r="I22" s="4" t="s">
        <v>685</v>
      </c>
      <c r="J22" s="29" t="s">
        <v>469</v>
      </c>
      <c r="K22" s="31">
        <v>1</v>
      </c>
      <c r="L22" t="str">
        <f>IFERROR(_xlfn.XLOOKUP(Table[[#This Row],[Ativo]],Pendentes[COD_RELIGADOR],Pendentes[DESCRICAO]),"")</f>
        <v>22/07/2026 EQUIPAMENTO SLEECIONADO PARA COMPRAPARECER DMSL: *Segue feedback**Equipamento:* RLG 7927413001  *RELÉ TAVRIDA*Data:* 16/04/2026*SID:* 1817/2026*Serviço executado:* Placa de alimentação do equipamento com defeito, VERIFICAR SE É POSSIVEL  substituir o equipamento completo.*Equipamento ficou em operação?*_Não*Pendência:*_Sim*Bateria(s) substituída(s)?*_Nao *Equipe:* Benvindo e Kaique-------------------------------------------------------------------------------------------------Religador 7927413001 sem comunicação foi realizado primeiro ataque porem a comunicação não retornou. Favor enviar equipe para devidas trattivas</v>
      </c>
      <c r="M22" s="5">
        <v>15</v>
      </c>
      <c r="N22" s="5">
        <v>5</v>
      </c>
      <c r="O22" s="5">
        <v>15</v>
      </c>
      <c r="P22" s="5">
        <v>15</v>
      </c>
      <c r="Q22" s="5">
        <v>15</v>
      </c>
      <c r="R22" s="5">
        <v>10</v>
      </c>
      <c r="S22" s="5">
        <v>0</v>
      </c>
      <c r="T22" s="5">
        <v>15</v>
      </c>
      <c r="U22" s="5">
        <f>SUM(Table[[#This Row],[Premissa 1]:[Premissa 8]])</f>
        <v>90</v>
      </c>
      <c r="V22" s="5" t="s">
        <v>9</v>
      </c>
      <c r="W22" t="s">
        <v>123</v>
      </c>
    </row>
    <row r="23" spans="1:23" ht="15" hidden="1" customHeight="1">
      <c r="A23" s="4">
        <v>7908686014</v>
      </c>
      <c r="B23" s="5" t="str">
        <f>MID(Table[[#This Row],[Ativo]],1,2)</f>
        <v>79</v>
      </c>
      <c r="C23" s="5" t="s">
        <v>126</v>
      </c>
      <c r="D23" s="5" t="s">
        <v>97</v>
      </c>
      <c r="E23" s="5" t="s">
        <v>42</v>
      </c>
      <c r="F23" s="4" t="str">
        <f>IFERROR(_xlfn.XLOOKUP(Table[[#This Row],[Ativo]],Pendentes[COD_RELIGADOR],Pendentes[SS_ORIGINAL]),"CONCLUÍDA")</f>
        <v>ETO-RD-PS 00302/2026</v>
      </c>
      <c r="G23" s="5" t="s">
        <v>455</v>
      </c>
      <c r="H23" s="4" t="s">
        <v>692</v>
      </c>
      <c r="I23" s="4" t="s">
        <v>443</v>
      </c>
      <c r="J23" s="29" t="s">
        <v>480</v>
      </c>
      <c r="K23" s="31">
        <v>1</v>
      </c>
      <c r="L23" t="str">
        <f>IFERROR(_xlfn.XLOOKUP(Table[[#This Row],[Ativo]],Pendentes[COD_RELIGADOR],Pendentes[DESCRICAO]),"")</f>
        <v>10/07 PARECER COEP: EQUIPAMENTO ENTREGUE AOS COCM´S FAVOR INFORMAR PRAZO DE SUBSTUIÇÃO PARA O DMSL E REPASSAR DEPOIS PARA PROTEÇÃO REALIZAR OS AJUSTES E DESCREVER NA SS O SERVIÇO REALIZADO06/07 PARECER COEP: PREVISÃO DE ENTREGA DE ACORDO COM CALENDÁRIO LOGISITCO NOVO 06/07NOTA DMSL: Favor substituir o tanque, ele não está efetuando os comandos enviados. Não substituir o controle pois o mesmo funciona como repetidor de outros equipamentos.Segue nota para verificar falha de fechamento religador 7908686014- Pium .OBS: equipamento não fechou local e remoto , fica sinalizando no painel para verificar alarmes !</v>
      </c>
      <c r="M23" s="5">
        <v>15</v>
      </c>
      <c r="N23" s="5">
        <v>20</v>
      </c>
      <c r="O23" s="5">
        <v>0</v>
      </c>
      <c r="P23" s="5">
        <v>15</v>
      </c>
      <c r="Q23" s="5">
        <v>15</v>
      </c>
      <c r="R23" s="5">
        <v>10</v>
      </c>
      <c r="S23" s="5">
        <v>0</v>
      </c>
      <c r="T23" s="5">
        <v>15</v>
      </c>
      <c r="U23" s="5">
        <f>SUM(Table[[#This Row],[Premissa 1]:[Premissa 8]])</f>
        <v>90</v>
      </c>
      <c r="V23" s="5" t="s">
        <v>9</v>
      </c>
      <c r="W23" t="s">
        <v>129</v>
      </c>
    </row>
    <row r="24" spans="1:23" ht="15" customHeight="1">
      <c r="A24" s="4">
        <v>5800440256</v>
      </c>
      <c r="B24" s="5" t="str">
        <f>MID(Table[[#This Row],[Ativo]],1,2)</f>
        <v>58</v>
      </c>
      <c r="C24" s="5" t="s">
        <v>107</v>
      </c>
      <c r="D24" s="5" t="s">
        <v>108</v>
      </c>
      <c r="E24" s="5" t="s">
        <v>42</v>
      </c>
      <c r="F24" s="4" t="str">
        <f>IFERROR(_xlfn.XLOOKUP(Table[[#This Row],[Ativo]],Pendentes[COD_RELIGADOR],Pendentes[SS_ORIGINAL]),"CONCLUÍDA")</f>
        <v>CONCLUÍDA</v>
      </c>
      <c r="G24" s="11"/>
      <c r="I24" s="4" t="s">
        <v>438</v>
      </c>
      <c r="J24" s="29"/>
      <c r="K24" s="31"/>
      <c r="L24" t="str">
        <f>IFERROR(_xlfn.XLOOKUP(Table[[#This Row],[Ativo]],Pendentes[COD_RELIGADOR],Pendentes[DESCRICAO]),"")</f>
        <v/>
      </c>
      <c r="M24" s="5">
        <v>20</v>
      </c>
      <c r="N24" s="5">
        <v>20</v>
      </c>
      <c r="O24" s="5">
        <v>20</v>
      </c>
      <c r="P24" s="5">
        <v>10</v>
      </c>
      <c r="Q24" s="5">
        <v>20</v>
      </c>
      <c r="R24" s="5" t="s">
        <v>45</v>
      </c>
      <c r="S24" s="5" t="s">
        <v>45</v>
      </c>
      <c r="T24" s="5" t="s">
        <v>45</v>
      </c>
      <c r="U24" s="5">
        <f>SUM(Table[[#This Row],[Premissa 1]:[Premissa 8]])</f>
        <v>90</v>
      </c>
      <c r="V24" s="5" t="s">
        <v>9</v>
      </c>
      <c r="W24" t="s">
        <v>481</v>
      </c>
    </row>
    <row r="25" spans="1:23" ht="15" hidden="1" customHeight="1">
      <c r="A25" s="4">
        <v>7943790134</v>
      </c>
      <c r="B25" s="5" t="str">
        <f>MID(Table[[#This Row],[Ativo]],1,2)</f>
        <v>79</v>
      </c>
      <c r="C25" s="5" t="s">
        <v>131</v>
      </c>
      <c r="D25" s="5" t="s">
        <v>132</v>
      </c>
      <c r="E25" s="5" t="s">
        <v>51</v>
      </c>
      <c r="F25" s="4" t="str">
        <f>IFERROR(_xlfn.XLOOKUP(Table[[#This Row],[Ativo]],Pendentes[COD_RELIGADOR],Pendentes[SS_ORIGINAL]),"CONCLUÍDA")</f>
        <v>ETO-TELE 00896/2026</v>
      </c>
      <c r="G25" s="4" t="s">
        <v>482</v>
      </c>
      <c r="I25" s="4" t="s">
        <v>443</v>
      </c>
      <c r="J25" s="29" t="s">
        <v>480</v>
      </c>
      <c r="K25" s="31">
        <v>1</v>
      </c>
      <c r="L25" t="str">
        <f>IFERROR(_xlfn.XLOOKUP(Table[[#This Row],[Ativo]],Pendentes[COD_RELIGADOR],Pendentes[DESCRICAO]),"")</f>
        <v>PARECER DCMD:Serviço realizado , substituição da parte ativa  do RELIGADOR 7943790134 - Favor realizar comissionamento</v>
      </c>
      <c r="M25" s="5">
        <v>15</v>
      </c>
      <c r="N25" s="5">
        <v>10</v>
      </c>
      <c r="O25" s="5">
        <v>5</v>
      </c>
      <c r="P25" s="5">
        <v>15</v>
      </c>
      <c r="Q25" s="5">
        <v>15</v>
      </c>
      <c r="R25" s="5">
        <v>10</v>
      </c>
      <c r="S25" s="5">
        <v>0</v>
      </c>
      <c r="T25" s="5">
        <v>15</v>
      </c>
      <c r="U25" s="5">
        <f>SUM(Table[[#This Row],[Premissa 1]:[Premissa 8]])</f>
        <v>85</v>
      </c>
      <c r="V25" s="5" t="s">
        <v>9</v>
      </c>
      <c r="W25" t="s">
        <v>135</v>
      </c>
    </row>
    <row r="26" spans="1:23" ht="15" hidden="1" customHeight="1">
      <c r="A26" s="12">
        <v>7900453110</v>
      </c>
      <c r="B26" s="5" t="str">
        <f>MID(Table[[#This Row],[Ativo]],1,2)</f>
        <v>79</v>
      </c>
      <c r="C26" s="5" t="s">
        <v>137</v>
      </c>
      <c r="D26" s="5" t="s">
        <v>41</v>
      </c>
      <c r="E26" s="5" t="s">
        <v>42</v>
      </c>
      <c r="F26" s="4" t="str">
        <f>IFERROR(_xlfn.XLOOKUP(Table[[#This Row],[Ativo]],Pendentes[COD_RELIGADOR],Pendentes[SS_ORIGINAL]),"CONCLUÍDA")</f>
        <v>ETO-COEP 00087/2026</v>
      </c>
      <c r="G26" s="4" t="s">
        <v>451</v>
      </c>
      <c r="H26" s="4" t="s">
        <v>693</v>
      </c>
      <c r="I26" s="4" t="s">
        <v>685</v>
      </c>
      <c r="J26" s="29" t="s">
        <v>480</v>
      </c>
      <c r="K26" s="31">
        <v>1</v>
      </c>
      <c r="L26" t="str">
        <f>IFERROR(_xlfn.XLOOKUP(Table[[#This Row],[Ativo]],Pendentes[COD_RELIGADOR],Pendentes[DESCRICAO]),"")</f>
        <v>10/07/2026 EQUIPAMENTO SELECIONADO PARA COMPRA PARTE ATIVA30/06.PARECER COEP: ALINHADO COM O ALLAN REMANEJAMOS PARTE ATIVA PARA ATENDER 7933726256PARECER COEP: Aproveitar controle cooper se possível em outro local, previsão de chegada do material dia 01/07 para substituiçãoFavor verificar o RL 7900453110, pois o mesmo aceita comando de fechamento, porém fecha em campo e no SCADA continua aberto e só abre através de equipe em campo.  Parecer Dmsl:Equipamento está com defeito na parte ativa, não aceita o comando de fechamento. Será necessário substituir o equipamento completo.Equipamento ficou em operação?: _SIM_a pedido do COS ficou em operação, a operação está ciente da necessidade de substituir.Pendência: Sim, será necessário substituir o equipamento.</v>
      </c>
      <c r="M26" s="5">
        <v>15</v>
      </c>
      <c r="N26" s="5">
        <v>10</v>
      </c>
      <c r="O26" s="5">
        <v>5</v>
      </c>
      <c r="P26" s="5">
        <v>15</v>
      </c>
      <c r="Q26" s="5">
        <v>15</v>
      </c>
      <c r="R26" s="5">
        <v>10</v>
      </c>
      <c r="S26" s="5">
        <v>0</v>
      </c>
      <c r="T26" s="5">
        <v>15</v>
      </c>
      <c r="U26" s="5">
        <f>SUM(Table[[#This Row],[Premissa 1]:[Premissa 8]])</f>
        <v>85</v>
      </c>
      <c r="V26" s="5" t="s">
        <v>9</v>
      </c>
      <c r="W26" t="s">
        <v>140</v>
      </c>
    </row>
    <row r="27" spans="1:23" ht="15" hidden="1" customHeight="1">
      <c r="A27" s="4">
        <v>7925871077</v>
      </c>
      <c r="B27" s="5" t="str">
        <f>MID(Table[[#This Row],[Ativo]],1,2)</f>
        <v>79</v>
      </c>
      <c r="C27" s="5" t="s">
        <v>144</v>
      </c>
      <c r="D27" s="5" t="s">
        <v>57</v>
      </c>
      <c r="E27" s="5" t="s">
        <v>51</v>
      </c>
      <c r="F27" s="4" t="str">
        <f>IFERROR(_xlfn.XLOOKUP(Table[[#This Row],[Ativo]],Pendentes[COD_RELIGADOR],Pendentes[SS_ORIGINAL]),"CONCLUÍDA")</f>
        <v>ETO-COEP 00048/2026</v>
      </c>
      <c r="G27" s="4" t="s">
        <v>451</v>
      </c>
      <c r="H27" s="4" t="s">
        <v>693</v>
      </c>
      <c r="I27" s="4" t="s">
        <v>685</v>
      </c>
      <c r="J27" s="29" t="s">
        <v>480</v>
      </c>
      <c r="K27" s="31">
        <v>1</v>
      </c>
      <c r="L27" t="str">
        <f>IFERROR(_xlfn.XLOOKUP(Table[[#This Row],[Ativo]],Pendentes[COD_RELIGADOR],Pendentes[DESCRICAO]),"")</f>
        <v>30/06 PARECER COEP: AGUARDANDO RETORNO DO DMSLPARECER DMSL: A PEDIDO DA PCM DO NORTE LARA SOARES REALIZEI A CRIAÇÃO DESSA SS, EM RAZAO DA ANTIGAETO-TELE 337/2026 QUE FOI BAIXADA POR ENGANO DE TAL FORMA SEGUE A MESMA PARA REALIZAR AS TRATATIVAS. PENDENCIA: Religador continua by passado, equipamento está com defeito na parte ativa</v>
      </c>
      <c r="M27" s="5">
        <v>15</v>
      </c>
      <c r="N27" s="5">
        <v>10</v>
      </c>
      <c r="O27" s="5">
        <v>15</v>
      </c>
      <c r="P27" s="5">
        <v>15</v>
      </c>
      <c r="Q27" s="5">
        <v>15</v>
      </c>
      <c r="R27" s="5">
        <v>10</v>
      </c>
      <c r="S27" s="5">
        <v>0</v>
      </c>
      <c r="T27" s="5">
        <v>0</v>
      </c>
      <c r="U27" s="5">
        <f>SUM(Table[[#This Row],[Premissa 1]:[Premissa 8]])</f>
        <v>80</v>
      </c>
      <c r="V27" s="5" t="s">
        <v>9</v>
      </c>
      <c r="W27" t="s">
        <v>147</v>
      </c>
    </row>
    <row r="28" spans="1:23" ht="15" hidden="1" customHeight="1">
      <c r="A28" s="4">
        <v>5803327001</v>
      </c>
      <c r="B28" s="5" t="str">
        <f>MID(Table[[#This Row],[Ativo]],1,2)</f>
        <v>58</v>
      </c>
      <c r="C28" s="5" t="s">
        <v>41</v>
      </c>
      <c r="D28" s="5" t="s">
        <v>41</v>
      </c>
      <c r="E28" s="5" t="s">
        <v>42</v>
      </c>
      <c r="F28" s="4" t="str">
        <f>IFERROR(_xlfn.XLOOKUP(Table[[#This Row],[Ativo]],Pendentes[COD_RELIGADOR],Pendentes[SS_ORIGINAL]),"CONCLUÍDA")</f>
        <v>ETO-COEP 00149/2026</v>
      </c>
      <c r="G28" s="11" t="s">
        <v>467</v>
      </c>
      <c r="H28" s="4" t="s">
        <v>572</v>
      </c>
      <c r="I28" s="4" t="s">
        <v>443</v>
      </c>
      <c r="J28" s="29" t="s">
        <v>487</v>
      </c>
      <c r="K28" s="31">
        <v>1</v>
      </c>
      <c r="L28" t="str">
        <f>IFERROR(_xlfn.XLOOKUP(Table[[#This Row],[Ativo]],Pendentes[COD_RELIGADOR],Pendentes[DESCRICAO]),"")</f>
        <v>01/07 PARECER COEP: FOI CONFIRMADO COM A OPERAÇÃO QUE O EQUIPAMENTO SEGUIU O FLUXO INTEIRO DE COMISSIONAMENTO, PROTEÇÃO, FAVOR EXPLICAR O QUE FOI REALIZADO E SE EQUIPAMENTO ESTÁ OPERANDO, SENÃO ESTIVER EXPLICAR O QUE FOI FEITO NELE30/06PARECER COEP: REPASSAR DIRETAMENTE PARA OS COCM'SRegulador 5803327001 fora de operação, by passado em campo com painel de comunicação com cabos desconectados tensão 13.8.parecer DMSL: Feedback Equip. EspeciaisRT 5803327001RELÉ RUASid: 4844Data: 19/09/2025Serviço realizado:*Equipamento foi remanejado, 7 km da sua localização sentido Palmas necessário comissionamento completo*Equipamento com um dos cabos umbilicais danificado.* aterramento bucha FC não esta interligada corretamente * para-raios estão no mesmo aterramento da bucha FC.* Tranques  muito alto e próximo da rede  não permitindo o comissionamento com segurança.* Controle alto  demais tem que baixar Equipamento ficou em operação?: nãoPendência: sim, precisa comissionar completoOBS</v>
      </c>
      <c r="M28" s="5">
        <v>40</v>
      </c>
      <c r="N28" s="5">
        <v>0</v>
      </c>
      <c r="O28" s="5">
        <v>0</v>
      </c>
      <c r="P28" s="5">
        <v>20</v>
      </c>
      <c r="Q28" s="5">
        <v>20</v>
      </c>
      <c r="R28" s="5" t="s">
        <v>45</v>
      </c>
      <c r="S28" s="5" t="s">
        <v>45</v>
      </c>
      <c r="T28" s="5" t="s">
        <v>45</v>
      </c>
      <c r="U28" s="5">
        <f>SUM(Table[[#This Row],[Premissa 1]:[Premissa 8]])</f>
        <v>80</v>
      </c>
      <c r="V28" s="5" t="s">
        <v>13</v>
      </c>
      <c r="W28" t="s">
        <v>151</v>
      </c>
    </row>
    <row r="29" spans="1:23" ht="15" hidden="1" customHeight="1">
      <c r="A29" s="4">
        <v>7900230155</v>
      </c>
      <c r="B29" s="5" t="str">
        <f>MID(Table[[#This Row],[Ativo]],1,2)</f>
        <v>79</v>
      </c>
      <c r="C29" s="5" t="s">
        <v>153</v>
      </c>
      <c r="D29" s="5" t="s">
        <v>154</v>
      </c>
      <c r="E29" s="5" t="s">
        <v>51</v>
      </c>
      <c r="F29" s="4" t="str">
        <f>IFERROR(_xlfn.XLOOKUP(Table[[#This Row],[Ativo]],Pendentes[COD_RELIGADOR],Pendentes[SS_ORIGINAL]),"CONCLUÍDA")</f>
        <v>ETO-PROT 00143/2026</v>
      </c>
      <c r="G29" s="4" t="s">
        <v>471</v>
      </c>
      <c r="I29" s="4" t="s">
        <v>443</v>
      </c>
      <c r="J29" s="29" t="s">
        <v>489</v>
      </c>
      <c r="K29" s="31">
        <v>1</v>
      </c>
      <c r="L29" t="str">
        <f>IFERROR(_xlfn.XLOOKUP(Table[[#This Row],[Ativo]],Pendentes[COD_RELIGADOR],Pendentes[DESCRICAO]),"")</f>
        <v>07/07/2026 PARECER COEP: MATERIAL ENVIADO , CONFORME ALINHANDO COM O WANDER REALIZAR SUBSTIUIÇÂO DO EQUIPAMENTO, FAVOR ESCREVER PARECER COCM ANTES DE PASSAR PARA PROTEÇÂO, DO QUE FOI REALIZADO01/07/2026 PARECER COEP: PROBLEMA NO ENVIO DO MATERIAL PARECER DMSL: Religador está com o tanque danificado. Não responde a comandos abertura e fechamento local ou remoto, pois está com sinal de curto circuito. Necessário trocar o equipamento. Para raio do trafo está queimado. Chave de saída da fase C está com o olhal quebrado, necessário substituir a chave. Equipamento ficou bypassado em campo. Aberto entrada e saída, com exceção da fase C de saída que ficou fechada. Favor, substituir equipamento completo por NOJA RC10 e sanar demais pendencias.Senhores Favor verificar RL 7900230155  o mesmo sinalizou aberto  no SCADA porem a cidade de Palmeirante estava normal , feito um reset no rl e o mesmo subiu fechado.08/07/2026 PARECER DCMD: EQUIPE ETO-LVGR01  DE GUARAI ESTEVE NO RL 7900230155 DIA 25-06-2026 E FEZ TODAS A PENDENCIAS DO RL, OBS: EQUIPE SO NAO CONECTOU O CABO DO TRAFO NO RL. RL ESTA PRONTO PARA O COMISSIONAMENTO</v>
      </c>
      <c r="M29" s="5">
        <v>15</v>
      </c>
      <c r="N29" s="5">
        <v>20</v>
      </c>
      <c r="O29" s="5">
        <v>5</v>
      </c>
      <c r="P29" s="5">
        <v>15</v>
      </c>
      <c r="Q29" s="5">
        <v>0</v>
      </c>
      <c r="R29" s="5">
        <v>10</v>
      </c>
      <c r="S29" s="5">
        <v>0</v>
      </c>
      <c r="T29" s="5">
        <v>15</v>
      </c>
      <c r="U29" s="5">
        <f>SUM(Table[[#This Row],[Premissa 1]:[Premissa 8]])</f>
        <v>80</v>
      </c>
      <c r="V29" s="5" t="s">
        <v>9</v>
      </c>
      <c r="W29" t="s">
        <v>157</v>
      </c>
    </row>
    <row r="30" spans="1:23" ht="15" hidden="1" customHeight="1">
      <c r="A30" s="4">
        <v>7900543083</v>
      </c>
      <c r="B30" s="5" t="str">
        <f>MID(Table[[#This Row],[Ativo]],1,2)</f>
        <v>79</v>
      </c>
      <c r="C30" s="5" t="s">
        <v>490</v>
      </c>
      <c r="D30" s="5" t="s">
        <v>62</v>
      </c>
      <c r="E30" s="5" t="s">
        <v>42</v>
      </c>
      <c r="F30" s="49"/>
      <c r="I30" s="4" t="s">
        <v>438</v>
      </c>
      <c r="J30" s="29"/>
      <c r="K30" s="31"/>
      <c r="L30" t="str">
        <f>IFERROR(_xlfn.XLOOKUP(Table[[#This Row],[Ativo]],Pendentes[COD_RELIGADOR],Pendentes[DESCRICAO]),"")</f>
        <v/>
      </c>
      <c r="M30" s="5">
        <v>15</v>
      </c>
      <c r="N30" s="5">
        <v>20</v>
      </c>
      <c r="O30" s="5">
        <v>5</v>
      </c>
      <c r="P30" s="5">
        <v>15</v>
      </c>
      <c r="Q30" s="5">
        <v>0</v>
      </c>
      <c r="R30" s="5">
        <v>0</v>
      </c>
      <c r="S30" s="5">
        <v>10</v>
      </c>
      <c r="T30" s="5">
        <v>15</v>
      </c>
      <c r="U30" s="5">
        <f>SUM(Table[[#This Row],[Premissa 1]:[Premissa 8]])</f>
        <v>80</v>
      </c>
      <c r="V30" s="5" t="s">
        <v>9</v>
      </c>
      <c r="W30" t="s">
        <v>491</v>
      </c>
    </row>
    <row r="31" spans="1:23" ht="15" customHeight="1">
      <c r="A31" s="4">
        <v>7900930040</v>
      </c>
      <c r="B31" s="5" t="str">
        <f>MID(Table[[#This Row],[Ativo]],1,2)</f>
        <v>79</v>
      </c>
      <c r="C31" s="5" t="s">
        <v>492</v>
      </c>
      <c r="D31" s="5" t="s">
        <v>57</v>
      </c>
      <c r="E31" s="5" t="s">
        <v>51</v>
      </c>
      <c r="F31" s="4" t="str">
        <f>IFERROR(_xlfn.XLOOKUP(Table[[#This Row],[Ativo]],Pendentes[COD_RELIGADOR],Pendentes[SS_ORIGINAL]),"CONCLUÍDA")</f>
        <v>CONCLUÍDA</v>
      </c>
      <c r="I31" s="4" t="s">
        <v>438</v>
      </c>
      <c r="J31" s="29"/>
      <c r="K31" s="31"/>
      <c r="L31" t="str">
        <f>IFERROR(_xlfn.XLOOKUP(Table[[#This Row],[Ativo]],Pendentes[COD_RELIGADOR],Pendentes[DESCRICAO]),"")</f>
        <v/>
      </c>
      <c r="M31" s="5">
        <v>15</v>
      </c>
      <c r="N31" s="5">
        <v>20</v>
      </c>
      <c r="O31" s="5">
        <v>5</v>
      </c>
      <c r="P31" s="5">
        <v>15</v>
      </c>
      <c r="Q31" s="5">
        <v>0</v>
      </c>
      <c r="R31" s="5">
        <v>0</v>
      </c>
      <c r="S31" s="5">
        <v>10</v>
      </c>
      <c r="T31" s="5">
        <v>15</v>
      </c>
      <c r="U31" s="5">
        <f>SUM(Table[[#This Row],[Premissa 1]:[Premissa 8]])</f>
        <v>80</v>
      </c>
      <c r="V31" s="5" t="s">
        <v>9</v>
      </c>
      <c r="W31" t="s">
        <v>493</v>
      </c>
    </row>
    <row r="32" spans="1:23" ht="15" customHeight="1">
      <c r="A32" s="4">
        <v>7931383086</v>
      </c>
      <c r="B32" s="5" t="str">
        <f>MID(Table[[#This Row],[Ativo]],1,2)</f>
        <v>79</v>
      </c>
      <c r="C32" s="5" t="s">
        <v>209</v>
      </c>
      <c r="D32" s="5" t="s">
        <v>210</v>
      </c>
      <c r="E32" s="5" t="s">
        <v>42</v>
      </c>
      <c r="F32" s="4" t="str">
        <f>IFERROR(_xlfn.XLOOKUP(Table[[#This Row],[Ativo]],Pendentes[COD_RELIGADOR],Pendentes[SS_ORIGINAL]),"CONCLUÍDA")</f>
        <v>CONCLUÍDA</v>
      </c>
      <c r="I32" s="4" t="s">
        <v>438</v>
      </c>
      <c r="J32" s="29"/>
      <c r="K32" s="31"/>
      <c r="L32" t="str">
        <f>IFERROR(_xlfn.XLOOKUP(Table[[#This Row],[Ativo]],Pendentes[COD_RELIGADOR],Pendentes[DESCRICAO]),"")</f>
        <v/>
      </c>
      <c r="M32" s="5">
        <v>15</v>
      </c>
      <c r="N32" s="5">
        <v>20</v>
      </c>
      <c r="O32" s="5">
        <v>5</v>
      </c>
      <c r="P32" s="5">
        <v>15</v>
      </c>
      <c r="Q32" s="5">
        <v>0</v>
      </c>
      <c r="R32" s="5">
        <v>10</v>
      </c>
      <c r="S32" s="5">
        <v>0</v>
      </c>
      <c r="T32" s="5">
        <v>15</v>
      </c>
      <c r="U32" s="5">
        <f>SUM(Table[[#This Row],[Premissa 1]:[Premissa 8]])</f>
        <v>80</v>
      </c>
      <c r="V32" s="5" t="s">
        <v>9</v>
      </c>
      <c r="W32" t="s">
        <v>494</v>
      </c>
    </row>
    <row r="33" spans="1:23" ht="15" hidden="1" customHeight="1">
      <c r="A33" s="5">
        <v>7908302256</v>
      </c>
      <c r="B33" s="5" t="str">
        <f>MID(Table[[#This Row],[Ativo]],1,2)</f>
        <v>79</v>
      </c>
      <c r="C33" s="5" t="s">
        <v>107</v>
      </c>
      <c r="D33" s="5" t="s">
        <v>108</v>
      </c>
      <c r="E33" s="5" t="s">
        <v>42</v>
      </c>
      <c r="F33" s="4" t="str">
        <f>IFERROR(_xlfn.XLOOKUP(Table[[#This Row],[Ativo]],Pendentes[COD_RELIGADOR],Pendentes[SS_ORIGINAL]),"CONCLUÍDA")</f>
        <v>ETO-TELE 00997/2026</v>
      </c>
      <c r="G33" s="5" t="s">
        <v>495</v>
      </c>
      <c r="J33" s="29"/>
      <c r="K33" s="31"/>
      <c r="L33" t="str">
        <f>IFERROR(_xlfn.XLOOKUP(Table[[#This Row],[Ativo]],Pendentes[COD_RELIGADOR],Pendentes[DESCRICAO]),"")</f>
        <v>RL teve nota baixada (ETO-TELE 970/2026) pore´m eqp continua fora de operação, solicito programação para equipe verificar em campo</v>
      </c>
      <c r="M33" s="5">
        <v>5</v>
      </c>
      <c r="N33" s="5">
        <v>10</v>
      </c>
      <c r="O33" s="5">
        <v>5</v>
      </c>
      <c r="P33" s="5">
        <v>15</v>
      </c>
      <c r="Q33" s="5">
        <v>15</v>
      </c>
      <c r="R33" s="5">
        <v>10</v>
      </c>
      <c r="S33" s="5">
        <v>0</v>
      </c>
      <c r="T33" s="5">
        <v>15</v>
      </c>
      <c r="U33" s="5">
        <f>SUM(Table[[#This Row],[Premissa 1]:[Premissa 8]])</f>
        <v>75</v>
      </c>
      <c r="V33" s="5" t="s">
        <v>13</v>
      </c>
      <c r="W33" t="s">
        <v>160</v>
      </c>
    </row>
    <row r="34" spans="1:23" ht="15" hidden="1" customHeight="1">
      <c r="A34" s="12">
        <v>5800371025</v>
      </c>
      <c r="B34" s="5" t="str">
        <f>MID(Table[[#This Row],[Ativo]],1,2)</f>
        <v>58</v>
      </c>
      <c r="C34" s="5" t="s">
        <v>162</v>
      </c>
      <c r="D34" s="5" t="s">
        <v>154</v>
      </c>
      <c r="E34" s="5" t="s">
        <v>51</v>
      </c>
      <c r="F34" s="4" t="str">
        <f>IFERROR(_xlfn.XLOOKUP(Table[[#This Row],[Ativo]],Pendentes[COD_RELIGADOR],Pendentes[SS_ORIGINAL]),"CONCLUÍDA")</f>
        <v>ETO-RD-GR 00766/2026</v>
      </c>
      <c r="G34" s="4" t="s">
        <v>445</v>
      </c>
      <c r="H34" s="5" t="s">
        <v>569</v>
      </c>
      <c r="I34" s="4" t="s">
        <v>443</v>
      </c>
      <c r="J34" s="29" t="s">
        <v>460</v>
      </c>
      <c r="K34" s="31">
        <v>1</v>
      </c>
      <c r="L34" t="str">
        <f>IFERROR(_xlfn.XLOOKUP(Table[[#This Row],[Ativo]],Pendentes[COD_RELIGADOR],Pendentes[DESCRICAO]),"")</f>
        <v>16/07/2026 PARECER COEP: ALINHADO COM O KELLITON REALIZAR SUBSTITUIÇÃO DO CONTROLE DE TUPIRAMA, ALINHADO COM O JEAN QUE OS CABOS COMPATIBILIZADORES VÃO CHEGAR 16/08 , ATÉ ESSA DATA MANTER ESSA SS E CONTROLE RUA, DEPOIS REPASSAR PARA O DMSLPARECER COEP: AVALIAR COM O LEANDRO, PROVAVELMENTE SÓ COMPRAPARECER DMSL: Após testes foi constatado defeito nos relés da fase A e B, Modelo Toshiba TBR 1000. Se possível, substituir os relés das 3 fases por controle RUA, disponibilizar os cabos de ligação entre o tanque e o controle para possibilitar a compatibilização do equipamento. Fornecer kit de comunicação, rádio, antena, etc.Segue nota para veriifcar falha em regulador de tensão N: 5800371025 dentro S/E Arapoema , equipamento esta com 2 reles com falha  marca toshiba .</v>
      </c>
      <c r="M34" s="5">
        <v>0</v>
      </c>
      <c r="N34" s="5">
        <v>20</v>
      </c>
      <c r="O34" s="5">
        <v>20</v>
      </c>
      <c r="P34" s="5">
        <v>10</v>
      </c>
      <c r="Q34" s="5">
        <v>20</v>
      </c>
      <c r="R34" s="5" t="s">
        <v>45</v>
      </c>
      <c r="S34" s="5" t="s">
        <v>45</v>
      </c>
      <c r="T34" s="5" t="s">
        <v>45</v>
      </c>
      <c r="U34" s="5">
        <f>SUM(Table[[#This Row],[Premissa 1]:[Premissa 8]])</f>
        <v>70</v>
      </c>
      <c r="V34" s="5" t="s">
        <v>13</v>
      </c>
      <c r="W34" t="s">
        <v>165</v>
      </c>
    </row>
    <row r="35" spans="1:23" ht="15" hidden="1" customHeight="1">
      <c r="A35" s="4">
        <v>7926089013</v>
      </c>
      <c r="B35" s="5" t="str">
        <f>MID(Table[[#This Row],[Ativo]],1,2)</f>
        <v>79</v>
      </c>
      <c r="C35" s="5" t="s">
        <v>97</v>
      </c>
      <c r="D35" s="5" t="s">
        <v>97</v>
      </c>
      <c r="E35" s="5" t="s">
        <v>42</v>
      </c>
      <c r="F35" s="4" t="str">
        <f>IFERROR(_xlfn.XLOOKUP(Table[[#This Row],[Ativo]],Pendentes[COD_RELIGADOR],Pendentes[SS_ORIGINAL]),"CONCLUÍDA")</f>
        <v>ETO-COEP 00078/2026</v>
      </c>
      <c r="G35" s="4" t="s">
        <v>451</v>
      </c>
      <c r="H35" s="4" t="s">
        <v>693</v>
      </c>
      <c r="I35" s="4" t="s">
        <v>685</v>
      </c>
      <c r="J35" s="29" t="s">
        <v>480</v>
      </c>
      <c r="K35" s="31">
        <v>1</v>
      </c>
      <c r="L35" t="str">
        <f>IFERROR(_xlfn.XLOOKUP(Table[[#This Row],[Ativo]],Pendentes[COD_RELIGADOR],Pendentes[DESCRICAO]),"")</f>
        <v>PARECER COEP: EQUIPAMENTO SELECIONADO PARA COMPRAPARECER DMSL: Feedback Equip. EspeciaisRLG 7926089013,RELÉ NOJA RC10SID 1805/2026DATA 15/04/2026Serviço Executado: Favor realizar a troca da parte ativa do equipamento --reprogramar para atualizar a base juntamente com escada Equipamento ficou em operação: Não Pendência: sim atualizar a base e  subistituir o tanque Bateria(s) substituída(s)? Não Data de Fabricação/Instalação da(s) bateria(s): Equipe: Carliel e João Vitor Fernando e Elson---------------------------------------------------------------------------------ATUALIZAR AJUSTES DO RL 7926089013 LD PARAISO I  A  PIUM. IMPLEMENTAÇÃO DA FUNÇÃO 27, SUBTENSÃO.AJUSTES DISPONIVEIS NO APP DA PROTEÇÃO.</v>
      </c>
      <c r="M35" s="5">
        <v>15</v>
      </c>
      <c r="N35" s="5">
        <v>10</v>
      </c>
      <c r="O35" s="5">
        <v>5</v>
      </c>
      <c r="P35" s="5">
        <v>15</v>
      </c>
      <c r="Q35" s="5">
        <v>15</v>
      </c>
      <c r="R35" s="5">
        <v>10</v>
      </c>
      <c r="S35" s="5">
        <v>0</v>
      </c>
      <c r="T35" s="5">
        <v>0</v>
      </c>
      <c r="U35" s="5">
        <f>SUM(Table[[#This Row],[Premissa 1]:[Premissa 8]])</f>
        <v>70</v>
      </c>
      <c r="V35" s="5" t="s">
        <v>13</v>
      </c>
      <c r="W35" t="s">
        <v>174</v>
      </c>
    </row>
    <row r="36" spans="1:23" ht="15" hidden="1" customHeight="1">
      <c r="A36" s="4">
        <v>7925087021</v>
      </c>
      <c r="B36" s="5" t="str">
        <f>MID(Table[[#This Row],[Ativo]],1,2)</f>
        <v>79</v>
      </c>
      <c r="C36" s="5" t="s">
        <v>176</v>
      </c>
      <c r="D36" s="5" t="s">
        <v>177</v>
      </c>
      <c r="E36" s="5" t="s">
        <v>76</v>
      </c>
      <c r="F36" s="4" t="str">
        <f>IFERROR(_xlfn.XLOOKUP(Table[[#This Row],[Ativo]],Pendentes[COD_RELIGADOR],Pendentes[SS_ORIGINAL]),"CONCLUÍDA")</f>
        <v>ETO-PROT 00152/2026</v>
      </c>
      <c r="G36" s="4" t="s">
        <v>471</v>
      </c>
      <c r="H36" s="38"/>
      <c r="I36" s="4" t="s">
        <v>443</v>
      </c>
      <c r="J36" s="29" t="s">
        <v>480</v>
      </c>
      <c r="K36" s="31">
        <v>1</v>
      </c>
      <c r="L36" t="str">
        <f>IFERROR(_xlfn.XLOOKUP(Table[[#This Row],[Ativo]],Pendentes[COD_RELIGADOR],Pendentes[DESCRICAO]),"")</f>
        <v>10/07 PARECER COEP: EQUIPAMENTO ENTREGUE AOS COCM´S FAVOR INFORMAR PRAZO DE SUBSTUIÇÃO PARA O DMSL E REPASSAR DEPOIS PARA PROTEÇÃO REALIZAR OS AJUSTES E DESCREVER NA SS O SERVIÇO REALIZADOPARECER COEP: EM ROTA DE ENTREGA, VERIFICAR PREVISÃO DE CHEGADARealizar a substituição do tanque do equipamento.</v>
      </c>
      <c r="M36" s="5">
        <v>15</v>
      </c>
      <c r="N36" s="5">
        <v>10</v>
      </c>
      <c r="O36" s="5">
        <v>5</v>
      </c>
      <c r="P36" s="5">
        <v>0</v>
      </c>
      <c r="Q36" s="5">
        <v>15</v>
      </c>
      <c r="R36" s="5">
        <v>10</v>
      </c>
      <c r="S36" s="5">
        <v>0</v>
      </c>
      <c r="T36" s="5">
        <v>15</v>
      </c>
      <c r="U36" s="5">
        <f>SUM(Table[[#This Row],[Premissa 1]:[Premissa 8]])</f>
        <v>70</v>
      </c>
      <c r="V36" s="5" t="s">
        <v>13</v>
      </c>
      <c r="W36" t="s">
        <v>180</v>
      </c>
    </row>
    <row r="37" spans="1:23" ht="15" hidden="1" customHeight="1">
      <c r="A37" s="4">
        <v>5801866013</v>
      </c>
      <c r="B37" s="5" t="str">
        <f>MID(Table[[#This Row],[Ativo]],1,2)</f>
        <v>58</v>
      </c>
      <c r="C37" s="5" t="s">
        <v>97</v>
      </c>
      <c r="D37" s="5" t="s">
        <v>97</v>
      </c>
      <c r="E37" s="5" t="s">
        <v>42</v>
      </c>
      <c r="F37" s="4" t="str">
        <f>IFERROR(_xlfn.XLOOKUP(Table[[#This Row],[Ativo]],Pendentes[COD_RELIGADOR],Pendentes[SS_ORIGINAL]),"CONCLUÍDA")</f>
        <v>ETO-PROT 00151/2026</v>
      </c>
      <c r="G37" s="4" t="s">
        <v>471</v>
      </c>
      <c r="H37" s="38"/>
      <c r="I37" s="4" t="s">
        <v>443</v>
      </c>
      <c r="J37" s="29" t="s">
        <v>444</v>
      </c>
      <c r="K37" s="31">
        <v>1</v>
      </c>
      <c r="L37" t="str">
        <f>IFERROR(_xlfn.XLOOKUP(Table[[#This Row],[Ativo]],Pendentes[COD_RELIGADOR],Pendentes[DESCRICAO]),"")</f>
        <v>15/07 PARECER COCM, FOI ATENDIDA PELA OS ETO-RD-PS 1616/2026 OBRA-021260053910/07 PARECER COEP: EQUIPAMENTO ENTREGUE AOS COCM´S FAVOR INFORMAR PRAZO DE SUBSTUIÇÃO PARA O DMSL E REPASSAR DEPOIS PARA PROTEÇÃO REALIZAR OS AJUSTES E DESCREVER NA SS O SERVIÇO REALIZADOPARECER COEP: EM PROCESSO DE ENTREGAPARECER DMSL: RT 5801866013Serviço Executado: Feito a medição da malha de terra. Identificado infiltração na caixa de passagem da célula da fase C do banco regulador de tensão, será necessário fazer a substituição da mesma! Ficar atento na hora da substituição, deverá ser substituída a célula do lado da BR.Obs.: Será necessário baixar todo o banco pelo menos um metro, as buchas estão muito próximas a parte energizada não oferecem segurança para equipe no momento do ensaio elétrico.Equipamento ficou em operação?: Não Possui nobreak: SimPossui antena: SimPossui rádio:SimPendência: SimData da bateria:  Equipe: Benvindo e Kaique._______________________________________________RT 5801866013BY PASSADO DEVIDO DEFEITO EM CELULA BEMVINDO ESTEVE NO LOCAL JUNTO AO COD .NECESSARIO TRATATIVA PARA MESMA .FASE DANIFICADO C</v>
      </c>
      <c r="M37" s="5">
        <v>0</v>
      </c>
      <c r="N37" s="5">
        <v>20</v>
      </c>
      <c r="O37" s="5">
        <v>20</v>
      </c>
      <c r="P37" s="5">
        <v>20</v>
      </c>
      <c r="Q37" s="5">
        <v>10</v>
      </c>
      <c r="R37" s="5" t="s">
        <v>45</v>
      </c>
      <c r="S37" s="5" t="s">
        <v>45</v>
      </c>
      <c r="T37" s="5" t="s">
        <v>45</v>
      </c>
      <c r="U37" s="5">
        <f>SUM(Table[[#This Row],[Premissa 1]:[Premissa 8]])</f>
        <v>70</v>
      </c>
      <c r="V37" s="5" t="s">
        <v>13</v>
      </c>
      <c r="W37" t="s">
        <v>184</v>
      </c>
    </row>
    <row r="38" spans="1:23" ht="15" hidden="1" customHeight="1">
      <c r="A38" s="4">
        <v>5865120195</v>
      </c>
      <c r="B38" s="5" t="str">
        <f>MID(Table[[#This Row],[Ativo]],1,2)</f>
        <v>58</v>
      </c>
      <c r="C38" s="5" t="s">
        <v>167</v>
      </c>
      <c r="D38" s="5" t="s">
        <v>50</v>
      </c>
      <c r="E38" s="5" t="s">
        <v>51</v>
      </c>
      <c r="F38" s="4" t="str">
        <f>IFERROR(_xlfn.XLOOKUP(Table[[#This Row],[Ativo]],Pendentes[COD_RELIGADOR],Pendentes[SS_ORIGINAL]),"CONCLUÍDA")</f>
        <v>ETO-PROT 00144/2026</v>
      </c>
      <c r="G38" s="4" t="s">
        <v>471</v>
      </c>
      <c r="I38" s="4" t="s">
        <v>443</v>
      </c>
      <c r="J38" s="29" t="s">
        <v>497</v>
      </c>
      <c r="K38" s="31">
        <v>1</v>
      </c>
      <c r="L38" t="str">
        <f>IFERROR(_xlfn.XLOOKUP(Table[[#This Row],[Ativo]],Pendentes[COD_RELIGADOR],Pendentes[DESCRICAO]),"")</f>
        <v>PARECER DMSL:PENDÊNCIA: Realizar melhoria no aterramento por ser tratar de um terreno muito arenoso, e há pendências por parte do time da proteção, os ajustes do RT não estão disponíveis para inserção no referido equipamento.DATA DA MANUTENÇÃO: 12/03/202EQUIPE: Brunno e Edeglan.***********************PARECER DA PROTEÇÃO:FAVOR COMISSIONAR REGULADOR 5865120195 – LD Santa Maria Ramal Centenário e Recursolândia – 34,5kV. AJUSTE REALIZADO, DISPONÍVEL NO APP DA PROTEÇÃO.*********************** INSTALADO NA OBRA 0702400720 GENTILEZA, REALIZAR O COMISSIONAMENTO.LAUDO EM ANEXO.COORD EO: 889017, 901685708-07-2026 PARECER: FOI FEITO A MELHORIA NO REGULADOR CONFORME FOTOS EM ANEXO.</v>
      </c>
      <c r="M38" s="5">
        <v>20</v>
      </c>
      <c r="N38" s="5">
        <v>20</v>
      </c>
      <c r="O38" s="5">
        <v>20</v>
      </c>
      <c r="P38" s="5">
        <v>10</v>
      </c>
      <c r="Q38" s="5">
        <v>0</v>
      </c>
      <c r="R38" s="5" t="s">
        <v>45</v>
      </c>
      <c r="S38" s="5" t="s">
        <v>45</v>
      </c>
      <c r="T38" s="5" t="s">
        <v>45</v>
      </c>
      <c r="U38" s="5">
        <f>SUM(Table[[#This Row],[Premissa 1]:[Premissa 8]])</f>
        <v>70</v>
      </c>
      <c r="V38" s="5" t="s">
        <v>13</v>
      </c>
      <c r="W38" t="s">
        <v>170</v>
      </c>
    </row>
    <row r="39" spans="1:23" ht="15" hidden="1" customHeight="1">
      <c r="A39" s="12">
        <v>5853360007</v>
      </c>
      <c r="B39" s="5" t="str">
        <f>MID(Table[[#This Row],[Ativo]],1,2)</f>
        <v>58</v>
      </c>
      <c r="C39" s="5" t="s">
        <v>186</v>
      </c>
      <c r="D39" s="5" t="s">
        <v>186</v>
      </c>
      <c r="E39" s="5" t="s">
        <v>42</v>
      </c>
      <c r="F39" s="4" t="str">
        <f>IFERROR(_xlfn.XLOOKUP(Table[[#This Row],[Ativo]],Pendentes[COD_RELIGADOR],Pendentes[SS_ORIGINAL]),"CONCLUÍDA")</f>
        <v>ETO-RD-PS 00323/2025</v>
      </c>
      <c r="G39" s="28" t="s">
        <v>498</v>
      </c>
      <c r="H39" s="4" t="s">
        <v>499</v>
      </c>
      <c r="J39" s="29" t="s">
        <v>497</v>
      </c>
      <c r="K39" s="31">
        <v>1</v>
      </c>
      <c r="L39" t="str">
        <f>IFERROR(_xlfn.XLOOKUP(Table[[#This Row],[Ativo]],Pendentes[COD_RELIGADOR],Pendentes[DESCRICAO]),"")</f>
        <v>REALIZAR TESTES NO EQUIPAMENTO E CONFERIR MEDIÇÕES DA MALHA DE ATERRAMENTO. ESTANDO OK, COMISSIONAR EQUIPAMENTO E COLOCA-LO EM OPERAÇÃO.AJUSTES DISPONIVEIS NO APP DA PROTEÇÃdmsl : N° do Equipamento:*RT 5853360007 MIRACEMASID: 2493/2025Data: 13/05/2025Serviço Executado Provavelmente ocorreu uma descarga no equipamento comprometendo a malha!Será necessário fazer melhoria da malha de aterramento, fazer toda interligação da mesma! Feito ensaios de isolação das 3 células do equipamento, isolação está ok, quando retornar para colocar em operação levar 3 baterias de 7a.Equipamento ficou em operação?: Não Equipe: Benvindo e Jardel</v>
      </c>
      <c r="M39" s="5">
        <v>0</v>
      </c>
      <c r="N39" s="5">
        <v>20</v>
      </c>
      <c r="O39" s="5">
        <v>20</v>
      </c>
      <c r="P39" s="5">
        <v>10</v>
      </c>
      <c r="Q39" s="5">
        <v>20</v>
      </c>
      <c r="R39" s="5" t="s">
        <v>45</v>
      </c>
      <c r="S39" s="5" t="s">
        <v>45</v>
      </c>
      <c r="T39" s="5" t="s">
        <v>45</v>
      </c>
      <c r="U39" s="5">
        <f>SUM(Table[[#This Row],[Premissa 1]:[Premissa 8]])</f>
        <v>70</v>
      </c>
      <c r="V39" s="5" t="s">
        <v>13</v>
      </c>
      <c r="W39" t="s">
        <v>189</v>
      </c>
    </row>
    <row r="40" spans="1:23" ht="15" customHeight="1">
      <c r="A40" s="4">
        <v>5800366016</v>
      </c>
      <c r="B40" s="5" t="str">
        <f>MID(Table[[#This Row],[Ativo]],1,2)</f>
        <v>58</v>
      </c>
      <c r="C40" s="5" t="s">
        <v>500</v>
      </c>
      <c r="D40" s="5" t="s">
        <v>223</v>
      </c>
      <c r="E40" s="5" t="s">
        <v>51</v>
      </c>
      <c r="F40" s="4" t="str">
        <f>IFERROR(_xlfn.XLOOKUP(Table[[#This Row],[Ativo]],Pendentes[COD_RELIGADOR],Pendentes[SS_ORIGINAL]),"CONCLUÍDA")</f>
        <v>CONCLUÍDA</v>
      </c>
      <c r="I40" s="4" t="s">
        <v>438</v>
      </c>
      <c r="J40" s="29"/>
      <c r="K40" s="31"/>
      <c r="L40" t="str">
        <f>IFERROR(_xlfn.XLOOKUP(Table[[#This Row],[Ativo]],Pendentes[COD_RELIGADOR],Pendentes[DESCRICAO]),"")</f>
        <v/>
      </c>
      <c r="M40" s="5">
        <v>0</v>
      </c>
      <c r="N40" s="5">
        <v>20</v>
      </c>
      <c r="O40" s="5">
        <v>20</v>
      </c>
      <c r="P40" s="5">
        <v>20</v>
      </c>
      <c r="Q40" s="5">
        <v>10</v>
      </c>
      <c r="R40" s="5" t="s">
        <v>45</v>
      </c>
      <c r="S40" s="5" t="s">
        <v>45</v>
      </c>
      <c r="T40" s="5" t="s">
        <v>45</v>
      </c>
      <c r="U40" s="5">
        <f>SUM(Table[[#This Row],[Premissa 1]:[Premissa 8]])</f>
        <v>70</v>
      </c>
      <c r="V40" s="5" t="s">
        <v>13</v>
      </c>
      <c r="W40" t="s">
        <v>501</v>
      </c>
    </row>
    <row r="41" spans="1:23" ht="15" customHeight="1">
      <c r="A41" s="4">
        <v>7955523028</v>
      </c>
      <c r="B41" s="5" t="str">
        <f>MID(Table[[#This Row],[Ativo]],1,2)</f>
        <v>79</v>
      </c>
      <c r="C41" s="5" t="s">
        <v>502</v>
      </c>
      <c r="D41" s="5" t="s">
        <v>75</v>
      </c>
      <c r="E41" s="5" t="s">
        <v>76</v>
      </c>
      <c r="F41" s="4" t="str">
        <f>IFERROR(_xlfn.XLOOKUP(Table[[#This Row],[Ativo]],Pendentes[COD_RELIGADOR],Pendentes[SS_ORIGINAL]),"CONCLUÍDA")</f>
        <v>CONCLUÍDA</v>
      </c>
      <c r="I41" s="4" t="s">
        <v>438</v>
      </c>
      <c r="J41" s="29"/>
      <c r="K41" s="31"/>
      <c r="L41" t="str">
        <f>IFERROR(_xlfn.XLOOKUP(Table[[#This Row],[Ativo]],Pendentes[COD_RELIGADOR],Pendentes[DESCRICAO]),"")</f>
        <v/>
      </c>
      <c r="M41" s="5">
        <v>15</v>
      </c>
      <c r="N41" s="5">
        <v>10</v>
      </c>
      <c r="O41" s="5">
        <v>5</v>
      </c>
      <c r="P41" s="5">
        <v>15</v>
      </c>
      <c r="Q41" s="5">
        <v>15</v>
      </c>
      <c r="R41" s="5">
        <v>10</v>
      </c>
      <c r="S41" s="5">
        <v>0</v>
      </c>
      <c r="T41" s="5">
        <v>0</v>
      </c>
      <c r="U41" s="5">
        <f>SUM(Table[[#This Row],[Premissa 1]:[Premissa 8]])</f>
        <v>70</v>
      </c>
      <c r="V41" s="5" t="s">
        <v>13</v>
      </c>
      <c r="W41" t="s">
        <v>503</v>
      </c>
    </row>
    <row r="42" spans="1:23" ht="15" hidden="1" customHeight="1">
      <c r="A42" s="4">
        <v>7900573047</v>
      </c>
      <c r="B42" s="5" t="str">
        <f>MID(Table[[#This Row],[Ativo]],1,2)</f>
        <v>79</v>
      </c>
      <c r="C42" s="5" t="s">
        <v>191</v>
      </c>
      <c r="D42" s="5" t="s">
        <v>449</v>
      </c>
      <c r="E42" s="5" t="s">
        <v>76</v>
      </c>
      <c r="F42" s="4" t="str">
        <f>IFERROR(_xlfn.XLOOKUP(Table[[#This Row],[Ativo]],Pendentes[COD_RELIGADOR],Pendentes[SS_ORIGINAL]),"CONCLUÍDA")</f>
        <v>ETO-PROT 00153/2026</v>
      </c>
      <c r="G42" s="4" t="s">
        <v>471</v>
      </c>
      <c r="H42" s="38"/>
      <c r="I42" s="4" t="s">
        <v>443</v>
      </c>
      <c r="J42" s="29" t="s">
        <v>469</v>
      </c>
      <c r="K42" s="31">
        <v>1</v>
      </c>
      <c r="L42" t="str">
        <f>IFERROR(_xlfn.XLOOKUP(Table[[#This Row],[Ativo]],Pendentes[COD_RELIGADOR],Pendentes[DESCRICAO]),"")</f>
        <v>10/07 PARECER COEP: EQUIPAMENTO ENTREGUE AOS COCM´S FAVOR INFORMAR PRAZO DE SUBSTUIÇÃO PARA O DMSL E REPASSAR DEPOIS PARA PROTEÇÃO REALIZAR OS AJUSTES E DESCREVER NA SS O SERVIÇO REALIZADOPARECER COEP: AGUARDANDO COCM'S GERAREM AS OBRAS PARA PODER ENTREGAR MATERIALFavor providenciar manutenção no RL 7900573047, o mesmo estar em curto conforme fotos anexadas. Equipamento ficou bay passado em campo.PARECER DMSL: Equipe: FABIO AP./JOÃO MARCOSData Executada: 15/10/2025Serviço Executado:Foi constatado que o equipamento esta queimado na parte ativa placa, tanque e relé. Por favor fazer a substituição pelo Noja RC10.</v>
      </c>
      <c r="M42" s="5">
        <v>5</v>
      </c>
      <c r="N42" s="5">
        <v>5</v>
      </c>
      <c r="O42" s="5">
        <v>15</v>
      </c>
      <c r="P42" s="5">
        <v>0</v>
      </c>
      <c r="Q42" s="5">
        <v>15</v>
      </c>
      <c r="R42" s="5">
        <v>10</v>
      </c>
      <c r="S42" s="5">
        <v>0</v>
      </c>
      <c r="T42" s="5">
        <v>15</v>
      </c>
      <c r="U42" s="5">
        <f>SUM(Table[[#This Row],[Premissa 1]:[Premissa 8]])</f>
        <v>65</v>
      </c>
      <c r="V42" s="5" t="s">
        <v>13</v>
      </c>
      <c r="W42" t="s">
        <v>195</v>
      </c>
    </row>
    <row r="43" spans="1:23" ht="15" hidden="1" customHeight="1">
      <c r="A43" s="4">
        <v>7953610256</v>
      </c>
      <c r="B43" s="5" t="str">
        <f>MID(Table[[#This Row],[Ativo]],1,2)</f>
        <v>79</v>
      </c>
      <c r="C43" s="5" t="s">
        <v>107</v>
      </c>
      <c r="D43" s="5" t="s">
        <v>108</v>
      </c>
      <c r="E43" s="5" t="s">
        <v>42</v>
      </c>
      <c r="F43" s="4" t="str">
        <f>IFERROR(_xlfn.XLOOKUP(Table[[#This Row],[Ativo]],Pendentes[COD_RELIGADOR],Pendentes[SS_ORIGINAL]),"CONCLUÍDA")</f>
        <v>ETO-RD-PO 00208/2026</v>
      </c>
      <c r="G43" s="5" t="s">
        <v>455</v>
      </c>
      <c r="H43" s="4" t="s">
        <v>684</v>
      </c>
      <c r="J43" s="29" t="s">
        <v>465</v>
      </c>
      <c r="K43" s="31">
        <v>1</v>
      </c>
      <c r="L43" t="str">
        <f>IFERROR(_xlfn.XLOOKUP(Table[[#This Row],[Ativo]],Pendentes[COD_RELIGADOR],Pendentes[DESCRICAO]),"")</f>
        <v>14/07/2026 - PARECER COEP: REALOCAR TANQUE 34,5 SOBRESSALENTE DE PARAÍSO PARA ATENDER  PARECER DMSL: Data: 10/03/2026,Serviço Executado: Foi substituído o relé do equipamento, o mesmo estava danificado. Trocado o DPS, o mesmo estava queimado devido ao tanque estar furado. O equipamento ficou em bypass.Equipamento ficou em operação? NãoPendência? Sim, substituir a parte ativa com cordão umbilical.Equipe: Carliel e João VitorSEGUE SS PARA REGULARIZAR AUTOMAÇÃO DO RL 7953610256 NA INTERLIGAÇÃO COM A COELBA (CHAPADA DA MANGABEIRA) - EQUIPE INFOMOU CURTO INTERNO NO GABINETE DJ AC NÃO FECHA</v>
      </c>
      <c r="M43" s="5">
        <v>5</v>
      </c>
      <c r="N43" s="5">
        <v>5</v>
      </c>
      <c r="O43" s="5">
        <v>15</v>
      </c>
      <c r="P43" s="5">
        <v>15</v>
      </c>
      <c r="Q43" s="5">
        <v>0</v>
      </c>
      <c r="R43" s="5">
        <v>0</v>
      </c>
      <c r="S43" s="5">
        <v>10</v>
      </c>
      <c r="T43" s="5">
        <v>15</v>
      </c>
      <c r="U43" s="5">
        <f>SUM(Table[[#This Row],[Premissa 1]:[Premissa 8]])</f>
        <v>65</v>
      </c>
      <c r="V43" s="5" t="s">
        <v>13</v>
      </c>
      <c r="W43" t="s">
        <v>198</v>
      </c>
    </row>
    <row r="44" spans="1:23" ht="15" hidden="1" customHeight="1">
      <c r="A44" s="4">
        <v>5800438116</v>
      </c>
      <c r="B44" s="5" t="str">
        <f>MID(Table[[#This Row],[Ativo]],1,2)</f>
        <v>58</v>
      </c>
      <c r="C44" s="5" t="s">
        <v>200</v>
      </c>
      <c r="D44" s="5" t="s">
        <v>75</v>
      </c>
      <c r="E44" s="5" t="s">
        <v>76</v>
      </c>
      <c r="F44" s="4" t="str">
        <f>IFERROR(_xlfn.XLOOKUP(Table[[#This Row],[Ativo]],Pendentes[COD_RELIGADOR],Pendentes[SS_ORIGINAL]),"CONCLUÍDA")</f>
        <v>ETO-RD-DP 00404/2026</v>
      </c>
      <c r="G44" s="4" t="s">
        <v>694</v>
      </c>
      <c r="H44" s="4" t="s">
        <v>567</v>
      </c>
      <c r="I44" s="4" t="s">
        <v>443</v>
      </c>
      <c r="J44" s="29" t="s">
        <v>444</v>
      </c>
      <c r="K44" s="31">
        <v>2</v>
      </c>
      <c r="L44" t="str">
        <f>IFERROR(_xlfn.XLOOKUP(Table[[#This Row],[Ativo]],Pendentes[COD_RELIGADOR],Pendentes[DESCRICAO]),"")</f>
        <v>01/07 PARECER COEP: DENER INFORMOU QUE TEM AS PEÇAS SOBRESSALENTES DE OBRA PARA UTILIZAR, REPASSEREI AO POSTO DO ETO-RD-DP PARA AS TRATATIVAS, FAVOR INFORMAR PREVISÃO DE SUBSTIUIÇÃO E PREENCHER A PLANILHA ASSIM COMO PREENCHER A DESCRIÃO ANTES DE PASSAR PARA PROTEÇÃO FAZER OS AJUSTES30/06PARECER COEP: AGUARDANDO COCM'S CRIAREM OBRA PARA ENTREGA DO MATERIALSegue nota para normalizar falha em regulador N:5800438116 - Chapada da natividade .equipamento está com fase B e C travada .OBS: a fase B esta sinalizando falha , equipamento não insere TAP negativo na fase B e C , o mesmo ficou no TAP zerado e bloqueado .PARECER DMSL (18/08/2025): Foi feito teste de elevar e abaixar nas fases B e C e o mesmo só aceita elevar os taps, constatando que o mercanismo da chave reversoura polaridade está com defeito. Número de série fase B EI7030 e Número de série fase C EI7040. Substituir as fases B e C.Foi constatado que a placa F do controle está com defeito.</v>
      </c>
      <c r="M44" s="5">
        <v>0</v>
      </c>
      <c r="N44" s="5">
        <v>20</v>
      </c>
      <c r="O44" s="5">
        <v>20</v>
      </c>
      <c r="P44" s="5">
        <v>20</v>
      </c>
      <c r="Q44" s="5">
        <v>0</v>
      </c>
      <c r="R44" s="5" t="s">
        <v>45</v>
      </c>
      <c r="S44" s="5" t="s">
        <v>45</v>
      </c>
      <c r="T44" s="5" t="s">
        <v>45</v>
      </c>
      <c r="U44" s="5">
        <f>SUM(Table[[#This Row],[Premissa 1]:[Premissa 8]])</f>
        <v>60</v>
      </c>
      <c r="V44" s="5" t="s">
        <v>14</v>
      </c>
      <c r="W44" t="s">
        <v>202</v>
      </c>
    </row>
    <row r="45" spans="1:23" ht="15" customHeight="1">
      <c r="A45" s="4">
        <v>5800090147</v>
      </c>
      <c r="B45" s="5" t="str">
        <f>MID(Table[[#This Row],[Ativo]],1,2)</f>
        <v>58</v>
      </c>
      <c r="C45" s="5" t="s">
        <v>506</v>
      </c>
      <c r="D45" s="5" t="s">
        <v>75</v>
      </c>
      <c r="E45" s="5" t="s">
        <v>76</v>
      </c>
      <c r="F45" s="4" t="str">
        <f>IFERROR(_xlfn.XLOOKUP(Table[[#This Row],[Ativo]],Pendentes[COD_RELIGADOR],Pendentes[SS_ORIGINAL]),"CONCLUÍDA")</f>
        <v>CONCLUÍDA</v>
      </c>
      <c r="I45" s="4" t="s">
        <v>438</v>
      </c>
      <c r="J45" s="29"/>
      <c r="K45" s="31"/>
      <c r="L45" t="str">
        <f>IFERROR(_xlfn.XLOOKUP(Table[[#This Row],[Ativo]],Pendentes[COD_RELIGADOR],Pendentes[DESCRICAO]),"")</f>
        <v/>
      </c>
      <c r="M45" s="5">
        <v>0</v>
      </c>
      <c r="N45" s="5">
        <v>20</v>
      </c>
      <c r="O45" s="5">
        <v>20</v>
      </c>
      <c r="P45" s="5">
        <v>10</v>
      </c>
      <c r="Q45" s="5">
        <v>10</v>
      </c>
      <c r="R45" s="5" t="s">
        <v>45</v>
      </c>
      <c r="S45" s="5" t="s">
        <v>45</v>
      </c>
      <c r="T45" s="5" t="s">
        <v>45</v>
      </c>
      <c r="U45" s="5">
        <f>SUM(Table[[#This Row],[Premissa 1]:[Premissa 8]])</f>
        <v>60</v>
      </c>
      <c r="V45" s="5" t="s">
        <v>14</v>
      </c>
      <c r="W45" t="s">
        <v>507</v>
      </c>
    </row>
    <row r="46" spans="1:23" ht="15" hidden="1" customHeight="1">
      <c r="A46" s="4">
        <v>5840227063</v>
      </c>
      <c r="B46" s="5" t="str">
        <f>MID(Table[[#This Row],[Ativo]],1,2)</f>
        <v>58</v>
      </c>
      <c r="C46" s="5" t="s">
        <v>204</v>
      </c>
      <c r="D46" s="5" t="s">
        <v>154</v>
      </c>
      <c r="E46" s="5" t="s">
        <v>51</v>
      </c>
      <c r="F46" s="4" t="str">
        <f>IFERROR(_xlfn.XLOOKUP(Table[[#This Row],[Ativo]],Pendentes[COD_RELIGADOR],Pendentes[SS_ORIGINAL]),"CONCLUÍDA")</f>
        <v>ETO-COEP 00151/2026</v>
      </c>
      <c r="G46" s="4" t="s">
        <v>451</v>
      </c>
      <c r="I46" s="4" t="s">
        <v>685</v>
      </c>
      <c r="J46" s="29" t="s">
        <v>444</v>
      </c>
      <c r="K46" s="31">
        <v>1</v>
      </c>
      <c r="L46" t="str">
        <f>IFERROR(_xlfn.XLOOKUP(Table[[#This Row],[Ativo]],Pendentes[COD_RELIGADOR],Pendentes[DESCRICAO]),"")</f>
        <v>PARECER DMSL 13/07/2026: Realizados ensaios de isolação nas três células, e foi identificado curto na fase A, sendo necessário a sua substituição. Os cabos das buchas ficaram desconectados para melhor identificação no momento da sua substituiçãSEGUE PARA O DMSL AVALIAR ANTES DE SEGUIRMOS COM O SERVIÇOSEGUE PARA REALIZAR TROCA---------------------------------------------------------Boa noite,Segue SS para tratativas regulador de tensão 5840227063 fase C em curto</v>
      </c>
      <c r="M46" s="5">
        <v>0</v>
      </c>
      <c r="N46" s="5">
        <v>20</v>
      </c>
      <c r="O46" s="5">
        <v>20</v>
      </c>
      <c r="P46" s="5">
        <v>10</v>
      </c>
      <c r="Q46" s="5">
        <v>10</v>
      </c>
      <c r="R46" s="5" t="s">
        <v>45</v>
      </c>
      <c r="S46" s="5" t="s">
        <v>45</v>
      </c>
      <c r="T46" s="5" t="s">
        <v>45</v>
      </c>
      <c r="U46" s="5">
        <f>SUM(Table[[#This Row],[Premissa 1]:[Premissa 8]])</f>
        <v>60</v>
      </c>
      <c r="V46" s="5" t="s">
        <v>14</v>
      </c>
      <c r="W46" t="s">
        <v>207</v>
      </c>
    </row>
    <row r="47" spans="1:23" ht="15" hidden="1" customHeight="1">
      <c r="A47" s="4">
        <v>5846328094</v>
      </c>
      <c r="B47" s="5" t="str">
        <f>MID(Table[[#This Row],[Ativo]],1,2)</f>
        <v>58</v>
      </c>
      <c r="C47" s="5" t="s">
        <v>177</v>
      </c>
      <c r="D47" s="5" t="s">
        <v>177</v>
      </c>
      <c r="E47" s="5" t="s">
        <v>76</v>
      </c>
      <c r="F47" s="4" t="str">
        <f>IFERROR(_xlfn.XLOOKUP(Table[[#This Row],[Ativo]],Pendentes[COD_RELIGADOR],Pendentes[SS_ORIGINAL]),"CONCLUÍDA")</f>
        <v>ETO-TELE 00986/2026</v>
      </c>
      <c r="G47" s="4" t="s">
        <v>482</v>
      </c>
      <c r="I47" s="4" t="s">
        <v>443</v>
      </c>
      <c r="J47" s="29" t="s">
        <v>497</v>
      </c>
      <c r="K47" s="31">
        <v>1</v>
      </c>
      <c r="L47" t="str">
        <f>IFERROR(_xlfn.XLOOKUP(Table[[#This Row],[Ativo]],Pendentes[COD_RELIGADOR],Pendentes[DESCRICAO]),"")</f>
        <v>COCM SUL - 07/07/2026 - FOI REALIZADO MELHORIA DE ATERRAMENTO E FEITO A MANUTENÇÕES E TODAS AS CHAVES E SUBSTITUIDO OS CONECTORES.PARECER COEP: MELHORIA DE ATERRAMENTO É COCM'S, FAVOR ENCAMINHAR DIRETAMENTE PARA ELES, COCM'S REALIZAR MELHORIA DE ATERRAMENTO POR FAVORPor genteliiza verificar RT 5846328094 situação de equipamento, se encontra by passado em campoPARECER DMSL:Favor, realizar melhoria de aterramento que se encontra alta e substituir todos os conectores das buchas por conectores estrangulador.</v>
      </c>
      <c r="M47" s="5">
        <v>0</v>
      </c>
      <c r="N47" s="5">
        <v>20</v>
      </c>
      <c r="O47" s="5">
        <v>20</v>
      </c>
      <c r="P47" s="5">
        <v>10</v>
      </c>
      <c r="Q47" s="5">
        <v>10</v>
      </c>
      <c r="R47" s="5" t="s">
        <v>45</v>
      </c>
      <c r="S47" s="5" t="s">
        <v>45</v>
      </c>
      <c r="T47" s="5" t="s">
        <v>45</v>
      </c>
      <c r="U47" s="5">
        <f>SUM(Table[[#This Row],[Premissa 1]:[Premissa 8]])</f>
        <v>60</v>
      </c>
      <c r="V47" s="5" t="s">
        <v>14</v>
      </c>
      <c r="W47" t="s">
        <v>217</v>
      </c>
    </row>
    <row r="48" spans="1:23" ht="15" hidden="1" customHeight="1">
      <c r="A48" s="4">
        <v>5851753086</v>
      </c>
      <c r="B48" s="5" t="str">
        <f>MID(Table[[#This Row],[Ativo]],1,2)</f>
        <v>58</v>
      </c>
      <c r="C48" s="5" t="s">
        <v>209</v>
      </c>
      <c r="D48" s="5" t="s">
        <v>210</v>
      </c>
      <c r="E48" s="5" t="s">
        <v>42</v>
      </c>
      <c r="F48" s="4" t="str">
        <f>IFERROR(_xlfn.XLOOKUP(Table[[#This Row],[Ativo]],Pendentes[COD_RELIGADOR],Pendentes[SS_ORIGINAL]),"CONCLUÍDA")</f>
        <v>ETO-TELE 00881/2026</v>
      </c>
      <c r="G48" s="4" t="s">
        <v>482</v>
      </c>
      <c r="I48" s="4" t="s">
        <v>443</v>
      </c>
      <c r="J48" s="29" t="s">
        <v>497</v>
      </c>
      <c r="K48" s="31">
        <v>1</v>
      </c>
      <c r="L48" t="str">
        <f>IFERROR(_xlfn.XLOOKUP(Table[[#This Row],[Ativo]],Pendentes[COD_RELIGADOR],Pendentes[DESCRICAO]),"")</f>
        <v>PARECER DMSL: FAVOR SOLUCIONAR PENDENCIAS RT: 5851753086Relé R.U.A  Data: _19/05/2026Sid: 2740/2026Possui rádio?: SimPossui antena?: SimPossui módulo nobreak?: SimServiço Executado: * Feito testes no equipamento,o mesmo está normal.* Será necessário fazer melhorias na malha de terra e colocar em operação.Equipamento ficou em operação? Não Pendência: Sim. É necessário fazer melhorias na malha de aterramento.Bateria(s) substituída(s)? _nao Data Fabricação/Instalação da(s) bateria(s): 12/2025Equipe: Jean e BenvindoPARECER DCMD: FEITO MELHORIA NA MALHA DO ATERRAMENTO, FAVOR ENVIAR EQUIPE PARA COLOCA-LO EM OPERAÇÃORT 5851753086MESMO ESTA BY-PASSADO EM CAMPO EQUIPE SINERGIA 086OP01 ESTEVE NO LOCAL APARENTIMENTE SEM DEFEITO APARENTE MESMO FOI BY PASSADO POR TER TIRADO LINHA.DESDE ENTAO MESMO NAO VOLTOU PARA OPERAÇÃO .FAVOR VERIFICAR PARA TESTES POSSIVEIS .PARA QUE O MESMO VOLTA COM DISPONIBILIDADE PARA OPERAÇÃO .</v>
      </c>
      <c r="M48" s="5">
        <v>0</v>
      </c>
      <c r="N48" s="5">
        <v>20</v>
      </c>
      <c r="O48" s="5">
        <v>20</v>
      </c>
      <c r="P48" s="5">
        <v>10</v>
      </c>
      <c r="Q48" s="5">
        <v>10</v>
      </c>
      <c r="R48" s="5" t="s">
        <v>45</v>
      </c>
      <c r="S48" s="5" t="s">
        <v>45</v>
      </c>
      <c r="T48" s="5" t="s">
        <v>45</v>
      </c>
      <c r="U48" s="5">
        <f>SUM(Table[[#This Row],[Premissa 1]:[Premissa 8]])</f>
        <v>60</v>
      </c>
      <c r="V48" s="5" t="s">
        <v>14</v>
      </c>
      <c r="W48" t="s">
        <v>213</v>
      </c>
    </row>
    <row r="49" spans="1:23" ht="15" hidden="1" customHeight="1">
      <c r="A49" s="4">
        <v>7903112004</v>
      </c>
      <c r="B49" s="5" t="str">
        <f>MID(Table[[#This Row],[Ativo]],1,2)</f>
        <v>79</v>
      </c>
      <c r="C49" s="5" t="s">
        <v>57</v>
      </c>
      <c r="D49" s="5" t="s">
        <v>57</v>
      </c>
      <c r="E49" s="5" t="s">
        <v>51</v>
      </c>
      <c r="F49" s="4" t="str">
        <f>IFERROR(_xlfn.XLOOKUP(Table[[#This Row],[Ativo]],Pendentes[COD_RELIGADOR],Pendentes[SS_ORIGINAL]),"CONCLUÍDA")</f>
        <v>ETO-COEP 00184/2025</v>
      </c>
      <c r="G49" s="4" t="s">
        <v>695</v>
      </c>
      <c r="H49" s="4" t="s">
        <v>692</v>
      </c>
      <c r="I49" s="4" t="s">
        <v>443</v>
      </c>
      <c r="J49" s="29" t="s">
        <v>480</v>
      </c>
      <c r="K49" s="31">
        <v>1</v>
      </c>
      <c r="L49" t="str">
        <f>IFERROR(_xlfn.XLOOKUP(Table[[#This Row],[Ativo]],Pendentes[COD_RELIGADOR],Pendentes[DESCRICAO]),"")</f>
        <v>20/07 PARECER COEP: EQUIPAMENTO SELECIONADO PARA COMPRAApós testes no RLG 7903112004 foi constatado defeito no mesmo e como se trata de um modelo COOPER FORM6 que está obsoleto e não possuímos peças sobressalentes, faz-se necessária substituição completa por modelo NOJA RC10.</v>
      </c>
      <c r="M49" s="5">
        <v>15</v>
      </c>
      <c r="N49" s="5">
        <v>10</v>
      </c>
      <c r="O49" s="5">
        <v>5</v>
      </c>
      <c r="P49" s="5">
        <v>15</v>
      </c>
      <c r="Q49" s="5">
        <v>0</v>
      </c>
      <c r="R49" s="5">
        <v>10</v>
      </c>
      <c r="S49" s="5">
        <v>0</v>
      </c>
      <c r="T49" s="5">
        <v>0</v>
      </c>
      <c r="U49" s="5">
        <f>SUM(Table[[#This Row],[Premissa 1]:[Premissa 8]])</f>
        <v>55</v>
      </c>
      <c r="V49" s="5" t="s">
        <v>13</v>
      </c>
      <c r="W49" t="s">
        <v>220</v>
      </c>
    </row>
    <row r="50" spans="1:23" ht="15" hidden="1" customHeight="1">
      <c r="A50" s="4">
        <v>7920024127</v>
      </c>
      <c r="B50" s="5" t="str">
        <f>MID(Table[[#This Row],[Ativo]],1,2)</f>
        <v>79</v>
      </c>
      <c r="C50" s="5" t="s">
        <v>222</v>
      </c>
      <c r="D50" s="5" t="s">
        <v>223</v>
      </c>
      <c r="E50" s="5" t="s">
        <v>51</v>
      </c>
      <c r="F50" s="4" t="str">
        <f>IFERROR(_xlfn.XLOOKUP(Table[[#This Row],[Ativo]],Pendentes[COD_RELIGADOR],Pendentes[SS_ORIGINAL]),"CONCLUÍDA")</f>
        <v>ETO-COEP 00120/2025</v>
      </c>
      <c r="G50" s="4" t="s">
        <v>451</v>
      </c>
      <c r="I50" s="4" t="s">
        <v>685</v>
      </c>
      <c r="J50" s="29" t="s">
        <v>510</v>
      </c>
      <c r="K50" s="31">
        <v>1</v>
      </c>
      <c r="L50" t="str">
        <f>IFERROR(_xlfn.XLOOKUP(Table[[#This Row],[Ativo]],Pendentes[COD_RELIGADOR],Pendentes[DESCRICAO]),"")</f>
        <v>30/06 PARECER COEP: AGUARDANDO O RETORNO DO DMSL , PARA ENTENDER SE O PROBLEMA É NA COMUNICAÇÃO OU PARTE ATIVA, JÁ QUE O EQUIPAMENTO EM QUESTÃO SEGUE COMUNICANDOPARECER DMSL: Após testes, equipe DMSL constatou que o relé e a parte ativa do equipamento 7920024127 estão com defeito, sendo necessária a substituição completa por um modelo NOJA RC 10. Favor, subsituir também a chave de saída da fase A que está com o anel de abertura quebrado.RL 7920024127 está desarmando em campo e no SCADA continua fechado, só sinaliza aberto no SCADA quando a equipe faz o resert no equipamento em campo.</v>
      </c>
      <c r="M50" s="5">
        <v>15</v>
      </c>
      <c r="N50" s="5">
        <v>10</v>
      </c>
      <c r="O50" s="5">
        <v>5</v>
      </c>
      <c r="P50" s="5">
        <v>15</v>
      </c>
      <c r="Q50" s="5">
        <v>0</v>
      </c>
      <c r="R50" s="5">
        <v>10</v>
      </c>
      <c r="S50" s="5">
        <v>0</v>
      </c>
      <c r="T50" s="5">
        <v>0</v>
      </c>
      <c r="U50" s="5">
        <f>SUM(Table[[#This Row],[Premissa 1]:[Premissa 8]])</f>
        <v>55</v>
      </c>
      <c r="V50" s="5" t="s">
        <v>13</v>
      </c>
      <c r="W50" t="s">
        <v>226</v>
      </c>
    </row>
    <row r="51" spans="1:23" ht="15" hidden="1" customHeight="1">
      <c r="A51" s="4">
        <v>7927646026</v>
      </c>
      <c r="B51" s="5" t="str">
        <f>MID(Table[[#This Row],[Ativo]],1,2)</f>
        <v>79</v>
      </c>
      <c r="C51" s="5" t="s">
        <v>108</v>
      </c>
      <c r="D51" s="5" t="s">
        <v>108</v>
      </c>
      <c r="E51" s="5" t="s">
        <v>42</v>
      </c>
      <c r="F51" s="4" t="str">
        <f>IFERROR(_xlfn.XLOOKUP(Table[[#This Row],[Ativo]],Pendentes[COD_RELIGADOR],Pendentes[SS_ORIGINAL]),"CONCLUÍDA")</f>
        <v>ETO-COEP 00029/2026</v>
      </c>
      <c r="G51" s="4" t="s">
        <v>451</v>
      </c>
      <c r="I51" s="4" t="s">
        <v>685</v>
      </c>
      <c r="J51" s="29" t="s">
        <v>480</v>
      </c>
      <c r="K51" s="31">
        <v>1</v>
      </c>
      <c r="L51" t="str">
        <f>IFERROR(_xlfn.XLOOKUP(Table[[#This Row],[Ativo]],Pendentes[COD_RELIGADOR],Pendentes[DESCRICAO]),"")</f>
        <v>PARECER COEP: EQUIPAMENTO SELECIONADO PARA COMPRARELIGADOR BY PASSADO POR DEFEITO, NECESSÁRIO AVALIAÇÃO DO PROBLEMA.parecer dmsl:O religador apresenta defeito no tanque, sendo necessário substituir o tanque o mesmo está tirando a linha, e troca os  isoladores. Quando retornar, trazer uma fonte para o equipamento, a mesma foi removida.FICOU EM OPERAÇÃO? NãoPENDÊNCIA: Sim, aguardando peças para substituição.</v>
      </c>
      <c r="M51" s="5">
        <v>15</v>
      </c>
      <c r="N51" s="5">
        <v>10</v>
      </c>
      <c r="O51" s="5">
        <v>5</v>
      </c>
      <c r="P51" s="5">
        <v>0</v>
      </c>
      <c r="Q51" s="5">
        <v>15</v>
      </c>
      <c r="R51" s="5">
        <v>0</v>
      </c>
      <c r="S51" s="5">
        <v>10</v>
      </c>
      <c r="T51" s="5">
        <v>0</v>
      </c>
      <c r="U51" s="5">
        <f>SUM(Table[[#This Row],[Premissa 1]:[Premissa 8]])</f>
        <v>55</v>
      </c>
      <c r="V51" s="5" t="s">
        <v>13</v>
      </c>
      <c r="W51" t="s">
        <v>229</v>
      </c>
    </row>
    <row r="52" spans="1:23" ht="15" hidden="1" customHeight="1">
      <c r="A52" s="4">
        <v>7927169001</v>
      </c>
      <c r="B52" s="5" t="str">
        <f>MID(Table[[#This Row],[Ativo]],1,2)</f>
        <v>79</v>
      </c>
      <c r="C52" s="5" t="s">
        <v>41</v>
      </c>
      <c r="D52" s="5" t="s">
        <v>41</v>
      </c>
      <c r="E52" s="5" t="s">
        <v>42</v>
      </c>
      <c r="F52" s="4" t="str">
        <f>IFERROR(_xlfn.XLOOKUP(Table[[#This Row],[Ativo]],Pendentes[COD_RELIGADOR],Pendentes[SS_ORIGINAL]),"CONCLUÍDA")</f>
        <v>ETO-PROT 00156/2026</v>
      </c>
      <c r="G52" s="4" t="s">
        <v>471</v>
      </c>
      <c r="H52" s="38"/>
      <c r="I52" s="4" t="s">
        <v>443</v>
      </c>
      <c r="J52" s="29" t="s">
        <v>480</v>
      </c>
      <c r="K52" s="31"/>
      <c r="L52" t="str">
        <f>IFERROR(_xlfn.XLOOKUP(Table[[#This Row],[Ativo]],Pendentes[COD_RELIGADOR],Pendentes[DESCRICAO]),"")</f>
        <v>PARECER COEP: EQUIPAMENTO ENTREGUE, SEGUE SS PARA O COCM´S , PARA REALIZAR O ATENDIMENTO,FAVOR ADICIONAR O PARECER PARA MANDAR PARA PROTEÇÃOSS ANTIGA: 1500/2025 PARECER DMSL: Serviço Executado: Foi verificado que o tanque do equipamento está danificado, sendo necessário substituir o tanque do equipamento.Equipamento ficou em operação?: NãoPendência: Sim, instalar fonte, disjuntor e DPS, e substituir o tanque.***** Parecer COCM******Subsituido Tranque do RL pela Ordem de Serviço DLP-MPPA01 247/2026 RELATORIO EM ANEXO DA O.S EXECUTORA</v>
      </c>
      <c r="M52" s="5">
        <v>5</v>
      </c>
      <c r="N52" s="5">
        <v>5</v>
      </c>
      <c r="O52" s="5">
        <v>15</v>
      </c>
      <c r="P52" s="5">
        <v>0</v>
      </c>
      <c r="Q52" s="5">
        <v>15</v>
      </c>
      <c r="R52" s="5">
        <v>0</v>
      </c>
      <c r="S52" s="5">
        <v>0</v>
      </c>
      <c r="T52" s="5">
        <v>15</v>
      </c>
      <c r="U52" s="5">
        <f>SUM(Table[[#This Row],[Premissa 1]:[Premissa 8]])</f>
        <v>55</v>
      </c>
      <c r="V52" s="5" t="s">
        <v>13</v>
      </c>
      <c r="W52" t="s">
        <v>232</v>
      </c>
    </row>
    <row r="53" spans="1:23" ht="15" customHeight="1">
      <c r="A53" s="4">
        <v>7900018004</v>
      </c>
      <c r="B53" s="5" t="str">
        <f>MID(Table[[#This Row],[Ativo]],1,2)</f>
        <v>79</v>
      </c>
      <c r="C53" s="5" t="s">
        <v>57</v>
      </c>
      <c r="D53" s="5" t="s">
        <v>57</v>
      </c>
      <c r="E53" s="5" t="s">
        <v>51</v>
      </c>
      <c r="F53" s="4" t="str">
        <f>IFERROR(_xlfn.XLOOKUP(Table[[#This Row],[Ativo]],Pendentes[COD_RELIGADOR],Pendentes[SS_ORIGINAL]),"CONCLUÍDA")</f>
        <v>CONCLUÍDA</v>
      </c>
      <c r="I53" s="4" t="s">
        <v>438</v>
      </c>
      <c r="J53" s="29"/>
      <c r="K53" s="31"/>
      <c r="L53" t="str">
        <f>IFERROR(_xlfn.XLOOKUP(Table[[#This Row],[Ativo]],Pendentes[COD_RELIGADOR],Pendentes[DESCRICAO]),"")</f>
        <v/>
      </c>
      <c r="M53" s="5">
        <v>15</v>
      </c>
      <c r="N53" s="5">
        <v>10</v>
      </c>
      <c r="O53" s="5">
        <v>5</v>
      </c>
      <c r="P53" s="5">
        <v>15</v>
      </c>
      <c r="Q53" s="5">
        <v>0</v>
      </c>
      <c r="R53" s="5">
        <v>10</v>
      </c>
      <c r="S53" s="5">
        <v>0</v>
      </c>
      <c r="T53" s="5">
        <v>0</v>
      </c>
      <c r="U53" s="5">
        <f>SUM(Table[[#This Row],[Premissa 1]:[Premissa 8]])</f>
        <v>55</v>
      </c>
      <c r="V53" s="5" t="s">
        <v>13</v>
      </c>
      <c r="W53" t="s">
        <v>511</v>
      </c>
    </row>
    <row r="54" spans="1:23" ht="15" customHeight="1">
      <c r="A54" s="4">
        <v>7934698002</v>
      </c>
      <c r="B54" s="5" t="str">
        <f>MID(Table[[#This Row],[Ativo]],1,2)</f>
        <v>79</v>
      </c>
      <c r="C54" s="5" t="s">
        <v>223</v>
      </c>
      <c r="D54" s="5" t="s">
        <v>223</v>
      </c>
      <c r="E54" s="5" t="s">
        <v>51</v>
      </c>
      <c r="F54" s="4" t="str">
        <f>IFERROR(_xlfn.XLOOKUP(Table[[#This Row],[Ativo]],Pendentes[COD_RELIGADOR],Pendentes[SS_ORIGINAL]),"CONCLUÍDA")</f>
        <v>CONCLUÍDA</v>
      </c>
      <c r="I54" s="4" t="s">
        <v>438</v>
      </c>
      <c r="J54" s="29"/>
      <c r="K54" s="31"/>
      <c r="L54" t="str">
        <f>IFERROR(_xlfn.XLOOKUP(Table[[#This Row],[Ativo]],Pendentes[COD_RELIGADOR],Pendentes[DESCRICAO]),"")</f>
        <v/>
      </c>
      <c r="M54" s="5">
        <v>5</v>
      </c>
      <c r="N54" s="5">
        <v>5</v>
      </c>
      <c r="O54" s="5">
        <v>5</v>
      </c>
      <c r="P54" s="5">
        <v>0</v>
      </c>
      <c r="Q54" s="5">
        <v>15</v>
      </c>
      <c r="R54" s="5">
        <v>0</v>
      </c>
      <c r="S54" s="5">
        <v>10</v>
      </c>
      <c r="T54" s="5">
        <v>15</v>
      </c>
      <c r="U54" s="5">
        <f>SUM(Table[[#This Row],[Premissa 1]:[Premissa 8]])</f>
        <v>55</v>
      </c>
      <c r="V54" s="5" t="s">
        <v>13</v>
      </c>
      <c r="W54" t="s">
        <v>512</v>
      </c>
    </row>
    <row r="55" spans="1:23" ht="15" hidden="1" customHeight="1">
      <c r="A55" s="4">
        <v>7930428001</v>
      </c>
      <c r="B55" s="5" t="str">
        <f>MID(Table[[#This Row],[Ativo]],1,2)</f>
        <v>79</v>
      </c>
      <c r="C55" s="5" t="s">
        <v>41</v>
      </c>
      <c r="D55" s="5" t="s">
        <v>41</v>
      </c>
      <c r="E55" s="5" t="s">
        <v>42</v>
      </c>
      <c r="F55" s="4" t="str">
        <f>IFERROR(_xlfn.XLOOKUP(Table[[#This Row],[Ativo]],Pendentes[COD_RELIGADOR],Pendentes[SS_ORIGINAL]),"CONCLUÍDA")</f>
        <v>ETO-COEP 00150/2026</v>
      </c>
      <c r="G55" s="4" t="s">
        <v>451</v>
      </c>
      <c r="I55" s="4" t="s">
        <v>685</v>
      </c>
      <c r="J55" s="29" t="s">
        <v>480</v>
      </c>
      <c r="K55" s="31">
        <v>1</v>
      </c>
      <c r="L55" t="str">
        <f>IFERROR(_xlfn.XLOOKUP(Table[[#This Row],[Ativo]],Pendentes[COD_RELIGADOR],Pendentes[DESCRICAO]),"")</f>
        <v>PARECER DMSL DATA 16/07/2026: será necessário fazer a substituição da parte ativa do equipamento.PARECER COEP: Equipamento Funcionando no SCADA , favor reavaliar a necessidade de substituição e se necessário mandar o modelo do equipamento.Segue nota para substituir Taque do RL-7930428001 na LD Porto Nacional / São João, Identificado pela Int-20253617520441 equipamento dando passagem na fase A ficou bay-passado até substituição, Tensão 34,5kva, Acesso livre.</v>
      </c>
      <c r="M55" s="5">
        <v>5</v>
      </c>
      <c r="N55" s="5">
        <v>5</v>
      </c>
      <c r="O55" s="5">
        <v>15</v>
      </c>
      <c r="P55" s="5">
        <v>0</v>
      </c>
      <c r="Q55" s="5">
        <v>15</v>
      </c>
      <c r="R55" s="5">
        <v>10</v>
      </c>
      <c r="S55" s="5">
        <v>0</v>
      </c>
      <c r="T55" s="5">
        <v>0</v>
      </c>
      <c r="U55" s="5">
        <f>SUM(Table[[#This Row],[Premissa 1]:[Premissa 8]])</f>
        <v>50</v>
      </c>
      <c r="V55" s="5" t="s">
        <v>13</v>
      </c>
      <c r="W55" t="s">
        <v>241</v>
      </c>
    </row>
    <row r="56" spans="1:23" ht="15" customHeight="1">
      <c r="A56" s="43">
        <v>7936038076</v>
      </c>
      <c r="B56" s="5" t="str">
        <f>MID(Table[[#This Row],[Ativo]],1,2)</f>
        <v>79</v>
      </c>
      <c r="C56" s="5" t="s">
        <v>335</v>
      </c>
      <c r="D56" s="5" t="s">
        <v>336</v>
      </c>
      <c r="E56" s="5" t="s">
        <v>76</v>
      </c>
      <c r="F56" s="4" t="str">
        <f>IFERROR(_xlfn.XLOOKUP(Table[[#This Row],[Ativo]],Pendentes[COD_RELIGADOR],Pendentes[SS_ORIGINAL]),"CONCLUÍDA")</f>
        <v>CONCLUÍDA</v>
      </c>
      <c r="G56" s="11" t="s">
        <v>451</v>
      </c>
      <c r="H56" s="4" t="s">
        <v>696</v>
      </c>
      <c r="I56" s="4" t="s">
        <v>685</v>
      </c>
      <c r="J56" s="29"/>
      <c r="K56" s="31"/>
      <c r="L56" t="str">
        <f>IFERROR(_xlfn.XLOOKUP(Table[[#This Row],[Ativo]],Pendentes[COD_RELIGADOR],Pendentes[DESCRICAO]),"")</f>
        <v/>
      </c>
      <c r="M56" s="5">
        <v>5</v>
      </c>
      <c r="N56" s="5">
        <v>5</v>
      </c>
      <c r="O56" s="5">
        <v>15</v>
      </c>
      <c r="P56" s="5">
        <v>0</v>
      </c>
      <c r="Q56" s="5">
        <v>15</v>
      </c>
      <c r="R56" s="5">
        <v>10</v>
      </c>
      <c r="S56" s="5">
        <v>0</v>
      </c>
      <c r="T56" s="5">
        <v>0</v>
      </c>
      <c r="U56" s="5">
        <f>SUM(Table[[#This Row],[Premissa 1]:[Premissa 8]])</f>
        <v>50</v>
      </c>
      <c r="V56" s="5" t="s">
        <v>13</v>
      </c>
      <c r="W56" t="s">
        <v>513</v>
      </c>
    </row>
    <row r="57" spans="1:23" ht="15" customHeight="1">
      <c r="A57" s="12">
        <v>7955520116</v>
      </c>
      <c r="B57" s="5" t="str">
        <f>MID(Table[[#This Row],[Ativo]],1,2)</f>
        <v>79</v>
      </c>
      <c r="C57" s="5" t="s">
        <v>200</v>
      </c>
      <c r="D57" s="5" t="s">
        <v>75</v>
      </c>
      <c r="E57" s="5" t="s">
        <v>76</v>
      </c>
      <c r="F57" s="4" t="str">
        <f>IFERROR(_xlfn.XLOOKUP(Table[[#This Row],[Ativo]],Pendentes[COD_RELIGADOR],Pendentes[SS_ORIGINAL]),"CONCLUÍDA")</f>
        <v>CONCLUÍDA</v>
      </c>
      <c r="G57" s="11" t="s">
        <v>451</v>
      </c>
      <c r="H57" s="4" t="s">
        <v>696</v>
      </c>
      <c r="I57" s="4" t="s">
        <v>685</v>
      </c>
      <c r="J57" s="29" t="s">
        <v>480</v>
      </c>
      <c r="K57" s="31">
        <v>1</v>
      </c>
      <c r="L57" t="str">
        <f>IFERROR(_xlfn.XLOOKUP(Table[[#This Row],[Ativo]],Pendentes[COD_RELIGADOR],Pendentes[DESCRICAO]),"")</f>
        <v/>
      </c>
      <c r="M57" s="5">
        <v>5</v>
      </c>
      <c r="N57" s="5">
        <v>5</v>
      </c>
      <c r="O57" s="5">
        <v>15</v>
      </c>
      <c r="P57" s="5">
        <v>0</v>
      </c>
      <c r="Q57" s="5">
        <v>0</v>
      </c>
      <c r="R57" s="5">
        <v>10</v>
      </c>
      <c r="S57" s="5">
        <v>0</v>
      </c>
      <c r="T57" s="5">
        <v>15</v>
      </c>
      <c r="U57" s="5">
        <f>SUM(Table[[#This Row],[Premissa 1]:[Premissa 8]])</f>
        <v>50</v>
      </c>
      <c r="V57" s="5" t="s">
        <v>13</v>
      </c>
      <c r="W57" t="s">
        <v>515</v>
      </c>
    </row>
    <row r="58" spans="1:23" ht="15" hidden="1" customHeight="1">
      <c r="A58" s="4">
        <v>5800291035</v>
      </c>
      <c r="B58" s="5" t="str">
        <f>MID(Table[[#This Row],[Ativo]],1,2)</f>
        <v>58</v>
      </c>
      <c r="C58" s="5" t="s">
        <v>234</v>
      </c>
      <c r="D58" s="5" t="s">
        <v>108</v>
      </c>
      <c r="E58" s="5" t="s">
        <v>42</v>
      </c>
      <c r="F58" s="4" t="str">
        <f>IFERROR(_xlfn.XLOOKUP(Table[[#This Row],[Ativo]],Pendentes[COD_RELIGADOR],Pendentes[SS_ORIGINAL]),"CONCLUÍDA")</f>
        <v>ETO-RD-PO 00097/2026</v>
      </c>
      <c r="G58" s="11" t="s">
        <v>482</v>
      </c>
      <c r="H58" s="9"/>
      <c r="I58" s="4" t="s">
        <v>443</v>
      </c>
      <c r="J58" s="29" t="s">
        <v>497</v>
      </c>
      <c r="K58" s="31">
        <v>1</v>
      </c>
      <c r="L58" t="s">
        <v>236</v>
      </c>
      <c r="M58" s="5">
        <v>0</v>
      </c>
      <c r="N58" s="5">
        <v>20</v>
      </c>
      <c r="O58" s="5">
        <v>20</v>
      </c>
      <c r="P58" s="5">
        <v>10</v>
      </c>
      <c r="Q58" s="5">
        <v>0</v>
      </c>
      <c r="R58" s="5" t="s">
        <v>45</v>
      </c>
      <c r="S58" s="5" t="s">
        <v>45</v>
      </c>
      <c r="T58" s="5" t="s">
        <v>45</v>
      </c>
      <c r="U58" s="5">
        <f>SUM(Table[[#This Row],[Premissa 1]:[Premissa 8]])</f>
        <v>50</v>
      </c>
      <c r="V58" s="5" t="s">
        <v>14</v>
      </c>
      <c r="W58" t="s">
        <v>237</v>
      </c>
    </row>
    <row r="59" spans="1:23" ht="15" hidden="1" customHeight="1">
      <c r="A59" s="4">
        <v>5827102054</v>
      </c>
      <c r="B59" s="5" t="str">
        <f>MID(Table[[#This Row],[Ativo]],1,2)</f>
        <v>58</v>
      </c>
      <c r="C59" s="5" t="s">
        <v>243</v>
      </c>
      <c r="D59" s="5" t="s">
        <v>97</v>
      </c>
      <c r="E59" s="5" t="s">
        <v>42</v>
      </c>
      <c r="F59" s="4" t="str">
        <f>IFERROR(_xlfn.XLOOKUP(Table[[#This Row],[Ativo]],Pendentes[COD_RELIGADOR],Pendentes[SS_ORIGINAL]),"CONCLUÍDA")</f>
        <v>ETO-RD-PS 00289/2026</v>
      </c>
      <c r="G59" s="11" t="s">
        <v>482</v>
      </c>
      <c r="H59" s="9" t="s">
        <v>697</v>
      </c>
      <c r="J59" s="29" t="s">
        <v>497</v>
      </c>
      <c r="K59" s="31">
        <v>1</v>
      </c>
      <c r="L59" t="str">
        <f>IFERROR(_xlfn.XLOOKUP(Table[[#This Row],[Ativo]],Pendentes[COD_RELIGADOR],Pendentes[DESCRICAO]),"")</f>
        <v>PARECER COEP:NÃO É POSSÍVEL RETORNAR COM O CONTROLE COMPLETO , MAS DARIA PARA FAZER A MELHORIA NA MALHA DE ATERRAMENTO , ENCAMINHANDO PARA OS COCM'S PARA REALIZAREM A MELHORIAparecer DMSL: :Nobreack com defeito, rele queimado, cabo de comunicação entre o rádio e o rele danificado, malha de aterramento está com a resistência alta!Feito reparo no cabo, substituído nobreack, e rele. Se possível retornar com controle completo pq o q está em campo teve infiltração de água, abrir chamado no scada para atualizar base do equipamento pois o mesmo está com a base antiga, fazer correção da malha de aterramento.Equipamento ficou em operação?: Não Pendência: sim, levar controle novo, fazer correção da malha de terra, levar suporte para fixar antena. OBS</v>
      </c>
      <c r="M59" s="5">
        <v>0</v>
      </c>
      <c r="N59" s="5">
        <v>20</v>
      </c>
      <c r="O59" s="5">
        <v>20</v>
      </c>
      <c r="P59" s="5">
        <v>10</v>
      </c>
      <c r="Q59" s="5">
        <v>0</v>
      </c>
      <c r="R59" s="5" t="s">
        <v>45</v>
      </c>
      <c r="S59" s="5" t="s">
        <v>45</v>
      </c>
      <c r="T59" s="5" t="s">
        <v>45</v>
      </c>
      <c r="U59" s="5">
        <f>SUM(Table[[#This Row],[Premissa 1]:[Premissa 8]])</f>
        <v>50</v>
      </c>
      <c r="V59" s="5" t="s">
        <v>14</v>
      </c>
      <c r="W59" t="s">
        <v>246</v>
      </c>
    </row>
    <row r="60" spans="1:23" ht="15" customHeight="1">
      <c r="A60" s="4">
        <v>5850308009</v>
      </c>
      <c r="B60" s="5" t="str">
        <f>MID(Table[[#This Row],[Ativo]],1,2)</f>
        <v>58</v>
      </c>
      <c r="C60" s="5" t="s">
        <v>50</v>
      </c>
      <c r="D60" s="5" t="s">
        <v>50</v>
      </c>
      <c r="E60" s="5" t="s">
        <v>51</v>
      </c>
      <c r="F60" s="4" t="str">
        <f>IFERROR(_xlfn.XLOOKUP(Table[[#This Row],[Ativo]],Pendentes[COD_RELIGADOR],Pendentes[SS_ORIGINAL]),"CONCLUÍDA")</f>
        <v>CONCLUÍDA</v>
      </c>
      <c r="G60" s="11"/>
      <c r="H60" s="9"/>
      <c r="I60" s="4" t="s">
        <v>438</v>
      </c>
      <c r="J60" s="29"/>
      <c r="K60" s="31"/>
      <c r="L60" t="str">
        <f>IFERROR(_xlfn.XLOOKUP(Table[[#This Row],[Ativo]],Pendentes[COD_RELIGADOR],Pendentes[DESCRICAO]),"")</f>
        <v/>
      </c>
      <c r="M60" s="5">
        <v>0</v>
      </c>
      <c r="N60" s="5">
        <v>20</v>
      </c>
      <c r="O60" s="5">
        <v>20</v>
      </c>
      <c r="P60" s="5">
        <v>0</v>
      </c>
      <c r="Q60" s="5">
        <v>10</v>
      </c>
      <c r="R60" s="5" t="s">
        <v>45</v>
      </c>
      <c r="S60" s="5" t="s">
        <v>45</v>
      </c>
      <c r="T60" s="5" t="s">
        <v>45</v>
      </c>
      <c r="U60" s="5">
        <f>SUM(Table[[#This Row],[Premissa 1]:[Premissa 8]])</f>
        <v>50</v>
      </c>
      <c r="V60" s="5" t="s">
        <v>14</v>
      </c>
      <c r="W60" t="s">
        <v>517</v>
      </c>
    </row>
    <row r="61" spans="1:23" ht="15" hidden="1" customHeight="1">
      <c r="A61" s="4">
        <v>7900535058</v>
      </c>
      <c r="B61" s="5" t="str">
        <f>MID(Table[[#This Row],[Ativo]],1,2)</f>
        <v>79</v>
      </c>
      <c r="C61" s="5" t="s">
        <v>248</v>
      </c>
      <c r="D61" s="5" t="s">
        <v>57</v>
      </c>
      <c r="E61" s="5" t="s">
        <v>51</v>
      </c>
      <c r="F61" s="4" t="str">
        <f>IFERROR(_xlfn.XLOOKUP(Table[[#This Row],[Ativo]],Pendentes[COD_RELIGADOR],Pendentes[SS_ORIGINAL]),"CONCLUÍDA")</f>
        <v>ETO-COEP 00173/2025</v>
      </c>
      <c r="G61" s="11" t="s">
        <v>451</v>
      </c>
      <c r="H61" s="9"/>
      <c r="I61" s="4" t="s">
        <v>685</v>
      </c>
      <c r="J61" s="29" t="s">
        <v>460</v>
      </c>
      <c r="K61" s="31">
        <v>1</v>
      </c>
      <c r="L61" t="str">
        <f>IFERROR(_xlfn.XLOOKUP(Table[[#This Row],[Ativo]],Pendentes[COD_RELIGADOR],Pendentes[DESCRICAO]),"")</f>
        <v>PARECER COEP: EQUIPAMENTO SELECIONADO PARA COMPRAPARECER DMSL:  Equipamento 7900535058 encontra-se com o relé danificado, firmware corrompido, o mesmo não inicia. Devido ao fato de não possuirmos mais peças de reposição para religador cooper, se faz necessário a  substituição de todo conjunto por um Noja RC10.envar equipe para verificar rlo 7900535058 foi feito primeiro ataque com equipe 040op36 o mesmo esta com RELE TRAVADO E FICOU FORA DE OPERAÇÃO, ATENDE RDR DE SANTA FÉ SAIDA DA CIDADEEQUIPE INFORMOU ABELHAS NA CAIXA DO PAINEL DE COMANDO</v>
      </c>
      <c r="M61" s="5">
        <v>5</v>
      </c>
      <c r="N61" s="5">
        <v>10</v>
      </c>
      <c r="O61" s="5">
        <v>5</v>
      </c>
      <c r="P61" s="5">
        <v>0</v>
      </c>
      <c r="Q61" s="5">
        <v>15</v>
      </c>
      <c r="R61" s="5">
        <v>10</v>
      </c>
      <c r="S61" s="5">
        <v>0</v>
      </c>
      <c r="T61" s="5">
        <v>0</v>
      </c>
      <c r="U61" s="5">
        <f>SUM(Table[[#This Row],[Premissa 1]:[Premissa 8]])</f>
        <v>45</v>
      </c>
      <c r="V61" s="5" t="s">
        <v>14</v>
      </c>
      <c r="W61" t="s">
        <v>251</v>
      </c>
    </row>
    <row r="62" spans="1:23" ht="15" customHeight="1">
      <c r="A62" s="4">
        <v>7927713200</v>
      </c>
      <c r="B62" s="5" t="str">
        <f>MID(Table[[#This Row],[Ativo]],1,2)</f>
        <v>79</v>
      </c>
      <c r="C62" s="5" t="s">
        <v>327</v>
      </c>
      <c r="D62" s="5" t="s">
        <v>177</v>
      </c>
      <c r="E62" s="5" t="s">
        <v>76</v>
      </c>
      <c r="F62" s="4" t="str">
        <f>IFERROR(_xlfn.XLOOKUP(Table[[#This Row],[Ativo]],Pendentes[COD_RELIGADOR],Pendentes[SS_ORIGINAL]),"CONCLUÍDA")</f>
        <v>CONCLUÍDA</v>
      </c>
      <c r="G62" s="11" t="s">
        <v>451</v>
      </c>
      <c r="H62" s="4" t="s">
        <v>696</v>
      </c>
      <c r="I62" s="4" t="s">
        <v>685</v>
      </c>
      <c r="J62" s="29" t="s">
        <v>480</v>
      </c>
      <c r="K62" s="31">
        <v>1</v>
      </c>
      <c r="L62" t="str">
        <f>IFERROR(_xlfn.XLOOKUP(Table[[#This Row],[Ativo]],Pendentes[COD_RELIGADOR],Pendentes[DESCRICAO]),"")</f>
        <v/>
      </c>
      <c r="M62" s="5">
        <v>5</v>
      </c>
      <c r="N62" s="5">
        <v>5</v>
      </c>
      <c r="O62" s="5">
        <v>5</v>
      </c>
      <c r="P62" s="5">
        <v>0</v>
      </c>
      <c r="Q62" s="5">
        <v>15</v>
      </c>
      <c r="R62" s="5">
        <v>10</v>
      </c>
      <c r="S62" s="5">
        <v>0</v>
      </c>
      <c r="T62" s="5">
        <v>0</v>
      </c>
      <c r="U62" s="5">
        <f>SUM(Table[[#This Row],[Premissa 1]:[Premissa 8]])</f>
        <v>40</v>
      </c>
      <c r="V62" s="5" t="s">
        <v>14</v>
      </c>
      <c r="W62" t="s">
        <v>518</v>
      </c>
    </row>
    <row r="63" spans="1:23" ht="15" hidden="1" customHeight="1">
      <c r="A63" s="4">
        <v>7937102148</v>
      </c>
      <c r="B63" s="5" t="str">
        <f>MID(Table[[#This Row],[Ativo]],1,2)</f>
        <v>79</v>
      </c>
      <c r="C63" s="5" t="s">
        <v>262</v>
      </c>
      <c r="D63" s="5" t="s">
        <v>177</v>
      </c>
      <c r="E63" s="5" t="s">
        <v>76</v>
      </c>
      <c r="F63" s="4" t="str">
        <f>IFERROR(_xlfn.XLOOKUP(Table[[#This Row],[Ativo]],Pendentes[COD_RELIGADOR],Pendentes[SS_ORIGINAL]),"CONCLUÍDA")</f>
        <v>ETO-COEP 00129/2026</v>
      </c>
      <c r="G63" s="4" t="s">
        <v>451</v>
      </c>
      <c r="I63" s="4" t="s">
        <v>685</v>
      </c>
      <c r="J63" s="29" t="s">
        <v>480</v>
      </c>
      <c r="K63" s="31">
        <v>1</v>
      </c>
      <c r="L63" t="str">
        <f>IFERROR(_xlfn.XLOOKUP(Table[[#This Row],[Ativo]],Pendentes[COD_RELIGADOR],Pendentes[DESCRICAO]),"")</f>
        <v>PARECER COEP: REAVALIAR DISPONIBILIDADE DO EQUIPAMENTO NO SCADA ASSIM COMO , FORNECER MODELO DO EQUIPAMENTO E FAIXA DE TENSÃO PARA COMPRA / AQUISIÇÃOTanque com defeito, realizar substituição do tanque.</v>
      </c>
      <c r="M63" s="5">
        <v>5</v>
      </c>
      <c r="N63" s="5">
        <v>5</v>
      </c>
      <c r="O63" s="5">
        <v>5</v>
      </c>
      <c r="P63" s="5">
        <v>0</v>
      </c>
      <c r="Q63" s="5">
        <v>15</v>
      </c>
      <c r="R63" s="5">
        <v>10</v>
      </c>
      <c r="S63" s="5">
        <v>0</v>
      </c>
      <c r="T63" s="5">
        <v>0</v>
      </c>
      <c r="U63" s="5">
        <f>SUM(Table[[#This Row],[Premissa 1]:[Premissa 8]])</f>
        <v>40</v>
      </c>
      <c r="V63" s="5" t="s">
        <v>14</v>
      </c>
      <c r="W63" t="s">
        <v>265</v>
      </c>
    </row>
    <row r="64" spans="1:23" ht="15" hidden="1" customHeight="1">
      <c r="A64" s="4">
        <v>7944559149</v>
      </c>
      <c r="B64" s="5" t="str">
        <f>MID(Table[[#This Row],[Ativo]],1,2)</f>
        <v>79</v>
      </c>
      <c r="C64" s="5" t="s">
        <v>257</v>
      </c>
      <c r="D64" s="5" t="s">
        <v>210</v>
      </c>
      <c r="E64" s="5" t="s">
        <v>42</v>
      </c>
      <c r="F64" s="4" t="str">
        <f>IFERROR(_xlfn.XLOOKUP(Table[[#This Row],[Ativo]],Pendentes[COD_RELIGADOR],Pendentes[SS_ORIGINAL]),"CONCLUÍDA")</f>
        <v>ETO-COEP 00063/2026</v>
      </c>
      <c r="G64" s="4" t="s">
        <v>451</v>
      </c>
      <c r="I64" s="4" t="s">
        <v>685</v>
      </c>
      <c r="J64" s="29" t="s">
        <v>460</v>
      </c>
      <c r="K64" s="31">
        <v>1</v>
      </c>
      <c r="L64" t="str">
        <f>IFERROR(_xlfn.XLOOKUP(Table[[#This Row],[Ativo]],Pendentes[COD_RELIGADOR],Pendentes[DESCRICAO]),"")</f>
        <v>14/07/2026 PARECER COEP: EQUIPAMENTO SELECIONADO PARA COMPRA Equipamento ficou em operação?: NãoPendência: Sim será necessário substituir a placaServiço Executado:  curto na placa foi tentando recuperar a mesma porém não teve sucesso!Bateria(s)substituída(s)? NÃOEquipe: Kaique e benvido</v>
      </c>
      <c r="M64" s="5">
        <v>5</v>
      </c>
      <c r="N64" s="5">
        <v>10</v>
      </c>
      <c r="O64" s="5">
        <v>0</v>
      </c>
      <c r="P64" s="5">
        <v>0</v>
      </c>
      <c r="Q64" s="5">
        <v>15</v>
      </c>
      <c r="R64" s="5">
        <v>10</v>
      </c>
      <c r="S64" s="5">
        <v>0</v>
      </c>
      <c r="T64" s="5">
        <v>0</v>
      </c>
      <c r="U64" s="5">
        <f>SUM(Table[[#This Row],[Premissa 1]:[Premissa 8]])</f>
        <v>40</v>
      </c>
      <c r="V64" s="5" t="s">
        <v>14</v>
      </c>
      <c r="W64" t="s">
        <v>698</v>
      </c>
    </row>
    <row r="65" spans="1:23" ht="34.5" hidden="1" customHeight="1">
      <c r="A65" s="4">
        <v>5800961074</v>
      </c>
      <c r="B65" s="5" t="str">
        <f>MID(Table[[#This Row],[Ativo]],1,2)</f>
        <v>58</v>
      </c>
      <c r="C65" s="5" t="s">
        <v>75</v>
      </c>
      <c r="D65" s="5" t="s">
        <v>75</v>
      </c>
      <c r="E65" s="5" t="s">
        <v>76</v>
      </c>
      <c r="F65" s="4" t="str">
        <f>IFERROR(_xlfn.XLOOKUP(Table[[#This Row],[Ativo]],Pendentes[COD_RELIGADOR],Pendentes[SS_ORIGINAL]),"CONCLUÍDA")</f>
        <v>ETO-COEP 00221/2025</v>
      </c>
      <c r="G65" s="4" t="s">
        <v>699</v>
      </c>
      <c r="H65" s="50" t="s">
        <v>700</v>
      </c>
      <c r="I65" s="4" t="s">
        <v>685</v>
      </c>
      <c r="J65" s="29" t="s">
        <v>521</v>
      </c>
      <c r="K65" s="31">
        <v>3</v>
      </c>
      <c r="L65" t="str">
        <f>IFERROR(_xlfn.XLOOKUP(Table[[#This Row],[Ativo]],Pendentes[COD_RELIGADOR],Pendentes[DESCRICAO]),"")</f>
        <v>PARECER COEP: EQUIPAMENTO SELECIONADO PARA COMPRASubstituir as 3 células- Melhoria na malha de aterramento - Melhoria no circuito de aterramento qua aterra as células.- Substituir conectores paralelos</v>
      </c>
      <c r="M65" s="5">
        <v>20</v>
      </c>
      <c r="N65" s="5">
        <v>0</v>
      </c>
      <c r="O65" s="5">
        <v>0</v>
      </c>
      <c r="P65" s="5">
        <v>20</v>
      </c>
      <c r="Q65" s="5">
        <v>0</v>
      </c>
      <c r="R65" s="5" t="s">
        <v>45</v>
      </c>
      <c r="S65" s="5" t="s">
        <v>45</v>
      </c>
      <c r="T65" s="5" t="s">
        <v>45</v>
      </c>
      <c r="U65" s="5">
        <f>SUM(Table[[#This Row],[Premissa 1]:[Premissa 8]])</f>
        <v>40</v>
      </c>
      <c r="V65" s="5" t="s">
        <v>14</v>
      </c>
      <c r="W65" t="s">
        <v>255</v>
      </c>
    </row>
    <row r="66" spans="1:23" ht="15" hidden="1" customHeight="1">
      <c r="A66" s="4">
        <v>7908249152</v>
      </c>
      <c r="B66" s="5" t="str">
        <f>MID(Table[[#This Row],[Ativo]],1,2)</f>
        <v>79</v>
      </c>
      <c r="C66" s="5" t="s">
        <v>291</v>
      </c>
      <c r="D66" s="5" t="s">
        <v>41</v>
      </c>
      <c r="E66" s="5" t="s">
        <v>42</v>
      </c>
      <c r="F66" s="4" t="str">
        <f>IFERROR(_xlfn.XLOOKUP(Table[[#This Row],[Ativo]],Pendentes[COD_RELIGADOR],Pendentes[SS_ORIGINAL]),"CONCLUÍDA")</f>
        <v>ETO-COEP 00038/2026</v>
      </c>
      <c r="G66" s="4" t="s">
        <v>451</v>
      </c>
      <c r="I66" s="4" t="s">
        <v>685</v>
      </c>
      <c r="J66" s="29" t="s">
        <v>469</v>
      </c>
      <c r="K66" s="31">
        <v>1</v>
      </c>
      <c r="L66" t="str">
        <f>IFERROR(_xlfn.XLOOKUP(Table[[#This Row],[Ativo]],Pendentes[COD_RELIGADOR],Pendentes[DESCRICAO]),"")</f>
        <v>14/07/2026 PARECER COEP: EQUIPAMENTO SELECIONADO PARA COMPRADMSL:Serviço Executado: Houve um curto no equipamento danificando a parte ativa, será necessário fazer a substituição do equipamento completo ( parte ativa e controle) colocar o um cabo pp novo do trafo até o Dj pois o mesmo está sem condições de uso. Obs:. Foi retirado rádio e rele Equipamento ficou em operação?: Não Pendência: Sim, substituir o equipamento completo.</v>
      </c>
      <c r="M66" s="5">
        <v>5</v>
      </c>
      <c r="N66" s="5">
        <v>5</v>
      </c>
      <c r="O66" s="5">
        <v>0</v>
      </c>
      <c r="P66" s="5">
        <v>0</v>
      </c>
      <c r="Q66" s="5">
        <v>15</v>
      </c>
      <c r="R66" s="5">
        <v>10</v>
      </c>
      <c r="S66" s="5">
        <v>0</v>
      </c>
      <c r="T66" s="5">
        <v>0</v>
      </c>
      <c r="U66" s="5">
        <f>SUM(Table[[#This Row],[Premissa 1]:[Premissa 8]])</f>
        <v>35</v>
      </c>
      <c r="V66" s="5" t="s">
        <v>14</v>
      </c>
      <c r="W66" t="s">
        <v>293</v>
      </c>
    </row>
    <row r="67" spans="1:23" ht="15" hidden="1" customHeight="1">
      <c r="A67" s="12">
        <v>7922995039</v>
      </c>
      <c r="B67" s="5" t="str">
        <f>MID(Table[[#This Row],[Ativo]],1,2)</f>
        <v>79</v>
      </c>
      <c r="C67" s="5" t="s">
        <v>267</v>
      </c>
      <c r="D67" s="5" t="s">
        <v>132</v>
      </c>
      <c r="E67" s="5" t="s">
        <v>51</v>
      </c>
      <c r="F67" s="4" t="str">
        <f>IFERROR(_xlfn.XLOOKUP(Table[[#This Row],[Ativo]],Pendentes[COD_RELIGADOR],Pendentes[SS_ORIGINAL]),"CONCLUÍDA")</f>
        <v>ETO-PROT 00135/2026</v>
      </c>
      <c r="I67" s="4" t="s">
        <v>522</v>
      </c>
      <c r="J67" s="29"/>
      <c r="K67" s="31"/>
      <c r="L67" t="str">
        <f>IFERROR(_xlfn.XLOOKUP(Table[[#This Row],[Ativo]],Pendentes[COD_RELIGADOR],Pendentes[DESCRICAO]),"")</f>
        <v>PARECER COEP: Equipamento em operação, instalado com sucesso, segue para Proteção para ajustesPARECER DMSL: Após testes, equipe DMSL constatou que o RLG 7922995039 encontra-se com parte ativa e controle danificados. Favor, realizar substituição completa do equipamento.Troca do sistema de comunicação do equipamento</v>
      </c>
      <c r="M67" s="5">
        <v>5</v>
      </c>
      <c r="N67" s="5">
        <v>5</v>
      </c>
      <c r="O67" s="5">
        <v>0</v>
      </c>
      <c r="P67" s="5">
        <v>0</v>
      </c>
      <c r="Q67" s="5">
        <v>15</v>
      </c>
      <c r="R67" s="5">
        <v>10</v>
      </c>
      <c r="S67" s="5">
        <v>0</v>
      </c>
      <c r="T67" s="5">
        <v>0</v>
      </c>
      <c r="U67" s="5">
        <f>SUM(Table[[#This Row],[Premissa 1]:[Premissa 8]])</f>
        <v>35</v>
      </c>
      <c r="V67" s="5" t="s">
        <v>14</v>
      </c>
      <c r="W67" t="s">
        <v>270</v>
      </c>
    </row>
    <row r="68" spans="1:23" ht="15" hidden="1" customHeight="1">
      <c r="A68" s="4">
        <v>7925733015</v>
      </c>
      <c r="B68" s="5" t="str">
        <f>MID(Table[[#This Row],[Ativo]],1,2)</f>
        <v>79</v>
      </c>
      <c r="C68" s="5" t="s">
        <v>283</v>
      </c>
      <c r="D68" s="5" t="s">
        <v>50</v>
      </c>
      <c r="E68" s="5" t="s">
        <v>51</v>
      </c>
      <c r="F68" s="4" t="str">
        <f>IFERROR(_xlfn.XLOOKUP(Table[[#This Row],[Ativo]],Pendentes[COD_RELIGADOR],Pendentes[SS_ORIGINAL]),"CONCLUÍDA")</f>
        <v>ETO-COEP 00058/2026</v>
      </c>
      <c r="G68" s="4" t="s">
        <v>451</v>
      </c>
      <c r="I68" s="4" t="s">
        <v>685</v>
      </c>
      <c r="J68" s="29" t="s">
        <v>480</v>
      </c>
      <c r="K68" s="31">
        <v>1</v>
      </c>
      <c r="L68" t="str">
        <f>IFERROR(_xlfn.XLOOKUP(Table[[#This Row],[Ativo]],Pendentes[COD_RELIGADOR],Pendentes[DESCRICAO]),"")</f>
        <v>PARECER COEP: EQUIPAMENTO SELECIONADO PARA COMPRAPARECER DMSL: FEEDBACK EQUIP. ESPECIAISNº DO EQUIPAMENTO: 7925733015TIPO EQUIPAMENTO: Noja RC10TIPO DE COMUNICAÇÃO: Rádio GEDATA DA MANUTENÇÃO: 24/03/2026SID: 1475/2026DESCRIÇÃO: Tanque do equipamento em CurtoFICOU EM OPERAÇÃO?: Não PENDÊNCIA: Sim, repassar a nota para DCMD substituir tanque.DADOS DIVERGENTES DA PROGRAMAÇÃO: NãoBATERIA SUBSTITUÍDA?: Não TIPO DE BATERIA: Lítio EQUIPE: Edicleber e Jhonata(DEOP)------------------------------------------------------------------------------------------------------religador 7925733015 com defeito, equipe fez abertura da chave de saida do mesmo e ele não aceita fehcamento devido provavel curto-circuito interno, enviar equipe para verificar o mesmo ficou by-pass fechado</v>
      </c>
      <c r="M68" s="5">
        <v>5</v>
      </c>
      <c r="N68" s="5">
        <v>5</v>
      </c>
      <c r="O68" s="5">
        <v>0</v>
      </c>
      <c r="P68" s="5">
        <v>0</v>
      </c>
      <c r="Q68" s="5">
        <v>15</v>
      </c>
      <c r="R68" s="5">
        <v>10</v>
      </c>
      <c r="S68" s="5">
        <v>0</v>
      </c>
      <c r="T68" s="5">
        <v>0</v>
      </c>
      <c r="U68" s="5">
        <f>SUM(Table[[#This Row],[Premissa 1]:[Premissa 8]])</f>
        <v>35</v>
      </c>
      <c r="V68" s="5" t="s">
        <v>14</v>
      </c>
      <c r="W68" t="s">
        <v>286</v>
      </c>
    </row>
    <row r="69" spans="1:23" ht="15" hidden="1" customHeight="1">
      <c r="A69" s="4">
        <v>7927396052</v>
      </c>
      <c r="B69" s="5" t="str">
        <f>MID(Table[[#This Row],[Ativo]],1,2)</f>
        <v>79</v>
      </c>
      <c r="C69" s="5" t="s">
        <v>192</v>
      </c>
      <c r="D69" s="5" t="s">
        <v>192</v>
      </c>
      <c r="E69" s="5" t="s">
        <v>76</v>
      </c>
      <c r="F69" s="4" t="str">
        <f>IFERROR(_xlfn.XLOOKUP(Table[[#This Row],[Ativo]],Pendentes[COD_RELIGADOR],Pendentes[SS_ORIGINAL]),"CONCLUÍDA")</f>
        <v>ETO-COEP 00045/2026</v>
      </c>
      <c r="G69" s="4" t="s">
        <v>451</v>
      </c>
      <c r="I69" s="4" t="s">
        <v>685</v>
      </c>
      <c r="J69" s="29" t="s">
        <v>480</v>
      </c>
      <c r="K69" s="31">
        <v>1</v>
      </c>
      <c r="L69" t="str">
        <f>IFERROR(_xlfn.XLOOKUP(Table[[#This Row],[Ativo]],Pendentes[COD_RELIGADOR],Pendentes[DESCRICAO]),"")</f>
        <v>PARECER COEP: EQUIPAMENTO SELECIONADO PARA COMPRAreligador foi bay passado devido mesmo esta saindo fumaca do painel e sem comunicação 7927396052.PARECER DMSL: Após testes, equipe DMSL constatou que apenas o tanque do RLG 7927396052 encontra-se queimado. Favor, substituir parte ativa do equipamento.NS Tanque: 0320123040198</v>
      </c>
      <c r="M69" s="5">
        <v>5</v>
      </c>
      <c r="N69" s="5">
        <v>5</v>
      </c>
      <c r="O69" s="5">
        <v>0</v>
      </c>
      <c r="P69" s="5">
        <v>0</v>
      </c>
      <c r="Q69" s="5">
        <v>15</v>
      </c>
      <c r="R69" s="5">
        <v>10</v>
      </c>
      <c r="S69" s="5">
        <v>0</v>
      </c>
      <c r="T69" s="5">
        <v>0</v>
      </c>
      <c r="U69" s="5">
        <f>SUM(Table[[#This Row],[Premissa 1]:[Premissa 8]])</f>
        <v>35</v>
      </c>
      <c r="V69" s="5" t="s">
        <v>14</v>
      </c>
      <c r="W69" t="s">
        <v>281</v>
      </c>
    </row>
    <row r="70" spans="1:23" ht="15" hidden="1" customHeight="1">
      <c r="A70" s="4">
        <v>7933585074</v>
      </c>
      <c r="B70" s="5" t="str">
        <f>MID(Table[[#This Row],[Ativo]],1,2)</f>
        <v>79</v>
      </c>
      <c r="C70" s="5" t="s">
        <v>75</v>
      </c>
      <c r="D70" s="5" t="s">
        <v>75</v>
      </c>
      <c r="E70" s="5" t="s">
        <v>76</v>
      </c>
      <c r="F70" s="4" t="str">
        <f>IFERROR(_xlfn.XLOOKUP(Table[[#This Row],[Ativo]],Pendentes[COD_RELIGADOR],Pendentes[SS_ORIGINAL]),"CONCLUÍDA")</f>
        <v>ETO-COEP 00024/2026</v>
      </c>
      <c r="G70" s="5" t="s">
        <v>451</v>
      </c>
      <c r="H70" s="4" t="s">
        <v>452</v>
      </c>
      <c r="I70" s="4" t="s">
        <v>685</v>
      </c>
      <c r="J70" s="29" t="s">
        <v>480</v>
      </c>
      <c r="K70" s="31">
        <v>1</v>
      </c>
      <c r="L70" t="str">
        <f>IFERROR(_xlfn.XLOOKUP(Table[[#This Row],[Ativo]],Pendentes[COD_RELIGADOR],Pendentes[DESCRICAO]),"")</f>
        <v>30/06 PARECER COEP: EQUIPAMENTO SELECIONADO PARA COMPRAREALIZAR SUBSTITUIÇÃO DO TANQUE, O MESMO ESTÁ COM DEFEITO.</v>
      </c>
      <c r="M70" s="5">
        <v>5</v>
      </c>
      <c r="N70" s="5">
        <v>5</v>
      </c>
      <c r="O70" s="5">
        <v>15</v>
      </c>
      <c r="P70" s="5">
        <v>0</v>
      </c>
      <c r="Q70" s="5">
        <v>0</v>
      </c>
      <c r="R70" s="5">
        <v>0</v>
      </c>
      <c r="S70" s="5">
        <v>10</v>
      </c>
      <c r="T70" s="5">
        <v>0</v>
      </c>
      <c r="U70" s="5">
        <f>SUM(Table[[#This Row],[Premissa 1]:[Premissa 8]])</f>
        <v>35</v>
      </c>
      <c r="V70" s="5" t="s">
        <v>14</v>
      </c>
      <c r="W70" t="s">
        <v>273</v>
      </c>
    </row>
    <row r="71" spans="1:23" ht="15" hidden="1" customHeight="1">
      <c r="A71" s="12">
        <v>7942572059</v>
      </c>
      <c r="B71" s="5" t="str">
        <f>MID(Table[[#This Row],[Ativo]],1,2)</f>
        <v>79</v>
      </c>
      <c r="C71" s="5" t="s">
        <v>62</v>
      </c>
      <c r="D71" s="5" t="s">
        <v>62</v>
      </c>
      <c r="E71" s="5" t="s">
        <v>42</v>
      </c>
      <c r="F71" s="4" t="str">
        <f>IFERROR(_xlfn.XLOOKUP(Table[[#This Row],[Ativo]],Pendentes[COD_RELIGADOR],Pendentes[SS_ORIGINAL]),"CONCLUÍDA")</f>
        <v>ETO-PROT 00155/2026</v>
      </c>
      <c r="G71" s="4" t="s">
        <v>482</v>
      </c>
      <c r="I71" s="4" t="s">
        <v>522</v>
      </c>
      <c r="J71" s="29"/>
      <c r="K71" s="31"/>
      <c r="L71" t="str">
        <f>IFERROR(_xlfn.XLOOKUP(Table[[#This Row],[Ativo]],Pendentes[COD_RELIGADOR],Pendentes[DESCRICAO]),"")</f>
        <v>PARECER COEP: EQUIPAMENTO COM MELHORIA DE ATERRAMENTO É COM A ETO-RD-PA , NÃO PASSA PELO FLUXO DE AQUISIÇÃO DO COEP, FAVOR REALIZAR MELHORIA DE ATERRAMENTO ETO-RD-PAPARECER DMSL 19/05/2026: É necessário fazer melhorias na malha de aterramento.segue nota para RL 794252059 o mesmo esta sem comunicaçao, foi feito primeiro ataque, porem a comunicaçao nao voltou, obs ramal do marasca.**** Parcecer do COCM CENTRO-****FEITO A MALHAR DE ATERRAMENTO ATENDIDA PELA ORDEM DE SERVIÇO DLP-MLPA02 91/2026 COM RELATORIO EM ANEXO A O.S</v>
      </c>
      <c r="M71" s="5">
        <v>5</v>
      </c>
      <c r="N71" s="5">
        <v>5</v>
      </c>
      <c r="O71" s="5">
        <v>15</v>
      </c>
      <c r="P71" s="5">
        <v>0</v>
      </c>
      <c r="Q71" s="5">
        <v>0</v>
      </c>
      <c r="R71" s="5">
        <v>0</v>
      </c>
      <c r="S71" s="5">
        <v>10</v>
      </c>
      <c r="T71" s="5">
        <v>0</v>
      </c>
      <c r="U71" s="5">
        <f>SUM(Table[[#This Row],[Premissa 1]:[Premissa 8]])</f>
        <v>35</v>
      </c>
      <c r="V71" s="5" t="s">
        <v>14</v>
      </c>
      <c r="W71" t="s">
        <v>297</v>
      </c>
    </row>
    <row r="72" spans="1:23" ht="15" customHeight="1">
      <c r="A72" s="4">
        <v>7944319149</v>
      </c>
      <c r="B72" s="5" t="str">
        <f>MID(Table[[#This Row],[Ativo]],1,2)</f>
        <v>79</v>
      </c>
      <c r="C72" s="5" t="s">
        <v>257</v>
      </c>
      <c r="D72" s="5" t="s">
        <v>210</v>
      </c>
      <c r="E72" s="5" t="s">
        <v>42</v>
      </c>
      <c r="F72" s="4" t="str">
        <f>IFERROR(_xlfn.XLOOKUP(Table[[#This Row],[Ativo]],Pendentes[COD_RELIGADOR],Pendentes[SS_ORIGINAL]),"CONCLUÍDA")</f>
        <v>CONCLUÍDA</v>
      </c>
      <c r="I72" s="4" t="s">
        <v>438</v>
      </c>
      <c r="J72" s="29"/>
      <c r="K72" s="31"/>
      <c r="L72" t="str">
        <f>IFERROR(_xlfn.XLOOKUP(Table[[#This Row],[Ativo]],Pendentes[COD_RELIGADOR],Pendentes[DESCRICAO]),"")</f>
        <v/>
      </c>
      <c r="M72" s="5">
        <v>5</v>
      </c>
      <c r="N72" s="5">
        <v>5</v>
      </c>
      <c r="O72" s="5">
        <v>15</v>
      </c>
      <c r="P72" s="5">
        <v>0</v>
      </c>
      <c r="Q72" s="5">
        <v>0</v>
      </c>
      <c r="R72" s="5">
        <v>0</v>
      </c>
      <c r="S72" s="5">
        <v>10</v>
      </c>
      <c r="T72" s="5">
        <v>0</v>
      </c>
      <c r="U72" s="5">
        <f>SUM(Table[[#This Row],[Premissa 1]:[Premissa 8]])</f>
        <v>35</v>
      </c>
      <c r="V72" s="5" t="s">
        <v>14</v>
      </c>
      <c r="W72" t="s">
        <v>524</v>
      </c>
    </row>
    <row r="73" spans="1:23" ht="15" hidden="1" customHeight="1">
      <c r="A73" s="4">
        <v>7955986084</v>
      </c>
      <c r="B73" s="5" t="str">
        <f>MID(Table[[#This Row],[Ativo]],1,2)</f>
        <v>79</v>
      </c>
      <c r="C73" s="5" t="s">
        <v>210</v>
      </c>
      <c r="D73" s="5" t="s">
        <v>210</v>
      </c>
      <c r="E73" s="5" t="s">
        <v>42</v>
      </c>
      <c r="F73" s="4" t="str">
        <f>IFERROR(_xlfn.XLOOKUP(Table[[#This Row],[Ativo]],Pendentes[COD_RELIGADOR],Pendentes[SS_ORIGINAL]),"CONCLUÍDA")</f>
        <v>ETO-COEP 00133/2026</v>
      </c>
      <c r="G73" s="4" t="s">
        <v>451</v>
      </c>
      <c r="I73" s="4" t="s">
        <v>685</v>
      </c>
      <c r="J73" s="29"/>
      <c r="K73" s="31"/>
      <c r="L73" t="str">
        <f>IFERROR(_xlfn.XLOOKUP(Table[[#This Row],[Ativo]],Pendentes[COD_RELIGADOR],Pendentes[DESCRICAO]),"")</f>
        <v>14/07/2026 PARECER COEP : SUBSTIUIR CONTROLE COMPLETOPARECER DMSL: Equipamento com a placa de alimentação ca em curto, será necessário substituir a placa do equipamento. (Antiga nota era pra ter sido repassada porém foi baixada indevidamente pela equipe)</v>
      </c>
      <c r="M73" s="5">
        <v>5</v>
      </c>
      <c r="N73" s="5">
        <v>5</v>
      </c>
      <c r="O73" s="5">
        <v>0</v>
      </c>
      <c r="P73" s="5">
        <v>0</v>
      </c>
      <c r="Q73" s="5">
        <v>15</v>
      </c>
      <c r="R73" s="5">
        <v>10</v>
      </c>
      <c r="S73" s="5">
        <v>0</v>
      </c>
      <c r="T73" s="5">
        <v>0</v>
      </c>
      <c r="U73" s="5">
        <f>SUM(Table[[#This Row],[Premissa 1]:[Premissa 8]])</f>
        <v>35</v>
      </c>
      <c r="V73" s="5" t="s">
        <v>14</v>
      </c>
      <c r="W73" t="s">
        <v>277</v>
      </c>
    </row>
    <row r="74" spans="1:23" ht="15" customHeight="1">
      <c r="A74" s="12">
        <v>7967181127</v>
      </c>
      <c r="B74" s="5" t="str">
        <f>MID(Table[[#This Row],[Ativo]],1,2)</f>
        <v>79</v>
      </c>
      <c r="C74" s="5" t="s">
        <v>222</v>
      </c>
      <c r="D74" s="5" t="s">
        <v>223</v>
      </c>
      <c r="E74" s="5" t="s">
        <v>51</v>
      </c>
      <c r="F74" s="4" t="str">
        <f>IFERROR(_xlfn.XLOOKUP(Table[[#This Row],[Ativo]],Pendentes[COD_RELIGADOR],Pendentes[SS_ORIGINAL]),"CONCLUÍDA")</f>
        <v>CONCLUÍDA</v>
      </c>
      <c r="G74" s="4" t="s">
        <v>701</v>
      </c>
      <c r="J74" s="29"/>
      <c r="K74" s="31"/>
      <c r="L74" t="str">
        <f>IFERROR(_xlfn.XLOOKUP(Table[[#This Row],[Ativo]],Pendentes[COD_RELIGADOR],Pendentes[DESCRICAO]),"")</f>
        <v/>
      </c>
      <c r="M74" s="5">
        <v>5</v>
      </c>
      <c r="N74" s="5">
        <v>5</v>
      </c>
      <c r="O74" s="5">
        <v>0</v>
      </c>
      <c r="P74" s="5">
        <v>0</v>
      </c>
      <c r="Q74" s="5">
        <v>15</v>
      </c>
      <c r="R74" s="5">
        <v>10</v>
      </c>
      <c r="S74" s="5">
        <v>0</v>
      </c>
      <c r="T74" s="5">
        <v>0</v>
      </c>
      <c r="U74" s="5">
        <f>SUM(Table[[#This Row],[Premissa 1]:[Premissa 8]])</f>
        <v>35</v>
      </c>
      <c r="V74" s="5" t="s">
        <v>14</v>
      </c>
      <c r="W74" t="s">
        <v>527</v>
      </c>
    </row>
    <row r="75" spans="1:23" ht="15" hidden="1" customHeight="1">
      <c r="A75" s="4">
        <v>7900525015</v>
      </c>
      <c r="B75" s="5" t="str">
        <f>MID(Table[[#This Row],[Ativo]],1,2)</f>
        <v>79</v>
      </c>
      <c r="C75" s="5" t="s">
        <v>283</v>
      </c>
      <c r="D75" s="5" t="s">
        <v>50</v>
      </c>
      <c r="E75" s="5" t="s">
        <v>51</v>
      </c>
      <c r="F75" s="4" t="str">
        <f>IFERROR(_xlfn.XLOOKUP(Table[[#This Row],[Ativo]],Pendentes[COD_RELIGADOR],Pendentes[SS_ORIGINAL]),"CONCLUÍDA")</f>
        <v>ETO-COEP 00125/2026</v>
      </c>
      <c r="G75" s="4" t="s">
        <v>451</v>
      </c>
      <c r="I75" s="4" t="s">
        <v>685</v>
      </c>
      <c r="J75" s="29" t="s">
        <v>480</v>
      </c>
      <c r="K75" s="31">
        <v>1</v>
      </c>
      <c r="L75" t="str">
        <f>IFERROR(_xlfn.XLOOKUP(Table[[#This Row],[Ativo]],Pendentes[COD_RELIGADOR],Pendentes[DESCRICAO]),"")</f>
        <v>PARECER COEP: É PARA REALIZAR A SUBSTITUIÇÃO DO RELIGADOR OU DAS BUCHAS, CASO SEJA BUCHAS , REPASSAR PARA OS COCM'S , CASO NÃO SEJA ESPECIFIQUE O MODELO , E A TENSÃO, FICO NO AGUARDO DO RETORNONota para manutenção substituir religador 7900525015 que está com as buchas de entrada danificadas fase A estourada e bc danificadas Local LD Pedro Afonso A Chaparral</v>
      </c>
      <c r="M75" s="5">
        <v>5</v>
      </c>
      <c r="N75" s="5">
        <v>5</v>
      </c>
      <c r="O75" s="5">
        <v>0</v>
      </c>
      <c r="P75" s="5">
        <v>0</v>
      </c>
      <c r="Q75" s="5">
        <v>15</v>
      </c>
      <c r="R75" s="5">
        <v>10</v>
      </c>
      <c r="S75" s="5">
        <v>0</v>
      </c>
      <c r="T75" s="5">
        <v>0</v>
      </c>
      <c r="U75" s="5">
        <f>SUM(Table[[#This Row],[Premissa 1]:[Premissa 8]])</f>
        <v>35</v>
      </c>
      <c r="V75" s="5" t="s">
        <v>14</v>
      </c>
      <c r="W75" t="s">
        <v>289</v>
      </c>
    </row>
    <row r="76" spans="1:23" ht="15" hidden="1" customHeight="1">
      <c r="A76" s="4">
        <v>7928564039</v>
      </c>
      <c r="B76" s="5" t="str">
        <f>MID(Table[[#This Row],[Ativo]],1,2)</f>
        <v>79</v>
      </c>
      <c r="C76" s="5" t="s">
        <v>267</v>
      </c>
      <c r="D76" s="5" t="s">
        <v>132</v>
      </c>
      <c r="E76" s="5" t="s">
        <v>51</v>
      </c>
      <c r="F76" s="4" t="str">
        <f>IFERROR(_xlfn.XLOOKUP(Table[[#This Row],[Ativo]],Pendentes[COD_RELIGADOR],Pendentes[SS_ORIGINAL]),"CONCLUÍDA")</f>
        <v>ETO-COEP 00123/2026</v>
      </c>
      <c r="G76" s="4" t="s">
        <v>451</v>
      </c>
      <c r="I76" s="4" t="s">
        <v>685</v>
      </c>
      <c r="J76" s="29" t="s">
        <v>469</v>
      </c>
      <c r="K76" s="31">
        <v>1</v>
      </c>
      <c r="L76" t="str">
        <f>IFERROR(_xlfn.XLOOKUP(Table[[#This Row],[Ativo]],Pendentes[COD_RELIGADOR],Pendentes[DESCRICAO]),"")</f>
        <v>PARECER COEP: EQUIPAMENTO SELECIONADO PARA COMPRATroca do sistema de comunicação do equipamentoDMSL 28/07/2025: Equipamento com tanque, modulo e rele com defeito, solicitar troca do equipamento ao DCMD.Fotos vão ser enviadas por e-mail</v>
      </c>
      <c r="M76" s="5">
        <v>5</v>
      </c>
      <c r="N76" s="5">
        <v>10</v>
      </c>
      <c r="O76" s="5">
        <v>5</v>
      </c>
      <c r="P76" s="5">
        <v>0</v>
      </c>
      <c r="Q76" s="5">
        <v>0</v>
      </c>
      <c r="R76" s="5">
        <v>10</v>
      </c>
      <c r="S76" s="5">
        <v>0</v>
      </c>
      <c r="T76" s="5">
        <v>0</v>
      </c>
      <c r="U76" s="5">
        <f>SUM(Table[[#This Row],[Premissa 1]:[Premissa 8]])</f>
        <v>30</v>
      </c>
      <c r="V76" s="5" t="s">
        <v>14</v>
      </c>
      <c r="W76" t="s">
        <v>300</v>
      </c>
    </row>
    <row r="77" spans="1:23" ht="15" customHeight="1">
      <c r="A77" s="4">
        <v>7957126085</v>
      </c>
      <c r="B77" s="5" t="str">
        <f>MID(Table[[#This Row],[Ativo]],1,2)</f>
        <v>79</v>
      </c>
      <c r="C77" s="5" t="s">
        <v>528</v>
      </c>
      <c r="D77" s="5" t="s">
        <v>97</v>
      </c>
      <c r="E77" s="5" t="s">
        <v>42</v>
      </c>
      <c r="F77" s="4" t="str">
        <f>IFERROR(_xlfn.XLOOKUP(Table[[#This Row],[Ativo]],Pendentes[COD_RELIGADOR],Pendentes[SS_ORIGINAL]),"CONCLUÍDA")</f>
        <v>CONCLUÍDA</v>
      </c>
      <c r="I77" s="4" t="s">
        <v>438</v>
      </c>
      <c r="J77" s="29"/>
      <c r="K77" s="31"/>
      <c r="L77" t="str">
        <f>IFERROR(_xlfn.XLOOKUP(Table[[#This Row],[Ativo]],Pendentes[COD_RELIGADOR],Pendentes[DESCRICAO]),"")</f>
        <v/>
      </c>
      <c r="M77" s="5">
        <v>5</v>
      </c>
      <c r="N77" s="5">
        <v>10</v>
      </c>
      <c r="O77" s="5">
        <v>5</v>
      </c>
      <c r="P77" s="5">
        <v>0</v>
      </c>
      <c r="Q77" s="5">
        <v>0</v>
      </c>
      <c r="R77" s="5">
        <v>10</v>
      </c>
      <c r="S77" s="5">
        <v>0</v>
      </c>
      <c r="T77" s="5">
        <v>0</v>
      </c>
      <c r="U77" s="5">
        <f>SUM(Table[[#This Row],[Premissa 1]:[Premissa 8]])</f>
        <v>30</v>
      </c>
      <c r="V77" s="5" t="s">
        <v>14</v>
      </c>
      <c r="W77" t="s">
        <v>529</v>
      </c>
    </row>
    <row r="78" spans="1:23" ht="15" customHeight="1">
      <c r="A78" s="4">
        <v>5841308190</v>
      </c>
      <c r="B78" s="5" t="str">
        <f>MID(Table[[#This Row],[Ativo]],1,2)</f>
        <v>58</v>
      </c>
      <c r="C78" s="5" t="s">
        <v>530</v>
      </c>
      <c r="D78" s="5" t="s">
        <v>75</v>
      </c>
      <c r="E78" s="5" t="s">
        <v>76</v>
      </c>
      <c r="F78" s="4" t="str">
        <f>IFERROR(_xlfn.XLOOKUP(Table[[#This Row],[Ativo]],Pendentes[COD_RELIGADOR],Pendentes[SS_ORIGINAL]),"CONCLUÍDA")</f>
        <v>CONCLUÍDA</v>
      </c>
      <c r="I78" s="4" t="s">
        <v>531</v>
      </c>
      <c r="J78" s="29" t="s">
        <v>45</v>
      </c>
      <c r="K78" s="31"/>
      <c r="L78" t="str">
        <f>IFERROR(_xlfn.XLOOKUP(Table[[#This Row],[Ativo]],Pendentes[COD_RELIGADOR],Pendentes[DESCRICAO]),"")</f>
        <v/>
      </c>
      <c r="M78" s="5">
        <v>0</v>
      </c>
      <c r="N78" s="5">
        <v>20</v>
      </c>
      <c r="O78" s="5">
        <v>0</v>
      </c>
      <c r="P78" s="5">
        <v>10</v>
      </c>
      <c r="Q78" s="5">
        <v>0</v>
      </c>
      <c r="R78" s="5" t="s">
        <v>45</v>
      </c>
      <c r="S78" s="5" t="s">
        <v>45</v>
      </c>
      <c r="T78" s="5" t="s">
        <v>45</v>
      </c>
      <c r="U78" s="5">
        <f>SUM(Table[[#This Row],[Premissa 1]:[Premissa 8]])</f>
        <v>30</v>
      </c>
      <c r="V78" s="5" t="s">
        <v>15</v>
      </c>
      <c r="W78" t="s">
        <v>532</v>
      </c>
    </row>
    <row r="79" spans="1:23" ht="15" customHeight="1">
      <c r="A79" s="12">
        <v>5844630060</v>
      </c>
      <c r="B79" s="5" t="str">
        <f>MID(Table[[#This Row],[Ativo]],1,2)</f>
        <v>58</v>
      </c>
      <c r="C79" s="5" t="s">
        <v>533</v>
      </c>
      <c r="D79" s="5" t="s">
        <v>154</v>
      </c>
      <c r="E79" s="5" t="s">
        <v>51</v>
      </c>
      <c r="F79" s="4" t="str">
        <f>IFERROR(_xlfn.XLOOKUP(Table[[#This Row],[Ativo]],Pendentes[COD_RELIGADOR],Pendentes[SS_ORIGINAL]),"CONCLUÍDA")</f>
        <v>CONCLUÍDA</v>
      </c>
      <c r="G79" s="4" t="s">
        <v>702</v>
      </c>
      <c r="H79" s="4" t="s">
        <v>703</v>
      </c>
      <c r="I79" s="4" t="s">
        <v>443</v>
      </c>
      <c r="J79" s="29" t="s">
        <v>444</v>
      </c>
      <c r="K79" s="31">
        <v>1</v>
      </c>
      <c r="L79" t="str">
        <f>IFERROR(_xlfn.XLOOKUP(Table[[#This Row],[Ativo]],Pendentes[COD_RELIGADOR],Pendentes[DESCRICAO]),"")</f>
        <v/>
      </c>
      <c r="M79" s="5">
        <v>20</v>
      </c>
      <c r="N79" s="5">
        <v>0</v>
      </c>
      <c r="O79" s="5">
        <v>0</v>
      </c>
      <c r="P79" s="5">
        <v>10</v>
      </c>
      <c r="Q79" s="5">
        <v>0</v>
      </c>
      <c r="R79" s="5" t="s">
        <v>45</v>
      </c>
      <c r="S79" s="5" t="s">
        <v>45</v>
      </c>
      <c r="T79" s="5" t="s">
        <v>45</v>
      </c>
      <c r="U79" s="5">
        <f>SUM(Table[[#This Row],[Premissa 1]:[Premissa 8]])</f>
        <v>30</v>
      </c>
      <c r="V79" s="5" t="s">
        <v>15</v>
      </c>
      <c r="W79" t="s">
        <v>535</v>
      </c>
    </row>
    <row r="80" spans="1:23" ht="15" hidden="1" customHeight="1">
      <c r="A80" s="4">
        <v>5855411017</v>
      </c>
      <c r="B80" s="5" t="str">
        <f>MID(Table[[#This Row],[Ativo]],1,2)</f>
        <v>58</v>
      </c>
      <c r="C80" s="5" t="s">
        <v>302</v>
      </c>
      <c r="D80" s="5" t="s">
        <v>186</v>
      </c>
      <c r="E80" s="5" t="s">
        <v>42</v>
      </c>
      <c r="F80" s="4" t="str">
        <f>IFERROR(_xlfn.XLOOKUP(Table[[#This Row],[Ativo]],Pendentes[COD_RELIGADOR],Pendentes[SS_ORIGINAL]),"CONCLUÍDA")</f>
        <v>ETO-COEP 00156/2026</v>
      </c>
      <c r="G80" s="4" t="s">
        <v>451</v>
      </c>
      <c r="I80" s="4" t="s">
        <v>685</v>
      </c>
      <c r="J80" s="29" t="s">
        <v>460</v>
      </c>
      <c r="K80" s="31">
        <v>1</v>
      </c>
      <c r="L80" t="str">
        <f>IFERROR(_xlfn.XLOOKUP(Table[[#This Row],[Ativo]],Pendentes[COD_RELIGADOR],Pendentes[DESCRICAO]),"")</f>
        <v>20/07 PARECER COCM: NÃO RECEBEMOS MATERIAL10/07 PARECER COEP: EQUIPAMENTO ENTREGUE AOS COCM´S FAVOR INFORMAR PRAZO DE SUBSTUIÇÃO PARA O DMSL E REPASSAR DEPOIS PARA PROTEÇÃO REALIZAR OS AJUSTES E DESCREVER NA SS O SERVIÇO REALIZADOPARECER COEP: EQUIPAMENTO EM ROTA DE ENTREGASEM COMUNICAÇÃO, FALHA DE ALIMENTAÇÃO - REALIZADO PRIMEIRO ATAQUE SEM SUCESSO.PARECER DMSL: 17/09/2025 Equipamento ficou em operação? Não Pendência: sim. Equipamento ficou Bay passado levar controle  COMPLETO para trocar. ellisfran</v>
      </c>
      <c r="M80" s="5">
        <v>0</v>
      </c>
      <c r="N80" s="5">
        <v>0</v>
      </c>
      <c r="O80" s="5">
        <v>0</v>
      </c>
      <c r="P80" s="5">
        <v>10</v>
      </c>
      <c r="Q80" s="5">
        <v>20</v>
      </c>
      <c r="R80" s="5" t="s">
        <v>45</v>
      </c>
      <c r="S80" s="5" t="s">
        <v>45</v>
      </c>
      <c r="T80" s="5" t="s">
        <v>45</v>
      </c>
      <c r="U80" s="5">
        <f>SUM(Table[[#This Row],[Premissa 1]:[Premissa 8]])</f>
        <v>30</v>
      </c>
      <c r="V80" s="5" t="s">
        <v>15</v>
      </c>
      <c r="W80" t="s">
        <v>305</v>
      </c>
    </row>
    <row r="81" spans="1:23" ht="15" customHeight="1">
      <c r="A81" s="4">
        <v>7900505026</v>
      </c>
      <c r="B81" s="5" t="str">
        <f>MID(Table[[#This Row],[Ativo]],1,2)</f>
        <v>79</v>
      </c>
      <c r="C81" s="5" t="s">
        <v>108</v>
      </c>
      <c r="D81" s="5" t="s">
        <v>108</v>
      </c>
      <c r="E81" s="5" t="s">
        <v>42</v>
      </c>
      <c r="F81" s="4" t="str">
        <f>IFERROR(_xlfn.XLOOKUP(Table[[#This Row],[Ativo]],Pendentes[COD_RELIGADOR],Pendentes[SS_ORIGINAL]),"CONCLUÍDA")</f>
        <v>CONCLUÍDA</v>
      </c>
      <c r="I81" s="4" t="s">
        <v>438</v>
      </c>
      <c r="J81" s="29"/>
      <c r="K81" s="31"/>
      <c r="L81" t="str">
        <f>IFERROR(_xlfn.XLOOKUP(Table[[#This Row],[Ativo]],Pendentes[COD_RELIGADOR],Pendentes[DESCRICAO]),"")</f>
        <v/>
      </c>
      <c r="M81" s="5">
        <v>5</v>
      </c>
      <c r="N81" s="5">
        <v>5</v>
      </c>
      <c r="O81" s="5">
        <v>5</v>
      </c>
      <c r="P81" s="5">
        <v>0</v>
      </c>
      <c r="Q81" s="5">
        <v>0</v>
      </c>
      <c r="R81" s="5">
        <v>0</v>
      </c>
      <c r="S81" s="5">
        <v>10</v>
      </c>
      <c r="T81" s="5">
        <v>0</v>
      </c>
      <c r="U81" s="5">
        <f>SUM(Table[[#This Row],[Premissa 1]:[Premissa 8]])</f>
        <v>25</v>
      </c>
      <c r="V81" s="5" t="s">
        <v>15</v>
      </c>
      <c r="W81" t="s">
        <v>539</v>
      </c>
    </row>
    <row r="82" spans="1:23" ht="15" hidden="1" customHeight="1">
      <c r="A82" s="12">
        <v>7908196047</v>
      </c>
      <c r="B82" s="5" t="str">
        <f>MID(Table[[#This Row],[Ativo]],1,2)</f>
        <v>79</v>
      </c>
      <c r="C82" s="5" t="s">
        <v>191</v>
      </c>
      <c r="D82" s="5" t="s">
        <v>449</v>
      </c>
      <c r="E82" s="5" t="s">
        <v>76</v>
      </c>
      <c r="F82" s="4" t="str">
        <f>IFERROR(_xlfn.XLOOKUP(Table[[#This Row],[Ativo]],Pendentes[COD_RELIGADOR],Pendentes[SS_ORIGINAL]),"CONCLUÍDA")</f>
        <v>ETO-TELE 01002/2026</v>
      </c>
      <c r="G82" s="4" t="s">
        <v>451</v>
      </c>
      <c r="I82" s="4" t="s">
        <v>685</v>
      </c>
      <c r="J82" s="29" t="s">
        <v>469</v>
      </c>
      <c r="K82" s="31">
        <v>1</v>
      </c>
      <c r="L82" t="str">
        <f>IFERROR(_xlfn.XLOOKUP(Table[[#This Row],[Ativo]],Pendentes[COD_RELIGADOR],Pendentes[DESCRICAO]),"")</f>
        <v>13/07/2026 PARECER COEP: EQUIPAMENTO REMANEJADO FAVOR FAZER O COMISSIONAMENTORELIGADOR N° 7908196047 REMANEJADO NA OBRA 0402401150 GENTILEZA, REALIZAR O COMISSIONAMENTO. LAUDO EM ANEXO. COORD EO: 698485, 8657287PARECER DA PROTEÇÃO:AJUSTE DISPONIBILIZADO NO APP DA PROTEÇÃO, NOTA REPASSADA PARA DMSL COMISSIONAR, POLO GURUPI, RL APENAS REMANEJADO DA REDE VELHA PARA REDE NOVA, EQUIPAMENTO COOPER, SE MANTEVE O MESMO NÚMERO DE ATIVO.ENG° IRLLEY CASTELO BRANCO.PARECER DMSL: Constatado curto-circuito no tanque do religador, impedindo as operações de abertura e fechamento do equipamento. Solicita-se a substituição completa do religador, incluindo tanque e unidade de controle.</v>
      </c>
      <c r="M82" s="5">
        <v>5</v>
      </c>
      <c r="N82" s="5">
        <v>5</v>
      </c>
      <c r="O82" s="5">
        <v>5</v>
      </c>
      <c r="P82" s="5">
        <v>0</v>
      </c>
      <c r="Q82" s="5">
        <v>0</v>
      </c>
      <c r="R82" s="5">
        <v>0</v>
      </c>
      <c r="S82" s="5">
        <v>10</v>
      </c>
      <c r="T82" s="5">
        <v>0</v>
      </c>
      <c r="U82" s="5">
        <f>SUM(Table[[#This Row],[Premissa 1]:[Premissa 8]])</f>
        <v>25</v>
      </c>
      <c r="V82" s="5" t="s">
        <v>15</v>
      </c>
      <c r="W82" t="s">
        <v>308</v>
      </c>
    </row>
    <row r="83" spans="1:23" ht="15" hidden="1" customHeight="1">
      <c r="A83" s="4">
        <v>7921202014</v>
      </c>
      <c r="B83" s="5" t="str">
        <f>MID(Table[[#This Row],[Ativo]],1,2)</f>
        <v>79</v>
      </c>
      <c r="C83" s="5" t="s">
        <v>126</v>
      </c>
      <c r="D83" s="5" t="s">
        <v>97</v>
      </c>
      <c r="E83" s="5" t="s">
        <v>42</v>
      </c>
      <c r="F83" s="4" t="str">
        <f>IFERROR(_xlfn.XLOOKUP(Table[[#This Row],[Ativo]],Pendentes[COD_RELIGADOR],Pendentes[SS_ORIGINAL]),"CONCLUÍDA")</f>
        <v>ETO-COEP 00132/2026</v>
      </c>
      <c r="G83" s="4" t="s">
        <v>451</v>
      </c>
      <c r="I83" s="4" t="s">
        <v>685</v>
      </c>
      <c r="J83" s="29" t="s">
        <v>480</v>
      </c>
      <c r="K83" s="31">
        <v>1</v>
      </c>
      <c r="L83" t="str">
        <f>IFERROR(_xlfn.XLOOKUP(Table[[#This Row],[Ativo]],Pendentes[COD_RELIGADOR],Pendentes[DESCRICAO]),"")</f>
        <v>PARECER COEP: EQUIPAMENTO SELECIONADO PARA COMPRA , DEVERIA SER SUBSTITUIDO PARTE ATIVAPARECER DMSL: Serviço Executado: _ indentificado o problema na parte ativa será  necessário fazer a substituição da mesmo, feito a medição do aterramento. Preciso substituir para raio da fase c.Equipamento ficou em operação?: _NAOPendência: _SimBateria(s) substituída(s)? _NãoData Fabricação/Instalação da(s) bateria(s):_Equipe: _Benvindo e kaique----------------------------------------------------------------------------------RL com defeito no rele, fica só reiniciando ficou By passado OS atendimento primeiro ataque 106530226</v>
      </c>
      <c r="M83" s="5">
        <v>5</v>
      </c>
      <c r="N83" s="5">
        <v>5</v>
      </c>
      <c r="O83" s="5">
        <v>5</v>
      </c>
      <c r="P83" s="5">
        <v>0</v>
      </c>
      <c r="Q83" s="5">
        <v>0</v>
      </c>
      <c r="R83" s="5">
        <v>10</v>
      </c>
      <c r="S83" s="5">
        <v>0</v>
      </c>
      <c r="T83" s="5">
        <v>0</v>
      </c>
      <c r="U83" s="5">
        <f>SUM(Table[[#This Row],[Premissa 1]:[Premissa 8]])</f>
        <v>25</v>
      </c>
      <c r="V83" s="5" t="s">
        <v>15</v>
      </c>
      <c r="W83" t="s">
        <v>322</v>
      </c>
    </row>
    <row r="84" spans="1:23" ht="15" hidden="1" customHeight="1">
      <c r="A84" s="4">
        <v>7923927122</v>
      </c>
      <c r="B84" s="5" t="str">
        <f>MID(Table[[#This Row],[Ativo]],1,2)</f>
        <v>79</v>
      </c>
      <c r="C84" s="5" t="s">
        <v>68</v>
      </c>
      <c r="D84" s="5" t="s">
        <v>68</v>
      </c>
      <c r="E84" s="5" t="s">
        <v>42</v>
      </c>
      <c r="F84" s="4" t="str">
        <f>IFERROR(_xlfn.XLOOKUP(Table[[#This Row],[Ativo]],Pendentes[COD_RELIGADOR],Pendentes[SS_ORIGINAL]),"CONCLUÍDA")</f>
        <v>ETO-COEP 00148/2026</v>
      </c>
      <c r="G84" s="4" t="s">
        <v>451</v>
      </c>
      <c r="I84" s="4" t="s">
        <v>685</v>
      </c>
      <c r="J84" s="29" t="s">
        <v>480</v>
      </c>
      <c r="K84" s="31">
        <v>1</v>
      </c>
      <c r="L84" t="str">
        <f>IFERROR(_xlfn.XLOOKUP(Table[[#This Row],[Ativo]],Pendentes[COD_RELIGADOR],Pendentes[DESCRICAO]),"")</f>
        <v>PARECER DMSL 16/07: Nota solicitada ao DMSL com a informação de que o tanque precisa ser substituído. Estou encaminhando a nota para a área responsável.Segue nota para envia manutenção substituir tanque do RL-7923927122 em curto, Anomalia identificada desarme das LD, s Palmas / Aparecida e Palmas Taquaruçu, Acesso livre, Tensão 34,5kv, Local RL de Interligação entre 424R / 414R.</v>
      </c>
      <c r="M84" s="5">
        <v>15</v>
      </c>
      <c r="N84" s="5">
        <v>0</v>
      </c>
      <c r="O84" s="5">
        <v>0</v>
      </c>
      <c r="P84" s="5">
        <v>0</v>
      </c>
      <c r="Q84" s="5">
        <v>0</v>
      </c>
      <c r="R84" s="5">
        <v>10</v>
      </c>
      <c r="S84" s="5">
        <v>0</v>
      </c>
      <c r="T84" s="5">
        <v>0</v>
      </c>
      <c r="U84" s="5">
        <f>SUM(Table[[#This Row],[Premissa 1]:[Premissa 8]])</f>
        <v>25</v>
      </c>
      <c r="V84" s="5" t="s">
        <v>15</v>
      </c>
      <c r="W84" t="s">
        <v>314</v>
      </c>
    </row>
    <row r="85" spans="1:23" ht="15" hidden="1" customHeight="1">
      <c r="A85" s="4">
        <v>7927446001</v>
      </c>
      <c r="B85" s="5" t="str">
        <f>MID(Table[[#This Row],[Ativo]],1,2)</f>
        <v>79</v>
      </c>
      <c r="C85" s="5" t="s">
        <v>41</v>
      </c>
      <c r="D85" s="5" t="s">
        <v>41</v>
      </c>
      <c r="E85" s="5" t="s">
        <v>42</v>
      </c>
      <c r="F85" s="4" t="str">
        <f>IFERROR(_xlfn.XLOOKUP(Table[[#This Row],[Ativo]],Pendentes[COD_RELIGADOR],Pendentes[SS_ORIGINAL]),"CONCLUÍDA")</f>
        <v>ETO-COEP 00143/2025</v>
      </c>
      <c r="G85" s="4" t="s">
        <v>451</v>
      </c>
      <c r="I85" s="4" t="s">
        <v>685</v>
      </c>
      <c r="J85" s="29" t="s">
        <v>469</v>
      </c>
      <c r="K85" s="31">
        <v>1</v>
      </c>
      <c r="L85" t="str">
        <f>IFERROR(_xlfn.XLOOKUP(Table[[#This Row],[Ativo]],Pendentes[COD_RELIGADOR],Pendentes[DESCRICAO]),"")</f>
        <v>30/06 PARECER COEP: EQUIPAMENTO COMPLETOSegue para verificação RL sem comunicação feito primeiro ataque sem sucesso.PARECER DMSL:Data:* _08/07/2025Serviço Executado: Placa de alimentação danificada, devido a curto, não temos material sobressalente para manutenção! Favor substituir o equipamento completo.Obs.: O rádio ficou dentro do controle, favor orientar a equipe que for substituir colocar dentro do controle novo.Equipamento ficou em operação?: Não Pendência: Sim, substituir equipamento completo.</v>
      </c>
      <c r="M85" s="5">
        <v>5</v>
      </c>
      <c r="N85" s="5">
        <v>5</v>
      </c>
      <c r="O85" s="5">
        <v>5</v>
      </c>
      <c r="P85" s="5">
        <v>0</v>
      </c>
      <c r="Q85" s="5">
        <v>0</v>
      </c>
      <c r="R85" s="5">
        <v>10</v>
      </c>
      <c r="S85" s="5">
        <v>0</v>
      </c>
      <c r="T85" s="5">
        <v>0</v>
      </c>
      <c r="U85" s="5">
        <f>SUM(Table[[#This Row],[Premissa 1]:[Premissa 8]])</f>
        <v>25</v>
      </c>
      <c r="V85" s="5" t="s">
        <v>15</v>
      </c>
      <c r="W85" t="s">
        <v>325</v>
      </c>
    </row>
    <row r="86" spans="1:23" ht="15" hidden="1" customHeight="1">
      <c r="A86" s="4">
        <v>7928241200</v>
      </c>
      <c r="B86" s="5" t="str">
        <f>MID(Table[[#This Row],[Ativo]],1,2)</f>
        <v>79</v>
      </c>
      <c r="C86" s="5" t="s">
        <v>327</v>
      </c>
      <c r="D86" s="5" t="s">
        <v>177</v>
      </c>
      <c r="E86" s="5" t="s">
        <v>76</v>
      </c>
      <c r="F86" s="4" t="str">
        <f>IFERROR(_xlfn.XLOOKUP(Table[[#This Row],[Ativo]],Pendentes[COD_RELIGADOR],Pendentes[SS_ORIGINAL]),"CONCLUÍDA")</f>
        <v>ETO-COEP 00128/2026</v>
      </c>
      <c r="G86" s="4" t="s">
        <v>451</v>
      </c>
      <c r="I86" s="4" t="s">
        <v>685</v>
      </c>
      <c r="J86" s="29" t="s">
        <v>480</v>
      </c>
      <c r="K86" s="31">
        <v>1</v>
      </c>
      <c r="L86" t="str">
        <f>IFERROR(_xlfn.XLOOKUP(Table[[#This Row],[Ativo]],Pendentes[COD_RELIGADOR],Pendentes[DESCRICAO]),"")</f>
        <v>PARECER COEP: EQUIPAMENTO SELECIONADO  PARA COMPRAPARECER DMSL: Tinha uma nota aberta 422/2025 e logo após a equipe resolver a comunicação ela foi baixada, porém a equipe relatou que ''na estrada ontem o COS nos avisou para voltar que na hora de colocar em operação ele tirou a linha fora. Hoje retornamos nele e fizemos ensaios elétricos e foi constatado que o tanque está em curto. Passa direto aí para o Dcmd para substituição do tanque.''</v>
      </c>
      <c r="M86" s="5">
        <v>5</v>
      </c>
      <c r="N86" s="5">
        <v>5</v>
      </c>
      <c r="O86" s="5">
        <v>5</v>
      </c>
      <c r="P86" s="5">
        <v>0</v>
      </c>
      <c r="Q86" s="5">
        <v>0</v>
      </c>
      <c r="R86" s="5">
        <v>10</v>
      </c>
      <c r="S86" s="5">
        <v>0</v>
      </c>
      <c r="T86" s="5">
        <v>0</v>
      </c>
      <c r="U86" s="5">
        <f>SUM(Table[[#This Row],[Premissa 1]:[Premissa 8]])</f>
        <v>25</v>
      </c>
      <c r="V86" s="5" t="s">
        <v>15</v>
      </c>
      <c r="W86" t="s">
        <v>330</v>
      </c>
    </row>
    <row r="87" spans="1:23" ht="15" hidden="1" customHeight="1">
      <c r="A87" s="4">
        <v>7942485096</v>
      </c>
      <c r="B87" s="5" t="str">
        <f>MID(Table[[#This Row],[Ativo]],1,2)</f>
        <v>79</v>
      </c>
      <c r="C87" s="5" t="s">
        <v>316</v>
      </c>
      <c r="D87" s="5" t="s">
        <v>108</v>
      </c>
      <c r="E87" s="5" t="s">
        <v>42</v>
      </c>
      <c r="F87" s="4" t="str">
        <f>IFERROR(_xlfn.XLOOKUP(Table[[#This Row],[Ativo]],Pendentes[COD_RELIGADOR],Pendentes[SS_ORIGINAL]),"CONCLUÍDA")</f>
        <v>ETO-COEP 00158/2025</v>
      </c>
      <c r="G87" s="5" t="s">
        <v>451</v>
      </c>
      <c r="I87" s="4" t="s">
        <v>685</v>
      </c>
      <c r="J87" s="29" t="s">
        <v>480</v>
      </c>
      <c r="K87" s="31">
        <v>1</v>
      </c>
      <c r="L87" t="str">
        <f>IFERROR(_xlfn.XLOOKUP(Table[[#This Row],[Ativo]],Pendentes[COD_RELIGADOR],Pendentes[DESCRICAO]),"")</f>
        <v>30/06 PARECER COEP: EQUIPAMENTO SELECIONADO PARA COMPRARELIGADOR COM DEFEITO 7942485096, ESTA DANDO PASSAGEM ESTANDO ABERTO. NÃO ACEITA COMANDOS. FICOU BY PASSADO EM CAMPO PARA MANUTENÇÃO.PARECER DMSL: Ao testar o tanque, foi constatado que o mesmo está danificado e precisa ser substituído.Substituir somente o tanque. Deixar claro na nota para o dcmd substituir somente o tanque. Não tem necessidade de substituir o controle.</v>
      </c>
      <c r="M87" s="5">
        <v>5</v>
      </c>
      <c r="N87" s="5">
        <v>5</v>
      </c>
      <c r="O87" s="5">
        <v>5</v>
      </c>
      <c r="P87" s="5">
        <v>0</v>
      </c>
      <c r="Q87" s="5">
        <v>0</v>
      </c>
      <c r="R87" s="5">
        <v>10</v>
      </c>
      <c r="S87" s="5">
        <v>0</v>
      </c>
      <c r="T87" s="5">
        <v>0</v>
      </c>
      <c r="U87" s="5">
        <f>SUM(Table[[#This Row],[Premissa 1]:[Premissa 8]])</f>
        <v>25</v>
      </c>
      <c r="V87" s="5" t="s">
        <v>15</v>
      </c>
      <c r="W87" t="s">
        <v>318</v>
      </c>
    </row>
    <row r="88" spans="1:23" ht="15" customHeight="1">
      <c r="A88" s="4">
        <v>7955430075</v>
      </c>
      <c r="B88" s="5" t="str">
        <f>MID(Table[[#This Row],[Ativo]],1,2)</f>
        <v>79</v>
      </c>
      <c r="C88" s="5" t="s">
        <v>540</v>
      </c>
      <c r="D88" s="5" t="s">
        <v>210</v>
      </c>
      <c r="E88" s="5" t="s">
        <v>42</v>
      </c>
      <c r="F88" s="4" t="str">
        <f>IFERROR(_xlfn.XLOOKUP(Table[[#This Row],[Ativo]],Pendentes[COD_RELIGADOR],Pendentes[SS_ORIGINAL]),"CONCLUÍDA")</f>
        <v>CONCLUÍDA</v>
      </c>
      <c r="I88" s="4" t="s">
        <v>438</v>
      </c>
      <c r="J88" s="29"/>
      <c r="K88" s="31"/>
      <c r="L88" t="str">
        <f>IFERROR(_xlfn.XLOOKUP(Table[[#This Row],[Ativo]],Pendentes[COD_RELIGADOR],Pendentes[DESCRICAO]),"")</f>
        <v/>
      </c>
      <c r="M88" s="5">
        <v>5</v>
      </c>
      <c r="N88" s="5">
        <v>5</v>
      </c>
      <c r="O88" s="5">
        <v>5</v>
      </c>
      <c r="P88" s="5">
        <v>0</v>
      </c>
      <c r="Q88" s="5">
        <v>0</v>
      </c>
      <c r="R88" s="5">
        <v>0</v>
      </c>
      <c r="S88" s="5">
        <v>10</v>
      </c>
      <c r="T88" s="5">
        <v>0</v>
      </c>
      <c r="U88" s="5">
        <f>SUM(Table[[#This Row],[Premissa 1]:[Premissa 8]])</f>
        <v>25</v>
      </c>
      <c r="V88" s="5" t="s">
        <v>15</v>
      </c>
      <c r="W88" t="s">
        <v>541</v>
      </c>
    </row>
    <row r="89" spans="1:23" ht="15" customHeight="1">
      <c r="A89" s="4">
        <v>7955686076</v>
      </c>
      <c r="B89" s="5" t="str">
        <f>MID(Table[[#This Row],[Ativo]],1,2)</f>
        <v>79</v>
      </c>
      <c r="C89" s="5" t="s">
        <v>335</v>
      </c>
      <c r="D89" s="5" t="s">
        <v>336</v>
      </c>
      <c r="E89" s="5" t="s">
        <v>76</v>
      </c>
      <c r="F89" s="4" t="str">
        <f>IFERROR(_xlfn.XLOOKUP(Table[[#This Row],[Ativo]],Pendentes[COD_RELIGADOR],Pendentes[SS_ORIGINAL]),"CONCLUÍDA")</f>
        <v>CONCLUÍDA</v>
      </c>
      <c r="I89" s="4" t="s">
        <v>438</v>
      </c>
      <c r="J89" s="29"/>
      <c r="K89" s="31"/>
      <c r="L89" t="str">
        <f>IFERROR(_xlfn.XLOOKUP(Table[[#This Row],[Ativo]],Pendentes[COD_RELIGADOR],Pendentes[DESCRICAO]),"")</f>
        <v/>
      </c>
      <c r="M89" s="5">
        <v>5</v>
      </c>
      <c r="N89" s="5">
        <v>5</v>
      </c>
      <c r="O89" s="5">
        <v>0</v>
      </c>
      <c r="P89" s="5">
        <v>0</v>
      </c>
      <c r="Q89" s="5">
        <v>15</v>
      </c>
      <c r="R89" s="5">
        <v>0</v>
      </c>
      <c r="S89" s="5">
        <v>0</v>
      </c>
      <c r="T89" s="5">
        <v>0</v>
      </c>
      <c r="U89" s="5">
        <f>SUM(Table[[#This Row],[Premissa 1]:[Premissa 8]])</f>
        <v>25</v>
      </c>
      <c r="V89" s="5" t="s">
        <v>15</v>
      </c>
      <c r="W89" t="s">
        <v>542</v>
      </c>
    </row>
    <row r="90" spans="1:23" ht="15" hidden="1" customHeight="1">
      <c r="A90" s="4">
        <v>7955946007</v>
      </c>
      <c r="B90" s="5" t="str">
        <f>MID(Table[[#This Row],[Ativo]],1,2)</f>
        <v>79</v>
      </c>
      <c r="C90" s="5" t="s">
        <v>186</v>
      </c>
      <c r="D90" s="5" t="s">
        <v>186</v>
      </c>
      <c r="E90" s="5" t="s">
        <v>42</v>
      </c>
      <c r="F90" s="4" t="str">
        <f>IFERROR(_xlfn.XLOOKUP(Table[[#This Row],[Ativo]],Pendentes[COD_RELIGADOR],Pendentes[SS_ORIGINAL]),"CONCLUÍDA")</f>
        <v>ETO-COEP 00134/2026</v>
      </c>
      <c r="G90" s="4" t="s">
        <v>451</v>
      </c>
      <c r="I90" s="4" t="s">
        <v>685</v>
      </c>
      <c r="J90" s="29" t="s">
        <v>447</v>
      </c>
      <c r="K90" s="31">
        <v>1</v>
      </c>
      <c r="L90" t="str">
        <f>IFERROR(_xlfn.XLOOKUP(Table[[#This Row],[Ativo]],Pendentes[COD_RELIGADOR],Pendentes[DESCRICAO]),"")</f>
        <v>13/07/2026 PARECER COEP: SUBSTITUIR CONTOLE OU MANDAR MANUTENCIONAR EM CASO DE PRIORIDADE ALTAPARECER DMSL: Necessário substituir a placa de alimentação ca, a mesma está em curto não conseguimos recuperar. (Antiga nota era pra ter sido repassada porém foi baixada indevidamente pela equipe)</v>
      </c>
      <c r="M90" s="5">
        <v>5</v>
      </c>
      <c r="N90" s="5">
        <v>5</v>
      </c>
      <c r="O90" s="5">
        <v>5</v>
      </c>
      <c r="P90" s="5">
        <v>0</v>
      </c>
      <c r="Q90" s="5">
        <v>0</v>
      </c>
      <c r="R90" s="5">
        <v>0</v>
      </c>
      <c r="S90" s="5">
        <v>10</v>
      </c>
      <c r="T90" s="5">
        <v>0</v>
      </c>
      <c r="U90" s="5">
        <f>SUM(Table[[#This Row],[Premissa 1]:[Premissa 8]])</f>
        <v>25</v>
      </c>
      <c r="V90" s="5" t="s">
        <v>15</v>
      </c>
      <c r="W90" t="s">
        <v>311</v>
      </c>
    </row>
    <row r="91" spans="1:23" ht="15" hidden="1" customHeight="1">
      <c r="A91" s="4">
        <v>7901110084</v>
      </c>
      <c r="B91" s="5" t="str">
        <f>MID(Table[[#This Row],[Ativo]],1,2)</f>
        <v>79</v>
      </c>
      <c r="C91" s="5" t="s">
        <v>210</v>
      </c>
      <c r="D91" s="5" t="s">
        <v>210</v>
      </c>
      <c r="E91" s="5" t="s">
        <v>42</v>
      </c>
      <c r="F91" s="4" t="str">
        <f>IFERROR(_xlfn.XLOOKUP(Table[[#This Row],[Ativo]],Pendentes[COD_RELIGADOR],Pendentes[SS_ORIGINAL]),"CONCLUÍDA")</f>
        <v>ETO-COEP 00061/2026</v>
      </c>
      <c r="G91" s="4" t="s">
        <v>451</v>
      </c>
      <c r="I91" s="4" t="s">
        <v>685</v>
      </c>
      <c r="J91" s="29" t="s">
        <v>480</v>
      </c>
      <c r="K91" s="31">
        <v>1</v>
      </c>
      <c r="L91" t="str">
        <f>IFERROR(_xlfn.XLOOKUP(Table[[#This Row],[Ativo]],Pendentes[COD_RELIGADOR],Pendentes[DESCRICAO]),"")</f>
        <v>PARECER COEP: EQUIPAMENTO SELECIONADO PARA COMPRAPARECER DMSL: Serviço Executado: Foi feito análise técnica, testes funcionais e identificado que a parte ativa do equipamento está com defeito. Necessário substituir a parte ativa.FICOU EM OPERAÇÃO? Não- EQUIPE: Carliel e BenvindoSegue SS para verificaçao Rl esta danificado dando passagem de tensão mesmo aberto Sim, quando retornar trazer uma fonte pois a mesma foi removida.</v>
      </c>
      <c r="M91" s="5">
        <v>5</v>
      </c>
      <c r="N91" s="5">
        <v>5</v>
      </c>
      <c r="O91" s="5">
        <v>0</v>
      </c>
      <c r="P91" s="5">
        <v>0</v>
      </c>
      <c r="Q91" s="5">
        <v>0</v>
      </c>
      <c r="R91" s="5">
        <v>0</v>
      </c>
      <c r="S91" s="5">
        <v>10</v>
      </c>
      <c r="T91" s="5">
        <v>0</v>
      </c>
      <c r="U91" s="5">
        <f>SUM(Table[[#This Row],[Premissa 1]:[Premissa 8]])</f>
        <v>20</v>
      </c>
      <c r="V91" s="5" t="s">
        <v>15</v>
      </c>
      <c r="W91" t="s">
        <v>333</v>
      </c>
    </row>
    <row r="92" spans="1:23" ht="15" customHeight="1">
      <c r="A92" s="4">
        <v>7908206074</v>
      </c>
      <c r="B92" s="5" t="str">
        <f>MID(Table[[#This Row],[Ativo]],1,2)</f>
        <v>79</v>
      </c>
      <c r="C92" s="5" t="s">
        <v>75</v>
      </c>
      <c r="D92" s="5" t="s">
        <v>75</v>
      </c>
      <c r="E92" s="5" t="s">
        <v>76</v>
      </c>
      <c r="F92" s="4" t="str">
        <f>IFERROR(_xlfn.XLOOKUP(Table[[#This Row],[Ativo]],Pendentes[COD_RELIGADOR],Pendentes[SS_ORIGINAL]),"CONCLUÍDA")</f>
        <v>CONCLUÍDA</v>
      </c>
      <c r="I92" s="4" t="s">
        <v>438</v>
      </c>
      <c r="J92" s="29"/>
      <c r="K92" s="31"/>
      <c r="L92" t="str">
        <f>IFERROR(_xlfn.XLOOKUP(Table[[#This Row],[Ativo]],Pendentes[COD_RELIGADOR],Pendentes[DESCRICAO]),"")</f>
        <v/>
      </c>
      <c r="M92" s="5">
        <v>5</v>
      </c>
      <c r="N92" s="5">
        <v>5</v>
      </c>
      <c r="O92" s="5">
        <v>0</v>
      </c>
      <c r="P92" s="5">
        <v>0</v>
      </c>
      <c r="Q92" s="5">
        <v>0</v>
      </c>
      <c r="R92" s="5">
        <v>0</v>
      </c>
      <c r="S92" s="5">
        <v>10</v>
      </c>
      <c r="T92" s="5">
        <v>0</v>
      </c>
      <c r="U92" s="5">
        <f>SUM(Table[[#This Row],[Premissa 1]:[Premissa 8]])</f>
        <v>20</v>
      </c>
      <c r="V92" s="5" t="s">
        <v>15</v>
      </c>
      <c r="W92" t="s">
        <v>543</v>
      </c>
    </row>
    <row r="93" spans="1:23" ht="15" customHeight="1">
      <c r="A93" s="12">
        <v>7908708116</v>
      </c>
      <c r="B93" s="5" t="str">
        <f>MID(Table[[#This Row],[Ativo]],1,2)</f>
        <v>79</v>
      </c>
      <c r="C93" s="5" t="s">
        <v>200</v>
      </c>
      <c r="D93" s="5" t="s">
        <v>75</v>
      </c>
      <c r="E93" s="5" t="s">
        <v>76</v>
      </c>
      <c r="F93" s="4" t="str">
        <f>IFERROR(_xlfn.XLOOKUP(Table[[#This Row],[Ativo]],Pendentes[COD_RELIGADOR],Pendentes[SS_ORIGINAL]),"CONCLUÍDA")</f>
        <v>CONCLUÍDA</v>
      </c>
      <c r="G93" s="4" t="s">
        <v>704</v>
      </c>
      <c r="H93" s="4" t="s">
        <v>696</v>
      </c>
      <c r="I93" s="4" t="s">
        <v>685</v>
      </c>
      <c r="J93" s="29" t="s">
        <v>469</v>
      </c>
      <c r="K93" s="31"/>
      <c r="L93" t="str">
        <f>IFERROR(_xlfn.XLOOKUP(Table[[#This Row],[Ativo]],Pendentes[COD_RELIGADOR],Pendentes[DESCRICAO]),"")</f>
        <v/>
      </c>
      <c r="M93" s="5">
        <v>5</v>
      </c>
      <c r="N93" s="5">
        <v>5</v>
      </c>
      <c r="O93" s="5">
        <v>0</v>
      </c>
      <c r="P93" s="5">
        <v>0</v>
      </c>
      <c r="Q93" s="5">
        <v>0</v>
      </c>
      <c r="R93" s="5">
        <v>0</v>
      </c>
      <c r="S93" s="5">
        <v>10</v>
      </c>
      <c r="T93" s="5">
        <v>0</v>
      </c>
      <c r="U93" s="5">
        <f>SUM(Table[[#This Row],[Premissa 1]:[Premissa 8]])</f>
        <v>20</v>
      </c>
      <c r="V93" s="5" t="s">
        <v>15</v>
      </c>
      <c r="W93" t="s">
        <v>545</v>
      </c>
    </row>
    <row r="94" spans="1:23" ht="15" customHeight="1">
      <c r="A94" s="4">
        <v>7910027196</v>
      </c>
      <c r="B94" s="5" t="str">
        <f>MID(Table[[#This Row],[Ativo]],1,2)</f>
        <v>79</v>
      </c>
      <c r="C94" s="5" t="s">
        <v>546</v>
      </c>
      <c r="D94" s="5" t="s">
        <v>62</v>
      </c>
      <c r="E94" s="5" t="s">
        <v>42</v>
      </c>
      <c r="F94" s="4" t="str">
        <f>IFERROR(_xlfn.XLOOKUP(Table[[#This Row],[Ativo]],Pendentes[COD_RELIGADOR],Pendentes[SS_ORIGINAL]),"CONCLUÍDA")</f>
        <v>CONCLUÍDA</v>
      </c>
      <c r="G94" s="4" t="s">
        <v>451</v>
      </c>
      <c r="I94" s="4" t="s">
        <v>685</v>
      </c>
      <c r="J94" s="29" t="s">
        <v>469</v>
      </c>
      <c r="K94" s="31">
        <v>1</v>
      </c>
      <c r="L94" t="str">
        <f>IFERROR(_xlfn.XLOOKUP(Table[[#This Row],[Ativo]],Pendentes[COD_RELIGADOR],Pendentes[DESCRICAO]),"")</f>
        <v/>
      </c>
      <c r="M94" s="5">
        <v>5</v>
      </c>
      <c r="N94" s="5">
        <v>5</v>
      </c>
      <c r="O94" s="5">
        <v>0</v>
      </c>
      <c r="P94" s="5">
        <v>0</v>
      </c>
      <c r="Q94" s="5">
        <v>0</v>
      </c>
      <c r="R94" s="5">
        <v>0</v>
      </c>
      <c r="S94" s="5">
        <v>10</v>
      </c>
      <c r="T94" s="5">
        <v>0</v>
      </c>
      <c r="U94" s="5">
        <f>SUM(Table[[#This Row],[Premissa 1]:[Premissa 8]])</f>
        <v>20</v>
      </c>
      <c r="V94" s="5" t="s">
        <v>15</v>
      </c>
      <c r="W94" t="s">
        <v>549</v>
      </c>
    </row>
    <row r="95" spans="1:23" ht="15" hidden="1" customHeight="1">
      <c r="A95" s="4">
        <v>7913662076</v>
      </c>
      <c r="B95" s="5" t="str">
        <f>MID(Table[[#This Row],[Ativo]],1,2)</f>
        <v>79</v>
      </c>
      <c r="C95" s="5" t="s">
        <v>335</v>
      </c>
      <c r="D95" s="5" t="s">
        <v>336</v>
      </c>
      <c r="E95" s="5" t="s">
        <v>76</v>
      </c>
      <c r="F95" s="4" t="str">
        <f>IFERROR(_xlfn.XLOOKUP(Table[[#This Row],[Ativo]],Pendentes[COD_RELIGADOR],Pendentes[SS_ORIGINAL]),"CONCLUÍDA")</f>
        <v>ETO-COEP 00114/2026</v>
      </c>
      <c r="G95" s="4" t="s">
        <v>451</v>
      </c>
      <c r="H95" s="4" t="s">
        <v>705</v>
      </c>
      <c r="I95" s="4" t="s">
        <v>685</v>
      </c>
      <c r="J95" s="29" t="s">
        <v>480</v>
      </c>
      <c r="K95" s="31">
        <v>1</v>
      </c>
      <c r="L95" t="str">
        <f>IFERROR(_xlfn.XLOOKUP(Table[[#This Row],[Ativo]],Pendentes[COD_RELIGADOR],Pendentes[DESCRICAO]),"")</f>
        <v>30/06 PARECER COEP: AGUARDANDO RETORNO DO DMSL PARA ENTENDER EXATAMENTE O QUE TENHO QUE SUBSTITUIRAberto nota para substituir tanque danificado e chave de entrada fase B danificadaPARECER DMSL: Foi confirmado pela equipe DMSL o defeito do tanque, favor seguir com a substituição e correção da chave de entrada fase B danificada.</v>
      </c>
      <c r="M95" s="5">
        <v>5</v>
      </c>
      <c r="N95" s="5">
        <v>5</v>
      </c>
      <c r="O95" s="5">
        <v>0</v>
      </c>
      <c r="P95" s="5">
        <v>0</v>
      </c>
      <c r="Q95" s="5">
        <v>0</v>
      </c>
      <c r="R95" s="5">
        <v>10</v>
      </c>
      <c r="S95" s="5">
        <v>0</v>
      </c>
      <c r="T95" s="5">
        <v>0</v>
      </c>
      <c r="U95" s="5">
        <f>SUM(Table[[#This Row],[Premissa 1]:[Premissa 8]])</f>
        <v>20</v>
      </c>
      <c r="V95" s="5" t="s">
        <v>15</v>
      </c>
      <c r="W95" t="s">
        <v>339</v>
      </c>
    </row>
    <row r="96" spans="1:23" ht="15" hidden="1" customHeight="1">
      <c r="A96" s="4">
        <v>5862236091</v>
      </c>
      <c r="B96" s="5" t="str">
        <f>MID(Table[[#This Row],[Ativo]],1,2)</f>
        <v>58</v>
      </c>
      <c r="C96" s="5" t="s">
        <v>74</v>
      </c>
      <c r="D96" s="5" t="s">
        <v>75</v>
      </c>
      <c r="E96" s="5" t="s">
        <v>76</v>
      </c>
      <c r="F96" s="4" t="str">
        <f>IFERROR(_xlfn.XLOOKUP(Table[[#This Row],[Ativo]],Pendentes[COD_RELIGADOR],Pendentes[SS_ORIGINAL]),"CONCLUÍDA")</f>
        <v>ETO-RD-DP 00457/2026</v>
      </c>
      <c r="G96" s="5" t="s">
        <v>451</v>
      </c>
      <c r="H96" s="41"/>
      <c r="I96" s="4" t="s">
        <v>685</v>
      </c>
      <c r="J96" s="29" t="s">
        <v>444</v>
      </c>
      <c r="K96" s="31">
        <v>1</v>
      </c>
      <c r="L96" t="str">
        <f>IFERROR(_xlfn.XLOOKUP(Table[[#This Row],[Ativo]],Pendentes[COD_RELIGADOR],Pendentes[DESCRICAO]),"")</f>
        <v>20/07 PARECER COEP: EQUIPAMENTO ENTREGUE , FAVOR EDITAR A SS COM A DATA PREVISTA DE SUBSTITUIÇÃO NO PARECER DOS COCM´S Realizar substituição da FASE B.Célula da fase B estava com a tampa do contador de tape aberta, pegou chuva e molhou os contatos danificando a peça toda.</v>
      </c>
      <c r="M96" s="5">
        <v>0</v>
      </c>
      <c r="N96" s="5">
        <v>0</v>
      </c>
      <c r="O96" s="5">
        <v>0</v>
      </c>
      <c r="P96" s="5">
        <v>20</v>
      </c>
      <c r="Q96" s="5">
        <v>0</v>
      </c>
      <c r="R96" s="5" t="s">
        <v>45</v>
      </c>
      <c r="S96" s="5" t="s">
        <v>45</v>
      </c>
      <c r="T96" s="5" t="s">
        <v>45</v>
      </c>
      <c r="U96" s="5">
        <f>SUM(Table[[#This Row],[Premissa 1]:[Premissa 8]])</f>
        <v>20</v>
      </c>
      <c r="V96" s="5" t="s">
        <v>15</v>
      </c>
      <c r="W96" t="s">
        <v>343</v>
      </c>
    </row>
    <row r="97" spans="1:23" ht="15" hidden="1" customHeight="1">
      <c r="A97" s="12">
        <v>5836786094</v>
      </c>
      <c r="B97" s="5" t="str">
        <f>MID(Table[[#This Row],[Ativo]],1,2)</f>
        <v>58</v>
      </c>
      <c r="C97" s="5" t="s">
        <v>177</v>
      </c>
      <c r="D97" s="5" t="s">
        <v>177</v>
      </c>
      <c r="E97" s="5" t="s">
        <v>76</v>
      </c>
      <c r="F97" s="4" t="str">
        <f>IFERROR(_xlfn.XLOOKUP(Table[[#This Row],[Ativo]],Pendentes[COD_RELIGADOR],Pendentes[SS_ORIGINAL]),"CONCLUÍDA")</f>
        <v>ETO-COEP 00095/2026</v>
      </c>
      <c r="G97" s="4" t="s">
        <v>467</v>
      </c>
      <c r="H97" s="4" t="s">
        <v>575</v>
      </c>
      <c r="I97" s="4" t="s">
        <v>443</v>
      </c>
      <c r="J97" s="29" t="s">
        <v>444</v>
      </c>
      <c r="K97" s="31">
        <v>1</v>
      </c>
      <c r="L97" t="str">
        <f>IFERROR(_xlfn.XLOOKUP(Table[[#This Row],[Ativo]],Pendentes[COD_RELIGADOR],Pendentes[DESCRICAO]),"")</f>
        <v>24/07 PARECER COEP:EQUIPAMENTO EM LOGISTICA DE ENTREGA Favor levar outro regulador de tensão, pois o mesmo foi furtado em campo.</v>
      </c>
      <c r="M97" s="5">
        <v>0</v>
      </c>
      <c r="N97" s="5">
        <v>0</v>
      </c>
      <c r="O97" s="5">
        <v>0</v>
      </c>
      <c r="P97" s="5">
        <v>10</v>
      </c>
      <c r="Q97" s="5">
        <v>10</v>
      </c>
      <c r="R97" s="5" t="s">
        <v>45</v>
      </c>
      <c r="S97" s="5" t="s">
        <v>45</v>
      </c>
      <c r="T97" s="5" t="s">
        <v>45</v>
      </c>
      <c r="U97" s="5">
        <f>SUM(Table[[#This Row],[Premissa 1]:[Premissa 8]])</f>
        <v>20</v>
      </c>
      <c r="V97" s="5" t="s">
        <v>15</v>
      </c>
      <c r="W97" t="s">
        <v>346</v>
      </c>
    </row>
    <row r="98" spans="1:23" ht="15" hidden="1" customHeight="1">
      <c r="A98" s="4">
        <v>7919270014</v>
      </c>
      <c r="B98" s="5" t="str">
        <f>MID(Table[[#This Row],[Ativo]],1,2)</f>
        <v>79</v>
      </c>
      <c r="C98" s="5" t="s">
        <v>126</v>
      </c>
      <c r="D98" s="5" t="s">
        <v>97</v>
      </c>
      <c r="E98" s="5" t="s">
        <v>42</v>
      </c>
      <c r="F98" s="4" t="str">
        <f>IFERROR(_xlfn.XLOOKUP(Table[[#This Row],[Ativo]],Pendentes[COD_RELIGADOR],Pendentes[SS_ORIGINAL]),"CONCLUÍDA")</f>
        <v>ETO-RD-PS 00327/2026</v>
      </c>
      <c r="G98" s="4" t="s">
        <v>451</v>
      </c>
      <c r="I98" s="4" t="s">
        <v>685</v>
      </c>
      <c r="J98" s="29"/>
      <c r="K98" s="31"/>
      <c r="L98" t="str">
        <f>IFERROR(_xlfn.XLOOKUP(Table[[#This Row],[Ativo]],Pendentes[COD_RELIGADOR],Pendentes[DESCRICAO]),"")</f>
        <v>PARECER COEP: AGUARDANDO RETORNO DO DMSL, EQUIPAMENTO FOI INSTALADO NOVO NA OBRA 0212501060, ENTENDER O PORQUE NÃO FOI REALIZADO COMISSIONAMENTOPARECER DMSL: Substituir Equipamento completo problema na placa de alimentação e na parte ativa, falta colocar placa de identificação correta na topologia, baixar o controle.Equipamento ficou em operação?: naoPendência: simBateria(s) substituída(s)? NÃOEquipe: Kaique/ Benvindo13/07/2026 PARECER COEP: SUBSTITUIÇÃO REALZIADA , FAVOR COMISSIONARPARECER DMSL (22/07/26): Solicito que o laudo de substituição seja anexado, e a SS seja repassada para proteção atribuir a ordem de ajuste, antes de repassar para ETO-TELE.----------------------------------------------PARECER DA PROTEÇÃO: Prosseguir com o comissionamento. Ajustes de religador permanecem os mesmos, disponíveis no APP da Proteção.********************************RELIGADOR N°7919270014 REMANEJADO NA OBRA 0212501060 GENTILEZA, REALIZAR O COMISSIONAMENTO. LAUDO EM ANEXO. COORD EO: 617422, 8830787</v>
      </c>
      <c r="M98" s="5">
        <v>5</v>
      </c>
      <c r="N98" s="5">
        <v>5</v>
      </c>
      <c r="O98" s="5">
        <v>0</v>
      </c>
      <c r="P98" s="5">
        <v>0</v>
      </c>
      <c r="Q98" s="5">
        <v>0</v>
      </c>
      <c r="R98" s="5">
        <v>10</v>
      </c>
      <c r="S98" s="5">
        <v>0</v>
      </c>
      <c r="T98" s="5">
        <v>0</v>
      </c>
      <c r="U98" s="5">
        <f>SUM(Table[[#This Row],[Premissa 1]:[Premissa 8]])</f>
        <v>20</v>
      </c>
      <c r="V98" s="5" t="s">
        <v>15</v>
      </c>
      <c r="W98" t="s">
        <v>350</v>
      </c>
    </row>
    <row r="99" spans="1:23" ht="15" hidden="1" customHeight="1">
      <c r="A99" s="4">
        <v>7926442035</v>
      </c>
      <c r="B99" s="5" t="str">
        <f>MID(Table[[#This Row],[Ativo]],1,2)</f>
        <v>79</v>
      </c>
      <c r="C99" s="5" t="s">
        <v>234</v>
      </c>
      <c r="D99" s="5" t="s">
        <v>108</v>
      </c>
      <c r="E99" s="5" t="s">
        <v>42</v>
      </c>
      <c r="F99" s="4" t="str">
        <f>IFERROR(_xlfn.XLOOKUP(Table[[#This Row],[Ativo]],Pendentes[COD_RELIGADOR],Pendentes[SS_ORIGINAL]),"CONCLUÍDA")</f>
        <v>ETO-COEP 00051/2026</v>
      </c>
      <c r="G99" s="4" t="s">
        <v>451</v>
      </c>
      <c r="H99" s="4" t="s">
        <v>705</v>
      </c>
      <c r="I99" s="4" t="s">
        <v>685</v>
      </c>
      <c r="J99" s="29" t="s">
        <v>706</v>
      </c>
      <c r="K99" s="31">
        <v>1</v>
      </c>
      <c r="L99" t="str">
        <f>IFERROR(_xlfn.XLOOKUP(Table[[#This Row],[Ativo]],Pendentes[COD_RELIGADOR],Pendentes[DESCRICAO]),"")</f>
        <v>PARECER COEP: EQUIPAMENTO SELECIONADO PARA COMPRAPARECER DMSL: Data: 12/03/2026 Serviço Executado:- Análise técnica constatou:- Parte ativa do equipamento danificada: necessita substituição- Trafo danificado: foi feitos testes nas buchas secundárias o mesmo não chega tensão    - Vazamento de óleo    - Necessita substituiçãoEquipamento ficou em operação? NãoPendências:- Solicitar limpeza de faixa para acesso ao equipamento- Trocar parte ativa do equipamento- Substituir o trafoEquipe: Carliel e João VitorSegue nota para envia equipe verificar falha de comunicação e automação no RL-7926442035 feito primeiro ataque com equipe 035OP02, porém sem sucesso. </v>
      </c>
      <c r="M99" s="5">
        <v>5</v>
      </c>
      <c r="N99" s="5">
        <v>5</v>
      </c>
      <c r="O99" s="5">
        <v>0</v>
      </c>
      <c r="P99" s="5">
        <v>0</v>
      </c>
      <c r="Q99" s="5">
        <v>0</v>
      </c>
      <c r="R99" s="5">
        <v>0</v>
      </c>
      <c r="S99" s="5">
        <v>10</v>
      </c>
      <c r="T99" s="5">
        <v>0</v>
      </c>
      <c r="U99" s="5">
        <f>SUM(Table[[#This Row],[Premissa 1]:[Premissa 8]])</f>
        <v>20</v>
      </c>
      <c r="V99" s="5" t="s">
        <v>15</v>
      </c>
      <c r="W99" t="s">
        <v>353</v>
      </c>
    </row>
    <row r="100" spans="1:23" ht="15" customHeight="1">
      <c r="A100" s="4">
        <v>7954668084</v>
      </c>
      <c r="B100" s="5" t="str">
        <f>MID(Table[[#This Row],[Ativo]],1,2)</f>
        <v>79</v>
      </c>
      <c r="C100" s="5" t="s">
        <v>210</v>
      </c>
      <c r="D100" s="5" t="s">
        <v>210</v>
      </c>
      <c r="E100" s="5" t="s">
        <v>42</v>
      </c>
      <c r="F100" s="4" t="str">
        <f>IFERROR(_xlfn.XLOOKUP(Table[[#This Row],[Ativo]],Pendentes[COD_RELIGADOR],Pendentes[SS_ORIGINAL]),"CONCLUÍDA")</f>
        <v>CONCLUÍDA</v>
      </c>
      <c r="I100" s="4" t="s">
        <v>438</v>
      </c>
      <c r="J100" s="29"/>
      <c r="K100" s="31"/>
      <c r="L100" t="str">
        <f>IFERROR(_xlfn.XLOOKUP(Table[[#This Row],[Ativo]],Pendentes[COD_RELIGADOR],Pendentes[DESCRICAO]),"")</f>
        <v/>
      </c>
      <c r="M100" s="5">
        <v>5</v>
      </c>
      <c r="N100" s="5">
        <v>5</v>
      </c>
      <c r="O100" s="5">
        <v>0</v>
      </c>
      <c r="P100" s="5">
        <v>0</v>
      </c>
      <c r="Q100" s="5">
        <v>0</v>
      </c>
      <c r="R100" s="5">
        <v>0</v>
      </c>
      <c r="S100" s="5">
        <v>10</v>
      </c>
      <c r="T100" s="5">
        <v>0</v>
      </c>
      <c r="U100" s="5">
        <f>SUM(Table[[#This Row],[Premissa 1]:[Premissa 8]])</f>
        <v>20</v>
      </c>
      <c r="V100" s="5" t="s">
        <v>15</v>
      </c>
      <c r="W100" t="s">
        <v>554</v>
      </c>
    </row>
    <row r="101" spans="1:23" ht="15" hidden="1" customHeight="1">
      <c r="A101" s="4">
        <v>7938137007</v>
      </c>
      <c r="B101" s="5" t="str">
        <f>MID(Table[[#This Row],[Ativo]],1,2)</f>
        <v>79</v>
      </c>
      <c r="C101" s="5" t="s">
        <v>186</v>
      </c>
      <c r="D101" s="5" t="s">
        <v>186</v>
      </c>
      <c r="E101" s="5" t="s">
        <v>42</v>
      </c>
      <c r="F101" s="4" t="str">
        <f>IFERROR(_xlfn.XLOOKUP(Table[[#This Row],[Ativo]],Pendentes[COD_RELIGADOR],Pendentes[SS_ORIGINAL]),"CONCLUÍDA")</f>
        <v>ETO-COEP 00144/2026</v>
      </c>
      <c r="G101" s="5" t="s">
        <v>451</v>
      </c>
      <c r="I101" s="4" t="s">
        <v>685</v>
      </c>
      <c r="J101" s="29" t="s">
        <v>707</v>
      </c>
      <c r="K101" s="31">
        <v>1</v>
      </c>
      <c r="L101" t="str">
        <f>IFERROR(_xlfn.XLOOKUP(Table[[#This Row],[Ativo]],Pendentes[COD_RELIGADOR],Pendentes[DESCRICAO]),"")</f>
        <v>PARECER DMSL 09/07/2026: GENTILEZA VERIFICAR HAVIA UMA NOTA ABERTA, EQUIPE RETORNOU EM CAMPO E NÃO FOI REALIZADAserviço realizado na SS ENC-RD-PS 1397/2025, REPASSANDO PARA COMISSIONARRL 7938137007 NO RL INSTALAR BATERIA NOVA E RADIO A PEDIDO DE KAROLINY DMSLACESSO LIVREPARECER DMSL: * equipamento esta com a bucha da fase A com problemas(solta), necessário substituir* Trafo do serviço auxiliar esta vazando óleo, necessário substituir- Material ainda não foi entregue para substituição 15/07/2026</v>
      </c>
      <c r="M101" s="5">
        <v>5</v>
      </c>
      <c r="N101" s="5">
        <v>5</v>
      </c>
      <c r="O101" s="5">
        <v>5</v>
      </c>
      <c r="P101" s="5">
        <v>0</v>
      </c>
      <c r="Q101" s="5">
        <v>0</v>
      </c>
      <c r="R101" s="5">
        <v>0</v>
      </c>
      <c r="S101" s="5">
        <v>0</v>
      </c>
      <c r="T101" s="5">
        <v>0</v>
      </c>
      <c r="U101" s="5">
        <f>SUM(Table[[#This Row],[Premissa 1]:[Premissa 8]])</f>
        <v>15</v>
      </c>
      <c r="V101" s="5" t="s">
        <v>15</v>
      </c>
      <c r="W101" t="s">
        <v>356</v>
      </c>
    </row>
    <row r="102" spans="1:23" ht="15" hidden="1" customHeight="1">
      <c r="A102" s="12">
        <v>5856156091</v>
      </c>
      <c r="B102" s="5" t="str">
        <f>MID(Table[[#This Row],[Ativo]],1,2)</f>
        <v>58</v>
      </c>
      <c r="C102" s="5" t="s">
        <v>74</v>
      </c>
      <c r="D102" s="5" t="s">
        <v>75</v>
      </c>
      <c r="E102" s="5" t="s">
        <v>76</v>
      </c>
      <c r="F102" s="4" t="str">
        <f>IFERROR(_xlfn.XLOOKUP(Table[[#This Row],[Ativo]],Pendentes[COD_RELIGADOR],Pendentes[SS_ORIGINAL]),"CONCLUÍDA")</f>
        <v>ETO-RD-DP 00403/2026</v>
      </c>
      <c r="G102" s="5" t="s">
        <v>451</v>
      </c>
      <c r="H102" s="4" t="s">
        <v>708</v>
      </c>
      <c r="I102" s="4" t="s">
        <v>685</v>
      </c>
      <c r="J102" s="29" t="s">
        <v>462</v>
      </c>
      <c r="K102" s="31">
        <v>3</v>
      </c>
      <c r="L102" t="str">
        <f>IFERROR(_xlfn.XLOOKUP(Table[[#This Row],[Ativo]],Pendentes[COD_RELIGADOR],Pendentes[DESCRICAO]),"")</f>
        <v>DCMD 26.03.2026. SS REPASSADA PARA COEP PROVIDENCIAR MATERIAL. NÃO TEMOS O MATERIAL EM ESTOQUE PARA SUBSTITUIÇÃO. COEP: Equipamento fornecido ao COCM-S para regularização.PARECER COEP: EQUIPAMENTOS JÁ FORNECIDOS PARA OS COCM'S PARA REGULARIZAÇÃOPARECER DA PROTEÇÃO:EQUIPAMENTOS FURTADOS. PARA AQUISIÇÃO DAS CELULAS DE REPOSIÇÃO, FAVOR CONSULTAR OS DADOS DE PLACA EM ANEXO.PARECER DA PROTEÇÃO:COMISISONAR RT 5856156091 LD DIANOPOLIS A NATIVIDADE. NECESSARIO REALIZAR MEDIÇÕES DA RESISTENCIA DA MALHA DE ATERRAMENTO.AJUSTES DISPONIVEIS NO APP DA PROTEÇÃO.RELIGADOR N° 5856156091 INSTALADO NA OBRA 0502400526 GENTILEZA, REALIZAR O COMISSIONAMENTO. LAUDO EM ANEXO. COORD EO: 899501, 8714782</v>
      </c>
      <c r="M102" s="5">
        <v>0</v>
      </c>
      <c r="N102" s="5">
        <v>0</v>
      </c>
      <c r="O102" s="5">
        <v>0</v>
      </c>
      <c r="P102" s="5">
        <v>0</v>
      </c>
      <c r="Q102" s="5">
        <v>0</v>
      </c>
      <c r="R102" s="5" t="s">
        <v>45</v>
      </c>
      <c r="S102" s="5" t="s">
        <v>45</v>
      </c>
      <c r="T102" s="5" t="s">
        <v>45</v>
      </c>
      <c r="U102" s="5">
        <f>SUM(Table[[#This Row],[Premissa 1]:[Premissa 8]])</f>
        <v>0</v>
      </c>
      <c r="V102" s="5" t="s">
        <v>15</v>
      </c>
      <c r="W102" t="s">
        <v>359</v>
      </c>
    </row>
    <row r="103" spans="1:23" ht="15" hidden="1" customHeight="1">
      <c r="A103" s="12">
        <v>5858783119</v>
      </c>
      <c r="B103" s="5" t="str">
        <f>MID(Table[[#This Row],[Ativo]],1,2)</f>
        <v>58</v>
      </c>
      <c r="C103" s="5" t="s">
        <v>361</v>
      </c>
      <c r="D103" s="5" t="s">
        <v>223</v>
      </c>
      <c r="E103" s="5" t="s">
        <v>51</v>
      </c>
      <c r="F103" s="4" t="str">
        <f>IFERROR(_xlfn.XLOOKUP(Table[[#This Row],[Ativo]],Pendentes[COD_RELIGADOR],Pendentes[SS_ORIGINAL]),"CONCLUÍDA")</f>
        <v>ETO-TELE 01032/2026</v>
      </c>
      <c r="G103" s="4" t="s">
        <v>576</v>
      </c>
      <c r="I103" s="4" t="s">
        <v>685</v>
      </c>
      <c r="J103" s="29"/>
      <c r="K103" s="31"/>
      <c r="L103" t="str">
        <f>IFERROR(_xlfn.XLOOKUP(Table[[#This Row],[Ativo]],Pendentes[COD_RELIGADOR],Pendentes[DESCRICAO]),"")</f>
        <v>27/07/2026 PARECER COEP: FIZEMOS UMA VISITA AO EQUIPAMENTO , EQUIPAMENTO SE ENCONTRA EM OPERAÇÃO E SEM SINAL DE AVARIA FAVOR AVALIAR PARECER DMSL A SS FOTOS COM O LUANDERSSON OU JOAO ANTONIO LAGARES 20/07 PARECER COEP: EQUIPAMENTO SELECIONADO PARA COMPRA , DEVIDO AO ERRO NA INSTALAÇÃO E O FURTOPARECER DMSL: 16/06/2025-SERVIÇO EXECUTADO: Ao chegar no equipamento para realizar comissionamento, foi constatato que as 3 células estavam com a tampa de inspeção abertas e sem os para-raios. Constatado também que foi furtado todo o óleo isolante das 3 células, sendo necessário a substituição das 3 células. FICOU EM OPERAÇÃO?: Não PENDÊNCIA: Substituir as 3 células</v>
      </c>
      <c r="M103" s="5">
        <v>0</v>
      </c>
      <c r="N103" s="5">
        <v>0</v>
      </c>
      <c r="O103" s="5">
        <v>0</v>
      </c>
      <c r="P103" s="5">
        <v>0</v>
      </c>
      <c r="Q103" s="5">
        <v>0</v>
      </c>
      <c r="R103" s="5" t="s">
        <v>45</v>
      </c>
      <c r="S103" s="5" t="s">
        <v>45</v>
      </c>
      <c r="T103" s="5" t="s">
        <v>45</v>
      </c>
      <c r="U103" s="5">
        <f>SUM(Table[[#This Row],[Premissa 1]:[Premissa 8]])</f>
        <v>0</v>
      </c>
      <c r="V103" s="5" t="s">
        <v>15</v>
      </c>
      <c r="W103" t="s">
        <v>709</v>
      </c>
    </row>
    <row r="104" spans="1:23" s="46" customFormat="1" ht="15" customHeight="1">
      <c r="A104" s="12">
        <v>7900532053</v>
      </c>
      <c r="B104" s="43" t="str">
        <f>MID(Table[[#This Row],[Ativo]],1,2)</f>
        <v>79</v>
      </c>
      <c r="C104" s="43" t="s">
        <v>560</v>
      </c>
      <c r="D104" s="43" t="s">
        <v>223</v>
      </c>
      <c r="E104" s="43" t="s">
        <v>51</v>
      </c>
      <c r="F104" s="12" t="str">
        <f>IFERROR(_xlfn.XLOOKUP(Table[[#This Row],[Ativo]],Pendentes[COD_RELIGADOR],Pendentes[SS_ORIGINAL]),"CONCLUÍDA")</f>
        <v>CONCLUÍDA</v>
      </c>
      <c r="G104" s="12" t="s">
        <v>561</v>
      </c>
      <c r="H104" s="12"/>
      <c r="I104" s="12"/>
      <c r="J104" s="44" t="s">
        <v>453</v>
      </c>
      <c r="K104" s="45"/>
      <c r="L104" s="46" t="str">
        <f>IFERROR(_xlfn.XLOOKUP(Table[[#This Row],[Ativo]],Pendentes[COD_RELIGADOR],Pendentes[DESCRICAO]),"")</f>
        <v/>
      </c>
      <c r="M104" s="43">
        <v>0</v>
      </c>
      <c r="N104" s="43">
        <v>0</v>
      </c>
      <c r="O104" s="43">
        <v>0</v>
      </c>
      <c r="P104" s="43">
        <v>0</v>
      </c>
      <c r="Q104" s="43">
        <v>0</v>
      </c>
      <c r="R104" s="43">
        <v>0</v>
      </c>
      <c r="S104" s="43">
        <v>0</v>
      </c>
      <c r="T104" s="43">
        <v>0</v>
      </c>
      <c r="U104" s="43">
        <f>SUM(Table[[#This Row],[Premissa 1]:[Premissa 8]])</f>
        <v>0</v>
      </c>
      <c r="V104" s="43" t="s">
        <v>15</v>
      </c>
      <c r="W104" s="46" t="s">
        <v>562</v>
      </c>
    </row>
    <row r="105" spans="1:23" ht="15" customHeight="1">
      <c r="A105" s="4">
        <v>7925713040</v>
      </c>
      <c r="B105" s="5" t="str">
        <f>MID(Table[[#This Row],[Ativo]],1,2)</f>
        <v>79</v>
      </c>
      <c r="C105" s="5" t="s">
        <v>492</v>
      </c>
      <c r="D105" s="5" t="s">
        <v>57</v>
      </c>
      <c r="E105" s="5" t="s">
        <v>51</v>
      </c>
      <c r="F105" s="4" t="str">
        <f>IFERROR(_xlfn.XLOOKUP(Table[[#This Row],[Ativo]],Pendentes[COD_RELIGADOR],Pendentes[SS_ORIGINAL]),"CONCLUÍDA")</f>
        <v>CONCLUÍDA</v>
      </c>
      <c r="J105" s="29"/>
      <c r="K105" s="31"/>
      <c r="L105" t="str">
        <f>IFERROR(_xlfn.XLOOKUP(Table[[#This Row],[Ativo]],Pendentes[COD_RELIGADOR],Pendentes[DESCRICAO]),"")</f>
        <v/>
      </c>
      <c r="M105" s="5" t="s">
        <v>710</v>
      </c>
      <c r="N105" s="5"/>
      <c r="O105" s="5"/>
      <c r="P105" s="5"/>
      <c r="Q105" s="5"/>
      <c r="R105" s="5"/>
      <c r="S105" s="5"/>
      <c r="T105" s="5"/>
      <c r="U105" s="5">
        <f>SUM(Table[[#This Row],[Premissa 1]:[Premissa 8]])</f>
        <v>0</v>
      </c>
      <c r="V105" s="5"/>
    </row>
    <row r="106" spans="1:23" ht="15" customHeight="1">
      <c r="A106" s="4">
        <v>7948412064</v>
      </c>
      <c r="B106" s="5" t="str">
        <f>MID(Table[[#This Row],[Ativo]],1,2)</f>
        <v>79</v>
      </c>
      <c r="C106" s="5" t="s">
        <v>563</v>
      </c>
      <c r="D106" s="5" t="s">
        <v>50</v>
      </c>
      <c r="E106" s="5" t="s">
        <v>51</v>
      </c>
      <c r="F106" s="4" t="str">
        <f>IFERROR(_xlfn.XLOOKUP(Table[[#This Row],[Ativo]],Pendentes[COD_RELIGADOR],Pendentes[SS_ORIGINAL]),"CONCLUÍDA")</f>
        <v>CONCLUÍDA</v>
      </c>
      <c r="J106" s="29"/>
      <c r="K106" s="31"/>
      <c r="L106" t="str">
        <f>IFERROR(_xlfn.XLOOKUP(Table[[#This Row],[Ativo]],Pendentes[COD_RELIGADOR],Pendentes[DESCRICAO]),"")</f>
        <v/>
      </c>
      <c r="M106" s="5" t="s">
        <v>710</v>
      </c>
      <c r="N106" s="5"/>
      <c r="O106" s="5"/>
      <c r="P106" s="5"/>
      <c r="Q106" s="5"/>
      <c r="R106" s="5"/>
      <c r="S106" s="5"/>
      <c r="T106" s="5"/>
      <c r="U106" s="5">
        <f>SUM(Table[[#This Row],[Premissa 1]:[Premissa 8]])</f>
        <v>0</v>
      </c>
      <c r="V106" s="5"/>
    </row>
    <row r="107" spans="1:23" ht="15" hidden="1" customHeight="1">
      <c r="A107" s="39">
        <v>7955832052</v>
      </c>
      <c r="B107" s="5" t="str">
        <f>MID(Table[[#This Row],[Ativo]],1,2)</f>
        <v>79</v>
      </c>
      <c r="C107" s="5" t="s">
        <v>192</v>
      </c>
      <c r="D107" s="5" t="s">
        <v>192</v>
      </c>
      <c r="E107" s="5" t="s">
        <v>76</v>
      </c>
      <c r="F107" s="4" t="str">
        <f>IFERROR(_xlfn.XLOOKUP(Table[[#This Row],[Ativo]],Pendentes[COD_RELIGADOR],Pendentes[SS_ORIGINAL]),"CONCLUÍDA")</f>
        <v>ETO-TELE 00982/2026</v>
      </c>
      <c r="J107" s="29"/>
      <c r="K107" s="31"/>
      <c r="L107" t="str">
        <f>IFERROR(_xlfn.XLOOKUP(Table[[#This Row],[Ativo]],Pendentes[COD_RELIGADOR],Pendentes[DESCRICAO]),"")</f>
        <v>SEGUE SOLICITAÇÃO DE SERVIÇO PARA REALIZAR VERIFICAÇÃO DO RL 7955832052 EQUIPAMENTO DE INTEELIGAÇÃO O MESMO ESTA SEM COMUNICAÇÃO ...FOI REALIZADO PRIMEIRO ATAQUE COM EQUIPE SINERGIA DE FORMOSO EO EQUIPAMENTO NÃO VOLTOU</v>
      </c>
      <c r="M107" s="5" t="s">
        <v>710</v>
      </c>
      <c r="N107" s="5"/>
      <c r="O107" s="5"/>
      <c r="P107" s="5"/>
      <c r="Q107" s="5"/>
      <c r="R107" s="5"/>
      <c r="S107" s="5"/>
      <c r="T107" s="5"/>
      <c r="U107" s="5">
        <f>SUM(Table[[#This Row],[Premissa 1]:[Premissa 8]])</f>
        <v>0</v>
      </c>
      <c r="V107" s="5"/>
    </row>
    <row r="108" spans="1:23" ht="15" hidden="1" customHeight="1">
      <c r="A108" s="4">
        <v>7930359149</v>
      </c>
      <c r="B108" s="5" t="str">
        <f>MID(Table[[#This Row],[Ativo]],1,2)</f>
        <v>79</v>
      </c>
      <c r="C108" s="5" t="s">
        <v>257</v>
      </c>
      <c r="D108" s="5" t="s">
        <v>210</v>
      </c>
      <c r="E108" s="5" t="s">
        <v>42</v>
      </c>
      <c r="F108" s="4" t="str">
        <f>IFERROR(_xlfn.XLOOKUP(Table[[#This Row],[Ativo]],Pendentes[COD_RELIGADOR],Pendentes[SS_ORIGINAL]),"CONCLUÍDA")</f>
        <v>ETO-COEP 00138/2026</v>
      </c>
      <c r="J108" s="29"/>
      <c r="K108" s="31"/>
      <c r="L108" t="str">
        <f>IFERROR(_xlfn.XLOOKUP(Table[[#This Row],[Ativo]],Pendentes[COD_RELIGADOR],Pendentes[DESCRICAO]),"")</f>
        <v>PARECER DMSL 07/07/2026: equipamento tem que ser subistuido pois não faz comando, parte ativa com defeito FEITO O PRIMEIRO ATAQUE NO RELIGADOR 7930359149 E MESMO NÃO ACEITA COMANDO NEM LOCAL E NEM REMOTO SEGUNDO EQUIPE 149OP02 E PLACA DO RL ESTA CARBONIZADA COM SINAL DE CURTO.</v>
      </c>
      <c r="M108" s="5" t="s">
        <v>710</v>
      </c>
      <c r="N108" s="5"/>
      <c r="O108" s="5"/>
      <c r="P108" s="5"/>
      <c r="Q108" s="5"/>
      <c r="R108" s="5"/>
      <c r="S108" s="5"/>
      <c r="T108" s="5"/>
      <c r="U108" s="5">
        <f>SUM(Table[[#This Row],[Premissa 1]:[Premissa 8]])</f>
        <v>0</v>
      </c>
      <c r="V108" s="5"/>
    </row>
    <row r="109" spans="1:23" ht="15" hidden="1" customHeight="1">
      <c r="A109" s="39">
        <v>7902098003</v>
      </c>
      <c r="B109" s="5" t="str">
        <f>MID(Table[[#This Row],[Ativo]],1,2)</f>
        <v>79</v>
      </c>
      <c r="C109" s="5" t="s">
        <v>336</v>
      </c>
      <c r="D109" s="5" t="s">
        <v>336</v>
      </c>
      <c r="E109" s="5" t="s">
        <v>76</v>
      </c>
      <c r="F109" s="4" t="str">
        <f>IFERROR(_xlfn.XLOOKUP(Table[[#This Row],[Ativo]],Pendentes[COD_RELIGADOR],Pendentes[SS_ORIGINAL]),"CONCLUÍDA")</f>
        <v>ETO-TELE 00932/2026</v>
      </c>
      <c r="J109" s="29"/>
      <c r="K109" s="31"/>
      <c r="L109" t="str">
        <f>IFERROR(_xlfn.XLOOKUP(Table[[#This Row],[Ativo]],Pendentes[COD_RELIGADOR],Pendentes[DESCRICAO]),"")</f>
        <v>Segue SS de religador 7902098003 sem comunicação. Foi realizado o primeiro ataque porem o mesmo não retornou a comunicação.</v>
      </c>
      <c r="M109" s="5" t="s">
        <v>710</v>
      </c>
      <c r="N109" s="5"/>
      <c r="O109" s="5"/>
      <c r="P109" s="5"/>
      <c r="Q109" s="5"/>
      <c r="R109" s="5"/>
      <c r="S109" s="5"/>
      <c r="T109" s="5"/>
      <c r="U109" s="5">
        <f>SUM(Table[[#This Row],[Premissa 1]:[Premissa 8]])</f>
        <v>0</v>
      </c>
      <c r="V109" s="5"/>
    </row>
    <row r="110" spans="1:23" ht="15" hidden="1" customHeight="1">
      <c r="A110" s="4">
        <v>7953211079</v>
      </c>
      <c r="B110" s="5" t="str">
        <f>MID(Table[[#This Row],[Ativo]],1,2)</f>
        <v>79</v>
      </c>
      <c r="C110" s="5" t="s">
        <v>376</v>
      </c>
      <c r="D110" s="5" t="s">
        <v>50</v>
      </c>
      <c r="E110" s="5" t="s">
        <v>51</v>
      </c>
      <c r="F110" s="4" t="str">
        <f>IFERROR(_xlfn.XLOOKUP(Table[[#This Row],[Ativo]],Pendentes[COD_RELIGADOR],Pendentes[SS_ORIGINAL]),"CONCLUÍDA")</f>
        <v>ETO-COEP 00147/2026</v>
      </c>
      <c r="J110" s="29"/>
      <c r="K110" s="31"/>
      <c r="L110" t="str">
        <f>IFERROR(_xlfn.XLOOKUP(Table[[#This Row],[Ativo]],Pendentes[COD_RELIGADOR],Pendentes[DESCRICAO]),"")</f>
        <v>20/07 PARECER COEP: EQUIPAMENTO SELECIONADO PARA COMPRASegue nota para substituir relé religador avariado marca noja , equipamento N: 7953211079 - Itapiratins .Obs: informação repassado pelo técnico DMSL Bruno .</v>
      </c>
      <c r="M110" s="5" t="s">
        <v>710</v>
      </c>
      <c r="N110" s="5"/>
      <c r="O110" s="5"/>
      <c r="P110" s="5"/>
      <c r="Q110" s="5"/>
      <c r="R110" s="5"/>
      <c r="S110" s="5"/>
      <c r="T110" s="5"/>
      <c r="U110" s="5">
        <f>SUM(Table[[#This Row],[Premissa 1]:[Premissa 8]])</f>
        <v>0</v>
      </c>
      <c r="V110" s="5"/>
    </row>
    <row r="111" spans="1:23" ht="15" hidden="1" customHeight="1">
      <c r="A111" s="4">
        <v>7949648145</v>
      </c>
      <c r="B111" s="5" t="str">
        <f>MID(Table[[#This Row],[Ativo]],1,2)</f>
        <v>79</v>
      </c>
      <c r="C111" s="5" t="s">
        <v>380</v>
      </c>
      <c r="D111" s="5" t="s">
        <v>132</v>
      </c>
      <c r="E111" s="5" t="s">
        <v>51</v>
      </c>
      <c r="F111" s="4" t="str">
        <f>IFERROR(_xlfn.XLOOKUP(Table[[#This Row],[Ativo]],Pendentes[COD_RELIGADOR],Pendentes[SS_ORIGINAL]),"CONCLUÍDA")</f>
        <v>ETO-TELE 00929/2026</v>
      </c>
      <c r="J111" s="29"/>
      <c r="K111" s="31"/>
      <c r="L111" t="str">
        <f>IFERROR(_xlfn.XLOOKUP(Table[[#This Row],[Ativo]],Pendentes[COD_RELIGADOR],Pendentes[DESCRICAO]),"")</f>
        <v>FEITO PRIMEIRO ATAQUE COM A EQUIPE LOCAL E NÃO VOLTOU A COMUNICAR. PROVIDENCIAR MANUTENÇÃO PARA O MESMO.</v>
      </c>
      <c r="M111" s="5" t="s">
        <v>710</v>
      </c>
      <c r="N111" s="5"/>
      <c r="O111" s="5"/>
      <c r="P111" s="5"/>
      <c r="Q111" s="5"/>
      <c r="R111" s="5"/>
      <c r="S111" s="5"/>
      <c r="T111" s="5"/>
      <c r="U111" s="5">
        <f>SUM(Table[[#This Row],[Premissa 1]:[Premissa 8]])</f>
        <v>0</v>
      </c>
      <c r="V111" s="5"/>
    </row>
    <row r="112" spans="1:23" ht="15" customHeight="1">
      <c r="A112" s="39">
        <v>7957021094</v>
      </c>
      <c r="B112" s="5" t="str">
        <f>MID(Table[[#This Row],[Ativo]],1,2)</f>
        <v>79</v>
      </c>
      <c r="C112" s="5" t="s">
        <v>177</v>
      </c>
      <c r="D112" s="5" t="s">
        <v>177</v>
      </c>
      <c r="E112" s="5" t="s">
        <v>76</v>
      </c>
      <c r="F112" s="4" t="str">
        <f>IFERROR(_xlfn.XLOOKUP(Table[[#This Row],[Ativo]],Pendentes[COD_RELIGADOR],Pendentes[SS_ORIGINAL]),"CONCLUÍDA")</f>
        <v>CONCLUÍDA</v>
      </c>
      <c r="J112" s="29"/>
      <c r="K112" s="31"/>
      <c r="L112" t="str">
        <f>IFERROR(_xlfn.XLOOKUP(Table[[#This Row],[Ativo]],Pendentes[COD_RELIGADOR],Pendentes[DESCRICAO]),"")</f>
        <v/>
      </c>
      <c r="M112" s="5" t="s">
        <v>710</v>
      </c>
      <c r="N112" s="5"/>
      <c r="O112" s="5"/>
      <c r="P112" s="5"/>
      <c r="Q112" s="5"/>
      <c r="R112" s="5"/>
      <c r="S112" s="5"/>
      <c r="T112" s="5"/>
      <c r="U112" s="5">
        <f>SUM(Table[[#This Row],[Premissa 1]:[Premissa 8]])</f>
        <v>0</v>
      </c>
      <c r="V112" s="5"/>
    </row>
    <row r="113" spans="1:22" ht="15" hidden="1" customHeight="1">
      <c r="A113" s="4">
        <v>7908300096</v>
      </c>
      <c r="B113" s="5" t="str">
        <f>MID(Table[[#This Row],[Ativo]],1,2)</f>
        <v>79</v>
      </c>
      <c r="C113" s="5" t="s">
        <v>316</v>
      </c>
      <c r="D113" s="5" t="s">
        <v>108</v>
      </c>
      <c r="E113" s="5" t="s">
        <v>42</v>
      </c>
      <c r="F113" s="4" t="str">
        <f>IFERROR(_xlfn.XLOOKUP(Table[[#This Row],[Ativo]],Pendentes[COD_RELIGADOR],Pendentes[SS_ORIGINAL]),"CONCLUÍDA")</f>
        <v>ETO-TELE 00938/2026</v>
      </c>
      <c r="J113" s="29"/>
      <c r="K113" s="31"/>
      <c r="L113" t="str">
        <f>IFERROR(_xlfn.XLOOKUP(Table[[#This Row],[Ativo]],Pendentes[COD_RELIGADOR],Pendentes[DESCRICAO]),"")</f>
        <v>Segue nota para verificar falha intermitência na comunicação RL 7908300096 RDU- Pindorama .</v>
      </c>
      <c r="M113" s="5" t="s">
        <v>710</v>
      </c>
      <c r="N113" s="5"/>
      <c r="O113" s="5"/>
      <c r="P113" s="5"/>
      <c r="Q113" s="5"/>
      <c r="R113" s="5"/>
      <c r="S113" s="5"/>
      <c r="T113" s="5"/>
      <c r="U113" s="5">
        <f>SUM(Table[[#This Row],[Premissa 1]:[Premissa 8]])</f>
        <v>0</v>
      </c>
      <c r="V113" s="5"/>
    </row>
    <row r="114" spans="1:22" ht="15" hidden="1" customHeight="1">
      <c r="A114" s="4">
        <v>7953570026</v>
      </c>
      <c r="B114" s="5" t="str">
        <f>MID(Table[[#This Row],[Ativo]],1,2)</f>
        <v>79</v>
      </c>
      <c r="C114" s="5" t="s">
        <v>108</v>
      </c>
      <c r="D114" s="5" t="s">
        <v>108</v>
      </c>
      <c r="E114" s="5" t="s">
        <v>42</v>
      </c>
      <c r="F114" s="4" t="str">
        <f>IFERROR(_xlfn.XLOOKUP(Table[[#This Row],[Ativo]],Pendentes[COD_RELIGADOR],Pendentes[SS_ORIGINAL]),"CONCLUÍDA")</f>
        <v>ETO-TELE 00892/2026</v>
      </c>
      <c r="J114" s="29"/>
      <c r="K114" s="31"/>
      <c r="L114" t="str">
        <f>IFERROR(_xlfn.XLOOKUP(Table[[#This Row],[Ativo]],Pendentes[COD_RELIGADOR],Pendentes[DESCRICAO]),"")</f>
        <v>Segue RL 7953570026 O MESMO FOI FEITO PRIMEIRO ATAQUE, painel do religador acendeu porem não voltou a comunicação junto ao SCADA, equipe fez teste em comando local, tudo normal porem sem retorno de comunicação, rl na SE DE PONTE ALTA</v>
      </c>
      <c r="M114" s="5" t="s">
        <v>710</v>
      </c>
      <c r="N114" s="5"/>
      <c r="O114" s="5"/>
      <c r="P114" s="5"/>
      <c r="Q114" s="5"/>
      <c r="R114" s="5"/>
      <c r="S114" s="5"/>
      <c r="T114" s="5"/>
      <c r="U114" s="5">
        <f>SUM(Table[[#This Row],[Premissa 1]:[Premissa 8]])</f>
        <v>0</v>
      </c>
      <c r="V114" s="5"/>
    </row>
    <row r="115" spans="1:22" ht="15" hidden="1" customHeight="1">
      <c r="A115" s="4">
        <v>7911120026</v>
      </c>
      <c r="B115" s="5" t="str">
        <f>MID(Table[[#This Row],[Ativo]],1,2)</f>
        <v>79</v>
      </c>
      <c r="C115" s="5" t="s">
        <v>108</v>
      </c>
      <c r="D115" s="5" t="s">
        <v>108</v>
      </c>
      <c r="E115" s="5" t="s">
        <v>42</v>
      </c>
      <c r="F115" s="4" t="str">
        <f>IFERROR(_xlfn.XLOOKUP(Table[[#This Row],[Ativo]],Pendentes[COD_RELIGADOR],Pendentes[SS_ORIGINAL]),"CONCLUÍDA")</f>
        <v>DG-RD-PO 00444/2026</v>
      </c>
      <c r="G115" s="4" t="s">
        <v>711</v>
      </c>
      <c r="H115" s="4" t="s">
        <v>497</v>
      </c>
      <c r="J115" s="29"/>
      <c r="K115" s="31"/>
      <c r="L115" t="str">
        <f>IFERROR(_xlfn.XLOOKUP(Table[[#This Row],[Ativo]],Pendentes[COD_RELIGADOR],Pendentes[DESCRICAO]),"")</f>
        <v>Segue nota para recuperar malha de aterramento no RL 7911120026 RDU- Ponte Alta .OBS: Provavelmente foi furtado cabos de aterramento   .</v>
      </c>
      <c r="M115" s="5" t="s">
        <v>710</v>
      </c>
      <c r="N115" s="5"/>
      <c r="O115" s="5"/>
      <c r="P115" s="5"/>
      <c r="Q115" s="5"/>
      <c r="R115" s="5"/>
      <c r="S115" s="5"/>
      <c r="T115" s="5"/>
      <c r="U115" s="5">
        <f>SUM(Table[[#This Row],[Premissa 1]:[Premissa 8]])</f>
        <v>0</v>
      </c>
      <c r="V115" s="5"/>
    </row>
    <row r="116" spans="1:22" ht="15" customHeight="1">
      <c r="A116" s="39">
        <v>5820790038</v>
      </c>
      <c r="B116" s="5" t="str">
        <f>MID(Table[[#This Row],[Ativo]],1,2)</f>
        <v>58</v>
      </c>
      <c r="C116" s="5" t="s">
        <v>564</v>
      </c>
      <c r="D116" s="5" t="s">
        <v>75</v>
      </c>
      <c r="E116" s="5" t="s">
        <v>76</v>
      </c>
      <c r="F116" s="4" t="str">
        <f>IFERROR(_xlfn.XLOOKUP(Table[[#This Row],[Ativo]],Pendentes[COD_RELIGADOR],Pendentes[SS_ORIGINAL]),"CONCLUÍDA")</f>
        <v>CONCLUÍDA</v>
      </c>
      <c r="J116" s="29"/>
      <c r="K116" s="31"/>
      <c r="L116" t="str">
        <f>IFERROR(_xlfn.XLOOKUP(Table[[#This Row],[Ativo]],Pendentes[COD_RELIGADOR],Pendentes[DESCRICAO]),"")</f>
        <v/>
      </c>
      <c r="M116" s="5" t="s">
        <v>710</v>
      </c>
      <c r="N116" s="5"/>
      <c r="O116" s="5"/>
      <c r="P116" s="5"/>
      <c r="Q116" s="5"/>
      <c r="R116" s="5"/>
      <c r="S116" s="5"/>
      <c r="T116" s="5"/>
      <c r="U116" s="5">
        <f>SUM(Table[[#This Row],[Premissa 1]:[Premissa 8]])</f>
        <v>0</v>
      </c>
      <c r="V116" s="5"/>
    </row>
    <row r="117" spans="1:22" ht="15" customHeight="1">
      <c r="A117" s="4">
        <v>7934697002</v>
      </c>
      <c r="B117" s="5" t="str">
        <f>MID(Table[[#This Row],[Ativo]],1,2)</f>
        <v>79</v>
      </c>
      <c r="C117" s="5" t="s">
        <v>223</v>
      </c>
      <c r="D117" s="5" t="s">
        <v>223</v>
      </c>
      <c r="E117" s="5" t="s">
        <v>51</v>
      </c>
      <c r="F117" s="4" t="str">
        <f>IFERROR(_xlfn.XLOOKUP(Table[[#This Row],[Ativo]],Pendentes[COD_RELIGADOR],Pendentes[SS_ORIGINAL]),"CONCLUÍDA")</f>
        <v>CONCLUÍDA</v>
      </c>
      <c r="J117" s="29"/>
      <c r="K117" s="31"/>
      <c r="L117" t="str">
        <f>IFERROR(_xlfn.XLOOKUP(Table[[#This Row],[Ativo]],Pendentes[COD_RELIGADOR],Pendentes[DESCRICAO]),"")</f>
        <v/>
      </c>
      <c r="M117" s="5" t="s">
        <v>710</v>
      </c>
      <c r="N117" s="5"/>
      <c r="O117" s="5"/>
      <c r="P117" s="5"/>
      <c r="Q117" s="5"/>
      <c r="R117" s="5"/>
      <c r="S117" s="5"/>
      <c r="T117" s="5"/>
      <c r="U117" s="5">
        <f>SUM(Table[[#This Row],[Premissa 1]:[Premissa 8]])</f>
        <v>0</v>
      </c>
      <c r="V117" s="5"/>
    </row>
    <row r="118" spans="1:22" ht="15" hidden="1" customHeight="1">
      <c r="A118" s="4">
        <v>7908716091</v>
      </c>
      <c r="B118" s="5" t="str">
        <f>MID(Table[[#This Row],[Ativo]],1,2)</f>
        <v>79</v>
      </c>
      <c r="F118" s="4" t="str">
        <f>IFERROR(_xlfn.XLOOKUP(Table[[#This Row],[Ativo]],Pendentes[COD_RELIGADOR],Pendentes[SS_ORIGINAL]),"CONCLUÍDA")</f>
        <v>ETO-TELE 01019/2026</v>
      </c>
      <c r="G118" s="4" t="s">
        <v>712</v>
      </c>
      <c r="J118" s="29"/>
      <c r="K118" s="31"/>
      <c r="L118" t="str">
        <f>IFERROR(_xlfn.XLOOKUP(Table[[#This Row],[Ativo]],Pendentes[COD_RELIGADOR],Pendentes[DESCRICAO]),"")</f>
        <v>Segue nota para verificar falha de comunicação no religador 7908716091 - Rural -  Almas  .Equipamento perdeu a comunicação quando faltou CA , porém mesmo ao retorna o CA não retornou à comunicação !</v>
      </c>
      <c r="M118" s="5"/>
      <c r="N118" s="5"/>
      <c r="O118" s="5"/>
      <c r="P118" s="5"/>
      <c r="Q118" s="5"/>
      <c r="R118" s="5"/>
      <c r="S118" s="5"/>
      <c r="T118" s="5"/>
      <c r="U118" s="5">
        <f>SUM(Table[[#This Row],[Premissa 1]:[Premissa 8]])</f>
        <v>0</v>
      </c>
      <c r="V118" s="5"/>
    </row>
    <row r="119" spans="1:22" ht="15" hidden="1" customHeight="1">
      <c r="A119" s="4">
        <v>5848305116</v>
      </c>
      <c r="B119" s="5" t="str">
        <f>MID(Table[[#This Row],[Ativo]],1,2)</f>
        <v>58</v>
      </c>
      <c r="F119" s="4" t="str">
        <f>IFERROR(_xlfn.XLOOKUP(Table[[#This Row],[Ativo]],Pendentes[COD_RELIGADOR],Pendentes[SS_ORIGINAL]),"CONCLUÍDA")</f>
        <v>ETO-TELE 01005/2026</v>
      </c>
      <c r="G119" s="4" t="s">
        <v>712</v>
      </c>
      <c r="J119" s="29"/>
      <c r="K119" s="31"/>
      <c r="L119" t="str">
        <f>IFERROR(_xlfn.XLOOKUP(Table[[#This Row],[Ativo]],Pendentes[COD_RELIGADOR],Pendentes[DESCRICAO]),"")</f>
        <v>Segue nota para verificar falha e constantes travamento no regulador de tensão 5848305116 - chapada da Natividade .Foi identificado que regulador está com divergência em TAP"S analógico e digital .Foi executado comandos no relé para comutar TAP na fase AB foi executado no relé , porém não alterou analógico e nem fez barulho algum , a princípio a fase C está normal .</v>
      </c>
      <c r="M119" s="5"/>
      <c r="N119" s="5"/>
      <c r="O119" s="5"/>
      <c r="P119" s="5"/>
      <c r="Q119" s="5"/>
      <c r="R119" s="5"/>
      <c r="S119" s="5"/>
      <c r="T119" s="5"/>
      <c r="U119" s="5">
        <f>SUM(Table[[#This Row],[Premissa 1]:[Premissa 8]])</f>
        <v>0</v>
      </c>
      <c r="V119" s="5"/>
    </row>
    <row r="120" spans="1:22" ht="15" hidden="1" customHeight="1">
      <c r="A120" s="4">
        <v>7961368005</v>
      </c>
      <c r="B120" s="5" t="str">
        <f>MID(Table[[#This Row],[Ativo]],1,2)</f>
        <v>79</v>
      </c>
      <c r="F120" s="4" t="str">
        <f>IFERROR(_xlfn.XLOOKUP(Table[[#This Row],[Ativo]],Pendentes[COD_RELIGADOR],Pendentes[SS_ORIGINAL]),"CONCLUÍDA")</f>
        <v>ETO-TELE 01007/2026</v>
      </c>
      <c r="G120" s="4" t="s">
        <v>712</v>
      </c>
      <c r="J120" s="29"/>
      <c r="K120" s="31"/>
      <c r="L120" t="str">
        <f>IFERROR(_xlfn.XLOOKUP(Table[[#This Row],[Ativo]],Pendentes[COD_RELIGADOR],Pendentes[DESCRICAO]),"")</f>
        <v>Favor verifcar Religador 7961368005 , equipamento sem comunicação , feito primeiro ataque com equipe operacional , porem não ouve retorno .</v>
      </c>
      <c r="M120" s="5"/>
      <c r="N120" s="5"/>
      <c r="O120" s="5"/>
      <c r="P120" s="5"/>
      <c r="Q120" s="5"/>
      <c r="R120" s="5"/>
      <c r="S120" s="5"/>
      <c r="T120" s="5"/>
      <c r="U120" s="5">
        <f>SUM(Table[[#This Row],[Premissa 1]:[Premissa 8]])</f>
        <v>0</v>
      </c>
      <c r="V120" s="5"/>
    </row>
    <row r="121" spans="1:22" ht="15" hidden="1" customHeight="1">
      <c r="A121" s="4">
        <v>7929663074</v>
      </c>
      <c r="B121" s="5" t="str">
        <f>MID(Table[[#This Row],[Ativo]],1,2)</f>
        <v>79</v>
      </c>
      <c r="F121" s="4" t="str">
        <f>IFERROR(_xlfn.XLOOKUP(Table[[#This Row],[Ativo]],Pendentes[COD_RELIGADOR],Pendentes[SS_ORIGINAL]),"CONCLUÍDA")</f>
        <v>ETO-TELE 01026/2026</v>
      </c>
      <c r="G121" s="4" t="s">
        <v>712</v>
      </c>
      <c r="J121" s="29"/>
      <c r="K121" s="31"/>
      <c r="L121" t="str">
        <f>IFERROR(_xlfn.XLOOKUP(Table[[#This Row],[Ativo]],Pendentes[COD_RELIGADOR],Pendentes[DESCRICAO]),"")</f>
        <v>Segue nota para verificar falha de comunicação no religador 7929663074  rural - Dianópolis  .Equipamento perde a comunicação quando falta CA !</v>
      </c>
      <c r="M121" s="5"/>
      <c r="N121" s="5"/>
      <c r="O121" s="5"/>
      <c r="P121" s="5"/>
      <c r="Q121" s="5"/>
      <c r="R121" s="5"/>
      <c r="S121" s="5"/>
      <c r="T121" s="5"/>
      <c r="U121" s="5">
        <f>SUM(Table[[#This Row],[Premissa 1]:[Premissa 8]])</f>
        <v>0</v>
      </c>
      <c r="V121" s="5"/>
    </row>
    <row r="122" spans="1:22" ht="15" hidden="1" customHeight="1">
      <c r="A122" s="4">
        <v>7900722193</v>
      </c>
      <c r="B122" s="5" t="str">
        <f>MID(Table[[#This Row],[Ativo]],1,2)</f>
        <v>79</v>
      </c>
      <c r="F122" s="4" t="str">
        <f>IFERROR(_xlfn.XLOOKUP(Table[[#This Row],[Ativo]],Pendentes[COD_RELIGADOR],Pendentes[SS_ORIGINAL]),"CONCLUÍDA")</f>
        <v>ETO-TELE 01029/2026</v>
      </c>
      <c r="G122" s="4" t="s">
        <v>712</v>
      </c>
      <c r="J122" s="29"/>
      <c r="K122" s="31"/>
      <c r="L122" t="str">
        <f>IFERROR(_xlfn.XLOOKUP(Table[[#This Row],[Ativo]],Pendentes[COD_RELIGADOR],Pendentes[DESCRICAO]),"")</f>
        <v>Religador sem comunicação, apos primeiro ataque não retornou a comunicação.</v>
      </c>
      <c r="M122" s="5"/>
      <c r="N122" s="5"/>
      <c r="O122" s="5"/>
      <c r="P122" s="5"/>
      <c r="Q122" s="5"/>
      <c r="R122" s="5"/>
      <c r="S122" s="5"/>
      <c r="T122" s="5"/>
      <c r="U122" s="5">
        <f>SUM(Table[[#This Row],[Premissa 1]:[Premissa 8]])</f>
        <v>0</v>
      </c>
      <c r="V122" s="5"/>
    </row>
    <row r="123" spans="1:22" ht="15" hidden="1" customHeight="1">
      <c r="A123" s="4">
        <v>7955792076</v>
      </c>
      <c r="B123" s="5" t="str">
        <f>MID(Table[[#This Row],[Ativo]],1,2)</f>
        <v>79</v>
      </c>
      <c r="F123" s="4" t="str">
        <f>IFERROR(_xlfn.XLOOKUP(Table[[#This Row],[Ativo]],Pendentes[COD_RELIGADOR],Pendentes[SS_ORIGINAL]),"CONCLUÍDA")</f>
        <v>ETO-TELE 00999/2026</v>
      </c>
      <c r="G123" s="4" t="s">
        <v>712</v>
      </c>
      <c r="J123" s="29"/>
      <c r="K123" s="31"/>
      <c r="L123" t="str">
        <f>IFERROR(_xlfn.XLOOKUP(Table[[#This Row],[Ativo]],Pendentes[COD_RELIGADOR],Pendentes[DESCRICAO]),"")</f>
        <v>RELIGADOR DE POSTE 7955792076 SEM COMUNIÇÃO COM COI ,FEITO PRIMEIRO ATAQUE COM EQUIPE OPERACIONAL O MESMO NÃO RETORNOU A COMUNICAÇÃO ENVIAR EQUIPE ESPECIAL VERIFICAR EM CAMPO</v>
      </c>
      <c r="M123" s="5"/>
      <c r="N123" s="5"/>
      <c r="O123" s="5"/>
      <c r="P123" s="5"/>
      <c r="Q123" s="5"/>
      <c r="R123" s="5"/>
      <c r="S123" s="5"/>
      <c r="T123" s="5"/>
      <c r="U123" s="5">
        <f>SUM(Table[[#This Row],[Premissa 1]:[Premissa 8]])</f>
        <v>0</v>
      </c>
      <c r="V123" s="5"/>
    </row>
    <row r="124" spans="1:22" ht="15" hidden="1" customHeight="1">
      <c r="A124" s="4">
        <v>5839141113</v>
      </c>
      <c r="B124" s="5" t="str">
        <f>MID(Table[[#This Row],[Ativo]],1,2)</f>
        <v>58</v>
      </c>
      <c r="F124" s="4" t="str">
        <f>IFERROR(_xlfn.XLOOKUP(Table[[#This Row],[Ativo]],Pendentes[COD_RELIGADOR],Pendentes[SS_ORIGINAL]),"CONCLUÍDA")</f>
        <v>ETO-TELE 00985/2026</v>
      </c>
      <c r="G124" s="4" t="s">
        <v>712</v>
      </c>
      <c r="J124" s="29"/>
      <c r="K124" s="31"/>
      <c r="L124" t="str">
        <f>IFERROR(_xlfn.XLOOKUP(Table[[#This Row],[Ativo]],Pendentes[COD_RELIGADOR],Pendentes[DESCRICAO]),"")</f>
        <v>Segue nota para averiguar ajuste regulador de tensão N: 5839141113 - RDU - Couto Magalhães , e verificar falha de comunicação   .Equipe operacional verificou que vários transformadores urbanos estão com nível de tensão baixa .Foi feito primeiro ataque regulador está comutando normalmente as 3 fases , porém não está no nível adequado !Em campo regulador estava no Tap R1 - 02 , R2 + 01 , R3 +03Medições feitas :Transformador 5700010113     - NA: 205 NB: 206 NC: 210Transformador 5700011113      - NA: 204 NB: 206 NC: 209Transformador 5700333113       -NA: 205 NB: 207 NC: 208OBS: solicitar equipe para realizar medição aterramento ,  e verificar ajuste junto ao time proteção .  verificar falha de comunicação no equipamento .</v>
      </c>
      <c r="M124" s="5"/>
      <c r="N124" s="5"/>
      <c r="O124" s="5"/>
      <c r="P124" s="5"/>
      <c r="Q124" s="5"/>
      <c r="R124" s="5"/>
      <c r="S124" s="5"/>
      <c r="T124" s="5"/>
      <c r="U124" s="5">
        <f>SUM(Table[[#This Row],[Premissa 1]:[Premissa 8]])</f>
        <v>0</v>
      </c>
      <c r="V124" s="5"/>
    </row>
    <row r="125" spans="1:22" ht="15" hidden="1" customHeight="1">
      <c r="A125" s="4">
        <v>7908683122</v>
      </c>
      <c r="B125" s="5" t="str">
        <f>MID(Table[[#This Row],[Ativo]],1,2)</f>
        <v>79</v>
      </c>
      <c r="F125" s="4" t="str">
        <f>IFERROR(_xlfn.XLOOKUP(Table[[#This Row],[Ativo]],Pendentes[COD_RELIGADOR],Pendentes[SS_ORIGINAL]),"CONCLUÍDA")</f>
        <v>ETO-TELE 00998/2026</v>
      </c>
      <c r="G125" s="4" t="s">
        <v>712</v>
      </c>
      <c r="J125" s="29"/>
      <c r="K125" s="31"/>
      <c r="L125" t="str">
        <f>IFERROR(_xlfn.XLOOKUP(Table[[#This Row],[Ativo]],Pendentes[COD_RELIGADOR],Pendentes[DESCRICAO]),"")</f>
        <v>rl 7908683122  retirado de operaçao devido falha na base do rele  equipamento.</v>
      </c>
      <c r="M125" s="5"/>
      <c r="N125" s="5"/>
      <c r="O125" s="5"/>
      <c r="P125" s="5"/>
      <c r="Q125" s="5"/>
      <c r="R125" s="5"/>
      <c r="S125" s="5"/>
      <c r="T125" s="5"/>
      <c r="U125" s="5">
        <f>SUM(Table[[#This Row],[Premissa 1]:[Premissa 8]])</f>
        <v>0</v>
      </c>
      <c r="V125" s="5"/>
    </row>
    <row r="126" spans="1:22" ht="15" hidden="1" customHeight="1">
      <c r="A126" s="4">
        <v>7923110021</v>
      </c>
      <c r="B126" s="5" t="str">
        <f>MID(Table[[#This Row],[Ativo]],1,2)</f>
        <v>79</v>
      </c>
      <c r="F126" s="4" t="str">
        <f>IFERROR(_xlfn.XLOOKUP(Table[[#This Row],[Ativo]],Pendentes[COD_RELIGADOR],Pendentes[SS_ORIGINAL]),"CONCLUÍDA")</f>
        <v>ETO-TELE 01027/2026</v>
      </c>
      <c r="G126" s="4" t="s">
        <v>712</v>
      </c>
      <c r="J126" s="29"/>
      <c r="K126" s="31"/>
      <c r="L126" t="str">
        <f>IFERROR(_xlfn.XLOOKUP(Table[[#This Row],[Ativo]],Pendentes[COD_RELIGADOR],Pendentes[DESCRICAO]),"")</f>
        <v>Segue SS para verificar falha de comunicação no religador 7923110021. Equipe foi no local realizar primeiro ataque e informou que o radio de comunicação encontra-se com defeito</v>
      </c>
      <c r="M126" s="5"/>
      <c r="N126" s="5"/>
      <c r="O126" s="5"/>
      <c r="P126" s="5"/>
      <c r="Q126" s="5"/>
      <c r="R126" s="5"/>
      <c r="S126" s="5"/>
      <c r="T126" s="5"/>
      <c r="U126" s="5">
        <f>SUM(Table[[#This Row],[Premissa 1]:[Premissa 8]])</f>
        <v>0</v>
      </c>
      <c r="V126" s="5"/>
    </row>
    <row r="127" spans="1:22" ht="15" hidden="1" customHeight="1">
      <c r="A127" s="4">
        <v>7900001096</v>
      </c>
      <c r="B127" s="5" t="str">
        <f>MID(Table[[#This Row],[Ativo]],1,2)</f>
        <v>79</v>
      </c>
      <c r="F127" s="4" t="str">
        <f>IFERROR(_xlfn.XLOOKUP(Table[[#This Row],[Ativo]],Pendentes[COD_RELIGADOR],Pendentes[SS_ORIGINAL]),"CONCLUÍDA")</f>
        <v>ETO-TELE 01018/2026</v>
      </c>
      <c r="G127" s="4" t="s">
        <v>712</v>
      </c>
      <c r="J127" s="29"/>
      <c r="K127" s="31"/>
      <c r="L127" t="str">
        <f>IFERROR(_xlfn.XLOOKUP(Table[[#This Row],[Ativo]],Pendentes[COD_RELIGADOR],Pendentes[DESCRICAO]),"")</f>
        <v>Segue nota para falha de comunicação no religador 7900001096 - Rural - Pindorama .Equipamento perdeu a comunicação quando faltou CA , porém mesmo ao retorna o CA não retornou a comunicação !Feito primeiro ataque sem sucesso !</v>
      </c>
      <c r="M127" s="5"/>
      <c r="N127" s="5"/>
      <c r="O127" s="5"/>
      <c r="P127" s="5"/>
      <c r="Q127" s="5"/>
      <c r="R127" s="5"/>
      <c r="S127" s="5"/>
      <c r="T127" s="5"/>
      <c r="U127" s="5">
        <f>SUM(Table[[#This Row],[Premissa 1]:[Premissa 8]])</f>
        <v>0</v>
      </c>
      <c r="V127" s="5"/>
    </row>
    <row r="128" spans="1:22" ht="15" hidden="1" customHeight="1">
      <c r="A128" s="4">
        <v>7900451096</v>
      </c>
      <c r="B128" s="5" t="str">
        <f>MID(Table[[#This Row],[Ativo]],1,2)</f>
        <v>79</v>
      </c>
      <c r="F128" s="4" t="str">
        <f>IFERROR(_xlfn.XLOOKUP(Table[[#This Row],[Ativo]],Pendentes[COD_RELIGADOR],Pendentes[SS_ORIGINAL]),"CONCLUÍDA")</f>
        <v>ETO-TELE 01020/2026</v>
      </c>
      <c r="G128" s="4" t="s">
        <v>712</v>
      </c>
      <c r="J128" s="29"/>
      <c r="K128" s="31"/>
      <c r="L128" t="str">
        <f>IFERROR(_xlfn.XLOOKUP(Table[[#This Row],[Ativo]],Pendentes[COD_RELIGADOR],Pendentes[DESCRICAO]),"")</f>
        <v>Segue nota para verificar falha de comunicação no religador 7900451096 - Rural -  Pindorama  .Equipamento perde a comunicação quando falta CA !</v>
      </c>
      <c r="M128" s="5"/>
      <c r="N128" s="5"/>
      <c r="O128" s="5"/>
      <c r="P128" s="5"/>
      <c r="Q128" s="5"/>
      <c r="R128" s="5"/>
      <c r="S128" s="5"/>
      <c r="T128" s="5"/>
      <c r="U128" s="5">
        <f>SUM(Table[[#This Row],[Premissa 1]:[Premissa 8]])</f>
        <v>0</v>
      </c>
      <c r="V128" s="5"/>
    </row>
    <row r="129" spans="1:23" ht="15" hidden="1" customHeight="1">
      <c r="A129" s="4">
        <v>7900259096</v>
      </c>
      <c r="B129" s="5" t="str">
        <f>MID(Table[[#This Row],[Ativo]],1,2)</f>
        <v>79</v>
      </c>
      <c r="F129" s="4" t="str">
        <f>IFERROR(_xlfn.XLOOKUP(Table[[#This Row],[Ativo]],Pendentes[COD_RELIGADOR],Pendentes[SS_ORIGINAL]),"CONCLUÍDA")</f>
        <v>ETO-TELE 01021/2026</v>
      </c>
      <c r="G129" s="4" t="s">
        <v>712</v>
      </c>
      <c r="J129" s="29"/>
      <c r="K129" s="31"/>
      <c r="L129" t="str">
        <f>IFERROR(_xlfn.XLOOKUP(Table[[#This Row],[Ativo]],Pendentes[COD_RELIGADOR],Pendentes[DESCRICAO]),"")</f>
        <v>Boa noite .Segue nota para verificar falha de comunicação no religador 7900259096 -  Pindorama .Equipamento perde a comunicação quando falta CA !</v>
      </c>
      <c r="M129" s="5"/>
      <c r="N129" s="5"/>
      <c r="O129" s="5"/>
      <c r="P129" s="5"/>
      <c r="Q129" s="5"/>
      <c r="R129" s="5"/>
      <c r="S129" s="5"/>
      <c r="T129" s="5"/>
      <c r="U129" s="5">
        <f>SUM(Table[[#This Row],[Premissa 1]:[Premissa 8]])</f>
        <v>0</v>
      </c>
      <c r="V129" s="5"/>
    </row>
    <row r="130" spans="1:23" ht="15" hidden="1" customHeight="1">
      <c r="A130" s="4">
        <v>7962734119</v>
      </c>
      <c r="B130" s="5" t="str">
        <f>MID(Table[[#This Row],[Ativo]],1,2)</f>
        <v>79</v>
      </c>
      <c r="F130" s="4" t="str">
        <f>IFERROR(_xlfn.XLOOKUP(Table[[#This Row],[Ativo]],Pendentes[COD_RELIGADOR],Pendentes[SS_ORIGINAL]),"CONCLUÍDA")</f>
        <v>ETO-TELE 01008/2026</v>
      </c>
      <c r="G130" s="4" t="s">
        <v>712</v>
      </c>
      <c r="J130" s="29"/>
      <c r="K130" s="31"/>
      <c r="L130" t="str">
        <f>IFERROR(_xlfn.XLOOKUP(Table[[#This Row],[Ativo]],Pendentes[COD_RELIGADOR],Pendentes[DESCRICAO]),"")</f>
        <v>por favor deslocar equipe da manutenção no RL 7962734119 por que foi feito o primeiro ataque no mesmo mais não voltou comunção no sistema escada</v>
      </c>
      <c r="M130" s="5"/>
      <c r="N130" s="5"/>
      <c r="O130" s="5"/>
      <c r="P130" s="5"/>
      <c r="Q130" s="5"/>
      <c r="R130" s="5"/>
      <c r="S130" s="5"/>
      <c r="T130" s="5"/>
      <c r="U130" s="5">
        <f>SUM(Table[[#This Row],[Premissa 1]:[Premissa 8]])</f>
        <v>0</v>
      </c>
      <c r="V130" s="5"/>
    </row>
    <row r="131" spans="1:23" ht="15" hidden="1" customHeight="1">
      <c r="B131" s="62" t="str">
        <f>MID(Table[[#This Row],[Ativo]],1,2)</f>
        <v/>
      </c>
      <c r="F131" s="63"/>
      <c r="J131" s="29"/>
      <c r="K131" s="31"/>
      <c r="L131" s="64" t="str">
        <f>IFERROR(_xlfn.XLOOKUP(Table[[#This Row],[Ativo]],Pendentes[COD_RELIGADOR],Pendentes[DESCRICAO]),"")</f>
        <v/>
      </c>
      <c r="M131" s="62"/>
      <c r="N131" s="62"/>
      <c r="O131" s="62"/>
      <c r="P131" s="62"/>
      <c r="Q131" s="62"/>
      <c r="R131" s="62"/>
      <c r="S131" s="62"/>
      <c r="T131" s="5"/>
      <c r="U131" s="62">
        <f>SUM(Table[[#This Row],[Premissa 1]:[Premissa 8]])</f>
        <v>0</v>
      </c>
      <c r="V131" s="5"/>
      <c r="W131" s="65"/>
    </row>
    <row r="135" spans="1:23" ht="15" customHeight="1">
      <c r="B135" s="47"/>
    </row>
  </sheetData>
  <mergeCells count="1">
    <mergeCell ref="Y1:Z1"/>
  </mergeCells>
  <conditionalFormatting sqref="A1:A61 A63:A1048576">
    <cfRule type="duplicateValues" dxfId="31" priority="2"/>
  </conditionalFormatting>
  <conditionalFormatting sqref="A62">
    <cfRule type="duplicateValues" dxfId="30" priority="1"/>
  </conditionalFormatting>
  <conditionalFormatting sqref="F1:K2 G3:K52 F3:F117 H53:K53 F118:K118 L119:O123 G116:K117 H115:K115 F132:K1048576 H124:K131 F119:G131 G54:K114">
    <cfRule type="cellIs" dxfId="29" priority="3" operator="equal">
      <formula>"CONCLUÍDA"</formula>
    </cfRule>
  </conditionalFormatting>
  <pageMargins left="0.511811024" right="0.511811024" top="0.78740157499999996" bottom="0.78740157499999996" header="0.31496062000000002" footer="0.31496062000000002"/>
  <pageSetup paperSize="9" orientation="portrait" r:id="rId1"/>
  <drawing r:id="rId2"/>
  <legacyDrawing r:id="rId3"/>
  <tableParts count="1">
    <tablePart r:id="rId4"/>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4CA31-C363-4ED3-A0AE-93265F3F5281}">
  <dimension ref="A1:AA117"/>
  <sheetViews>
    <sheetView workbookViewId="0">
      <selection activeCell="E122" sqref="E122"/>
    </sheetView>
  </sheetViews>
  <sheetFormatPr defaultRowHeight="15"/>
  <cols>
    <col min="1" max="1" width="33.28515625" bestFit="1" customWidth="1"/>
    <col min="2" max="2" width="90.140625" bestFit="1" customWidth="1"/>
    <col min="3" max="4" width="36.140625" customWidth="1"/>
    <col min="5" max="5" width="26" customWidth="1"/>
    <col min="7" max="7" width="29.140625" bestFit="1" customWidth="1"/>
    <col min="8" max="8" width="25.140625" bestFit="1" customWidth="1"/>
    <col min="10" max="10" width="21.5703125" bestFit="1" customWidth="1"/>
    <col min="11" max="11" width="32.7109375" customWidth="1"/>
    <col min="12" max="12" width="56.85546875" bestFit="1" customWidth="1"/>
  </cols>
  <sheetData>
    <row r="1" spans="1:27">
      <c r="A1" t="s">
        <v>713</v>
      </c>
      <c r="B1" t="s">
        <v>713</v>
      </c>
      <c r="C1" t="s">
        <v>714</v>
      </c>
      <c r="D1" t="s">
        <v>713</v>
      </c>
      <c r="E1" t="s">
        <v>713</v>
      </c>
      <c r="F1" t="s">
        <v>713</v>
      </c>
      <c r="G1" t="s">
        <v>713</v>
      </c>
      <c r="H1" t="s">
        <v>713</v>
      </c>
      <c r="I1" t="s">
        <v>713</v>
      </c>
      <c r="J1" t="s">
        <v>713</v>
      </c>
      <c r="K1" t="s">
        <v>713</v>
      </c>
      <c r="L1" t="s">
        <v>713</v>
      </c>
      <c r="M1" t="s">
        <v>713</v>
      </c>
      <c r="N1" t="s">
        <v>713</v>
      </c>
      <c r="O1" t="s">
        <v>713</v>
      </c>
      <c r="P1" t="s">
        <v>713</v>
      </c>
      <c r="Q1" t="s">
        <v>713</v>
      </c>
      <c r="R1" t="s">
        <v>713</v>
      </c>
      <c r="S1" t="s">
        <v>713</v>
      </c>
      <c r="T1" t="s">
        <v>713</v>
      </c>
      <c r="U1" t="s">
        <v>713</v>
      </c>
      <c r="V1" t="s">
        <v>713</v>
      </c>
      <c r="W1" t="s">
        <v>713</v>
      </c>
      <c r="X1" t="s">
        <v>713</v>
      </c>
      <c r="Y1" t="s">
        <v>713</v>
      </c>
      <c r="Z1" t="s">
        <v>713</v>
      </c>
      <c r="AA1" t="s">
        <v>713</v>
      </c>
    </row>
    <row r="2" spans="1:27">
      <c r="E2">
        <v>5800291077</v>
      </c>
      <c r="F2" t="s">
        <v>10</v>
      </c>
      <c r="G2" t="s">
        <v>144</v>
      </c>
      <c r="H2" t="s">
        <v>57</v>
      </c>
      <c r="I2" t="s">
        <v>51</v>
      </c>
      <c r="J2" t="s">
        <v>437</v>
      </c>
      <c r="M2" t="s">
        <v>438</v>
      </c>
      <c r="P2" t="s">
        <v>439</v>
      </c>
      <c r="Q2">
        <v>40</v>
      </c>
      <c r="R2">
        <v>20</v>
      </c>
      <c r="S2">
        <v>20</v>
      </c>
      <c r="T2">
        <v>20</v>
      </c>
      <c r="U2">
        <v>20</v>
      </c>
      <c r="V2" t="s">
        <v>45</v>
      </c>
      <c r="W2" t="s">
        <v>45</v>
      </c>
      <c r="X2" t="s">
        <v>45</v>
      </c>
      <c r="Y2">
        <v>120</v>
      </c>
      <c r="Z2" t="s">
        <v>9</v>
      </c>
      <c r="AA2" t="s">
        <v>440</v>
      </c>
    </row>
    <row r="3" spans="1:27">
      <c r="A3" t="s">
        <v>715</v>
      </c>
      <c r="B3" t="s">
        <v>716</v>
      </c>
      <c r="E3">
        <v>5854566043</v>
      </c>
      <c r="F3" t="s">
        <v>10</v>
      </c>
      <c r="G3" t="s">
        <v>40</v>
      </c>
      <c r="H3" t="s">
        <v>41</v>
      </c>
      <c r="I3" t="s">
        <v>42</v>
      </c>
      <c r="J3" t="s">
        <v>717</v>
      </c>
      <c r="K3" t="s">
        <v>467</v>
      </c>
      <c r="L3" t="s">
        <v>534</v>
      </c>
      <c r="M3" t="s">
        <v>443</v>
      </c>
      <c r="N3" t="s">
        <v>444</v>
      </c>
      <c r="O3">
        <v>1</v>
      </c>
      <c r="P3" t="s">
        <v>718</v>
      </c>
      <c r="Q3">
        <v>40</v>
      </c>
      <c r="R3">
        <v>20</v>
      </c>
      <c r="S3">
        <v>20</v>
      </c>
      <c r="T3">
        <v>10</v>
      </c>
      <c r="U3">
        <v>20</v>
      </c>
      <c r="V3" t="s">
        <v>45</v>
      </c>
      <c r="W3" t="s">
        <v>45</v>
      </c>
      <c r="X3" t="s">
        <v>45</v>
      </c>
      <c r="Y3">
        <v>110</v>
      </c>
      <c r="Z3" t="s">
        <v>9</v>
      </c>
      <c r="AA3" t="s">
        <v>46</v>
      </c>
    </row>
    <row r="4" spans="1:27">
      <c r="E4">
        <v>5800859011</v>
      </c>
      <c r="F4" t="s">
        <v>10</v>
      </c>
      <c r="G4" t="s">
        <v>49</v>
      </c>
      <c r="H4" t="s">
        <v>50</v>
      </c>
      <c r="I4" t="s">
        <v>51</v>
      </c>
      <c r="J4" t="s">
        <v>719</v>
      </c>
      <c r="K4" t="s">
        <v>467</v>
      </c>
      <c r="L4" t="s">
        <v>468</v>
      </c>
      <c r="M4" t="s">
        <v>443</v>
      </c>
      <c r="N4" t="s">
        <v>447</v>
      </c>
      <c r="O4">
        <v>1</v>
      </c>
      <c r="P4" t="s">
        <v>720</v>
      </c>
      <c r="Q4">
        <v>40</v>
      </c>
      <c r="R4">
        <v>20</v>
      </c>
      <c r="S4">
        <v>20</v>
      </c>
      <c r="T4">
        <v>10</v>
      </c>
      <c r="U4">
        <v>20</v>
      </c>
      <c r="V4" t="s">
        <v>45</v>
      </c>
      <c r="W4" t="s">
        <v>45</v>
      </c>
      <c r="X4" t="s">
        <v>45</v>
      </c>
      <c r="Y4">
        <v>110</v>
      </c>
      <c r="Z4" t="s">
        <v>9</v>
      </c>
      <c r="AA4" t="s">
        <v>54</v>
      </c>
    </row>
    <row r="5" spans="1:27">
      <c r="E5">
        <v>5836764032</v>
      </c>
      <c r="F5" t="s">
        <v>10</v>
      </c>
      <c r="G5" t="s">
        <v>448</v>
      </c>
      <c r="H5" t="s">
        <v>449</v>
      </c>
      <c r="I5" t="s">
        <v>76</v>
      </c>
      <c r="J5" t="s">
        <v>437</v>
      </c>
      <c r="M5" t="s">
        <v>438</v>
      </c>
      <c r="P5" t="s">
        <v>439</v>
      </c>
      <c r="Q5">
        <v>40</v>
      </c>
      <c r="R5">
        <v>20</v>
      </c>
      <c r="S5">
        <v>20</v>
      </c>
      <c r="T5">
        <v>10</v>
      </c>
      <c r="U5">
        <v>20</v>
      </c>
      <c r="V5" t="s">
        <v>45</v>
      </c>
      <c r="W5" t="s">
        <v>45</v>
      </c>
      <c r="X5" t="s">
        <v>45</v>
      </c>
      <c r="Y5">
        <v>110</v>
      </c>
      <c r="Z5" t="s">
        <v>9</v>
      </c>
      <c r="AA5" t="s">
        <v>450</v>
      </c>
    </row>
    <row r="6" spans="1:27">
      <c r="E6">
        <v>7923673004</v>
      </c>
      <c r="F6" t="s">
        <v>11</v>
      </c>
      <c r="G6" t="s">
        <v>57</v>
      </c>
      <c r="H6" t="s">
        <v>57</v>
      </c>
      <c r="I6" t="s">
        <v>51</v>
      </c>
      <c r="J6" t="s">
        <v>55</v>
      </c>
      <c r="K6" t="s">
        <v>451</v>
      </c>
      <c r="L6" t="s">
        <v>452</v>
      </c>
      <c r="N6" t="s">
        <v>460</v>
      </c>
      <c r="O6">
        <v>1</v>
      </c>
      <c r="P6" t="s">
        <v>59</v>
      </c>
      <c r="Q6">
        <v>15</v>
      </c>
      <c r="R6">
        <v>20</v>
      </c>
      <c r="S6">
        <v>15</v>
      </c>
      <c r="T6">
        <v>15</v>
      </c>
      <c r="U6">
        <v>15</v>
      </c>
      <c r="V6">
        <v>10</v>
      </c>
      <c r="W6">
        <v>0</v>
      </c>
      <c r="X6">
        <v>15</v>
      </c>
      <c r="Y6">
        <v>105</v>
      </c>
      <c r="Z6" t="s">
        <v>9</v>
      </c>
      <c r="AA6" t="s">
        <v>60</v>
      </c>
    </row>
    <row r="7" spans="1:27">
      <c r="E7">
        <v>7931608059</v>
      </c>
      <c r="F7" t="s">
        <v>11</v>
      </c>
      <c r="G7" t="s">
        <v>62</v>
      </c>
      <c r="H7" t="s">
        <v>62</v>
      </c>
      <c r="I7" t="s">
        <v>42</v>
      </c>
      <c r="J7" t="s">
        <v>61</v>
      </c>
      <c r="K7" t="s">
        <v>451</v>
      </c>
      <c r="N7" t="s">
        <v>454</v>
      </c>
      <c r="O7">
        <v>1</v>
      </c>
      <c r="P7" t="s">
        <v>64</v>
      </c>
      <c r="Q7">
        <v>15</v>
      </c>
      <c r="R7">
        <v>20</v>
      </c>
      <c r="S7">
        <v>15</v>
      </c>
      <c r="T7">
        <v>15</v>
      </c>
      <c r="U7">
        <v>15</v>
      </c>
      <c r="V7">
        <v>10</v>
      </c>
      <c r="W7">
        <v>0</v>
      </c>
      <c r="X7">
        <v>15</v>
      </c>
      <c r="Y7">
        <v>105</v>
      </c>
      <c r="Z7" t="s">
        <v>9</v>
      </c>
      <c r="AA7" t="s">
        <v>65</v>
      </c>
    </row>
    <row r="8" spans="1:27">
      <c r="E8">
        <v>7931610122</v>
      </c>
      <c r="F8" t="s">
        <v>11</v>
      </c>
      <c r="G8" t="s">
        <v>68</v>
      </c>
      <c r="H8" t="s">
        <v>68</v>
      </c>
      <c r="I8" t="s">
        <v>42</v>
      </c>
      <c r="J8" t="s">
        <v>721</v>
      </c>
      <c r="K8" t="s">
        <v>445</v>
      </c>
      <c r="L8" t="s">
        <v>496</v>
      </c>
      <c r="M8" t="s">
        <v>443</v>
      </c>
      <c r="N8" t="s">
        <v>457</v>
      </c>
      <c r="O8">
        <v>1</v>
      </c>
      <c r="P8" t="s">
        <v>722</v>
      </c>
      <c r="Q8">
        <v>15</v>
      </c>
      <c r="R8">
        <v>20</v>
      </c>
      <c r="S8">
        <v>15</v>
      </c>
      <c r="T8">
        <v>15</v>
      </c>
      <c r="U8">
        <v>15</v>
      </c>
      <c r="V8">
        <v>10</v>
      </c>
      <c r="W8">
        <v>0</v>
      </c>
      <c r="X8">
        <v>15</v>
      </c>
      <c r="Y8">
        <v>105</v>
      </c>
      <c r="Z8" t="s">
        <v>9</v>
      </c>
      <c r="AA8" t="s">
        <v>71</v>
      </c>
    </row>
    <row r="9" spans="1:27">
      <c r="E9">
        <v>7900648055</v>
      </c>
      <c r="F9" t="s">
        <v>11</v>
      </c>
      <c r="G9" t="s">
        <v>458</v>
      </c>
      <c r="H9" t="s">
        <v>210</v>
      </c>
      <c r="I9" t="s">
        <v>42</v>
      </c>
      <c r="J9" t="s">
        <v>437</v>
      </c>
      <c r="P9" t="s">
        <v>439</v>
      </c>
      <c r="Q9">
        <v>15</v>
      </c>
      <c r="R9">
        <v>20</v>
      </c>
      <c r="S9">
        <v>15</v>
      </c>
      <c r="T9">
        <v>15</v>
      </c>
      <c r="U9">
        <v>15</v>
      </c>
      <c r="V9">
        <v>10</v>
      </c>
      <c r="W9">
        <v>0</v>
      </c>
      <c r="X9">
        <v>15</v>
      </c>
      <c r="Y9">
        <v>105</v>
      </c>
      <c r="Z9" t="s">
        <v>9</v>
      </c>
      <c r="AA9" t="s">
        <v>459</v>
      </c>
    </row>
    <row r="10" spans="1:27">
      <c r="E10">
        <v>7947203070</v>
      </c>
      <c r="F10" t="s">
        <v>11</v>
      </c>
      <c r="G10" t="s">
        <v>81</v>
      </c>
      <c r="H10" t="s">
        <v>62</v>
      </c>
      <c r="I10" t="s">
        <v>42</v>
      </c>
      <c r="J10" t="s">
        <v>80</v>
      </c>
      <c r="K10" t="s">
        <v>451</v>
      </c>
      <c r="L10" t="s">
        <v>452</v>
      </c>
      <c r="N10" t="s">
        <v>460</v>
      </c>
      <c r="O10">
        <v>1</v>
      </c>
      <c r="P10" t="s">
        <v>83</v>
      </c>
      <c r="Q10">
        <v>10</v>
      </c>
      <c r="R10">
        <v>20</v>
      </c>
      <c r="S10">
        <v>15</v>
      </c>
      <c r="T10">
        <v>15</v>
      </c>
      <c r="U10">
        <v>15</v>
      </c>
      <c r="V10">
        <v>10</v>
      </c>
      <c r="W10">
        <v>0</v>
      </c>
      <c r="X10">
        <v>15</v>
      </c>
      <c r="Y10">
        <v>100</v>
      </c>
      <c r="Z10" t="s">
        <v>9</v>
      </c>
      <c r="AA10" t="s">
        <v>84</v>
      </c>
    </row>
    <row r="11" spans="1:27">
      <c r="E11">
        <v>5856070091</v>
      </c>
      <c r="F11" t="s">
        <v>10</v>
      </c>
      <c r="G11" t="s">
        <v>74</v>
      </c>
      <c r="H11" t="s">
        <v>75</v>
      </c>
      <c r="I11" t="s">
        <v>76</v>
      </c>
      <c r="J11" t="s">
        <v>723</v>
      </c>
      <c r="K11" t="s">
        <v>451</v>
      </c>
      <c r="L11" t="s">
        <v>557</v>
      </c>
      <c r="N11" t="s">
        <v>462</v>
      </c>
      <c r="O11">
        <v>3</v>
      </c>
      <c r="P11" t="s">
        <v>78</v>
      </c>
      <c r="Q11">
        <v>40</v>
      </c>
      <c r="R11">
        <v>20</v>
      </c>
      <c r="S11">
        <v>20</v>
      </c>
      <c r="T11">
        <v>20</v>
      </c>
      <c r="U11">
        <v>0</v>
      </c>
      <c r="V11" t="s">
        <v>45</v>
      </c>
      <c r="W11" t="s">
        <v>45</v>
      </c>
      <c r="X11" t="s">
        <v>45</v>
      </c>
      <c r="Y11">
        <v>100</v>
      </c>
      <c r="Z11" t="s">
        <v>9</v>
      </c>
      <c r="AA11" t="s">
        <v>79</v>
      </c>
    </row>
    <row r="12" spans="1:27">
      <c r="E12">
        <v>7903569004</v>
      </c>
      <c r="F12" t="s">
        <v>11</v>
      </c>
      <c r="G12" t="s">
        <v>57</v>
      </c>
      <c r="H12" t="s">
        <v>57</v>
      </c>
      <c r="I12" t="s">
        <v>51</v>
      </c>
      <c r="J12" t="s">
        <v>437</v>
      </c>
      <c r="P12" t="s">
        <v>439</v>
      </c>
      <c r="Q12">
        <v>15</v>
      </c>
      <c r="R12">
        <v>20</v>
      </c>
      <c r="S12">
        <v>5</v>
      </c>
      <c r="T12">
        <v>15</v>
      </c>
      <c r="U12">
        <v>15</v>
      </c>
      <c r="V12">
        <v>10</v>
      </c>
      <c r="W12">
        <v>0</v>
      </c>
      <c r="X12">
        <v>15</v>
      </c>
      <c r="Y12">
        <v>95</v>
      </c>
      <c r="Z12" t="s">
        <v>9</v>
      </c>
      <c r="AA12" t="s">
        <v>463</v>
      </c>
    </row>
    <row r="13" spans="1:27">
      <c r="E13">
        <v>7925744087</v>
      </c>
      <c r="F13" t="s">
        <v>11</v>
      </c>
      <c r="G13" t="s">
        <v>91</v>
      </c>
      <c r="H13" t="s">
        <v>50</v>
      </c>
      <c r="I13" t="s">
        <v>51</v>
      </c>
      <c r="J13" t="s">
        <v>90</v>
      </c>
      <c r="K13" t="s">
        <v>451</v>
      </c>
      <c r="L13" t="s">
        <v>464</v>
      </c>
      <c r="N13" t="s">
        <v>465</v>
      </c>
      <c r="O13">
        <v>1</v>
      </c>
      <c r="P13" t="s">
        <v>93</v>
      </c>
      <c r="Q13">
        <v>15</v>
      </c>
      <c r="R13">
        <v>20</v>
      </c>
      <c r="S13">
        <v>5</v>
      </c>
      <c r="T13">
        <v>15</v>
      </c>
      <c r="U13">
        <v>15</v>
      </c>
      <c r="V13">
        <v>10</v>
      </c>
      <c r="W13">
        <v>0</v>
      </c>
      <c r="X13">
        <v>15</v>
      </c>
      <c r="Y13">
        <v>95</v>
      </c>
      <c r="Z13" t="s">
        <v>9</v>
      </c>
      <c r="AA13" t="s">
        <v>94</v>
      </c>
    </row>
    <row r="14" spans="1:27">
      <c r="A14" t="s">
        <v>724</v>
      </c>
      <c r="B14" t="s">
        <v>725</v>
      </c>
      <c r="D14" t="e" cm="1">
        <f t="array" ref="D14">_xlfn.XLOOKUP(_xlfn.NUMBERVALUE(E14),_xlfn.NUMBERVALUE([1]Planilha1!$C$2:$C$34),[1]Planilha1!$T$3:$T$34)</f>
        <v>#VALUE!</v>
      </c>
      <c r="E14" s="33">
        <v>7900117013</v>
      </c>
      <c r="F14" t="s">
        <v>11</v>
      </c>
      <c r="G14" t="s">
        <v>97</v>
      </c>
      <c r="H14" t="s">
        <v>97</v>
      </c>
      <c r="I14" t="s">
        <v>42</v>
      </c>
      <c r="J14" t="s">
        <v>726</v>
      </c>
      <c r="K14" t="s">
        <v>467</v>
      </c>
      <c r="L14" t="s">
        <v>466</v>
      </c>
      <c r="M14" t="s">
        <v>443</v>
      </c>
      <c r="N14" t="s">
        <v>460</v>
      </c>
      <c r="O14">
        <v>1</v>
      </c>
      <c r="P14" t="s">
        <v>727</v>
      </c>
      <c r="Q14">
        <v>15</v>
      </c>
      <c r="R14">
        <v>20</v>
      </c>
      <c r="S14">
        <v>15</v>
      </c>
      <c r="T14">
        <v>15</v>
      </c>
      <c r="U14">
        <v>15</v>
      </c>
      <c r="V14">
        <v>0</v>
      </c>
      <c r="W14">
        <v>0</v>
      </c>
      <c r="X14">
        <v>15</v>
      </c>
      <c r="Y14">
        <v>95</v>
      </c>
      <c r="Z14" t="s">
        <v>9</v>
      </c>
      <c r="AA14" t="s">
        <v>100</v>
      </c>
    </row>
    <row r="15" spans="1:27">
      <c r="E15">
        <v>7929376022</v>
      </c>
      <c r="F15" t="s">
        <v>11</v>
      </c>
      <c r="G15" t="s">
        <v>102</v>
      </c>
      <c r="H15" t="s">
        <v>57</v>
      </c>
      <c r="I15" t="s">
        <v>51</v>
      </c>
      <c r="J15" t="s">
        <v>101</v>
      </c>
      <c r="K15" t="s">
        <v>467</v>
      </c>
      <c r="L15" t="s">
        <v>468</v>
      </c>
      <c r="M15" t="s">
        <v>443</v>
      </c>
      <c r="N15" t="s">
        <v>469</v>
      </c>
      <c r="O15">
        <v>1</v>
      </c>
      <c r="P15" t="s">
        <v>104</v>
      </c>
      <c r="Q15">
        <v>15</v>
      </c>
      <c r="R15">
        <v>20</v>
      </c>
      <c r="S15">
        <v>5</v>
      </c>
      <c r="T15">
        <v>15</v>
      </c>
      <c r="U15">
        <v>15</v>
      </c>
      <c r="V15">
        <v>10</v>
      </c>
      <c r="W15">
        <v>0</v>
      </c>
      <c r="X15">
        <v>15</v>
      </c>
      <c r="Y15">
        <v>95</v>
      </c>
      <c r="Z15" t="s">
        <v>9</v>
      </c>
      <c r="AA15" t="s">
        <v>105</v>
      </c>
    </row>
    <row r="16" spans="1:27">
      <c r="E16">
        <v>7908705049</v>
      </c>
      <c r="F16" t="s">
        <v>11</v>
      </c>
      <c r="G16" t="s">
        <v>86</v>
      </c>
      <c r="H16" t="s">
        <v>75</v>
      </c>
      <c r="I16" t="s">
        <v>76</v>
      </c>
      <c r="J16" t="s">
        <v>85</v>
      </c>
      <c r="K16" t="s">
        <v>445</v>
      </c>
      <c r="L16" t="s">
        <v>728</v>
      </c>
      <c r="M16" t="s">
        <v>443</v>
      </c>
      <c r="N16" t="s">
        <v>469</v>
      </c>
      <c r="O16">
        <v>1</v>
      </c>
      <c r="P16" t="s">
        <v>88</v>
      </c>
      <c r="Q16">
        <v>15</v>
      </c>
      <c r="R16">
        <v>20</v>
      </c>
      <c r="S16">
        <v>5</v>
      </c>
      <c r="T16">
        <v>15</v>
      </c>
      <c r="U16">
        <v>15</v>
      </c>
      <c r="V16">
        <v>0</v>
      </c>
      <c r="W16">
        <v>10</v>
      </c>
      <c r="X16">
        <v>15</v>
      </c>
      <c r="Y16">
        <v>95</v>
      </c>
      <c r="Z16" t="s">
        <v>9</v>
      </c>
      <c r="AA16" t="s">
        <v>89</v>
      </c>
    </row>
    <row r="17" spans="1:27">
      <c r="A17" t="s">
        <v>715</v>
      </c>
      <c r="B17" t="s">
        <v>729</v>
      </c>
      <c r="E17">
        <v>7933726256</v>
      </c>
      <c r="F17" t="s">
        <v>11</v>
      </c>
      <c r="G17" t="s">
        <v>107</v>
      </c>
      <c r="H17" t="s">
        <v>108</v>
      </c>
      <c r="I17" t="s">
        <v>42</v>
      </c>
      <c r="J17" t="s">
        <v>106</v>
      </c>
      <c r="K17" t="s">
        <v>471</v>
      </c>
      <c r="L17" t="s">
        <v>472</v>
      </c>
      <c r="M17" t="s">
        <v>443</v>
      </c>
      <c r="N17" t="s">
        <v>473</v>
      </c>
      <c r="O17">
        <v>1</v>
      </c>
      <c r="P17" t="s">
        <v>110</v>
      </c>
      <c r="Q17">
        <v>15</v>
      </c>
      <c r="R17">
        <v>10</v>
      </c>
      <c r="S17">
        <v>15</v>
      </c>
      <c r="T17">
        <v>15</v>
      </c>
      <c r="U17">
        <v>15</v>
      </c>
      <c r="V17">
        <v>10</v>
      </c>
      <c r="W17">
        <v>0</v>
      </c>
      <c r="X17">
        <v>15</v>
      </c>
      <c r="Y17">
        <v>95</v>
      </c>
      <c r="Z17" t="s">
        <v>9</v>
      </c>
      <c r="AA17" t="s">
        <v>111</v>
      </c>
    </row>
    <row r="18" spans="1:27">
      <c r="E18">
        <v>7933766059</v>
      </c>
      <c r="F18" t="s">
        <v>11</v>
      </c>
      <c r="G18" t="s">
        <v>62</v>
      </c>
      <c r="H18" t="s">
        <v>62</v>
      </c>
      <c r="I18" t="s">
        <v>42</v>
      </c>
      <c r="J18" t="s">
        <v>730</v>
      </c>
      <c r="K18" t="s">
        <v>445</v>
      </c>
      <c r="L18" t="s">
        <v>731</v>
      </c>
      <c r="M18" t="s">
        <v>443</v>
      </c>
      <c r="N18" t="s">
        <v>473</v>
      </c>
      <c r="O18">
        <v>1</v>
      </c>
      <c r="P18" t="s">
        <v>732</v>
      </c>
      <c r="Q18">
        <v>15</v>
      </c>
      <c r="R18">
        <v>20</v>
      </c>
      <c r="S18">
        <v>5</v>
      </c>
      <c r="T18">
        <v>15</v>
      </c>
      <c r="U18">
        <v>15</v>
      </c>
      <c r="V18">
        <v>0</v>
      </c>
      <c r="W18">
        <v>10</v>
      </c>
      <c r="X18">
        <v>15</v>
      </c>
      <c r="Y18">
        <v>95</v>
      </c>
      <c r="Z18" t="s">
        <v>9</v>
      </c>
      <c r="AA18" t="s">
        <v>115</v>
      </c>
    </row>
    <row r="19" spans="1:27">
      <c r="A19" t="s">
        <v>715</v>
      </c>
      <c r="B19" t="s">
        <v>733</v>
      </c>
      <c r="E19">
        <v>7900594026</v>
      </c>
      <c r="F19" t="s">
        <v>11</v>
      </c>
      <c r="G19" t="s">
        <v>108</v>
      </c>
      <c r="H19" t="s">
        <v>108</v>
      </c>
      <c r="I19" t="s">
        <v>42</v>
      </c>
      <c r="J19" t="s">
        <v>734</v>
      </c>
      <c r="K19" t="s">
        <v>445</v>
      </c>
      <c r="L19" t="s">
        <v>735</v>
      </c>
      <c r="M19" t="s">
        <v>443</v>
      </c>
      <c r="N19" t="s">
        <v>469</v>
      </c>
      <c r="O19">
        <v>1</v>
      </c>
      <c r="P19" t="s">
        <v>736</v>
      </c>
      <c r="Q19">
        <v>15</v>
      </c>
      <c r="R19">
        <v>20</v>
      </c>
      <c r="S19">
        <v>15</v>
      </c>
      <c r="T19">
        <v>15</v>
      </c>
      <c r="U19">
        <v>15</v>
      </c>
      <c r="V19">
        <v>0</v>
      </c>
      <c r="W19">
        <v>0</v>
      </c>
      <c r="X19">
        <v>15</v>
      </c>
      <c r="Y19">
        <v>95</v>
      </c>
      <c r="Z19" t="s">
        <v>9</v>
      </c>
      <c r="AA19" t="s">
        <v>119</v>
      </c>
    </row>
    <row r="20" spans="1:27">
      <c r="E20">
        <v>7921040031</v>
      </c>
      <c r="F20" t="s">
        <v>11</v>
      </c>
      <c r="G20" t="s">
        <v>476</v>
      </c>
      <c r="H20" t="s">
        <v>186</v>
      </c>
      <c r="I20" t="s">
        <v>42</v>
      </c>
      <c r="J20" t="s">
        <v>437</v>
      </c>
      <c r="M20" t="s">
        <v>438</v>
      </c>
      <c r="P20" t="s">
        <v>439</v>
      </c>
      <c r="Q20">
        <v>15</v>
      </c>
      <c r="R20">
        <v>20</v>
      </c>
      <c r="S20">
        <v>5</v>
      </c>
      <c r="T20">
        <v>15</v>
      </c>
      <c r="U20">
        <v>15</v>
      </c>
      <c r="V20">
        <v>10</v>
      </c>
      <c r="W20">
        <v>0</v>
      </c>
      <c r="X20">
        <v>15</v>
      </c>
      <c r="Y20">
        <v>95</v>
      </c>
      <c r="Z20" t="s">
        <v>9</v>
      </c>
      <c r="AA20" t="s">
        <v>477</v>
      </c>
    </row>
    <row r="21" spans="1:27">
      <c r="E21">
        <v>7957620015</v>
      </c>
      <c r="F21" t="s">
        <v>11</v>
      </c>
      <c r="G21" t="s">
        <v>283</v>
      </c>
      <c r="H21" t="s">
        <v>50</v>
      </c>
      <c r="I21" t="s">
        <v>51</v>
      </c>
      <c r="J21" t="s">
        <v>437</v>
      </c>
      <c r="M21" t="s">
        <v>438</v>
      </c>
      <c r="P21" t="s">
        <v>439</v>
      </c>
      <c r="Q21">
        <v>15</v>
      </c>
      <c r="R21">
        <v>20</v>
      </c>
      <c r="S21">
        <v>15</v>
      </c>
      <c r="T21">
        <v>15</v>
      </c>
      <c r="U21">
        <v>15</v>
      </c>
      <c r="V21">
        <v>0</v>
      </c>
      <c r="W21">
        <v>0</v>
      </c>
      <c r="X21">
        <v>15</v>
      </c>
      <c r="Y21">
        <v>95</v>
      </c>
      <c r="Z21" t="s">
        <v>9</v>
      </c>
      <c r="AA21" t="s">
        <v>478</v>
      </c>
    </row>
    <row r="22" spans="1:27">
      <c r="A22" t="s">
        <v>715</v>
      </c>
      <c r="B22" t="s">
        <v>737</v>
      </c>
      <c r="E22">
        <v>7927413001</v>
      </c>
      <c r="F22" t="s">
        <v>11</v>
      </c>
      <c r="G22" t="s">
        <v>41</v>
      </c>
      <c r="H22" t="s">
        <v>41</v>
      </c>
      <c r="I22" t="s">
        <v>42</v>
      </c>
      <c r="J22" t="s">
        <v>738</v>
      </c>
      <c r="K22" t="s">
        <v>451</v>
      </c>
      <c r="L22" t="s">
        <v>452</v>
      </c>
      <c r="N22" t="s">
        <v>469</v>
      </c>
      <c r="O22">
        <v>1</v>
      </c>
      <c r="P22" t="s">
        <v>479</v>
      </c>
      <c r="Q22">
        <v>15</v>
      </c>
      <c r="R22">
        <v>5</v>
      </c>
      <c r="S22">
        <v>15</v>
      </c>
      <c r="T22">
        <v>15</v>
      </c>
      <c r="U22">
        <v>15</v>
      </c>
      <c r="V22">
        <v>10</v>
      </c>
      <c r="W22">
        <v>0</v>
      </c>
      <c r="X22">
        <v>15</v>
      </c>
      <c r="Y22">
        <v>90</v>
      </c>
      <c r="Z22" t="s">
        <v>9</v>
      </c>
      <c r="AA22" t="s">
        <v>123</v>
      </c>
    </row>
    <row r="23" spans="1:27">
      <c r="A23" t="s">
        <v>724</v>
      </c>
      <c r="B23" s="7" t="s">
        <v>739</v>
      </c>
      <c r="D23" t="e" cm="1">
        <f t="array" ref="D23">_xlfn.XLOOKUP(_xlfn.NUMBERVALUE(E23),_xlfn.NUMBERVALUE([1]Planilha1!$C$2:$C$34),[1]Planilha1!$T$3:$T$34)</f>
        <v>#VALUE!</v>
      </c>
      <c r="E23">
        <v>7908686014</v>
      </c>
      <c r="F23" t="s">
        <v>11</v>
      </c>
      <c r="G23" t="s">
        <v>126</v>
      </c>
      <c r="H23" t="s">
        <v>97</v>
      </c>
      <c r="I23" t="s">
        <v>42</v>
      </c>
      <c r="J23" t="s">
        <v>124</v>
      </c>
      <c r="K23" t="s">
        <v>445</v>
      </c>
      <c r="L23" t="s">
        <v>496</v>
      </c>
      <c r="M23" t="s">
        <v>443</v>
      </c>
      <c r="N23" t="s">
        <v>480</v>
      </c>
      <c r="O23">
        <v>1</v>
      </c>
      <c r="P23" t="s">
        <v>128</v>
      </c>
      <c r="Q23">
        <v>15</v>
      </c>
      <c r="R23">
        <v>20</v>
      </c>
      <c r="S23">
        <v>0</v>
      </c>
      <c r="T23">
        <v>15</v>
      </c>
      <c r="U23">
        <v>15</v>
      </c>
      <c r="V23">
        <v>10</v>
      </c>
      <c r="W23">
        <v>0</v>
      </c>
      <c r="X23">
        <v>15</v>
      </c>
      <c r="Y23">
        <v>90</v>
      </c>
      <c r="Z23" t="s">
        <v>9</v>
      </c>
      <c r="AA23" t="s">
        <v>129</v>
      </c>
    </row>
    <row r="24" spans="1:27">
      <c r="A24" t="s">
        <v>715</v>
      </c>
      <c r="B24" t="s">
        <v>571</v>
      </c>
      <c r="E24">
        <v>5800440256</v>
      </c>
      <c r="F24" t="s">
        <v>10</v>
      </c>
      <c r="G24" t="s">
        <v>107</v>
      </c>
      <c r="H24" t="s">
        <v>108</v>
      </c>
      <c r="I24" t="s">
        <v>42</v>
      </c>
      <c r="J24" t="s">
        <v>437</v>
      </c>
      <c r="P24" t="s">
        <v>439</v>
      </c>
      <c r="Q24">
        <v>20</v>
      </c>
      <c r="R24">
        <v>20</v>
      </c>
      <c r="S24">
        <v>20</v>
      </c>
      <c r="T24">
        <v>10</v>
      </c>
      <c r="U24">
        <v>20</v>
      </c>
      <c r="V24" t="s">
        <v>45</v>
      </c>
      <c r="W24" t="s">
        <v>45</v>
      </c>
      <c r="X24" t="s">
        <v>45</v>
      </c>
      <c r="Y24">
        <v>90</v>
      </c>
      <c r="Z24" t="s">
        <v>9</v>
      </c>
      <c r="AA24" t="s">
        <v>481</v>
      </c>
    </row>
    <row r="25" spans="1:27">
      <c r="E25">
        <v>7943790134</v>
      </c>
      <c r="F25" t="s">
        <v>11</v>
      </c>
      <c r="G25" t="s">
        <v>131</v>
      </c>
      <c r="H25" t="s">
        <v>132</v>
      </c>
      <c r="I25" t="s">
        <v>51</v>
      </c>
      <c r="J25" t="s">
        <v>130</v>
      </c>
      <c r="K25" t="s">
        <v>482</v>
      </c>
      <c r="M25" t="s">
        <v>443</v>
      </c>
      <c r="N25" t="s">
        <v>480</v>
      </c>
      <c r="O25">
        <v>1</v>
      </c>
      <c r="P25" t="s">
        <v>134</v>
      </c>
      <c r="Q25">
        <v>15</v>
      </c>
      <c r="R25">
        <v>10</v>
      </c>
      <c r="S25">
        <v>5</v>
      </c>
      <c r="T25">
        <v>15</v>
      </c>
      <c r="U25">
        <v>15</v>
      </c>
      <c r="V25">
        <v>10</v>
      </c>
      <c r="W25">
        <v>0</v>
      </c>
      <c r="X25">
        <v>15</v>
      </c>
      <c r="Y25">
        <v>85</v>
      </c>
      <c r="Z25" t="s">
        <v>9</v>
      </c>
      <c r="AA25" t="s">
        <v>135</v>
      </c>
    </row>
    <row r="26" spans="1:27">
      <c r="A26" t="s">
        <v>715</v>
      </c>
      <c r="B26" t="s">
        <v>740</v>
      </c>
      <c r="E26">
        <v>7900453110</v>
      </c>
      <c r="F26" t="s">
        <v>11</v>
      </c>
      <c r="G26" t="s">
        <v>137</v>
      </c>
      <c r="H26" t="s">
        <v>41</v>
      </c>
      <c r="I26" t="s">
        <v>42</v>
      </c>
      <c r="J26" t="s">
        <v>136</v>
      </c>
      <c r="K26" t="s">
        <v>451</v>
      </c>
      <c r="L26" t="s">
        <v>741</v>
      </c>
      <c r="N26" t="s">
        <v>480</v>
      </c>
      <c r="O26">
        <v>1</v>
      </c>
      <c r="P26" t="s">
        <v>139</v>
      </c>
      <c r="Q26">
        <v>15</v>
      </c>
      <c r="R26">
        <v>10</v>
      </c>
      <c r="S26">
        <v>5</v>
      </c>
      <c r="T26">
        <v>15</v>
      </c>
      <c r="U26">
        <v>15</v>
      </c>
      <c r="V26">
        <v>10</v>
      </c>
      <c r="W26">
        <v>0</v>
      </c>
      <c r="X26">
        <v>15</v>
      </c>
      <c r="Y26">
        <v>85</v>
      </c>
      <c r="Z26" t="s">
        <v>9</v>
      </c>
      <c r="AA26" t="s">
        <v>140</v>
      </c>
    </row>
    <row r="27" spans="1:27">
      <c r="E27">
        <v>7925871077</v>
      </c>
      <c r="F27" t="s">
        <v>11</v>
      </c>
      <c r="G27" t="s">
        <v>144</v>
      </c>
      <c r="H27" t="s">
        <v>57</v>
      </c>
      <c r="I27" t="s">
        <v>51</v>
      </c>
      <c r="J27" t="s">
        <v>143</v>
      </c>
      <c r="K27" t="s">
        <v>484</v>
      </c>
      <c r="N27" t="s">
        <v>480</v>
      </c>
      <c r="O27">
        <v>1</v>
      </c>
      <c r="P27" t="s">
        <v>146</v>
      </c>
      <c r="Q27">
        <v>15</v>
      </c>
      <c r="R27">
        <v>10</v>
      </c>
      <c r="S27">
        <v>15</v>
      </c>
      <c r="T27">
        <v>15</v>
      </c>
      <c r="U27">
        <v>15</v>
      </c>
      <c r="V27">
        <v>10</v>
      </c>
      <c r="W27">
        <v>0</v>
      </c>
      <c r="X27">
        <v>0</v>
      </c>
      <c r="Y27">
        <v>80</v>
      </c>
      <c r="Z27" t="s">
        <v>9</v>
      </c>
      <c r="AA27" t="s">
        <v>147</v>
      </c>
    </row>
    <row r="28" spans="1:27">
      <c r="A28" t="s">
        <v>715</v>
      </c>
      <c r="B28" t="s">
        <v>742</v>
      </c>
      <c r="E28">
        <v>5803327001</v>
      </c>
      <c r="F28" t="s">
        <v>10</v>
      </c>
      <c r="G28" t="s">
        <v>41</v>
      </c>
      <c r="H28" t="s">
        <v>41</v>
      </c>
      <c r="I28" t="s">
        <v>42</v>
      </c>
      <c r="J28" t="s">
        <v>743</v>
      </c>
      <c r="K28" t="s">
        <v>485</v>
      </c>
      <c r="L28" t="s">
        <v>486</v>
      </c>
      <c r="N28" t="s">
        <v>487</v>
      </c>
      <c r="O28">
        <v>1</v>
      </c>
      <c r="P28" t="s">
        <v>150</v>
      </c>
      <c r="Q28">
        <v>40</v>
      </c>
      <c r="R28">
        <v>0</v>
      </c>
      <c r="S28">
        <v>0</v>
      </c>
      <c r="T28">
        <v>20</v>
      </c>
      <c r="U28">
        <v>20</v>
      </c>
      <c r="V28" t="s">
        <v>45</v>
      </c>
      <c r="W28" t="s">
        <v>45</v>
      </c>
      <c r="X28" t="s">
        <v>45</v>
      </c>
      <c r="Y28">
        <v>80</v>
      </c>
      <c r="Z28" t="s">
        <v>13</v>
      </c>
      <c r="AA28" t="s">
        <v>151</v>
      </c>
    </row>
    <row r="29" spans="1:27">
      <c r="E29">
        <v>7900230155</v>
      </c>
      <c r="F29" t="s">
        <v>11</v>
      </c>
      <c r="G29" t="s">
        <v>153</v>
      </c>
      <c r="H29" t="s">
        <v>154</v>
      </c>
      <c r="I29" t="s">
        <v>51</v>
      </c>
      <c r="J29" t="s">
        <v>152</v>
      </c>
      <c r="K29" t="s">
        <v>471</v>
      </c>
      <c r="M29" t="s">
        <v>443</v>
      </c>
      <c r="N29" t="s">
        <v>489</v>
      </c>
      <c r="O29">
        <v>1</v>
      </c>
      <c r="P29" t="s">
        <v>156</v>
      </c>
      <c r="Q29">
        <v>15</v>
      </c>
      <c r="R29">
        <v>20</v>
      </c>
      <c r="S29">
        <v>5</v>
      </c>
      <c r="T29">
        <v>15</v>
      </c>
      <c r="U29">
        <v>0</v>
      </c>
      <c r="V29">
        <v>10</v>
      </c>
      <c r="W29">
        <v>0</v>
      </c>
      <c r="X29">
        <v>15</v>
      </c>
      <c r="Y29">
        <v>80</v>
      </c>
      <c r="Z29" t="s">
        <v>9</v>
      </c>
      <c r="AA29" t="s">
        <v>157</v>
      </c>
    </row>
    <row r="30" spans="1:27">
      <c r="E30">
        <v>7900543083</v>
      </c>
      <c r="F30" t="s">
        <v>11</v>
      </c>
      <c r="G30" t="s">
        <v>490</v>
      </c>
      <c r="H30" t="s">
        <v>62</v>
      </c>
      <c r="I30" t="s">
        <v>42</v>
      </c>
      <c r="J30" t="s">
        <v>437</v>
      </c>
      <c r="M30" t="s">
        <v>438</v>
      </c>
      <c r="P30" t="s">
        <v>439</v>
      </c>
      <c r="Q30">
        <v>15</v>
      </c>
      <c r="R30">
        <v>20</v>
      </c>
      <c r="S30">
        <v>5</v>
      </c>
      <c r="T30">
        <v>15</v>
      </c>
      <c r="U30">
        <v>0</v>
      </c>
      <c r="V30">
        <v>0</v>
      </c>
      <c r="W30">
        <v>10</v>
      </c>
      <c r="X30">
        <v>15</v>
      </c>
      <c r="Y30">
        <v>80</v>
      </c>
      <c r="Z30" t="s">
        <v>9</v>
      </c>
      <c r="AA30" t="s">
        <v>491</v>
      </c>
    </row>
    <row r="31" spans="1:27">
      <c r="E31">
        <v>7900930040</v>
      </c>
      <c r="F31" t="s">
        <v>11</v>
      </c>
      <c r="G31" t="s">
        <v>492</v>
      </c>
      <c r="H31" t="s">
        <v>57</v>
      </c>
      <c r="I31" t="s">
        <v>51</v>
      </c>
      <c r="J31" t="s">
        <v>437</v>
      </c>
      <c r="M31" t="s">
        <v>438</v>
      </c>
      <c r="P31" t="s">
        <v>439</v>
      </c>
      <c r="Q31">
        <v>15</v>
      </c>
      <c r="R31">
        <v>20</v>
      </c>
      <c r="S31">
        <v>5</v>
      </c>
      <c r="T31">
        <v>15</v>
      </c>
      <c r="U31">
        <v>0</v>
      </c>
      <c r="V31">
        <v>0</v>
      </c>
      <c r="W31">
        <v>10</v>
      </c>
      <c r="X31">
        <v>15</v>
      </c>
      <c r="Y31">
        <v>80</v>
      </c>
      <c r="Z31" t="s">
        <v>9</v>
      </c>
      <c r="AA31" t="s">
        <v>493</v>
      </c>
    </row>
    <row r="32" spans="1:27">
      <c r="E32">
        <v>7931383086</v>
      </c>
      <c r="F32" t="s">
        <v>11</v>
      </c>
      <c r="G32" t="s">
        <v>209</v>
      </c>
      <c r="H32" t="s">
        <v>210</v>
      </c>
      <c r="I32" t="s">
        <v>42</v>
      </c>
      <c r="J32" t="s">
        <v>437</v>
      </c>
      <c r="M32" t="s">
        <v>438</v>
      </c>
      <c r="P32" t="s">
        <v>439</v>
      </c>
      <c r="Q32">
        <v>15</v>
      </c>
      <c r="R32">
        <v>20</v>
      </c>
      <c r="S32">
        <v>5</v>
      </c>
      <c r="T32">
        <v>15</v>
      </c>
      <c r="U32">
        <v>0</v>
      </c>
      <c r="V32">
        <v>10</v>
      </c>
      <c r="W32">
        <v>0</v>
      </c>
      <c r="X32">
        <v>15</v>
      </c>
      <c r="Y32">
        <v>80</v>
      </c>
      <c r="Z32" t="s">
        <v>9</v>
      </c>
      <c r="AA32" t="s">
        <v>494</v>
      </c>
    </row>
    <row r="33" spans="1:27">
      <c r="A33" t="s">
        <v>715</v>
      </c>
      <c r="B33" t="s">
        <v>737</v>
      </c>
      <c r="E33">
        <v>7908302256</v>
      </c>
      <c r="F33" t="s">
        <v>11</v>
      </c>
      <c r="G33" t="s">
        <v>107</v>
      </c>
      <c r="H33" t="s">
        <v>108</v>
      </c>
      <c r="I33" t="s">
        <v>42</v>
      </c>
      <c r="J33" t="s">
        <v>437</v>
      </c>
      <c r="K33" t="s">
        <v>484</v>
      </c>
      <c r="L33" t="s">
        <v>744</v>
      </c>
      <c r="P33" t="s">
        <v>439</v>
      </c>
      <c r="Q33">
        <v>5</v>
      </c>
      <c r="R33">
        <v>10</v>
      </c>
      <c r="S33">
        <v>5</v>
      </c>
      <c r="T33">
        <v>15</v>
      </c>
      <c r="U33">
        <v>15</v>
      </c>
      <c r="V33">
        <v>10</v>
      </c>
      <c r="W33">
        <v>0</v>
      </c>
      <c r="X33">
        <v>15</v>
      </c>
      <c r="Y33">
        <v>75</v>
      </c>
      <c r="Z33" t="s">
        <v>13</v>
      </c>
      <c r="AA33" t="s">
        <v>160</v>
      </c>
    </row>
    <row r="34" spans="1:27">
      <c r="E34">
        <v>5800371025</v>
      </c>
      <c r="F34" t="s">
        <v>10</v>
      </c>
      <c r="G34" t="s">
        <v>162</v>
      </c>
      <c r="H34" t="s">
        <v>154</v>
      </c>
      <c r="I34" t="s">
        <v>51</v>
      </c>
      <c r="J34" t="s">
        <v>745</v>
      </c>
      <c r="K34" t="s">
        <v>467</v>
      </c>
      <c r="L34" t="s">
        <v>504</v>
      </c>
      <c r="M34" t="s">
        <v>443</v>
      </c>
      <c r="N34" t="s">
        <v>460</v>
      </c>
      <c r="O34">
        <v>1</v>
      </c>
      <c r="P34" t="s">
        <v>746</v>
      </c>
      <c r="Q34">
        <v>0</v>
      </c>
      <c r="R34">
        <v>20</v>
      </c>
      <c r="S34">
        <v>20</v>
      </c>
      <c r="T34">
        <v>10</v>
      </c>
      <c r="U34">
        <v>20</v>
      </c>
      <c r="V34" t="s">
        <v>45</v>
      </c>
      <c r="W34" t="s">
        <v>45</v>
      </c>
      <c r="X34" t="s">
        <v>45</v>
      </c>
      <c r="Y34">
        <v>70</v>
      </c>
      <c r="Z34" t="s">
        <v>13</v>
      </c>
      <c r="AA34" t="s">
        <v>165</v>
      </c>
    </row>
    <row r="35" spans="1:27">
      <c r="A35" t="s">
        <v>724</v>
      </c>
      <c r="B35" t="s">
        <v>747</v>
      </c>
      <c r="D35" t="e" cm="1">
        <f t="array" ref="D35">_xlfn.XLOOKUP(_xlfn.NUMBERVALUE(E35),_xlfn.NUMBERVALUE([1]Planilha1!$C$2:$C$34),[1]Planilha1!$T$3:$T$34)</f>
        <v>#VALUE!</v>
      </c>
      <c r="E35">
        <v>7926089013</v>
      </c>
      <c r="F35" t="s">
        <v>11</v>
      </c>
      <c r="G35" t="s">
        <v>97</v>
      </c>
      <c r="H35" t="s">
        <v>97</v>
      </c>
      <c r="I35" t="s">
        <v>42</v>
      </c>
      <c r="J35" t="s">
        <v>171</v>
      </c>
      <c r="K35" t="s">
        <v>451</v>
      </c>
      <c r="N35" t="s">
        <v>480</v>
      </c>
      <c r="O35">
        <v>1</v>
      </c>
      <c r="P35" t="s">
        <v>173</v>
      </c>
      <c r="Q35">
        <v>15</v>
      </c>
      <c r="R35">
        <v>10</v>
      </c>
      <c r="S35">
        <v>5</v>
      </c>
      <c r="T35">
        <v>15</v>
      </c>
      <c r="U35">
        <v>15</v>
      </c>
      <c r="V35">
        <v>10</v>
      </c>
      <c r="W35">
        <v>0</v>
      </c>
      <c r="X35">
        <v>0</v>
      </c>
      <c r="Y35">
        <v>70</v>
      </c>
      <c r="Z35" t="s">
        <v>13</v>
      </c>
      <c r="AA35" t="s">
        <v>174</v>
      </c>
    </row>
    <row r="36" spans="1:27">
      <c r="E36">
        <v>7925087021</v>
      </c>
      <c r="F36" t="s">
        <v>11</v>
      </c>
      <c r="G36" t="s">
        <v>176</v>
      </c>
      <c r="H36" t="s">
        <v>177</v>
      </c>
      <c r="I36" t="s">
        <v>76</v>
      </c>
      <c r="J36" t="s">
        <v>748</v>
      </c>
      <c r="K36" t="s">
        <v>445</v>
      </c>
      <c r="L36" t="s">
        <v>496</v>
      </c>
      <c r="M36" t="s">
        <v>443</v>
      </c>
      <c r="N36" t="s">
        <v>480</v>
      </c>
      <c r="O36">
        <v>1</v>
      </c>
      <c r="P36" t="s">
        <v>179</v>
      </c>
      <c r="Q36">
        <v>15</v>
      </c>
      <c r="R36">
        <v>10</v>
      </c>
      <c r="S36">
        <v>5</v>
      </c>
      <c r="T36">
        <v>0</v>
      </c>
      <c r="U36">
        <v>15</v>
      </c>
      <c r="V36">
        <v>10</v>
      </c>
      <c r="W36">
        <v>0</v>
      </c>
      <c r="X36">
        <v>15</v>
      </c>
      <c r="Y36">
        <v>70</v>
      </c>
      <c r="Z36" t="s">
        <v>13</v>
      </c>
      <c r="AA36" t="s">
        <v>180</v>
      </c>
    </row>
    <row r="37" spans="1:27">
      <c r="A37" t="s">
        <v>724</v>
      </c>
      <c r="B37" s="7" t="s">
        <v>749</v>
      </c>
      <c r="C37" s="7"/>
      <c r="D37" t="e" cm="1">
        <f t="array" ref="D37">_xlfn.XLOOKUP(_xlfn.NUMBERVALUE(E37),_xlfn.NUMBERVALUE([1]Planilha1!$C$2:$C$34),[1]Planilha1!$T$3:$T$34)</f>
        <v>#VALUE!</v>
      </c>
      <c r="E37">
        <v>5801866013</v>
      </c>
      <c r="F37" t="s">
        <v>10</v>
      </c>
      <c r="G37" t="s">
        <v>97</v>
      </c>
      <c r="H37" t="s">
        <v>97</v>
      </c>
      <c r="I37" t="s">
        <v>42</v>
      </c>
      <c r="J37" t="s">
        <v>670</v>
      </c>
      <c r="K37" t="s">
        <v>445</v>
      </c>
      <c r="L37" t="s">
        <v>496</v>
      </c>
      <c r="M37" t="s">
        <v>443</v>
      </c>
      <c r="N37" t="s">
        <v>444</v>
      </c>
      <c r="O37">
        <v>1</v>
      </c>
      <c r="P37" t="s">
        <v>671</v>
      </c>
      <c r="Q37">
        <v>0</v>
      </c>
      <c r="R37">
        <v>20</v>
      </c>
      <c r="S37">
        <v>20</v>
      </c>
      <c r="T37">
        <v>20</v>
      </c>
      <c r="U37">
        <v>10</v>
      </c>
      <c r="V37" t="s">
        <v>45</v>
      </c>
      <c r="W37" t="s">
        <v>45</v>
      </c>
      <c r="X37" t="s">
        <v>45</v>
      </c>
      <c r="Y37">
        <v>70</v>
      </c>
      <c r="Z37" t="s">
        <v>13</v>
      </c>
      <c r="AA37" t="s">
        <v>184</v>
      </c>
    </row>
    <row r="38" spans="1:27">
      <c r="E38">
        <v>5865120195</v>
      </c>
      <c r="F38" t="s">
        <v>10</v>
      </c>
      <c r="G38" t="s">
        <v>167</v>
      </c>
      <c r="H38" t="s">
        <v>50</v>
      </c>
      <c r="I38" t="s">
        <v>51</v>
      </c>
      <c r="J38" t="s">
        <v>166</v>
      </c>
      <c r="K38" t="s">
        <v>471</v>
      </c>
      <c r="N38" t="s">
        <v>497</v>
      </c>
      <c r="O38">
        <v>1</v>
      </c>
      <c r="P38" t="s">
        <v>169</v>
      </c>
      <c r="Q38">
        <v>20</v>
      </c>
      <c r="R38">
        <v>20</v>
      </c>
      <c r="S38">
        <v>20</v>
      </c>
      <c r="T38">
        <v>10</v>
      </c>
      <c r="U38">
        <v>0</v>
      </c>
      <c r="V38" t="s">
        <v>45</v>
      </c>
      <c r="W38" t="s">
        <v>45</v>
      </c>
      <c r="X38" t="s">
        <v>45</v>
      </c>
      <c r="Y38">
        <v>70</v>
      </c>
      <c r="Z38" t="s">
        <v>13</v>
      </c>
      <c r="AA38" t="s">
        <v>170</v>
      </c>
    </row>
    <row r="39" spans="1:27">
      <c r="A39" t="s">
        <v>750</v>
      </c>
      <c r="E39">
        <v>5853360007</v>
      </c>
      <c r="F39" t="s">
        <v>10</v>
      </c>
      <c r="G39" t="s">
        <v>186</v>
      </c>
      <c r="H39" t="s">
        <v>186</v>
      </c>
      <c r="I39" t="s">
        <v>42</v>
      </c>
      <c r="J39" t="s">
        <v>185</v>
      </c>
      <c r="K39" t="s">
        <v>498</v>
      </c>
      <c r="L39" t="s">
        <v>499</v>
      </c>
      <c r="N39" t="s">
        <v>497</v>
      </c>
      <c r="O39">
        <v>1</v>
      </c>
      <c r="P39" t="s">
        <v>188</v>
      </c>
      <c r="Q39">
        <v>0</v>
      </c>
      <c r="R39">
        <v>20</v>
      </c>
      <c r="S39">
        <v>20</v>
      </c>
      <c r="T39">
        <v>10</v>
      </c>
      <c r="U39">
        <v>20</v>
      </c>
      <c r="V39" t="s">
        <v>45</v>
      </c>
      <c r="W39" t="s">
        <v>45</v>
      </c>
      <c r="X39" t="s">
        <v>45</v>
      </c>
      <c r="Y39">
        <v>70</v>
      </c>
      <c r="Z39" t="s">
        <v>13</v>
      </c>
      <c r="AA39" t="s">
        <v>189</v>
      </c>
    </row>
    <row r="40" spans="1:27">
      <c r="E40">
        <v>5800366016</v>
      </c>
      <c r="F40" t="s">
        <v>10</v>
      </c>
      <c r="G40" t="s">
        <v>500</v>
      </c>
      <c r="H40" t="s">
        <v>223</v>
      </c>
      <c r="I40" t="s">
        <v>51</v>
      </c>
      <c r="J40" t="s">
        <v>437</v>
      </c>
      <c r="M40" t="s">
        <v>438</v>
      </c>
      <c r="P40" t="s">
        <v>439</v>
      </c>
      <c r="Q40">
        <v>0</v>
      </c>
      <c r="R40">
        <v>20</v>
      </c>
      <c r="S40">
        <v>20</v>
      </c>
      <c r="T40">
        <v>20</v>
      </c>
      <c r="U40">
        <v>10</v>
      </c>
      <c r="V40" t="s">
        <v>45</v>
      </c>
      <c r="W40" t="s">
        <v>45</v>
      </c>
      <c r="X40" t="s">
        <v>45</v>
      </c>
      <c r="Y40">
        <v>70</v>
      </c>
      <c r="Z40" t="s">
        <v>13</v>
      </c>
      <c r="AA40" t="s">
        <v>501</v>
      </c>
    </row>
    <row r="41" spans="1:27">
      <c r="E41">
        <v>7955523028</v>
      </c>
      <c r="F41" t="s">
        <v>11</v>
      </c>
      <c r="G41" t="s">
        <v>502</v>
      </c>
      <c r="H41" t="s">
        <v>75</v>
      </c>
      <c r="I41" t="s">
        <v>76</v>
      </c>
      <c r="J41" t="s">
        <v>437</v>
      </c>
      <c r="M41" t="s">
        <v>438</v>
      </c>
      <c r="P41" t="s">
        <v>439</v>
      </c>
      <c r="Q41">
        <v>15</v>
      </c>
      <c r="R41">
        <v>10</v>
      </c>
      <c r="S41">
        <v>5</v>
      </c>
      <c r="T41">
        <v>15</v>
      </c>
      <c r="U41">
        <v>15</v>
      </c>
      <c r="V41">
        <v>10</v>
      </c>
      <c r="W41">
        <v>0</v>
      </c>
      <c r="X41">
        <v>0</v>
      </c>
      <c r="Y41">
        <v>70</v>
      </c>
      <c r="Z41" t="s">
        <v>13</v>
      </c>
      <c r="AA41" t="s">
        <v>503</v>
      </c>
    </row>
    <row r="42" spans="1:27">
      <c r="E42">
        <v>7900573047</v>
      </c>
      <c r="F42" t="s">
        <v>11</v>
      </c>
      <c r="G42" t="s">
        <v>191</v>
      </c>
      <c r="H42" t="s">
        <v>449</v>
      </c>
      <c r="I42" t="s">
        <v>76</v>
      </c>
      <c r="J42" t="s">
        <v>751</v>
      </c>
      <c r="K42" t="s">
        <v>445</v>
      </c>
      <c r="L42" t="s">
        <v>496</v>
      </c>
      <c r="M42" t="s">
        <v>443</v>
      </c>
      <c r="N42" t="s">
        <v>469</v>
      </c>
      <c r="O42">
        <v>1</v>
      </c>
      <c r="P42" t="s">
        <v>194</v>
      </c>
      <c r="Q42">
        <v>5</v>
      </c>
      <c r="R42">
        <v>5</v>
      </c>
      <c r="S42">
        <v>15</v>
      </c>
      <c r="T42">
        <v>0</v>
      </c>
      <c r="U42">
        <v>15</v>
      </c>
      <c r="V42">
        <v>10</v>
      </c>
      <c r="W42">
        <v>0</v>
      </c>
      <c r="X42">
        <v>15</v>
      </c>
      <c r="Y42">
        <v>65</v>
      </c>
      <c r="Z42" t="s">
        <v>13</v>
      </c>
      <c r="AA42" t="s">
        <v>195</v>
      </c>
    </row>
    <row r="43" spans="1:27">
      <c r="A43" t="s">
        <v>715</v>
      </c>
      <c r="B43" t="s">
        <v>752</v>
      </c>
      <c r="E43">
        <v>7953610256</v>
      </c>
      <c r="F43" t="s">
        <v>11</v>
      </c>
      <c r="G43" t="s">
        <v>107</v>
      </c>
      <c r="H43" t="s">
        <v>108</v>
      </c>
      <c r="I43" t="s">
        <v>42</v>
      </c>
      <c r="J43" t="s">
        <v>753</v>
      </c>
      <c r="K43" t="s">
        <v>467</v>
      </c>
      <c r="L43" t="s">
        <v>504</v>
      </c>
      <c r="N43" t="s">
        <v>465</v>
      </c>
      <c r="O43">
        <v>1</v>
      </c>
      <c r="P43" t="s">
        <v>754</v>
      </c>
      <c r="Q43">
        <v>5</v>
      </c>
      <c r="R43">
        <v>5</v>
      </c>
      <c r="S43">
        <v>15</v>
      </c>
      <c r="T43">
        <v>15</v>
      </c>
      <c r="U43">
        <v>0</v>
      </c>
      <c r="V43">
        <v>0</v>
      </c>
      <c r="W43">
        <v>10</v>
      </c>
      <c r="X43">
        <v>15</v>
      </c>
      <c r="Y43">
        <v>65</v>
      </c>
      <c r="Z43" t="s">
        <v>13</v>
      </c>
      <c r="AA43" t="s">
        <v>198</v>
      </c>
    </row>
    <row r="44" spans="1:27">
      <c r="E44">
        <v>5800438116</v>
      </c>
      <c r="F44" t="s">
        <v>10</v>
      </c>
      <c r="G44" t="s">
        <v>200</v>
      </c>
      <c r="H44" t="s">
        <v>75</v>
      </c>
      <c r="I44" t="s">
        <v>76</v>
      </c>
      <c r="J44" t="s">
        <v>199</v>
      </c>
      <c r="K44" t="s">
        <v>445</v>
      </c>
      <c r="L44" t="s">
        <v>496</v>
      </c>
      <c r="M44" t="s">
        <v>443</v>
      </c>
      <c r="N44" t="s">
        <v>444</v>
      </c>
      <c r="O44">
        <v>2</v>
      </c>
      <c r="P44" t="s">
        <v>201</v>
      </c>
      <c r="Q44">
        <v>0</v>
      </c>
      <c r="R44">
        <v>20</v>
      </c>
      <c r="S44">
        <v>20</v>
      </c>
      <c r="T44">
        <v>20</v>
      </c>
      <c r="U44">
        <v>0</v>
      </c>
      <c r="V44" t="s">
        <v>45</v>
      </c>
      <c r="W44" t="s">
        <v>45</v>
      </c>
      <c r="X44" t="s">
        <v>45</v>
      </c>
      <c r="Y44">
        <v>60</v>
      </c>
      <c r="Z44" t="s">
        <v>14</v>
      </c>
      <c r="AA44" t="s">
        <v>202</v>
      </c>
    </row>
    <row r="45" spans="1:27">
      <c r="E45">
        <v>5800090147</v>
      </c>
      <c r="F45" t="s">
        <v>10</v>
      </c>
      <c r="G45" t="s">
        <v>506</v>
      </c>
      <c r="H45" t="s">
        <v>75</v>
      </c>
      <c r="I45" t="s">
        <v>76</v>
      </c>
      <c r="J45" t="s">
        <v>755</v>
      </c>
      <c r="P45" t="s">
        <v>756</v>
      </c>
      <c r="Q45">
        <v>0</v>
      </c>
      <c r="R45">
        <v>20</v>
      </c>
      <c r="S45">
        <v>20</v>
      </c>
      <c r="T45">
        <v>10</v>
      </c>
      <c r="U45">
        <v>10</v>
      </c>
      <c r="V45" t="s">
        <v>45</v>
      </c>
      <c r="W45" t="s">
        <v>45</v>
      </c>
      <c r="X45" t="s">
        <v>45</v>
      </c>
      <c r="Y45">
        <v>60</v>
      </c>
      <c r="Z45" t="s">
        <v>14</v>
      </c>
      <c r="AA45" t="s">
        <v>507</v>
      </c>
    </row>
    <row r="46" spans="1:27">
      <c r="E46">
        <v>5840227063</v>
      </c>
      <c r="F46" t="s">
        <v>10</v>
      </c>
      <c r="G46" t="s">
        <v>204</v>
      </c>
      <c r="H46" t="s">
        <v>154</v>
      </c>
      <c r="I46" t="s">
        <v>51</v>
      </c>
      <c r="J46" t="s">
        <v>757</v>
      </c>
      <c r="K46" t="s">
        <v>495</v>
      </c>
      <c r="P46" t="s">
        <v>508</v>
      </c>
      <c r="Q46">
        <v>0</v>
      </c>
      <c r="R46">
        <v>20</v>
      </c>
      <c r="S46">
        <v>20</v>
      </c>
      <c r="T46">
        <v>10</v>
      </c>
      <c r="U46">
        <v>10</v>
      </c>
      <c r="V46" t="s">
        <v>45</v>
      </c>
      <c r="W46" t="s">
        <v>45</v>
      </c>
      <c r="X46" t="s">
        <v>45</v>
      </c>
      <c r="Y46">
        <v>60</v>
      </c>
      <c r="Z46" t="s">
        <v>14</v>
      </c>
      <c r="AA46" t="s">
        <v>207</v>
      </c>
    </row>
    <row r="47" spans="1:27">
      <c r="E47">
        <v>5846328094</v>
      </c>
      <c r="F47" t="s">
        <v>10</v>
      </c>
      <c r="G47" t="s">
        <v>177</v>
      </c>
      <c r="H47" t="s">
        <v>177</v>
      </c>
      <c r="I47" t="s">
        <v>76</v>
      </c>
      <c r="J47" t="s">
        <v>214</v>
      </c>
      <c r="K47" t="s">
        <v>482</v>
      </c>
      <c r="M47" t="s">
        <v>443</v>
      </c>
      <c r="N47" t="s">
        <v>497</v>
      </c>
      <c r="O47">
        <v>1</v>
      </c>
      <c r="P47" t="s">
        <v>216</v>
      </c>
      <c r="Q47">
        <v>0</v>
      </c>
      <c r="R47">
        <v>20</v>
      </c>
      <c r="S47">
        <v>20</v>
      </c>
      <c r="T47">
        <v>10</v>
      </c>
      <c r="U47">
        <v>10</v>
      </c>
      <c r="V47" t="s">
        <v>45</v>
      </c>
      <c r="W47" t="s">
        <v>45</v>
      </c>
      <c r="X47" t="s">
        <v>45</v>
      </c>
      <c r="Y47">
        <v>60</v>
      </c>
      <c r="Z47" t="s">
        <v>14</v>
      </c>
      <c r="AA47" t="s">
        <v>217</v>
      </c>
    </row>
    <row r="48" spans="1:27">
      <c r="E48">
        <v>5851753086</v>
      </c>
      <c r="F48" t="s">
        <v>10</v>
      </c>
      <c r="G48" t="s">
        <v>209</v>
      </c>
      <c r="H48" t="s">
        <v>210</v>
      </c>
      <c r="I48" t="s">
        <v>42</v>
      </c>
      <c r="J48" t="s">
        <v>208</v>
      </c>
      <c r="K48" t="s">
        <v>482</v>
      </c>
      <c r="M48" t="s">
        <v>443</v>
      </c>
      <c r="N48" t="s">
        <v>497</v>
      </c>
      <c r="O48">
        <v>1</v>
      </c>
      <c r="P48" t="s">
        <v>212</v>
      </c>
      <c r="Q48">
        <v>0</v>
      </c>
      <c r="R48">
        <v>20</v>
      </c>
      <c r="S48">
        <v>20</v>
      </c>
      <c r="T48">
        <v>10</v>
      </c>
      <c r="U48">
        <v>10</v>
      </c>
      <c r="V48" t="s">
        <v>45</v>
      </c>
      <c r="W48" t="s">
        <v>45</v>
      </c>
      <c r="X48" t="s">
        <v>45</v>
      </c>
      <c r="Y48">
        <v>60</v>
      </c>
      <c r="Z48" t="s">
        <v>14</v>
      </c>
      <c r="AA48" t="s">
        <v>213</v>
      </c>
    </row>
    <row r="49" spans="1:27">
      <c r="E49">
        <v>7903112004</v>
      </c>
      <c r="F49" t="s">
        <v>11</v>
      </c>
      <c r="G49" t="s">
        <v>57</v>
      </c>
      <c r="H49" t="s">
        <v>57</v>
      </c>
      <c r="I49" t="s">
        <v>51</v>
      </c>
      <c r="J49" t="s">
        <v>218</v>
      </c>
      <c r="K49" t="s">
        <v>467</v>
      </c>
      <c r="L49" t="s">
        <v>509</v>
      </c>
      <c r="M49" t="s">
        <v>443</v>
      </c>
      <c r="N49" t="s">
        <v>480</v>
      </c>
      <c r="O49">
        <v>1</v>
      </c>
      <c r="P49" t="s">
        <v>758</v>
      </c>
      <c r="Q49">
        <v>15</v>
      </c>
      <c r="R49">
        <v>10</v>
      </c>
      <c r="S49">
        <v>5</v>
      </c>
      <c r="T49">
        <v>15</v>
      </c>
      <c r="U49">
        <v>0</v>
      </c>
      <c r="V49">
        <v>10</v>
      </c>
      <c r="W49">
        <v>0</v>
      </c>
      <c r="X49">
        <v>0</v>
      </c>
      <c r="Y49">
        <v>55</v>
      </c>
      <c r="Z49" t="s">
        <v>13</v>
      </c>
      <c r="AA49" t="s">
        <v>220</v>
      </c>
    </row>
    <row r="50" spans="1:27">
      <c r="E50">
        <v>7920024127</v>
      </c>
      <c r="F50" t="s">
        <v>11</v>
      </c>
      <c r="G50" t="s">
        <v>222</v>
      </c>
      <c r="H50" t="s">
        <v>223</v>
      </c>
      <c r="I50" t="s">
        <v>51</v>
      </c>
      <c r="J50" t="s">
        <v>221</v>
      </c>
      <c r="K50" t="s">
        <v>451</v>
      </c>
      <c r="N50" t="s">
        <v>510</v>
      </c>
      <c r="O50">
        <v>1</v>
      </c>
      <c r="P50" t="s">
        <v>225</v>
      </c>
      <c r="Q50">
        <v>15</v>
      </c>
      <c r="R50">
        <v>10</v>
      </c>
      <c r="S50">
        <v>5</v>
      </c>
      <c r="T50">
        <v>15</v>
      </c>
      <c r="U50">
        <v>0</v>
      </c>
      <c r="V50">
        <v>10</v>
      </c>
      <c r="W50">
        <v>0</v>
      </c>
      <c r="X50">
        <v>0</v>
      </c>
      <c r="Y50">
        <v>55</v>
      </c>
      <c r="Z50" t="s">
        <v>13</v>
      </c>
      <c r="AA50" t="s">
        <v>226</v>
      </c>
    </row>
    <row r="51" spans="1:27">
      <c r="A51" t="s">
        <v>715</v>
      </c>
      <c r="B51" t="s">
        <v>740</v>
      </c>
      <c r="E51">
        <v>7927646026</v>
      </c>
      <c r="F51" t="s">
        <v>11</v>
      </c>
      <c r="G51" t="s">
        <v>108</v>
      </c>
      <c r="H51" t="s">
        <v>108</v>
      </c>
      <c r="I51" t="s">
        <v>42</v>
      </c>
      <c r="J51" t="s">
        <v>227</v>
      </c>
      <c r="K51" t="s">
        <v>451</v>
      </c>
      <c r="N51" t="s">
        <v>480</v>
      </c>
      <c r="O51">
        <v>1</v>
      </c>
      <c r="P51" t="s">
        <v>228</v>
      </c>
      <c r="Q51">
        <v>15</v>
      </c>
      <c r="R51">
        <v>10</v>
      </c>
      <c r="S51">
        <v>5</v>
      </c>
      <c r="T51">
        <v>0</v>
      </c>
      <c r="U51">
        <v>15</v>
      </c>
      <c r="V51">
        <v>0</v>
      </c>
      <c r="W51">
        <v>10</v>
      </c>
      <c r="X51">
        <v>0</v>
      </c>
      <c r="Y51">
        <v>55</v>
      </c>
      <c r="Z51" t="s">
        <v>13</v>
      </c>
      <c r="AA51" t="s">
        <v>229</v>
      </c>
    </row>
    <row r="52" spans="1:27">
      <c r="A52" t="s">
        <v>715</v>
      </c>
      <c r="B52" t="s">
        <v>759</v>
      </c>
      <c r="E52">
        <v>7927169001</v>
      </c>
      <c r="F52" t="s">
        <v>11</v>
      </c>
      <c r="G52" t="s">
        <v>41</v>
      </c>
      <c r="H52" t="s">
        <v>41</v>
      </c>
      <c r="I52" t="s">
        <v>42</v>
      </c>
      <c r="J52" t="s">
        <v>760</v>
      </c>
      <c r="K52" t="s">
        <v>445</v>
      </c>
      <c r="L52" t="s">
        <v>496</v>
      </c>
      <c r="M52" t="s">
        <v>443</v>
      </c>
      <c r="N52" t="s">
        <v>480</v>
      </c>
      <c r="P52" t="s">
        <v>761</v>
      </c>
      <c r="Q52">
        <v>5</v>
      </c>
      <c r="R52">
        <v>5</v>
      </c>
      <c r="S52">
        <v>15</v>
      </c>
      <c r="T52">
        <v>0</v>
      </c>
      <c r="U52">
        <v>15</v>
      </c>
      <c r="V52">
        <v>0</v>
      </c>
      <c r="W52">
        <v>0</v>
      </c>
      <c r="X52">
        <v>15</v>
      </c>
      <c r="Y52">
        <v>55</v>
      </c>
      <c r="Z52" t="s">
        <v>13</v>
      </c>
      <c r="AA52" t="s">
        <v>232</v>
      </c>
    </row>
    <row r="53" spans="1:27">
      <c r="E53">
        <v>7900018004</v>
      </c>
      <c r="F53" t="s">
        <v>11</v>
      </c>
      <c r="G53" t="s">
        <v>57</v>
      </c>
      <c r="H53" t="s">
        <v>57</v>
      </c>
      <c r="I53" t="s">
        <v>51</v>
      </c>
      <c r="J53" t="s">
        <v>437</v>
      </c>
      <c r="M53" t="s">
        <v>438</v>
      </c>
      <c r="P53" t="s">
        <v>439</v>
      </c>
      <c r="Q53">
        <v>15</v>
      </c>
      <c r="R53">
        <v>10</v>
      </c>
      <c r="S53">
        <v>5</v>
      </c>
      <c r="T53">
        <v>15</v>
      </c>
      <c r="U53">
        <v>0</v>
      </c>
      <c r="V53">
        <v>10</v>
      </c>
      <c r="W53">
        <v>0</v>
      </c>
      <c r="X53">
        <v>0</v>
      </c>
      <c r="Y53">
        <v>55</v>
      </c>
      <c r="Z53" t="s">
        <v>13</v>
      </c>
      <c r="AA53" t="s">
        <v>511</v>
      </c>
    </row>
    <row r="54" spans="1:27">
      <c r="E54">
        <v>7934698002</v>
      </c>
      <c r="F54" t="s">
        <v>11</v>
      </c>
      <c r="G54" t="s">
        <v>223</v>
      </c>
      <c r="H54" t="s">
        <v>223</v>
      </c>
      <c r="I54" t="s">
        <v>51</v>
      </c>
      <c r="J54" t="s">
        <v>437</v>
      </c>
      <c r="M54" t="s">
        <v>438</v>
      </c>
      <c r="P54" t="s">
        <v>439</v>
      </c>
      <c r="Q54">
        <v>5</v>
      </c>
      <c r="R54">
        <v>5</v>
      </c>
      <c r="S54">
        <v>5</v>
      </c>
      <c r="T54">
        <v>0</v>
      </c>
      <c r="U54">
        <v>15</v>
      </c>
      <c r="V54">
        <v>0</v>
      </c>
      <c r="W54">
        <v>10</v>
      </c>
      <c r="X54">
        <v>15</v>
      </c>
      <c r="Y54">
        <v>55</v>
      </c>
      <c r="Z54" t="s">
        <v>13</v>
      </c>
      <c r="AA54" t="s">
        <v>512</v>
      </c>
    </row>
    <row r="55" spans="1:27">
      <c r="A55" t="s">
        <v>715</v>
      </c>
      <c r="B55" t="s">
        <v>762</v>
      </c>
      <c r="E55" s="32">
        <v>7930428001</v>
      </c>
      <c r="F55" t="s">
        <v>11</v>
      </c>
      <c r="G55" t="s">
        <v>41</v>
      </c>
      <c r="H55" t="s">
        <v>41</v>
      </c>
      <c r="I55" t="s">
        <v>42</v>
      </c>
      <c r="J55" t="s">
        <v>763</v>
      </c>
      <c r="K55" t="s">
        <v>484</v>
      </c>
      <c r="N55" t="s">
        <v>480</v>
      </c>
      <c r="O55">
        <v>1</v>
      </c>
      <c r="P55" t="s">
        <v>764</v>
      </c>
      <c r="Q55">
        <v>5</v>
      </c>
      <c r="R55">
        <v>5</v>
      </c>
      <c r="S55">
        <v>15</v>
      </c>
      <c r="T55">
        <v>0</v>
      </c>
      <c r="U55">
        <v>15</v>
      </c>
      <c r="V55">
        <v>10</v>
      </c>
      <c r="W55">
        <v>0</v>
      </c>
      <c r="X55">
        <v>0</v>
      </c>
      <c r="Y55">
        <v>50</v>
      </c>
      <c r="Z55" t="s">
        <v>13</v>
      </c>
      <c r="AA55" t="s">
        <v>241</v>
      </c>
    </row>
    <row r="56" spans="1:27">
      <c r="E56">
        <v>7936038076</v>
      </c>
      <c r="F56" t="s">
        <v>11</v>
      </c>
      <c r="G56" t="s">
        <v>335</v>
      </c>
      <c r="H56" t="s">
        <v>336</v>
      </c>
      <c r="I56" t="s">
        <v>76</v>
      </c>
      <c r="J56" t="s">
        <v>437</v>
      </c>
      <c r="K56" t="s">
        <v>484</v>
      </c>
      <c r="N56" t="s">
        <v>480</v>
      </c>
      <c r="O56">
        <v>1</v>
      </c>
      <c r="P56" t="s">
        <v>439</v>
      </c>
      <c r="Q56">
        <v>5</v>
      </c>
      <c r="R56">
        <v>5</v>
      </c>
      <c r="S56">
        <v>15</v>
      </c>
      <c r="T56">
        <v>0</v>
      </c>
      <c r="U56">
        <v>15</v>
      </c>
      <c r="V56">
        <v>10</v>
      </c>
      <c r="W56">
        <v>0</v>
      </c>
      <c r="X56">
        <v>0</v>
      </c>
      <c r="Y56">
        <v>50</v>
      </c>
      <c r="Z56" t="s">
        <v>13</v>
      </c>
      <c r="AA56" t="s">
        <v>513</v>
      </c>
    </row>
    <row r="57" spans="1:27">
      <c r="E57">
        <v>7955520116</v>
      </c>
      <c r="F57" t="s">
        <v>11</v>
      </c>
      <c r="G57" t="s">
        <v>200</v>
      </c>
      <c r="H57" t="s">
        <v>75</v>
      </c>
      <c r="I57" t="s">
        <v>76</v>
      </c>
      <c r="J57" t="s">
        <v>437</v>
      </c>
      <c r="K57" t="s">
        <v>467</v>
      </c>
      <c r="L57" t="s">
        <v>765</v>
      </c>
      <c r="N57" t="s">
        <v>480</v>
      </c>
      <c r="O57">
        <v>1</v>
      </c>
      <c r="P57" t="s">
        <v>439</v>
      </c>
      <c r="Q57">
        <v>5</v>
      </c>
      <c r="R57">
        <v>5</v>
      </c>
      <c r="S57">
        <v>15</v>
      </c>
      <c r="T57">
        <v>0</v>
      </c>
      <c r="U57">
        <v>0</v>
      </c>
      <c r="V57">
        <v>10</v>
      </c>
      <c r="W57">
        <v>0</v>
      </c>
      <c r="X57">
        <v>15</v>
      </c>
      <c r="Y57">
        <v>50</v>
      </c>
      <c r="Z57" t="s">
        <v>13</v>
      </c>
      <c r="AA57" t="s">
        <v>515</v>
      </c>
    </row>
    <row r="58" spans="1:27">
      <c r="E58">
        <v>5800291035</v>
      </c>
      <c r="F58" t="s">
        <v>10</v>
      </c>
      <c r="G58" t="s">
        <v>234</v>
      </c>
      <c r="H58" t="s">
        <v>108</v>
      </c>
      <c r="I58" t="s">
        <v>42</v>
      </c>
      <c r="J58" t="s">
        <v>233</v>
      </c>
      <c r="K58" t="s">
        <v>497</v>
      </c>
      <c r="N58" t="s">
        <v>497</v>
      </c>
      <c r="O58">
        <v>1</v>
      </c>
      <c r="P58" t="s">
        <v>236</v>
      </c>
      <c r="Q58">
        <v>0</v>
      </c>
      <c r="R58">
        <v>20</v>
      </c>
      <c r="S58">
        <v>20</v>
      </c>
      <c r="T58">
        <v>10</v>
      </c>
      <c r="U58">
        <v>0</v>
      </c>
      <c r="V58" t="s">
        <v>45</v>
      </c>
      <c r="W58" t="s">
        <v>45</v>
      </c>
      <c r="X58" t="s">
        <v>45</v>
      </c>
      <c r="Y58">
        <v>50</v>
      </c>
      <c r="Z58" t="s">
        <v>14</v>
      </c>
      <c r="AA58" t="s">
        <v>237</v>
      </c>
    </row>
    <row r="59" spans="1:27">
      <c r="A59" t="s">
        <v>724</v>
      </c>
      <c r="B59" s="7" t="s">
        <v>766</v>
      </c>
      <c r="C59" s="7"/>
      <c r="D59" t="e" cm="1">
        <f t="array" ref="D59">_xlfn.XLOOKUP(_xlfn.NUMBERVALUE(E59),_xlfn.NUMBERVALUE([1]Planilha1!$C$2:$C$34),[1]Planilha1!$T$3:$T$34)</f>
        <v>#VALUE!</v>
      </c>
      <c r="E59">
        <v>5827102054</v>
      </c>
      <c r="F59" t="s">
        <v>10</v>
      </c>
      <c r="G59" t="s">
        <v>243</v>
      </c>
      <c r="H59" t="s">
        <v>97</v>
      </c>
      <c r="I59" t="s">
        <v>42</v>
      </c>
      <c r="J59" t="s">
        <v>242</v>
      </c>
      <c r="K59" t="s">
        <v>767</v>
      </c>
      <c r="M59" t="s">
        <v>443</v>
      </c>
      <c r="N59" t="s">
        <v>768</v>
      </c>
      <c r="O59">
        <v>1</v>
      </c>
      <c r="P59" t="s">
        <v>245</v>
      </c>
      <c r="Q59">
        <v>0</v>
      </c>
      <c r="R59">
        <v>20</v>
      </c>
      <c r="S59">
        <v>20</v>
      </c>
      <c r="T59">
        <v>10</v>
      </c>
      <c r="U59">
        <v>0</v>
      </c>
      <c r="V59" t="s">
        <v>45</v>
      </c>
      <c r="W59" t="s">
        <v>45</v>
      </c>
      <c r="X59" t="s">
        <v>45</v>
      </c>
      <c r="Y59">
        <v>50</v>
      </c>
      <c r="Z59" t="s">
        <v>14</v>
      </c>
      <c r="AA59" t="s">
        <v>246</v>
      </c>
    </row>
    <row r="60" spans="1:27">
      <c r="E60">
        <v>5850308009</v>
      </c>
      <c r="F60" t="s">
        <v>10</v>
      </c>
      <c r="G60" t="s">
        <v>50</v>
      </c>
      <c r="H60" t="s">
        <v>50</v>
      </c>
      <c r="I60" t="s">
        <v>51</v>
      </c>
      <c r="J60" t="s">
        <v>769</v>
      </c>
      <c r="P60" t="s">
        <v>770</v>
      </c>
      <c r="Q60">
        <v>0</v>
      </c>
      <c r="R60">
        <v>20</v>
      </c>
      <c r="S60">
        <v>20</v>
      </c>
      <c r="T60">
        <v>0</v>
      </c>
      <c r="U60">
        <v>10</v>
      </c>
      <c r="V60" t="s">
        <v>45</v>
      </c>
      <c r="W60" t="s">
        <v>45</v>
      </c>
      <c r="X60" t="s">
        <v>45</v>
      </c>
      <c r="Y60">
        <v>50</v>
      </c>
      <c r="Z60" t="s">
        <v>14</v>
      </c>
      <c r="AA60" t="s">
        <v>517</v>
      </c>
    </row>
    <row r="61" spans="1:27">
      <c r="E61">
        <v>7900535058</v>
      </c>
      <c r="F61" t="s">
        <v>11</v>
      </c>
      <c r="G61" t="s">
        <v>248</v>
      </c>
      <c r="H61" t="s">
        <v>57</v>
      </c>
      <c r="I61" t="s">
        <v>51</v>
      </c>
      <c r="J61" t="s">
        <v>247</v>
      </c>
      <c r="K61" t="s">
        <v>451</v>
      </c>
      <c r="N61" t="s">
        <v>460</v>
      </c>
      <c r="O61">
        <v>1</v>
      </c>
      <c r="P61" t="s">
        <v>250</v>
      </c>
      <c r="Q61">
        <v>5</v>
      </c>
      <c r="R61">
        <v>10</v>
      </c>
      <c r="S61">
        <v>5</v>
      </c>
      <c r="T61">
        <v>0</v>
      </c>
      <c r="U61">
        <v>15</v>
      </c>
      <c r="V61">
        <v>10</v>
      </c>
      <c r="W61">
        <v>0</v>
      </c>
      <c r="X61">
        <v>0</v>
      </c>
      <c r="Y61">
        <v>45</v>
      </c>
      <c r="Z61" t="s">
        <v>14</v>
      </c>
      <c r="AA61" t="s">
        <v>251</v>
      </c>
    </row>
    <row r="62" spans="1:27">
      <c r="E62">
        <v>7927713200</v>
      </c>
      <c r="F62" t="s">
        <v>11</v>
      </c>
      <c r="G62" t="s">
        <v>327</v>
      </c>
      <c r="H62" t="s">
        <v>177</v>
      </c>
      <c r="I62" t="s">
        <v>76</v>
      </c>
      <c r="J62" t="s">
        <v>437</v>
      </c>
      <c r="K62" t="s">
        <v>484</v>
      </c>
      <c r="N62" t="s">
        <v>480</v>
      </c>
      <c r="P62" t="s">
        <v>439</v>
      </c>
      <c r="Q62">
        <v>5</v>
      </c>
      <c r="R62">
        <v>5</v>
      </c>
      <c r="S62">
        <v>5</v>
      </c>
      <c r="T62">
        <v>0</v>
      </c>
      <c r="U62">
        <v>15</v>
      </c>
      <c r="V62">
        <v>10</v>
      </c>
      <c r="W62">
        <v>0</v>
      </c>
      <c r="X62">
        <v>0</v>
      </c>
      <c r="Y62">
        <v>40</v>
      </c>
      <c r="Z62" t="s">
        <v>14</v>
      </c>
      <c r="AA62" t="s">
        <v>518</v>
      </c>
    </row>
    <row r="63" spans="1:27">
      <c r="E63">
        <v>7937102148</v>
      </c>
      <c r="F63" t="s">
        <v>11</v>
      </c>
      <c r="G63" t="s">
        <v>262</v>
      </c>
      <c r="H63" t="s">
        <v>177</v>
      </c>
      <c r="I63" t="s">
        <v>76</v>
      </c>
      <c r="J63" t="s">
        <v>261</v>
      </c>
      <c r="K63" t="s">
        <v>771</v>
      </c>
      <c r="N63" t="s">
        <v>480</v>
      </c>
      <c r="P63" t="s">
        <v>264</v>
      </c>
      <c r="Q63">
        <v>5</v>
      </c>
      <c r="R63">
        <v>5</v>
      </c>
      <c r="S63">
        <v>5</v>
      </c>
      <c r="T63">
        <v>0</v>
      </c>
      <c r="U63">
        <v>15</v>
      </c>
      <c r="V63">
        <v>10</v>
      </c>
      <c r="W63">
        <v>0</v>
      </c>
      <c r="X63">
        <v>0</v>
      </c>
      <c r="Y63">
        <v>40</v>
      </c>
      <c r="Z63" t="s">
        <v>14</v>
      </c>
      <c r="AA63" t="s">
        <v>265</v>
      </c>
    </row>
    <row r="64" spans="1:27">
      <c r="E64">
        <v>7944559149</v>
      </c>
      <c r="F64" t="s">
        <v>11</v>
      </c>
      <c r="G64" t="s">
        <v>257</v>
      </c>
      <c r="H64" t="s">
        <v>210</v>
      </c>
      <c r="I64" t="s">
        <v>42</v>
      </c>
      <c r="J64" t="s">
        <v>256</v>
      </c>
      <c r="K64" t="s">
        <v>772</v>
      </c>
      <c r="P64" t="s">
        <v>773</v>
      </c>
      <c r="Q64">
        <v>5</v>
      </c>
      <c r="R64">
        <v>10</v>
      </c>
      <c r="S64">
        <v>0</v>
      </c>
      <c r="T64">
        <v>0</v>
      </c>
      <c r="U64">
        <v>15</v>
      </c>
      <c r="V64">
        <v>10</v>
      </c>
      <c r="W64">
        <v>0</v>
      </c>
      <c r="X64">
        <v>0</v>
      </c>
      <c r="Y64">
        <v>40</v>
      </c>
      <c r="Z64" t="s">
        <v>14</v>
      </c>
      <c r="AA64" t="s">
        <v>260</v>
      </c>
    </row>
    <row r="65" spans="1:27">
      <c r="E65">
        <v>5800961074</v>
      </c>
      <c r="F65" t="s">
        <v>10</v>
      </c>
      <c r="G65" t="s">
        <v>75</v>
      </c>
      <c r="H65" t="s">
        <v>75</v>
      </c>
      <c r="I65" t="s">
        <v>76</v>
      </c>
      <c r="J65" t="s">
        <v>252</v>
      </c>
      <c r="K65" t="s">
        <v>774</v>
      </c>
      <c r="N65" t="s">
        <v>775</v>
      </c>
      <c r="P65" t="s">
        <v>254</v>
      </c>
      <c r="Q65">
        <v>20</v>
      </c>
      <c r="R65">
        <v>0</v>
      </c>
      <c r="S65">
        <v>0</v>
      </c>
      <c r="T65">
        <v>20</v>
      </c>
      <c r="U65">
        <v>0</v>
      </c>
      <c r="V65" t="s">
        <v>45</v>
      </c>
      <c r="W65" t="s">
        <v>45</v>
      </c>
      <c r="X65" t="s">
        <v>45</v>
      </c>
      <c r="Y65">
        <v>40</v>
      </c>
      <c r="Z65" t="s">
        <v>14</v>
      </c>
      <c r="AA65" t="s">
        <v>255</v>
      </c>
    </row>
    <row r="66" spans="1:27">
      <c r="A66" t="s">
        <v>715</v>
      </c>
      <c r="B66" t="s">
        <v>776</v>
      </c>
      <c r="E66">
        <v>7908249152</v>
      </c>
      <c r="F66" t="s">
        <v>11</v>
      </c>
      <c r="G66" t="s">
        <v>291</v>
      </c>
      <c r="H66" t="s">
        <v>41</v>
      </c>
      <c r="I66" t="s">
        <v>42</v>
      </c>
      <c r="J66" t="s">
        <v>290</v>
      </c>
      <c r="K66" t="s">
        <v>772</v>
      </c>
      <c r="N66" t="s">
        <v>544</v>
      </c>
      <c r="P66" t="s">
        <v>777</v>
      </c>
      <c r="Q66">
        <v>5</v>
      </c>
      <c r="R66">
        <v>5</v>
      </c>
      <c r="S66">
        <v>0</v>
      </c>
      <c r="T66">
        <v>0</v>
      </c>
      <c r="U66">
        <v>15</v>
      </c>
      <c r="V66">
        <v>10</v>
      </c>
      <c r="W66">
        <v>0</v>
      </c>
      <c r="X66">
        <v>0</v>
      </c>
      <c r="Y66">
        <v>35</v>
      </c>
      <c r="Z66" t="s">
        <v>14</v>
      </c>
      <c r="AA66" t="s">
        <v>293</v>
      </c>
    </row>
    <row r="67" spans="1:27">
      <c r="E67">
        <v>7922995039</v>
      </c>
      <c r="F67" t="s">
        <v>11</v>
      </c>
      <c r="G67" t="s">
        <v>267</v>
      </c>
      <c r="H67" t="s">
        <v>132</v>
      </c>
      <c r="I67" t="s">
        <v>51</v>
      </c>
      <c r="J67" t="s">
        <v>266</v>
      </c>
      <c r="K67" t="s">
        <v>778</v>
      </c>
      <c r="M67" t="s">
        <v>522</v>
      </c>
      <c r="N67" t="s">
        <v>453</v>
      </c>
      <c r="P67" t="s">
        <v>269</v>
      </c>
      <c r="Q67">
        <v>5</v>
      </c>
      <c r="R67">
        <v>5</v>
      </c>
      <c r="S67">
        <v>0</v>
      </c>
      <c r="T67">
        <v>0</v>
      </c>
      <c r="U67">
        <v>15</v>
      </c>
      <c r="V67">
        <v>10</v>
      </c>
      <c r="W67">
        <v>0</v>
      </c>
      <c r="X67">
        <v>0</v>
      </c>
      <c r="Y67">
        <v>35</v>
      </c>
      <c r="Z67" t="s">
        <v>14</v>
      </c>
      <c r="AA67" t="s">
        <v>270</v>
      </c>
    </row>
    <row r="68" spans="1:27">
      <c r="E68">
        <v>7925733015</v>
      </c>
      <c r="F68" t="s">
        <v>11</v>
      </c>
      <c r="G68" t="s">
        <v>283</v>
      </c>
      <c r="H68" t="s">
        <v>50</v>
      </c>
      <c r="I68" t="s">
        <v>51</v>
      </c>
      <c r="J68" t="s">
        <v>282</v>
      </c>
      <c r="K68" t="s">
        <v>451</v>
      </c>
      <c r="P68" t="s">
        <v>285</v>
      </c>
      <c r="Q68">
        <v>5</v>
      </c>
      <c r="R68">
        <v>5</v>
      </c>
      <c r="S68">
        <v>0</v>
      </c>
      <c r="T68">
        <v>0</v>
      </c>
      <c r="U68">
        <v>15</v>
      </c>
      <c r="V68">
        <v>10</v>
      </c>
      <c r="W68">
        <v>0</v>
      </c>
      <c r="X68">
        <v>0</v>
      </c>
      <c r="Y68">
        <v>35</v>
      </c>
      <c r="Z68" t="s">
        <v>14</v>
      </c>
      <c r="AA68" t="s">
        <v>286</v>
      </c>
    </row>
    <row r="69" spans="1:27">
      <c r="E69">
        <v>7927396052</v>
      </c>
      <c r="F69" t="s">
        <v>11</v>
      </c>
      <c r="G69" t="s">
        <v>192</v>
      </c>
      <c r="H69" t="s">
        <v>192</v>
      </c>
      <c r="I69" t="s">
        <v>76</v>
      </c>
      <c r="J69" t="s">
        <v>278</v>
      </c>
      <c r="K69" t="s">
        <v>451</v>
      </c>
      <c r="N69" t="s">
        <v>480</v>
      </c>
      <c r="P69" t="s">
        <v>280</v>
      </c>
      <c r="Q69">
        <v>5</v>
      </c>
      <c r="R69">
        <v>5</v>
      </c>
      <c r="S69">
        <v>0</v>
      </c>
      <c r="T69">
        <v>0</v>
      </c>
      <c r="U69">
        <v>15</v>
      </c>
      <c r="V69">
        <v>10</v>
      </c>
      <c r="W69">
        <v>0</v>
      </c>
      <c r="X69">
        <v>0</v>
      </c>
      <c r="Y69">
        <v>35</v>
      </c>
      <c r="Z69" t="s">
        <v>14</v>
      </c>
      <c r="AA69" t="s">
        <v>281</v>
      </c>
    </row>
    <row r="70" spans="1:27">
      <c r="E70">
        <v>7933585074</v>
      </c>
      <c r="F70" t="s">
        <v>11</v>
      </c>
      <c r="G70" t="s">
        <v>75</v>
      </c>
      <c r="H70" t="s">
        <v>75</v>
      </c>
      <c r="I70" t="s">
        <v>76</v>
      </c>
      <c r="J70" t="s">
        <v>271</v>
      </c>
      <c r="K70" t="s">
        <v>772</v>
      </c>
      <c r="N70" t="s">
        <v>480</v>
      </c>
      <c r="P70" t="s">
        <v>523</v>
      </c>
      <c r="Q70">
        <v>5</v>
      </c>
      <c r="R70">
        <v>5</v>
      </c>
      <c r="S70">
        <v>15</v>
      </c>
      <c r="T70">
        <v>0</v>
      </c>
      <c r="U70">
        <v>0</v>
      </c>
      <c r="V70">
        <v>0</v>
      </c>
      <c r="W70">
        <v>10</v>
      </c>
      <c r="X70">
        <v>0</v>
      </c>
      <c r="Y70">
        <v>35</v>
      </c>
      <c r="Z70" t="s">
        <v>14</v>
      </c>
      <c r="AA70" t="s">
        <v>273</v>
      </c>
    </row>
    <row r="71" spans="1:27">
      <c r="E71">
        <v>7942572059</v>
      </c>
      <c r="F71" t="s">
        <v>11</v>
      </c>
      <c r="G71" t="s">
        <v>62</v>
      </c>
      <c r="H71" t="s">
        <v>62</v>
      </c>
      <c r="I71" t="s">
        <v>42</v>
      </c>
      <c r="J71" t="s">
        <v>779</v>
      </c>
      <c r="K71" t="s">
        <v>497</v>
      </c>
      <c r="M71" t="s">
        <v>522</v>
      </c>
      <c r="P71" t="s">
        <v>780</v>
      </c>
      <c r="Q71">
        <v>5</v>
      </c>
      <c r="R71">
        <v>5</v>
      </c>
      <c r="S71">
        <v>15</v>
      </c>
      <c r="T71">
        <v>0</v>
      </c>
      <c r="U71">
        <v>0</v>
      </c>
      <c r="V71">
        <v>0</v>
      </c>
      <c r="W71">
        <v>10</v>
      </c>
      <c r="X71">
        <v>0</v>
      </c>
      <c r="Y71">
        <v>35</v>
      </c>
      <c r="Z71" t="s">
        <v>14</v>
      </c>
      <c r="AA71" t="s">
        <v>297</v>
      </c>
    </row>
    <row r="72" spans="1:27">
      <c r="E72">
        <v>7944319149</v>
      </c>
      <c r="F72" t="s">
        <v>11</v>
      </c>
      <c r="G72" t="s">
        <v>257</v>
      </c>
      <c r="H72" t="s">
        <v>210</v>
      </c>
      <c r="I72" t="s">
        <v>42</v>
      </c>
      <c r="J72" t="s">
        <v>437</v>
      </c>
      <c r="M72" t="s">
        <v>438</v>
      </c>
      <c r="N72" t="s">
        <v>480</v>
      </c>
      <c r="P72" t="s">
        <v>439</v>
      </c>
      <c r="Q72">
        <v>5</v>
      </c>
      <c r="R72">
        <v>5</v>
      </c>
      <c r="S72">
        <v>15</v>
      </c>
      <c r="T72">
        <v>0</v>
      </c>
      <c r="U72">
        <v>0</v>
      </c>
      <c r="V72">
        <v>0</v>
      </c>
      <c r="W72">
        <v>10</v>
      </c>
      <c r="X72">
        <v>0</v>
      </c>
      <c r="Y72">
        <v>35</v>
      </c>
      <c r="Z72" t="s">
        <v>14</v>
      </c>
      <c r="AA72" t="s">
        <v>524</v>
      </c>
    </row>
    <row r="73" spans="1:27">
      <c r="E73">
        <v>7955986084</v>
      </c>
      <c r="F73" t="s">
        <v>11</v>
      </c>
      <c r="G73" t="s">
        <v>210</v>
      </c>
      <c r="H73" t="s">
        <v>210</v>
      </c>
      <c r="I73" t="s">
        <v>42</v>
      </c>
      <c r="J73" t="s">
        <v>437</v>
      </c>
      <c r="K73" t="s">
        <v>781</v>
      </c>
      <c r="P73" t="s">
        <v>439</v>
      </c>
      <c r="Q73">
        <v>5</v>
      </c>
      <c r="R73">
        <v>5</v>
      </c>
      <c r="S73">
        <v>0</v>
      </c>
      <c r="T73">
        <v>0</v>
      </c>
      <c r="U73">
        <v>15</v>
      </c>
      <c r="V73">
        <v>10</v>
      </c>
      <c r="W73">
        <v>0</v>
      </c>
      <c r="X73">
        <v>0</v>
      </c>
      <c r="Y73">
        <v>35</v>
      </c>
      <c r="Z73" t="s">
        <v>14</v>
      </c>
      <c r="AA73" t="s">
        <v>277</v>
      </c>
    </row>
    <row r="74" spans="1:27">
      <c r="E74">
        <v>7967181127</v>
      </c>
      <c r="F74" t="s">
        <v>11</v>
      </c>
      <c r="G74" t="s">
        <v>222</v>
      </c>
      <c r="H74" t="s">
        <v>223</v>
      </c>
      <c r="I74" t="s">
        <v>51</v>
      </c>
      <c r="J74" t="s">
        <v>437</v>
      </c>
      <c r="K74" t="s">
        <v>525</v>
      </c>
      <c r="P74" t="s">
        <v>439</v>
      </c>
      <c r="Q74">
        <v>5</v>
      </c>
      <c r="R74">
        <v>5</v>
      </c>
      <c r="S74">
        <v>0</v>
      </c>
      <c r="T74">
        <v>0</v>
      </c>
      <c r="U74">
        <v>15</v>
      </c>
      <c r="V74">
        <v>10</v>
      </c>
      <c r="W74">
        <v>0</v>
      </c>
      <c r="X74">
        <v>0</v>
      </c>
      <c r="Y74">
        <v>35</v>
      </c>
      <c r="Z74" t="s">
        <v>14</v>
      </c>
      <c r="AA74" t="s">
        <v>527</v>
      </c>
    </row>
    <row r="75" spans="1:27">
      <c r="E75">
        <v>7900525015</v>
      </c>
      <c r="F75" t="s">
        <v>11</v>
      </c>
      <c r="G75" t="s">
        <v>283</v>
      </c>
      <c r="H75" t="s">
        <v>50</v>
      </c>
      <c r="I75" t="s">
        <v>51</v>
      </c>
      <c r="J75" t="s">
        <v>287</v>
      </c>
      <c r="K75" t="s">
        <v>782</v>
      </c>
      <c r="P75" t="s">
        <v>288</v>
      </c>
      <c r="Q75">
        <v>5</v>
      </c>
      <c r="R75">
        <v>5</v>
      </c>
      <c r="S75">
        <v>0</v>
      </c>
      <c r="T75">
        <v>0</v>
      </c>
      <c r="U75">
        <v>15</v>
      </c>
      <c r="V75">
        <v>10</v>
      </c>
      <c r="W75">
        <v>0</v>
      </c>
      <c r="X75">
        <v>0</v>
      </c>
      <c r="Y75">
        <v>35</v>
      </c>
      <c r="Z75" t="s">
        <v>14</v>
      </c>
      <c r="AA75" t="s">
        <v>289</v>
      </c>
    </row>
    <row r="76" spans="1:27">
      <c r="E76">
        <v>7928564039</v>
      </c>
      <c r="F76" t="s">
        <v>11</v>
      </c>
      <c r="G76" t="s">
        <v>267</v>
      </c>
      <c r="H76" t="s">
        <v>132</v>
      </c>
      <c r="I76" t="s">
        <v>51</v>
      </c>
      <c r="J76" t="s">
        <v>298</v>
      </c>
      <c r="K76" t="s">
        <v>783</v>
      </c>
      <c r="N76" t="s">
        <v>784</v>
      </c>
      <c r="P76" t="s">
        <v>785</v>
      </c>
      <c r="Q76">
        <v>5</v>
      </c>
      <c r="R76">
        <v>10</v>
      </c>
      <c r="S76">
        <v>5</v>
      </c>
      <c r="T76">
        <v>0</v>
      </c>
      <c r="U76">
        <v>0</v>
      </c>
      <c r="V76">
        <v>10</v>
      </c>
      <c r="W76">
        <v>0</v>
      </c>
      <c r="X76">
        <v>0</v>
      </c>
      <c r="Y76">
        <v>30</v>
      </c>
      <c r="Z76" t="s">
        <v>14</v>
      </c>
      <c r="AA76" t="s">
        <v>300</v>
      </c>
    </row>
    <row r="77" spans="1:27" s="36" customFormat="1">
      <c r="A77" s="36" t="s">
        <v>724</v>
      </c>
      <c r="B77" s="36" t="s">
        <v>786</v>
      </c>
      <c r="C77" s="37" t="s">
        <v>787</v>
      </c>
      <c r="D77" t="e" cm="1">
        <f t="array" ref="D77">_xlfn.XLOOKUP(_xlfn.NUMBERVALUE(E77),_xlfn.NUMBERVALUE([1]Planilha1!$C$2:$C$34),[1]Planilha1!$T$3:$T$34)</f>
        <v>#VALUE!</v>
      </c>
      <c r="E77" s="36">
        <v>7957126085</v>
      </c>
      <c r="F77" s="36" t="s">
        <v>11</v>
      </c>
      <c r="G77" s="36" t="s">
        <v>528</v>
      </c>
      <c r="H77" s="36" t="s">
        <v>97</v>
      </c>
      <c r="I77" s="36" t="s">
        <v>42</v>
      </c>
      <c r="J77" s="36" t="s">
        <v>788</v>
      </c>
      <c r="K77" s="35" t="s">
        <v>789</v>
      </c>
      <c r="M77" s="36" t="s">
        <v>443</v>
      </c>
      <c r="N77" s="36" t="s">
        <v>790</v>
      </c>
      <c r="P77" s="36" t="s">
        <v>791</v>
      </c>
      <c r="Q77" s="36">
        <v>5</v>
      </c>
      <c r="R77" s="36">
        <v>10</v>
      </c>
      <c r="S77" s="36">
        <v>5</v>
      </c>
      <c r="T77" s="36">
        <v>0</v>
      </c>
      <c r="U77" s="36">
        <v>0</v>
      </c>
      <c r="V77" s="36">
        <v>10</v>
      </c>
      <c r="W77" s="36">
        <v>0</v>
      </c>
      <c r="X77" s="36">
        <v>0</v>
      </c>
      <c r="Y77" s="36">
        <v>30</v>
      </c>
      <c r="Z77" s="36" t="s">
        <v>14</v>
      </c>
      <c r="AA77" s="36" t="s">
        <v>529</v>
      </c>
    </row>
    <row r="78" spans="1:27">
      <c r="E78">
        <v>5841308190</v>
      </c>
      <c r="F78" t="s">
        <v>10</v>
      </c>
      <c r="G78" t="s">
        <v>530</v>
      </c>
      <c r="H78" t="s">
        <v>75</v>
      </c>
      <c r="I78" t="s">
        <v>76</v>
      </c>
      <c r="J78" t="s">
        <v>437</v>
      </c>
      <c r="M78" t="s">
        <v>531</v>
      </c>
      <c r="N78" t="s">
        <v>45</v>
      </c>
      <c r="P78" t="s">
        <v>439</v>
      </c>
      <c r="Q78">
        <v>0</v>
      </c>
      <c r="R78">
        <v>20</v>
      </c>
      <c r="S78">
        <v>0</v>
      </c>
      <c r="T78">
        <v>10</v>
      </c>
      <c r="U78">
        <v>0</v>
      </c>
      <c r="V78" t="s">
        <v>45</v>
      </c>
      <c r="W78" t="s">
        <v>45</v>
      </c>
      <c r="X78" t="s">
        <v>45</v>
      </c>
      <c r="Y78">
        <v>30</v>
      </c>
      <c r="Z78" t="s">
        <v>15</v>
      </c>
      <c r="AA78" t="s">
        <v>532</v>
      </c>
    </row>
    <row r="79" spans="1:27">
      <c r="E79">
        <v>5844630060</v>
      </c>
      <c r="F79" t="s">
        <v>10</v>
      </c>
      <c r="G79" t="s">
        <v>533</v>
      </c>
      <c r="H79" t="s">
        <v>154</v>
      </c>
      <c r="I79" t="s">
        <v>51</v>
      </c>
      <c r="J79" t="s">
        <v>792</v>
      </c>
      <c r="K79" t="s">
        <v>467</v>
      </c>
      <c r="N79" t="s">
        <v>793</v>
      </c>
      <c r="P79" t="s">
        <v>794</v>
      </c>
      <c r="Q79">
        <v>20</v>
      </c>
      <c r="R79">
        <v>0</v>
      </c>
      <c r="S79">
        <v>0</v>
      </c>
      <c r="T79">
        <v>10</v>
      </c>
      <c r="U79">
        <v>0</v>
      </c>
      <c r="V79" t="s">
        <v>45</v>
      </c>
      <c r="W79" t="s">
        <v>45</v>
      </c>
      <c r="X79" t="s">
        <v>45</v>
      </c>
      <c r="Y79">
        <v>30</v>
      </c>
      <c r="Z79" t="s">
        <v>15</v>
      </c>
      <c r="AA79" t="s">
        <v>535</v>
      </c>
    </row>
    <row r="80" spans="1:27">
      <c r="E80">
        <v>5855411017</v>
      </c>
      <c r="F80" t="s">
        <v>10</v>
      </c>
      <c r="G80" t="s">
        <v>302</v>
      </c>
      <c r="H80" t="s">
        <v>186</v>
      </c>
      <c r="I80" t="s">
        <v>42</v>
      </c>
      <c r="J80" t="s">
        <v>795</v>
      </c>
      <c r="K80" t="s">
        <v>796</v>
      </c>
      <c r="N80" t="s">
        <v>460</v>
      </c>
      <c r="P80" t="s">
        <v>538</v>
      </c>
      <c r="Q80">
        <v>0</v>
      </c>
      <c r="R80">
        <v>0</v>
      </c>
      <c r="S80">
        <v>0</v>
      </c>
      <c r="T80">
        <v>10</v>
      </c>
      <c r="U80">
        <v>20</v>
      </c>
      <c r="V80" t="s">
        <v>45</v>
      </c>
      <c r="W80" t="s">
        <v>45</v>
      </c>
      <c r="X80" t="s">
        <v>45</v>
      </c>
      <c r="Y80">
        <v>30</v>
      </c>
      <c r="Z80" t="s">
        <v>15</v>
      </c>
      <c r="AA80" t="s">
        <v>305</v>
      </c>
    </row>
    <row r="81" spans="1:27">
      <c r="A81" t="s">
        <v>715</v>
      </c>
      <c r="B81" t="s">
        <v>571</v>
      </c>
      <c r="E81">
        <v>7900505026</v>
      </c>
      <c r="F81" t="s">
        <v>11</v>
      </c>
      <c r="G81" t="s">
        <v>108</v>
      </c>
      <c r="H81" t="s">
        <v>108</v>
      </c>
      <c r="I81" t="s">
        <v>42</v>
      </c>
      <c r="J81" t="s">
        <v>437</v>
      </c>
      <c r="K81" t="s">
        <v>797</v>
      </c>
      <c r="N81" t="s">
        <v>453</v>
      </c>
      <c r="P81" t="s">
        <v>439</v>
      </c>
      <c r="Q81">
        <v>5</v>
      </c>
      <c r="R81">
        <v>5</v>
      </c>
      <c r="S81">
        <v>5</v>
      </c>
      <c r="T81">
        <v>0</v>
      </c>
      <c r="U81">
        <v>0</v>
      </c>
      <c r="V81">
        <v>0</v>
      </c>
      <c r="W81">
        <v>10</v>
      </c>
      <c r="X81">
        <v>0</v>
      </c>
      <c r="Y81">
        <v>25</v>
      </c>
      <c r="Z81" t="s">
        <v>15</v>
      </c>
      <c r="AA81" t="s">
        <v>539</v>
      </c>
    </row>
    <row r="82" spans="1:27">
      <c r="E82">
        <v>7908196047</v>
      </c>
      <c r="F82" t="s">
        <v>11</v>
      </c>
      <c r="G82" t="s">
        <v>191</v>
      </c>
      <c r="H82" t="s">
        <v>449</v>
      </c>
      <c r="I82" t="s">
        <v>76</v>
      </c>
      <c r="J82" t="s">
        <v>437</v>
      </c>
      <c r="N82" t="s">
        <v>453</v>
      </c>
      <c r="P82" t="s">
        <v>439</v>
      </c>
      <c r="Q82">
        <v>5</v>
      </c>
      <c r="R82">
        <v>5</v>
      </c>
      <c r="S82">
        <v>5</v>
      </c>
      <c r="T82">
        <v>0</v>
      </c>
      <c r="U82">
        <v>0</v>
      </c>
      <c r="V82">
        <v>0</v>
      </c>
      <c r="W82">
        <v>10</v>
      </c>
      <c r="X82">
        <v>0</v>
      </c>
      <c r="Y82">
        <v>25</v>
      </c>
      <c r="Z82" t="s">
        <v>15</v>
      </c>
      <c r="AA82" t="s">
        <v>308</v>
      </c>
    </row>
    <row r="83" spans="1:27">
      <c r="A83" t="s">
        <v>724</v>
      </c>
      <c r="B83" t="s">
        <v>798</v>
      </c>
      <c r="D83" t="e" cm="1">
        <f t="array" ref="D83">_xlfn.XLOOKUP(_xlfn.NUMBERVALUE(E83),_xlfn.NUMBERVALUE([1]Planilha1!$C$2:$C$34),[1]Planilha1!$T$3:$T$34)</f>
        <v>#VALUE!</v>
      </c>
      <c r="E83">
        <v>7921202014</v>
      </c>
      <c r="F83" t="s">
        <v>11</v>
      </c>
      <c r="G83" t="s">
        <v>126</v>
      </c>
      <c r="H83" t="s">
        <v>97</v>
      </c>
      <c r="I83" t="s">
        <v>42</v>
      </c>
      <c r="J83" t="s">
        <v>319</v>
      </c>
      <c r="K83" t="s">
        <v>799</v>
      </c>
      <c r="P83" t="s">
        <v>800</v>
      </c>
      <c r="Q83">
        <v>5</v>
      </c>
      <c r="R83">
        <v>5</v>
      </c>
      <c r="S83">
        <v>5</v>
      </c>
      <c r="T83">
        <v>0</v>
      </c>
      <c r="U83">
        <v>0</v>
      </c>
      <c r="V83">
        <v>10</v>
      </c>
      <c r="W83">
        <v>0</v>
      </c>
      <c r="X83">
        <v>0</v>
      </c>
      <c r="Y83">
        <v>25</v>
      </c>
      <c r="Z83" t="s">
        <v>15</v>
      </c>
      <c r="AA83" t="s">
        <v>322</v>
      </c>
    </row>
    <row r="84" spans="1:27">
      <c r="E84">
        <v>7923927122</v>
      </c>
      <c r="F84" t="s">
        <v>11</v>
      </c>
      <c r="G84" t="s">
        <v>68</v>
      </c>
      <c r="H84" t="s">
        <v>68</v>
      </c>
      <c r="I84" t="s">
        <v>42</v>
      </c>
      <c r="J84" t="s">
        <v>801</v>
      </c>
      <c r="K84" t="s">
        <v>802</v>
      </c>
      <c r="N84" t="s">
        <v>803</v>
      </c>
      <c r="P84" t="s">
        <v>804</v>
      </c>
      <c r="Q84">
        <v>15</v>
      </c>
      <c r="R84">
        <v>0</v>
      </c>
      <c r="S84">
        <v>0</v>
      </c>
      <c r="T84">
        <v>0</v>
      </c>
      <c r="U84">
        <v>0</v>
      </c>
      <c r="V84">
        <v>10</v>
      </c>
      <c r="W84">
        <v>0</v>
      </c>
      <c r="X84">
        <v>0</v>
      </c>
      <c r="Y84">
        <v>25</v>
      </c>
      <c r="Z84" t="s">
        <v>15</v>
      </c>
      <c r="AA84" t="s">
        <v>314</v>
      </c>
    </row>
    <row r="85" spans="1:27">
      <c r="A85" t="s">
        <v>715</v>
      </c>
      <c r="B85" t="s">
        <v>805</v>
      </c>
      <c r="E85">
        <v>7927446001</v>
      </c>
      <c r="F85" t="s">
        <v>11</v>
      </c>
      <c r="G85" t="s">
        <v>41</v>
      </c>
      <c r="H85" t="s">
        <v>41</v>
      </c>
      <c r="I85" t="s">
        <v>42</v>
      </c>
      <c r="J85" t="s">
        <v>323</v>
      </c>
      <c r="K85" t="s">
        <v>806</v>
      </c>
      <c r="N85" t="s">
        <v>807</v>
      </c>
      <c r="P85" t="s">
        <v>324</v>
      </c>
      <c r="Q85">
        <v>5</v>
      </c>
      <c r="R85">
        <v>5</v>
      </c>
      <c r="S85">
        <v>5</v>
      </c>
      <c r="T85">
        <v>0</v>
      </c>
      <c r="U85">
        <v>0</v>
      </c>
      <c r="V85">
        <v>10</v>
      </c>
      <c r="W85">
        <v>0</v>
      </c>
      <c r="X85">
        <v>0</v>
      </c>
      <c r="Y85">
        <v>25</v>
      </c>
      <c r="Z85" t="s">
        <v>15</v>
      </c>
      <c r="AA85" t="s">
        <v>325</v>
      </c>
    </row>
    <row r="86" spans="1:27">
      <c r="E86">
        <v>7928241200</v>
      </c>
      <c r="F86" t="s">
        <v>11</v>
      </c>
      <c r="G86" t="s">
        <v>327</v>
      </c>
      <c r="H86" t="s">
        <v>177</v>
      </c>
      <c r="I86" t="s">
        <v>76</v>
      </c>
      <c r="J86" t="s">
        <v>326</v>
      </c>
      <c r="K86" t="s">
        <v>808</v>
      </c>
      <c r="N86" t="s">
        <v>803</v>
      </c>
      <c r="P86" t="s">
        <v>809</v>
      </c>
      <c r="Q86">
        <v>5</v>
      </c>
      <c r="R86">
        <v>5</v>
      </c>
      <c r="S86">
        <v>5</v>
      </c>
      <c r="T86">
        <v>0</v>
      </c>
      <c r="U86">
        <v>0</v>
      </c>
      <c r="V86">
        <v>10</v>
      </c>
      <c r="W86">
        <v>0</v>
      </c>
      <c r="X86">
        <v>0</v>
      </c>
      <c r="Y86">
        <v>25</v>
      </c>
      <c r="Z86" t="s">
        <v>15</v>
      </c>
      <c r="AA86" t="s">
        <v>330</v>
      </c>
    </row>
    <row r="87" spans="1:27">
      <c r="E87">
        <v>7942485096</v>
      </c>
      <c r="F87" t="s">
        <v>11</v>
      </c>
      <c r="G87" t="s">
        <v>316</v>
      </c>
      <c r="H87" t="s">
        <v>108</v>
      </c>
      <c r="I87" t="s">
        <v>42</v>
      </c>
      <c r="J87" t="s">
        <v>315</v>
      </c>
      <c r="K87" t="s">
        <v>451</v>
      </c>
      <c r="N87" t="s">
        <v>810</v>
      </c>
      <c r="P87" t="s">
        <v>317</v>
      </c>
      <c r="Q87">
        <v>5</v>
      </c>
      <c r="R87">
        <v>5</v>
      </c>
      <c r="S87">
        <v>5</v>
      </c>
      <c r="T87">
        <v>0</v>
      </c>
      <c r="U87">
        <v>0</v>
      </c>
      <c r="V87">
        <v>10</v>
      </c>
      <c r="W87">
        <v>0</v>
      </c>
      <c r="X87">
        <v>0</v>
      </c>
      <c r="Y87">
        <v>25</v>
      </c>
      <c r="Z87" t="s">
        <v>15</v>
      </c>
      <c r="AA87" t="s">
        <v>318</v>
      </c>
    </row>
    <row r="88" spans="1:27">
      <c r="E88">
        <v>7955430075</v>
      </c>
      <c r="F88" t="s">
        <v>11</v>
      </c>
      <c r="G88" t="s">
        <v>540</v>
      </c>
      <c r="H88" t="s">
        <v>210</v>
      </c>
      <c r="I88" t="s">
        <v>42</v>
      </c>
      <c r="J88" t="s">
        <v>437</v>
      </c>
      <c r="K88" t="s">
        <v>811</v>
      </c>
      <c r="M88" t="s">
        <v>522</v>
      </c>
      <c r="N88" t="s">
        <v>803</v>
      </c>
      <c r="P88" t="s">
        <v>439</v>
      </c>
      <c r="Q88">
        <v>5</v>
      </c>
      <c r="R88">
        <v>5</v>
      </c>
      <c r="S88">
        <v>5</v>
      </c>
      <c r="T88">
        <v>0</v>
      </c>
      <c r="U88">
        <v>0</v>
      </c>
      <c r="V88">
        <v>0</v>
      </c>
      <c r="W88">
        <v>10</v>
      </c>
      <c r="X88">
        <v>0</v>
      </c>
      <c r="Y88">
        <v>25</v>
      </c>
      <c r="Z88" t="s">
        <v>15</v>
      </c>
      <c r="AA88" t="s">
        <v>541</v>
      </c>
    </row>
    <row r="89" spans="1:27">
      <c r="E89">
        <v>7955686076</v>
      </c>
      <c r="F89" t="s">
        <v>11</v>
      </c>
      <c r="G89" t="s">
        <v>335</v>
      </c>
      <c r="H89" t="s">
        <v>336</v>
      </c>
      <c r="I89" t="s">
        <v>76</v>
      </c>
      <c r="J89" t="s">
        <v>437</v>
      </c>
      <c r="M89" t="s">
        <v>438</v>
      </c>
      <c r="N89" t="s">
        <v>45</v>
      </c>
      <c r="P89" t="s">
        <v>439</v>
      </c>
      <c r="Q89">
        <v>5</v>
      </c>
      <c r="R89">
        <v>5</v>
      </c>
      <c r="S89">
        <v>0</v>
      </c>
      <c r="T89">
        <v>0</v>
      </c>
      <c r="U89">
        <v>15</v>
      </c>
      <c r="V89">
        <v>0</v>
      </c>
      <c r="W89">
        <v>0</v>
      </c>
      <c r="X89">
        <v>0</v>
      </c>
      <c r="Y89">
        <v>25</v>
      </c>
      <c r="Z89" t="s">
        <v>15</v>
      </c>
      <c r="AA89" t="s">
        <v>542</v>
      </c>
    </row>
    <row r="90" spans="1:27" s="34" customFormat="1">
      <c r="E90" s="34">
        <v>7955946007</v>
      </c>
      <c r="F90" s="34" t="s">
        <v>11</v>
      </c>
      <c r="G90" s="34" t="s">
        <v>186</v>
      </c>
      <c r="H90" s="34" t="s">
        <v>186</v>
      </c>
      <c r="I90" s="34" t="s">
        <v>42</v>
      </c>
      <c r="J90" s="34" t="s">
        <v>437</v>
      </c>
      <c r="K90" s="34" t="s">
        <v>812</v>
      </c>
      <c r="P90" s="34" t="s">
        <v>439</v>
      </c>
      <c r="Q90" s="34">
        <v>5</v>
      </c>
      <c r="R90" s="34">
        <v>5</v>
      </c>
      <c r="S90" s="34">
        <v>5</v>
      </c>
      <c r="T90" s="34">
        <v>0</v>
      </c>
      <c r="U90" s="34">
        <v>0</v>
      </c>
      <c r="V90" s="34">
        <v>0</v>
      </c>
      <c r="W90" s="34">
        <v>10</v>
      </c>
      <c r="X90" s="34">
        <v>0</v>
      </c>
      <c r="Y90" s="34">
        <v>25</v>
      </c>
      <c r="Z90" s="34" t="s">
        <v>15</v>
      </c>
      <c r="AA90" s="34" t="s">
        <v>311</v>
      </c>
    </row>
    <row r="91" spans="1:27">
      <c r="E91">
        <v>7901110084</v>
      </c>
      <c r="F91" t="s">
        <v>11</v>
      </c>
      <c r="G91" t="s">
        <v>210</v>
      </c>
      <c r="H91" t="s">
        <v>210</v>
      </c>
      <c r="I91" t="s">
        <v>42</v>
      </c>
      <c r="J91" t="s">
        <v>331</v>
      </c>
      <c r="K91" t="s">
        <v>813</v>
      </c>
      <c r="P91" t="s">
        <v>332</v>
      </c>
      <c r="Q91">
        <v>5</v>
      </c>
      <c r="R91">
        <v>5</v>
      </c>
      <c r="S91">
        <v>0</v>
      </c>
      <c r="T91">
        <v>0</v>
      </c>
      <c r="U91">
        <v>0</v>
      </c>
      <c r="V91">
        <v>0</v>
      </c>
      <c r="W91">
        <v>10</v>
      </c>
      <c r="X91">
        <v>0</v>
      </c>
      <c r="Y91">
        <v>20</v>
      </c>
      <c r="Z91" t="s">
        <v>15</v>
      </c>
      <c r="AA91" t="s">
        <v>333</v>
      </c>
    </row>
    <row r="92" spans="1:27">
      <c r="E92">
        <v>7908206074</v>
      </c>
      <c r="F92" t="s">
        <v>11</v>
      </c>
      <c r="G92" t="s">
        <v>75</v>
      </c>
      <c r="H92" t="s">
        <v>75</v>
      </c>
      <c r="I92" t="s">
        <v>76</v>
      </c>
      <c r="J92" t="s">
        <v>437</v>
      </c>
      <c r="K92" t="s">
        <v>814</v>
      </c>
      <c r="M92" t="s">
        <v>522</v>
      </c>
      <c r="N92" t="s">
        <v>480</v>
      </c>
      <c r="P92" t="s">
        <v>439</v>
      </c>
      <c r="Q92">
        <v>5</v>
      </c>
      <c r="R92">
        <v>5</v>
      </c>
      <c r="S92">
        <v>0</v>
      </c>
      <c r="T92">
        <v>0</v>
      </c>
      <c r="U92">
        <v>0</v>
      </c>
      <c r="V92">
        <v>0</v>
      </c>
      <c r="W92">
        <v>10</v>
      </c>
      <c r="X92">
        <v>0</v>
      </c>
      <c r="Y92">
        <v>20</v>
      </c>
      <c r="Z92" t="s">
        <v>15</v>
      </c>
      <c r="AA92" t="s">
        <v>543</v>
      </c>
    </row>
    <row r="93" spans="1:27">
      <c r="E93">
        <v>7908708116</v>
      </c>
      <c r="F93" t="s">
        <v>11</v>
      </c>
      <c r="G93" t="s">
        <v>200</v>
      </c>
      <c r="H93" t="s">
        <v>75</v>
      </c>
      <c r="I93" t="s">
        <v>76</v>
      </c>
      <c r="J93" t="s">
        <v>437</v>
      </c>
      <c r="K93" t="s">
        <v>484</v>
      </c>
      <c r="N93" t="s">
        <v>544</v>
      </c>
      <c r="P93" t="s">
        <v>439</v>
      </c>
      <c r="Q93">
        <v>5</v>
      </c>
      <c r="R93">
        <v>5</v>
      </c>
      <c r="S93">
        <v>0</v>
      </c>
      <c r="T93">
        <v>0</v>
      </c>
      <c r="U93">
        <v>0</v>
      </c>
      <c r="V93">
        <v>0</v>
      </c>
      <c r="W93">
        <v>10</v>
      </c>
      <c r="X93">
        <v>0</v>
      </c>
      <c r="Y93">
        <v>20</v>
      </c>
      <c r="Z93" t="s">
        <v>15</v>
      </c>
      <c r="AA93" t="s">
        <v>545</v>
      </c>
    </row>
    <row r="94" spans="1:27">
      <c r="E94">
        <v>7910027196</v>
      </c>
      <c r="F94" t="s">
        <v>11</v>
      </c>
      <c r="G94" t="s">
        <v>546</v>
      </c>
      <c r="H94" t="s">
        <v>62</v>
      </c>
      <c r="I94" t="s">
        <v>42</v>
      </c>
      <c r="J94" t="s">
        <v>437</v>
      </c>
      <c r="K94" t="s">
        <v>547</v>
      </c>
      <c r="N94" t="s">
        <v>548</v>
      </c>
      <c r="P94" t="s">
        <v>439</v>
      </c>
      <c r="Q94">
        <v>5</v>
      </c>
      <c r="R94">
        <v>5</v>
      </c>
      <c r="S94">
        <v>0</v>
      </c>
      <c r="T94">
        <v>0</v>
      </c>
      <c r="U94">
        <v>0</v>
      </c>
      <c r="V94">
        <v>0</v>
      </c>
      <c r="W94">
        <v>10</v>
      </c>
      <c r="X94">
        <v>0</v>
      </c>
      <c r="Y94">
        <v>20</v>
      </c>
      <c r="Z94" t="s">
        <v>15</v>
      </c>
      <c r="AA94" t="s">
        <v>549</v>
      </c>
    </row>
    <row r="95" spans="1:27">
      <c r="E95">
        <v>7913662076</v>
      </c>
      <c r="F95" t="s">
        <v>11</v>
      </c>
      <c r="G95" t="s">
        <v>335</v>
      </c>
      <c r="H95" t="s">
        <v>336</v>
      </c>
      <c r="I95" t="s">
        <v>76</v>
      </c>
      <c r="J95" t="s">
        <v>334</v>
      </c>
      <c r="K95" t="s">
        <v>550</v>
      </c>
      <c r="P95" t="s">
        <v>338</v>
      </c>
      <c r="Q95">
        <v>5</v>
      </c>
      <c r="R95">
        <v>5</v>
      </c>
      <c r="S95">
        <v>0</v>
      </c>
      <c r="T95">
        <v>0</v>
      </c>
      <c r="U95">
        <v>0</v>
      </c>
      <c r="V95">
        <v>10</v>
      </c>
      <c r="W95">
        <v>0</v>
      </c>
      <c r="X95">
        <v>0</v>
      </c>
      <c r="Y95">
        <v>20</v>
      </c>
      <c r="Z95" t="s">
        <v>15</v>
      </c>
      <c r="AA95" t="s">
        <v>339</v>
      </c>
    </row>
    <row r="96" spans="1:27">
      <c r="E96">
        <v>5862236091</v>
      </c>
      <c r="F96" t="s">
        <v>10</v>
      </c>
      <c r="G96" t="s">
        <v>74</v>
      </c>
      <c r="H96" t="s">
        <v>75</v>
      </c>
      <c r="I96" t="s">
        <v>76</v>
      </c>
      <c r="J96" t="s">
        <v>815</v>
      </c>
      <c r="K96" t="s">
        <v>816</v>
      </c>
      <c r="L96" t="s">
        <v>817</v>
      </c>
      <c r="N96" t="s">
        <v>793</v>
      </c>
      <c r="P96" t="s">
        <v>551</v>
      </c>
      <c r="Q96">
        <v>0</v>
      </c>
      <c r="R96">
        <v>0</v>
      </c>
      <c r="S96">
        <v>0</v>
      </c>
      <c r="T96">
        <v>20</v>
      </c>
      <c r="U96">
        <v>0</v>
      </c>
      <c r="V96" t="s">
        <v>45</v>
      </c>
      <c r="W96" t="s">
        <v>45</v>
      </c>
      <c r="X96" t="s">
        <v>45</v>
      </c>
      <c r="Y96">
        <v>20</v>
      </c>
      <c r="Z96" t="s">
        <v>15</v>
      </c>
      <c r="AA96" t="s">
        <v>343</v>
      </c>
    </row>
    <row r="97" spans="1:27">
      <c r="E97">
        <v>5836786094</v>
      </c>
      <c r="F97" t="s">
        <v>10</v>
      </c>
      <c r="G97" t="s">
        <v>177</v>
      </c>
      <c r="H97" t="s">
        <v>177</v>
      </c>
      <c r="I97" t="s">
        <v>76</v>
      </c>
      <c r="J97" t="s">
        <v>344</v>
      </c>
      <c r="K97" t="s">
        <v>818</v>
      </c>
      <c r="P97" t="s">
        <v>819</v>
      </c>
      <c r="Q97">
        <v>0</v>
      </c>
      <c r="R97">
        <v>0</v>
      </c>
      <c r="S97">
        <v>0</v>
      </c>
      <c r="T97">
        <v>10</v>
      </c>
      <c r="U97">
        <v>10</v>
      </c>
      <c r="V97" t="s">
        <v>45</v>
      </c>
      <c r="W97" t="s">
        <v>45</v>
      </c>
      <c r="X97" t="s">
        <v>45</v>
      </c>
      <c r="Y97">
        <v>20</v>
      </c>
      <c r="Z97" t="s">
        <v>15</v>
      </c>
      <c r="AA97" t="s">
        <v>346</v>
      </c>
    </row>
    <row r="98" spans="1:27">
      <c r="A98" t="s">
        <v>724</v>
      </c>
      <c r="D98" t="e" cm="1">
        <f t="array" ref="D98">_xlfn.XLOOKUP(_xlfn.NUMBERVALUE(E98),_xlfn.NUMBERVALUE([1]Planilha1!$C$2:$C$34),[1]Planilha1!$T$3:$T$34)</f>
        <v>#VALUE!</v>
      </c>
      <c r="E98">
        <v>7919270014</v>
      </c>
      <c r="F98" t="s">
        <v>11</v>
      </c>
      <c r="G98" t="s">
        <v>126</v>
      </c>
      <c r="H98" t="s">
        <v>97</v>
      </c>
      <c r="I98" t="s">
        <v>42</v>
      </c>
      <c r="J98" t="s">
        <v>820</v>
      </c>
      <c r="K98" t="s">
        <v>550</v>
      </c>
      <c r="P98" t="s">
        <v>821</v>
      </c>
      <c r="Q98">
        <v>5</v>
      </c>
      <c r="R98">
        <v>5</v>
      </c>
      <c r="S98">
        <v>0</v>
      </c>
      <c r="T98">
        <v>0</v>
      </c>
      <c r="U98">
        <v>0</v>
      </c>
      <c r="V98">
        <v>10</v>
      </c>
      <c r="W98">
        <v>0</v>
      </c>
      <c r="X98">
        <v>0</v>
      </c>
      <c r="Y98">
        <v>20</v>
      </c>
      <c r="Z98" t="s">
        <v>15</v>
      </c>
      <c r="AA98" t="s">
        <v>350</v>
      </c>
    </row>
    <row r="99" spans="1:27">
      <c r="E99">
        <v>7926442035</v>
      </c>
      <c r="F99" t="s">
        <v>11</v>
      </c>
      <c r="G99" t="s">
        <v>234</v>
      </c>
      <c r="H99" t="s">
        <v>108</v>
      </c>
      <c r="I99" t="s">
        <v>42</v>
      </c>
      <c r="J99" t="s">
        <v>351</v>
      </c>
      <c r="K99" t="s">
        <v>451</v>
      </c>
      <c r="P99" t="s">
        <v>352</v>
      </c>
      <c r="Q99">
        <v>5</v>
      </c>
      <c r="R99">
        <v>5</v>
      </c>
      <c r="S99">
        <v>0</v>
      </c>
      <c r="T99">
        <v>0</v>
      </c>
      <c r="U99">
        <v>0</v>
      </c>
      <c r="V99">
        <v>0</v>
      </c>
      <c r="W99">
        <v>10</v>
      </c>
      <c r="X99">
        <v>0</v>
      </c>
      <c r="Y99">
        <v>20</v>
      </c>
      <c r="Z99" t="s">
        <v>15</v>
      </c>
      <c r="AA99" t="s">
        <v>353</v>
      </c>
    </row>
    <row r="100" spans="1:27">
      <c r="E100">
        <v>7954668084</v>
      </c>
      <c r="F100" t="s">
        <v>11</v>
      </c>
      <c r="G100" t="s">
        <v>210</v>
      </c>
      <c r="H100" t="s">
        <v>210</v>
      </c>
      <c r="I100" t="s">
        <v>42</v>
      </c>
      <c r="J100" t="s">
        <v>437</v>
      </c>
      <c r="N100" t="s">
        <v>553</v>
      </c>
      <c r="P100" t="s">
        <v>439</v>
      </c>
      <c r="Q100">
        <v>5</v>
      </c>
      <c r="R100">
        <v>5</v>
      </c>
      <c r="S100">
        <v>0</v>
      </c>
      <c r="T100">
        <v>0</v>
      </c>
      <c r="U100">
        <v>0</v>
      </c>
      <c r="V100">
        <v>0</v>
      </c>
      <c r="W100">
        <v>10</v>
      </c>
      <c r="Y100">
        <v>20</v>
      </c>
      <c r="Z100" t="s">
        <v>15</v>
      </c>
      <c r="AA100" t="s">
        <v>554</v>
      </c>
    </row>
    <row r="101" spans="1:27">
      <c r="A101" t="s">
        <v>822</v>
      </c>
      <c r="E101">
        <v>7938137007</v>
      </c>
      <c r="F101" t="s">
        <v>11</v>
      </c>
      <c r="G101" t="s">
        <v>186</v>
      </c>
      <c r="H101" t="s">
        <v>186</v>
      </c>
      <c r="I101" t="s">
        <v>42</v>
      </c>
      <c r="J101" t="s">
        <v>823</v>
      </c>
      <c r="K101" t="s">
        <v>824</v>
      </c>
      <c r="L101" t="s">
        <v>825</v>
      </c>
      <c r="N101" t="s">
        <v>826</v>
      </c>
      <c r="P101" t="s">
        <v>827</v>
      </c>
      <c r="Q101">
        <v>5</v>
      </c>
      <c r="R101">
        <v>5</v>
      </c>
      <c r="S101">
        <v>5</v>
      </c>
      <c r="T101">
        <v>0</v>
      </c>
      <c r="U101">
        <v>0</v>
      </c>
      <c r="V101">
        <v>0</v>
      </c>
      <c r="W101">
        <v>0</v>
      </c>
      <c r="X101">
        <v>0</v>
      </c>
      <c r="Y101">
        <v>15</v>
      </c>
      <c r="Z101" t="s">
        <v>15</v>
      </c>
      <c r="AA101" t="s">
        <v>356</v>
      </c>
    </row>
    <row r="102" spans="1:27">
      <c r="E102">
        <v>5856156091</v>
      </c>
      <c r="F102" t="s">
        <v>10</v>
      </c>
      <c r="G102" t="s">
        <v>74</v>
      </c>
      <c r="H102" t="s">
        <v>75</v>
      </c>
      <c r="I102" t="s">
        <v>76</v>
      </c>
      <c r="J102" t="s">
        <v>357</v>
      </c>
      <c r="K102" t="s">
        <v>828</v>
      </c>
      <c r="N102" t="s">
        <v>829</v>
      </c>
      <c r="P102" t="s">
        <v>358</v>
      </c>
      <c r="Q102">
        <v>0</v>
      </c>
      <c r="R102">
        <v>0</v>
      </c>
      <c r="S102">
        <v>0</v>
      </c>
      <c r="T102">
        <v>0</v>
      </c>
      <c r="U102">
        <v>0</v>
      </c>
      <c r="V102" t="s">
        <v>45</v>
      </c>
      <c r="W102" t="s">
        <v>45</v>
      </c>
      <c r="X102" t="s">
        <v>45</v>
      </c>
      <c r="Y102">
        <v>0</v>
      </c>
      <c r="Z102" t="s">
        <v>15</v>
      </c>
      <c r="AA102" t="s">
        <v>359</v>
      </c>
    </row>
    <row r="103" spans="1:27">
      <c r="E103">
        <v>5858783119</v>
      </c>
      <c r="F103" t="s">
        <v>10</v>
      </c>
      <c r="G103" t="s">
        <v>361</v>
      </c>
      <c r="H103" t="s">
        <v>223</v>
      </c>
      <c r="I103" t="s">
        <v>51</v>
      </c>
      <c r="J103" t="s">
        <v>830</v>
      </c>
      <c r="K103" t="s">
        <v>558</v>
      </c>
      <c r="N103" t="s">
        <v>559</v>
      </c>
      <c r="P103" t="s">
        <v>831</v>
      </c>
      <c r="Q103">
        <v>0</v>
      </c>
      <c r="R103">
        <v>0</v>
      </c>
      <c r="S103">
        <v>0</v>
      </c>
      <c r="T103">
        <v>0</v>
      </c>
      <c r="U103">
        <v>0</v>
      </c>
      <c r="V103" t="s">
        <v>45</v>
      </c>
      <c r="W103" t="s">
        <v>45</v>
      </c>
      <c r="X103" t="s">
        <v>45</v>
      </c>
      <c r="Y103">
        <v>0</v>
      </c>
      <c r="Z103" t="s">
        <v>15</v>
      </c>
      <c r="AA103" t="s">
        <v>364</v>
      </c>
    </row>
    <row r="104" spans="1:27">
      <c r="E104">
        <v>7900532053</v>
      </c>
      <c r="F104" t="s">
        <v>11</v>
      </c>
      <c r="G104" t="s">
        <v>560</v>
      </c>
      <c r="H104" t="s">
        <v>223</v>
      </c>
      <c r="I104" t="s">
        <v>51</v>
      </c>
      <c r="J104" t="s">
        <v>437</v>
      </c>
      <c r="K104" t="s">
        <v>561</v>
      </c>
      <c r="N104" t="s">
        <v>453</v>
      </c>
      <c r="P104" t="s">
        <v>439</v>
      </c>
      <c r="Q104">
        <v>0</v>
      </c>
      <c r="R104">
        <v>0</v>
      </c>
      <c r="S104">
        <v>0</v>
      </c>
      <c r="T104">
        <v>0</v>
      </c>
      <c r="U104">
        <v>0</v>
      </c>
      <c r="V104">
        <v>0</v>
      </c>
      <c r="W104">
        <v>0</v>
      </c>
      <c r="X104">
        <v>0</v>
      </c>
      <c r="Y104">
        <v>0</v>
      </c>
      <c r="Z104" t="s">
        <v>45</v>
      </c>
      <c r="AA104" t="s">
        <v>562</v>
      </c>
    </row>
    <row r="105" spans="1:27">
      <c r="E105">
        <v>7925713040</v>
      </c>
      <c r="F105" t="s">
        <v>11</v>
      </c>
      <c r="G105" t="s">
        <v>492</v>
      </c>
      <c r="H105" t="s">
        <v>57</v>
      </c>
      <c r="I105" t="s">
        <v>51</v>
      </c>
      <c r="J105" t="s">
        <v>672</v>
      </c>
      <c r="P105" t="s">
        <v>673</v>
      </c>
      <c r="Q105" t="s">
        <v>710</v>
      </c>
      <c r="Y105">
        <v>0</v>
      </c>
    </row>
    <row r="106" spans="1:27">
      <c r="E106">
        <v>7948412064</v>
      </c>
      <c r="F106" t="s">
        <v>11</v>
      </c>
      <c r="G106" t="s">
        <v>563</v>
      </c>
      <c r="H106" t="s">
        <v>50</v>
      </c>
      <c r="I106" t="s">
        <v>51</v>
      </c>
      <c r="J106" t="s">
        <v>665</v>
      </c>
      <c r="P106" t="s">
        <v>667</v>
      </c>
      <c r="Q106" t="s">
        <v>710</v>
      </c>
      <c r="Y106">
        <v>0</v>
      </c>
    </row>
    <row r="107" spans="1:27">
      <c r="E107">
        <v>7955832052</v>
      </c>
      <c r="F107" t="s">
        <v>11</v>
      </c>
      <c r="G107" t="s">
        <v>192</v>
      </c>
      <c r="H107" t="s">
        <v>192</v>
      </c>
      <c r="I107" t="s">
        <v>76</v>
      </c>
      <c r="J107" t="s">
        <v>365</v>
      </c>
      <c r="P107" t="s">
        <v>367</v>
      </c>
      <c r="Q107" t="s">
        <v>710</v>
      </c>
      <c r="Y107">
        <v>0</v>
      </c>
    </row>
    <row r="108" spans="1:27">
      <c r="E108">
        <v>7930359149</v>
      </c>
      <c r="F108" t="s">
        <v>11</v>
      </c>
      <c r="G108" t="s">
        <v>257</v>
      </c>
      <c r="H108" t="s">
        <v>210</v>
      </c>
      <c r="I108" t="s">
        <v>42</v>
      </c>
      <c r="J108" t="s">
        <v>369</v>
      </c>
      <c r="P108" t="s">
        <v>371</v>
      </c>
      <c r="Q108" t="s">
        <v>710</v>
      </c>
      <c r="Y108">
        <v>0</v>
      </c>
    </row>
    <row r="109" spans="1:27">
      <c r="E109">
        <v>7902098003</v>
      </c>
      <c r="F109" t="s">
        <v>11</v>
      </c>
      <c r="G109" t="s">
        <v>336</v>
      </c>
      <c r="H109" t="s">
        <v>336</v>
      </c>
      <c r="I109" t="s">
        <v>76</v>
      </c>
      <c r="J109" t="s">
        <v>372</v>
      </c>
      <c r="P109" t="s">
        <v>374</v>
      </c>
      <c r="Q109" t="s">
        <v>710</v>
      </c>
      <c r="Y109">
        <v>0</v>
      </c>
    </row>
    <row r="110" spans="1:27">
      <c r="E110">
        <v>7953211079</v>
      </c>
      <c r="F110" t="s">
        <v>11</v>
      </c>
      <c r="G110" t="s">
        <v>376</v>
      </c>
      <c r="H110" t="s">
        <v>50</v>
      </c>
      <c r="I110" t="s">
        <v>51</v>
      </c>
      <c r="J110" t="s">
        <v>832</v>
      </c>
      <c r="P110" t="s">
        <v>833</v>
      </c>
      <c r="Q110" t="s">
        <v>710</v>
      </c>
      <c r="Y110">
        <v>0</v>
      </c>
    </row>
    <row r="111" spans="1:27">
      <c r="E111">
        <v>7949648145</v>
      </c>
      <c r="F111" t="s">
        <v>11</v>
      </c>
      <c r="G111" t="s">
        <v>380</v>
      </c>
      <c r="H111" t="s">
        <v>132</v>
      </c>
      <c r="I111" t="s">
        <v>51</v>
      </c>
      <c r="J111" t="s">
        <v>379</v>
      </c>
      <c r="P111" t="s">
        <v>382</v>
      </c>
      <c r="Q111" t="s">
        <v>710</v>
      </c>
      <c r="Y111">
        <v>0</v>
      </c>
    </row>
    <row r="112" spans="1:27">
      <c r="E112">
        <v>7957021094</v>
      </c>
      <c r="F112" t="s">
        <v>11</v>
      </c>
      <c r="G112" t="s">
        <v>177</v>
      </c>
      <c r="H112" t="s">
        <v>177</v>
      </c>
      <c r="I112" t="s">
        <v>76</v>
      </c>
      <c r="J112" t="s">
        <v>437</v>
      </c>
      <c r="P112" t="s">
        <v>439</v>
      </c>
      <c r="Q112" t="s">
        <v>710</v>
      </c>
      <c r="Y112">
        <v>0</v>
      </c>
    </row>
    <row r="113" spans="1:25">
      <c r="E113">
        <v>7908300096</v>
      </c>
      <c r="F113" t="s">
        <v>11</v>
      </c>
      <c r="G113" t="s">
        <v>316</v>
      </c>
      <c r="H113" t="s">
        <v>108</v>
      </c>
      <c r="I113" t="s">
        <v>42</v>
      </c>
      <c r="J113" t="s">
        <v>383</v>
      </c>
      <c r="P113" t="s">
        <v>384</v>
      </c>
      <c r="Q113" t="s">
        <v>710</v>
      </c>
      <c r="Y113">
        <v>0</v>
      </c>
    </row>
    <row r="114" spans="1:25">
      <c r="A114" t="s">
        <v>715</v>
      </c>
      <c r="B114" t="s">
        <v>762</v>
      </c>
      <c r="E114">
        <v>7953570026</v>
      </c>
      <c r="F114" t="s">
        <v>11</v>
      </c>
      <c r="G114" t="s">
        <v>108</v>
      </c>
      <c r="H114" t="s">
        <v>108</v>
      </c>
      <c r="I114" t="s">
        <v>42</v>
      </c>
      <c r="J114" t="s">
        <v>385</v>
      </c>
      <c r="P114" t="s">
        <v>386</v>
      </c>
      <c r="Q114" t="s">
        <v>710</v>
      </c>
      <c r="Y114">
        <v>0</v>
      </c>
    </row>
    <row r="115" spans="1:25">
      <c r="A115" t="s">
        <v>715</v>
      </c>
      <c r="B115" s="7" t="s">
        <v>834</v>
      </c>
      <c r="C115" s="7"/>
      <c r="D115" s="7"/>
      <c r="E115">
        <v>7911120026</v>
      </c>
      <c r="F115" t="s">
        <v>11</v>
      </c>
      <c r="G115" t="s">
        <v>108</v>
      </c>
      <c r="H115" t="s">
        <v>108</v>
      </c>
      <c r="I115" t="s">
        <v>42</v>
      </c>
      <c r="J115" t="s">
        <v>387</v>
      </c>
      <c r="K115" t="s">
        <v>497</v>
      </c>
      <c r="P115" t="s">
        <v>389</v>
      </c>
      <c r="Q115" t="s">
        <v>710</v>
      </c>
      <c r="Y115">
        <v>0</v>
      </c>
    </row>
    <row r="116" spans="1:25">
      <c r="E116">
        <v>5820790038</v>
      </c>
      <c r="F116" t="s">
        <v>10</v>
      </c>
      <c r="G116" t="s">
        <v>564</v>
      </c>
      <c r="H116" t="s">
        <v>75</v>
      </c>
      <c r="I116" t="s">
        <v>76</v>
      </c>
      <c r="J116" t="s">
        <v>437</v>
      </c>
      <c r="P116" t="s">
        <v>439</v>
      </c>
      <c r="Q116" t="s">
        <v>710</v>
      </c>
      <c r="Y116">
        <v>0</v>
      </c>
    </row>
    <row r="117" spans="1:25">
      <c r="E117">
        <v>7934697002</v>
      </c>
      <c r="F117" t="s">
        <v>11</v>
      </c>
      <c r="G117" t="s">
        <v>223</v>
      </c>
      <c r="H117" t="s">
        <v>223</v>
      </c>
      <c r="I117" t="s">
        <v>51</v>
      </c>
      <c r="J117" t="s">
        <v>674</v>
      </c>
      <c r="P117" t="s">
        <v>676</v>
      </c>
      <c r="Q117" t="s">
        <v>710</v>
      </c>
      <c r="Y117">
        <v>0</v>
      </c>
    </row>
  </sheetData>
  <autoFilter ref="A1:AA117" xr:uid="{31A4CA31-C363-4ED3-A0AE-93265F3F5281}"/>
  <pageMargins left="0.511811024" right="0.511811024" top="0.78740157499999996" bottom="0.78740157499999996" header="0.31496062000000002" footer="0.31496062000000002"/>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72F9E-5EBC-4832-9F56-A7DB9B7501D6}">
  <dimension ref="A1:G276"/>
  <sheetViews>
    <sheetView workbookViewId="0"/>
  </sheetViews>
  <sheetFormatPr defaultRowHeight="15"/>
  <cols>
    <col min="1" max="1" width="12" bestFit="1" customWidth="1"/>
    <col min="2" max="2" width="11.85546875" bestFit="1" customWidth="1"/>
    <col min="3" max="3" width="32.85546875" bestFit="1" customWidth="1"/>
    <col min="4" max="4" width="11.42578125" bestFit="1" customWidth="1"/>
    <col min="5" max="6" width="25.140625" bestFit="1" customWidth="1"/>
    <col min="7" max="7" width="15.140625" bestFit="1" customWidth="1"/>
  </cols>
  <sheetData>
    <row r="1" spans="1:7">
      <c r="A1" t="s">
        <v>835</v>
      </c>
      <c r="B1" t="s">
        <v>836</v>
      </c>
      <c r="C1" t="s">
        <v>837</v>
      </c>
      <c r="D1" t="s">
        <v>838</v>
      </c>
      <c r="E1" t="s">
        <v>839</v>
      </c>
      <c r="F1" t="s">
        <v>840</v>
      </c>
      <c r="G1" t="s">
        <v>841</v>
      </c>
    </row>
    <row r="2" spans="1:7">
      <c r="A2">
        <v>233</v>
      </c>
      <c r="B2" t="s">
        <v>842</v>
      </c>
      <c r="C2" t="s">
        <v>843</v>
      </c>
      <c r="D2" t="s">
        <v>844</v>
      </c>
      <c r="E2" t="s">
        <v>210</v>
      </c>
      <c r="F2" t="s">
        <v>210</v>
      </c>
      <c r="G2" t="s">
        <v>42</v>
      </c>
    </row>
    <row r="3" spans="1:7">
      <c r="A3">
        <v>123</v>
      </c>
      <c r="B3" t="s">
        <v>845</v>
      </c>
      <c r="C3" t="s">
        <v>846</v>
      </c>
      <c r="D3" t="s">
        <v>847</v>
      </c>
      <c r="E3" t="s">
        <v>223</v>
      </c>
      <c r="F3" t="s">
        <v>223</v>
      </c>
      <c r="G3" t="s">
        <v>51</v>
      </c>
    </row>
    <row r="4" spans="1:7">
      <c r="A4">
        <v>37</v>
      </c>
      <c r="B4" t="s">
        <v>848</v>
      </c>
      <c r="C4" t="s">
        <v>849</v>
      </c>
      <c r="D4" t="s">
        <v>850</v>
      </c>
      <c r="E4" t="s">
        <v>336</v>
      </c>
      <c r="F4" t="s">
        <v>336</v>
      </c>
      <c r="G4" t="s">
        <v>76</v>
      </c>
    </row>
    <row r="5" spans="1:7">
      <c r="A5">
        <v>91</v>
      </c>
      <c r="B5" t="s">
        <v>851</v>
      </c>
      <c r="C5" t="s">
        <v>74</v>
      </c>
      <c r="D5" t="s">
        <v>852</v>
      </c>
      <c r="E5" t="s">
        <v>75</v>
      </c>
      <c r="F5" t="s">
        <v>75</v>
      </c>
      <c r="G5" t="s">
        <v>76</v>
      </c>
    </row>
    <row r="6" spans="1:7">
      <c r="A6">
        <v>128</v>
      </c>
      <c r="B6" t="s">
        <v>853</v>
      </c>
      <c r="C6" t="s">
        <v>854</v>
      </c>
      <c r="D6" t="s">
        <v>852</v>
      </c>
      <c r="E6" t="s">
        <v>75</v>
      </c>
      <c r="F6" t="s">
        <v>75</v>
      </c>
      <c r="G6" t="s">
        <v>76</v>
      </c>
    </row>
    <row r="7" spans="1:7">
      <c r="A7">
        <v>217</v>
      </c>
      <c r="B7" t="s">
        <v>853</v>
      </c>
      <c r="C7" t="s">
        <v>855</v>
      </c>
      <c r="D7" t="s">
        <v>856</v>
      </c>
      <c r="E7" t="s">
        <v>132</v>
      </c>
      <c r="F7" t="s">
        <v>132</v>
      </c>
      <c r="G7" t="s">
        <v>51</v>
      </c>
    </row>
    <row r="8" spans="1:7">
      <c r="A8">
        <v>146</v>
      </c>
      <c r="B8" t="s">
        <v>853</v>
      </c>
      <c r="C8" t="s">
        <v>857</v>
      </c>
      <c r="D8" t="s">
        <v>858</v>
      </c>
      <c r="E8" t="s">
        <v>50</v>
      </c>
      <c r="F8" t="s">
        <v>50</v>
      </c>
      <c r="G8" t="s">
        <v>51</v>
      </c>
    </row>
    <row r="9" spans="1:7">
      <c r="A9">
        <v>36</v>
      </c>
      <c r="B9" t="s">
        <v>859</v>
      </c>
      <c r="C9" t="s">
        <v>449</v>
      </c>
      <c r="D9" t="s">
        <v>860</v>
      </c>
      <c r="E9" t="s">
        <v>192</v>
      </c>
      <c r="F9" t="s">
        <v>449</v>
      </c>
      <c r="G9" t="s">
        <v>76</v>
      </c>
    </row>
    <row r="10" spans="1:7">
      <c r="A10">
        <v>138</v>
      </c>
      <c r="B10" t="s">
        <v>861</v>
      </c>
      <c r="C10" t="s">
        <v>862</v>
      </c>
      <c r="D10" t="s">
        <v>852</v>
      </c>
      <c r="E10" t="s">
        <v>75</v>
      </c>
      <c r="F10" t="s">
        <v>75</v>
      </c>
      <c r="G10" t="s">
        <v>76</v>
      </c>
    </row>
    <row r="11" spans="1:7">
      <c r="A11">
        <v>98</v>
      </c>
      <c r="B11" t="s">
        <v>863</v>
      </c>
      <c r="C11" t="s">
        <v>864</v>
      </c>
      <c r="D11" t="s">
        <v>847</v>
      </c>
      <c r="E11" t="s">
        <v>223</v>
      </c>
      <c r="F11" t="s">
        <v>223</v>
      </c>
      <c r="G11" t="s">
        <v>51</v>
      </c>
    </row>
    <row r="12" spans="1:7">
      <c r="A12">
        <v>109</v>
      </c>
      <c r="B12" t="s">
        <v>865</v>
      </c>
      <c r="C12" t="s">
        <v>866</v>
      </c>
      <c r="D12" t="s">
        <v>847</v>
      </c>
      <c r="E12" t="s">
        <v>223</v>
      </c>
      <c r="F12" t="s">
        <v>223</v>
      </c>
      <c r="G12" t="s">
        <v>51</v>
      </c>
    </row>
    <row r="13" spans="1:7">
      <c r="A13">
        <v>83</v>
      </c>
      <c r="B13" t="s">
        <v>867</v>
      </c>
      <c r="C13" t="s">
        <v>490</v>
      </c>
      <c r="D13" t="s">
        <v>868</v>
      </c>
      <c r="E13" t="s">
        <v>62</v>
      </c>
      <c r="F13" t="s">
        <v>62</v>
      </c>
      <c r="G13" t="s">
        <v>42</v>
      </c>
    </row>
    <row r="14" spans="1:7">
      <c r="A14">
        <v>260</v>
      </c>
      <c r="B14" t="s">
        <v>869</v>
      </c>
      <c r="C14" t="s">
        <v>870</v>
      </c>
      <c r="D14" t="s">
        <v>871</v>
      </c>
      <c r="E14" t="s">
        <v>177</v>
      </c>
      <c r="F14" t="s">
        <v>177</v>
      </c>
      <c r="G14" t="s">
        <v>76</v>
      </c>
    </row>
    <row r="15" spans="1:7">
      <c r="A15">
        <v>197</v>
      </c>
      <c r="B15" t="s">
        <v>872</v>
      </c>
      <c r="C15" t="s">
        <v>873</v>
      </c>
      <c r="D15" t="s">
        <v>847</v>
      </c>
      <c r="E15" t="s">
        <v>223</v>
      </c>
      <c r="F15" t="s">
        <v>57</v>
      </c>
      <c r="G15" t="s">
        <v>51</v>
      </c>
    </row>
    <row r="16" spans="1:7">
      <c r="A16">
        <v>40</v>
      </c>
      <c r="B16" t="s">
        <v>872</v>
      </c>
      <c r="C16" t="s">
        <v>492</v>
      </c>
      <c r="D16" t="s">
        <v>872</v>
      </c>
      <c r="E16" t="s">
        <v>57</v>
      </c>
      <c r="F16" t="s">
        <v>57</v>
      </c>
      <c r="G16" t="s">
        <v>51</v>
      </c>
    </row>
    <row r="17" spans="1:7">
      <c r="A17">
        <v>55</v>
      </c>
      <c r="B17" t="s">
        <v>872</v>
      </c>
      <c r="C17" t="s">
        <v>458</v>
      </c>
      <c r="D17" t="s">
        <v>844</v>
      </c>
      <c r="E17" t="s">
        <v>210</v>
      </c>
      <c r="F17" t="s">
        <v>210</v>
      </c>
      <c r="G17" t="s">
        <v>42</v>
      </c>
    </row>
    <row r="18" spans="1:7">
      <c r="A18">
        <v>32</v>
      </c>
      <c r="B18" t="s">
        <v>872</v>
      </c>
      <c r="C18" t="s">
        <v>448</v>
      </c>
      <c r="D18" t="s">
        <v>860</v>
      </c>
      <c r="E18" t="s">
        <v>192</v>
      </c>
      <c r="F18" t="s">
        <v>449</v>
      </c>
      <c r="G18" t="s">
        <v>76</v>
      </c>
    </row>
    <row r="19" spans="1:7">
      <c r="A19">
        <v>4</v>
      </c>
      <c r="B19" t="s">
        <v>872</v>
      </c>
      <c r="C19" t="s">
        <v>57</v>
      </c>
      <c r="D19" t="s">
        <v>872</v>
      </c>
      <c r="E19" t="s">
        <v>57</v>
      </c>
      <c r="F19" t="s">
        <v>57</v>
      </c>
      <c r="G19" t="s">
        <v>51</v>
      </c>
    </row>
    <row r="20" spans="1:7">
      <c r="A20">
        <v>157</v>
      </c>
      <c r="B20" t="s">
        <v>872</v>
      </c>
      <c r="C20" t="s">
        <v>874</v>
      </c>
      <c r="D20" t="s">
        <v>847</v>
      </c>
      <c r="E20" t="s">
        <v>223</v>
      </c>
      <c r="F20" t="s">
        <v>223</v>
      </c>
      <c r="G20" t="s">
        <v>51</v>
      </c>
    </row>
    <row r="21" spans="1:7">
      <c r="A21">
        <v>39</v>
      </c>
      <c r="B21" t="s">
        <v>872</v>
      </c>
      <c r="C21" t="s">
        <v>267</v>
      </c>
      <c r="D21" t="s">
        <v>856</v>
      </c>
      <c r="E21" t="s">
        <v>132</v>
      </c>
      <c r="F21" t="s">
        <v>132</v>
      </c>
      <c r="G21" t="s">
        <v>51</v>
      </c>
    </row>
    <row r="22" spans="1:7">
      <c r="A22">
        <v>25</v>
      </c>
      <c r="B22" t="s">
        <v>872</v>
      </c>
      <c r="C22" t="s">
        <v>162</v>
      </c>
      <c r="D22" t="s">
        <v>875</v>
      </c>
      <c r="E22" t="s">
        <v>154</v>
      </c>
      <c r="F22" t="s">
        <v>154</v>
      </c>
      <c r="G22" t="s">
        <v>51</v>
      </c>
    </row>
    <row r="23" spans="1:7">
      <c r="A23">
        <v>5</v>
      </c>
      <c r="B23" t="s">
        <v>876</v>
      </c>
      <c r="C23" t="s">
        <v>395</v>
      </c>
      <c r="D23" t="s">
        <v>852</v>
      </c>
      <c r="E23" t="s">
        <v>75</v>
      </c>
      <c r="F23" t="s">
        <v>75</v>
      </c>
      <c r="G23" t="s">
        <v>76</v>
      </c>
    </row>
    <row r="24" spans="1:7">
      <c r="A24">
        <v>45</v>
      </c>
      <c r="B24" t="s">
        <v>856</v>
      </c>
      <c r="C24" t="s">
        <v>132</v>
      </c>
      <c r="D24" t="s">
        <v>856</v>
      </c>
      <c r="E24" t="s">
        <v>132</v>
      </c>
      <c r="F24" t="s">
        <v>132</v>
      </c>
      <c r="G24" t="s">
        <v>51</v>
      </c>
    </row>
    <row r="25" spans="1:7">
      <c r="A25">
        <v>49</v>
      </c>
      <c r="B25" t="s">
        <v>877</v>
      </c>
      <c r="C25" t="s">
        <v>86</v>
      </c>
      <c r="D25" t="s">
        <v>852</v>
      </c>
      <c r="E25" t="s">
        <v>75</v>
      </c>
      <c r="F25" t="s">
        <v>75</v>
      </c>
      <c r="G25" t="s">
        <v>76</v>
      </c>
    </row>
    <row r="26" spans="1:7">
      <c r="A26">
        <v>65</v>
      </c>
      <c r="B26" t="s">
        <v>878</v>
      </c>
      <c r="C26" t="s">
        <v>879</v>
      </c>
      <c r="D26" t="s">
        <v>856</v>
      </c>
      <c r="E26" t="s">
        <v>132</v>
      </c>
      <c r="F26" t="s">
        <v>132</v>
      </c>
      <c r="G26" t="s">
        <v>51</v>
      </c>
    </row>
    <row r="27" spans="1:7">
      <c r="A27">
        <v>114</v>
      </c>
      <c r="B27" t="s">
        <v>880</v>
      </c>
      <c r="C27" t="s">
        <v>881</v>
      </c>
      <c r="D27" t="s">
        <v>852</v>
      </c>
      <c r="E27" t="s">
        <v>75</v>
      </c>
      <c r="F27" t="s">
        <v>75</v>
      </c>
      <c r="G27" t="s">
        <v>76</v>
      </c>
    </row>
    <row r="28" spans="1:7">
      <c r="A28">
        <v>22</v>
      </c>
      <c r="B28" t="s">
        <v>882</v>
      </c>
      <c r="C28" t="s">
        <v>102</v>
      </c>
      <c r="D28" t="s">
        <v>872</v>
      </c>
      <c r="E28" t="s">
        <v>57</v>
      </c>
      <c r="F28" t="s">
        <v>223</v>
      </c>
      <c r="G28" t="s">
        <v>51</v>
      </c>
    </row>
    <row r="29" spans="1:7">
      <c r="A29">
        <v>244</v>
      </c>
      <c r="B29" t="s">
        <v>883</v>
      </c>
      <c r="C29" t="s">
        <v>884</v>
      </c>
      <c r="D29" t="s">
        <v>860</v>
      </c>
      <c r="E29" t="s">
        <v>192</v>
      </c>
      <c r="F29" t="s">
        <v>449</v>
      </c>
      <c r="G29" t="s">
        <v>76</v>
      </c>
    </row>
    <row r="30" spans="1:7">
      <c r="A30">
        <v>63</v>
      </c>
      <c r="B30" t="s">
        <v>885</v>
      </c>
      <c r="C30" t="s">
        <v>204</v>
      </c>
      <c r="D30" t="s">
        <v>875</v>
      </c>
      <c r="E30" t="s">
        <v>154</v>
      </c>
      <c r="F30" t="s">
        <v>154</v>
      </c>
      <c r="G30" t="s">
        <v>51</v>
      </c>
    </row>
    <row r="31" spans="1:7">
      <c r="A31">
        <v>254</v>
      </c>
      <c r="B31" t="s">
        <v>886</v>
      </c>
      <c r="C31" t="s">
        <v>887</v>
      </c>
      <c r="D31" t="s">
        <v>868</v>
      </c>
      <c r="E31" t="s">
        <v>62</v>
      </c>
      <c r="F31" t="s">
        <v>62</v>
      </c>
      <c r="G31" t="s">
        <v>42</v>
      </c>
    </row>
    <row r="32" spans="1:7">
      <c r="A32">
        <v>170</v>
      </c>
      <c r="B32" t="s">
        <v>886</v>
      </c>
      <c r="C32" t="s">
        <v>888</v>
      </c>
      <c r="D32" t="s">
        <v>872</v>
      </c>
      <c r="E32" t="s">
        <v>57</v>
      </c>
      <c r="F32" t="s">
        <v>57</v>
      </c>
      <c r="G32" t="s">
        <v>51</v>
      </c>
    </row>
    <row r="33" spans="1:7">
      <c r="A33">
        <v>265</v>
      </c>
      <c r="B33" t="s">
        <v>886</v>
      </c>
      <c r="C33" t="s">
        <v>889</v>
      </c>
      <c r="D33" t="s">
        <v>872</v>
      </c>
      <c r="E33" t="s">
        <v>57</v>
      </c>
      <c r="F33" t="s">
        <v>57</v>
      </c>
      <c r="G33" t="s">
        <v>51</v>
      </c>
    </row>
    <row r="34" spans="1:7">
      <c r="A34">
        <v>17</v>
      </c>
      <c r="B34" t="s">
        <v>886</v>
      </c>
      <c r="C34" t="s">
        <v>302</v>
      </c>
      <c r="D34" t="s">
        <v>890</v>
      </c>
      <c r="E34" t="s">
        <v>186</v>
      </c>
      <c r="F34" t="s">
        <v>186</v>
      </c>
      <c r="G34" t="s">
        <v>42</v>
      </c>
    </row>
    <row r="35" spans="1:7">
      <c r="A35">
        <v>130</v>
      </c>
      <c r="B35" t="s">
        <v>891</v>
      </c>
      <c r="C35" t="s">
        <v>892</v>
      </c>
      <c r="D35" t="s">
        <v>856</v>
      </c>
      <c r="E35" t="s">
        <v>132</v>
      </c>
      <c r="F35" t="s">
        <v>132</v>
      </c>
      <c r="G35" t="s">
        <v>51</v>
      </c>
    </row>
    <row r="36" spans="1:7">
      <c r="A36">
        <v>153</v>
      </c>
      <c r="B36" t="s">
        <v>893</v>
      </c>
      <c r="C36" t="s">
        <v>894</v>
      </c>
      <c r="D36" t="s">
        <v>875</v>
      </c>
      <c r="E36" t="s">
        <v>154</v>
      </c>
      <c r="F36" t="s">
        <v>154</v>
      </c>
      <c r="G36" t="s">
        <v>51</v>
      </c>
    </row>
    <row r="37" spans="1:7">
      <c r="A37">
        <v>158</v>
      </c>
      <c r="B37" t="s">
        <v>895</v>
      </c>
      <c r="C37" t="s">
        <v>896</v>
      </c>
      <c r="D37" t="s">
        <v>872</v>
      </c>
      <c r="E37" t="s">
        <v>57</v>
      </c>
      <c r="F37" t="s">
        <v>57</v>
      </c>
      <c r="G37" t="s">
        <v>51</v>
      </c>
    </row>
    <row r="38" spans="1:7">
      <c r="A38">
        <v>166</v>
      </c>
      <c r="B38" t="s">
        <v>897</v>
      </c>
      <c r="C38" t="s">
        <v>898</v>
      </c>
      <c r="D38" t="s">
        <v>856</v>
      </c>
      <c r="E38" t="s">
        <v>132</v>
      </c>
      <c r="F38" t="s">
        <v>132</v>
      </c>
      <c r="G38" t="s">
        <v>51</v>
      </c>
    </row>
    <row r="39" spans="1:7">
      <c r="A39">
        <v>18</v>
      </c>
      <c r="B39" t="s">
        <v>899</v>
      </c>
      <c r="C39" t="s">
        <v>900</v>
      </c>
      <c r="D39" t="s">
        <v>858</v>
      </c>
      <c r="E39" t="s">
        <v>50</v>
      </c>
      <c r="F39" t="s">
        <v>50</v>
      </c>
      <c r="G39" t="s">
        <v>51</v>
      </c>
    </row>
    <row r="40" spans="1:7">
      <c r="A40">
        <v>150</v>
      </c>
      <c r="B40" t="s">
        <v>901</v>
      </c>
      <c r="C40" t="s">
        <v>902</v>
      </c>
      <c r="D40" t="s">
        <v>852</v>
      </c>
      <c r="E40" t="s">
        <v>75</v>
      </c>
      <c r="F40" t="s">
        <v>75</v>
      </c>
      <c r="G40" t="s">
        <v>76</v>
      </c>
    </row>
    <row r="41" spans="1:7">
      <c r="A41">
        <v>64</v>
      </c>
      <c r="B41" t="s">
        <v>903</v>
      </c>
      <c r="C41" t="s">
        <v>563</v>
      </c>
      <c r="D41" t="s">
        <v>858</v>
      </c>
      <c r="E41" t="s">
        <v>50</v>
      </c>
      <c r="F41" t="s">
        <v>50</v>
      </c>
      <c r="G41" t="s">
        <v>51</v>
      </c>
    </row>
    <row r="42" spans="1:7">
      <c r="A42">
        <v>62</v>
      </c>
      <c r="B42" t="s">
        <v>903</v>
      </c>
      <c r="C42" t="s">
        <v>904</v>
      </c>
      <c r="D42" t="s">
        <v>875</v>
      </c>
      <c r="E42" t="s">
        <v>154</v>
      </c>
      <c r="F42" t="s">
        <v>154</v>
      </c>
      <c r="G42" t="s">
        <v>51</v>
      </c>
    </row>
    <row r="43" spans="1:7">
      <c r="A43">
        <v>167</v>
      </c>
      <c r="B43" t="s">
        <v>905</v>
      </c>
      <c r="C43" t="s">
        <v>906</v>
      </c>
      <c r="D43" t="s">
        <v>847</v>
      </c>
      <c r="E43" t="s">
        <v>223</v>
      </c>
      <c r="F43" t="s">
        <v>223</v>
      </c>
      <c r="G43" t="s">
        <v>51</v>
      </c>
    </row>
    <row r="44" spans="1:7">
      <c r="A44">
        <v>71</v>
      </c>
      <c r="B44" t="s">
        <v>905</v>
      </c>
      <c r="C44" t="s">
        <v>907</v>
      </c>
      <c r="D44" t="s">
        <v>908</v>
      </c>
      <c r="E44" t="s">
        <v>41</v>
      </c>
      <c r="F44" t="s">
        <v>41</v>
      </c>
      <c r="G44" t="s">
        <v>42</v>
      </c>
    </row>
    <row r="45" spans="1:7">
      <c r="A45">
        <v>68</v>
      </c>
      <c r="B45" t="s">
        <v>909</v>
      </c>
      <c r="C45" t="s">
        <v>910</v>
      </c>
      <c r="D45" t="s">
        <v>856</v>
      </c>
      <c r="E45" t="s">
        <v>132</v>
      </c>
      <c r="F45" t="s">
        <v>132</v>
      </c>
      <c r="G45" t="s">
        <v>51</v>
      </c>
    </row>
    <row r="46" spans="1:7">
      <c r="A46">
        <v>240</v>
      </c>
      <c r="B46" t="s">
        <v>909</v>
      </c>
      <c r="C46" t="s">
        <v>911</v>
      </c>
      <c r="D46" t="s">
        <v>868</v>
      </c>
      <c r="E46" t="s">
        <v>62</v>
      </c>
      <c r="F46" t="s">
        <v>62</v>
      </c>
      <c r="G46" t="s">
        <v>42</v>
      </c>
    </row>
    <row r="47" spans="1:7">
      <c r="A47">
        <v>156</v>
      </c>
      <c r="B47" t="s">
        <v>912</v>
      </c>
      <c r="C47" t="s">
        <v>913</v>
      </c>
      <c r="D47" t="s">
        <v>847</v>
      </c>
      <c r="E47" t="s">
        <v>223</v>
      </c>
      <c r="F47" t="s">
        <v>223</v>
      </c>
      <c r="G47" t="s">
        <v>51</v>
      </c>
    </row>
    <row r="48" spans="1:7">
      <c r="A48">
        <v>182</v>
      </c>
      <c r="B48" t="s">
        <v>914</v>
      </c>
      <c r="C48" t="s">
        <v>915</v>
      </c>
      <c r="D48" t="s">
        <v>916</v>
      </c>
      <c r="E48" t="s">
        <v>97</v>
      </c>
      <c r="F48" t="s">
        <v>97</v>
      </c>
      <c r="G48" t="s">
        <v>42</v>
      </c>
    </row>
    <row r="49" spans="1:7">
      <c r="A49">
        <v>115</v>
      </c>
      <c r="B49" t="s">
        <v>914</v>
      </c>
      <c r="C49" t="s">
        <v>917</v>
      </c>
      <c r="D49" t="s">
        <v>916</v>
      </c>
      <c r="E49" t="s">
        <v>97</v>
      </c>
      <c r="F49" t="s">
        <v>97</v>
      </c>
      <c r="G49" t="s">
        <v>42</v>
      </c>
    </row>
    <row r="50" spans="1:7">
      <c r="A50">
        <v>193</v>
      </c>
      <c r="B50" t="s">
        <v>914</v>
      </c>
      <c r="C50" t="s">
        <v>402</v>
      </c>
      <c r="D50" t="s">
        <v>872</v>
      </c>
      <c r="E50" t="s">
        <v>57</v>
      </c>
      <c r="F50" t="s">
        <v>57</v>
      </c>
      <c r="G50" t="s">
        <v>51</v>
      </c>
    </row>
    <row r="51" spans="1:7">
      <c r="A51">
        <v>199</v>
      </c>
      <c r="B51" t="s">
        <v>918</v>
      </c>
      <c r="C51" t="s">
        <v>919</v>
      </c>
      <c r="D51" t="s">
        <v>920</v>
      </c>
      <c r="E51" t="s">
        <v>68</v>
      </c>
      <c r="F51" t="s">
        <v>68</v>
      </c>
      <c r="G51" t="s">
        <v>42</v>
      </c>
    </row>
    <row r="52" spans="1:7">
      <c r="A52">
        <v>249</v>
      </c>
      <c r="B52" t="s">
        <v>918</v>
      </c>
      <c r="C52" t="s">
        <v>921</v>
      </c>
      <c r="D52" t="s">
        <v>858</v>
      </c>
      <c r="E52" t="s">
        <v>50</v>
      </c>
      <c r="F52" t="s">
        <v>50</v>
      </c>
      <c r="G52" t="s">
        <v>51</v>
      </c>
    </row>
    <row r="53" spans="1:7">
      <c r="A53">
        <v>42</v>
      </c>
      <c r="B53" t="s">
        <v>922</v>
      </c>
      <c r="C53" t="s">
        <v>923</v>
      </c>
      <c r="D53" t="s">
        <v>850</v>
      </c>
      <c r="E53" t="s">
        <v>336</v>
      </c>
      <c r="F53" t="s">
        <v>336</v>
      </c>
      <c r="G53" t="s">
        <v>76</v>
      </c>
    </row>
    <row r="54" spans="1:7">
      <c r="A54">
        <v>56</v>
      </c>
      <c r="B54" t="s">
        <v>922</v>
      </c>
      <c r="C54" t="s">
        <v>924</v>
      </c>
      <c r="D54" t="s">
        <v>872</v>
      </c>
      <c r="E54" t="s">
        <v>57</v>
      </c>
      <c r="F54" t="s">
        <v>57</v>
      </c>
      <c r="G54" t="s">
        <v>51</v>
      </c>
    </row>
    <row r="55" spans="1:7">
      <c r="A55">
        <v>133</v>
      </c>
      <c r="B55" t="s">
        <v>922</v>
      </c>
      <c r="C55" t="s">
        <v>925</v>
      </c>
      <c r="D55" t="s">
        <v>856</v>
      </c>
      <c r="E55" t="s">
        <v>132</v>
      </c>
      <c r="F55" t="s">
        <v>132</v>
      </c>
      <c r="G55" t="s">
        <v>51</v>
      </c>
    </row>
    <row r="56" spans="1:7">
      <c r="A56">
        <v>149</v>
      </c>
      <c r="B56" t="s">
        <v>926</v>
      </c>
      <c r="C56" t="s">
        <v>257</v>
      </c>
      <c r="D56" t="s">
        <v>844</v>
      </c>
      <c r="E56" t="s">
        <v>210</v>
      </c>
      <c r="F56" t="s">
        <v>210</v>
      </c>
      <c r="G56" t="s">
        <v>42</v>
      </c>
    </row>
    <row r="57" spans="1:7">
      <c r="A57">
        <v>264</v>
      </c>
      <c r="B57" t="s">
        <v>927</v>
      </c>
      <c r="C57" t="s">
        <v>928</v>
      </c>
      <c r="D57" t="s">
        <v>852</v>
      </c>
      <c r="E57" t="s">
        <v>75</v>
      </c>
      <c r="F57" t="s">
        <v>75</v>
      </c>
      <c r="G57" t="s">
        <v>76</v>
      </c>
    </row>
    <row r="58" spans="1:7">
      <c r="A58">
        <v>195</v>
      </c>
      <c r="B58" t="s">
        <v>929</v>
      </c>
      <c r="C58" t="s">
        <v>167</v>
      </c>
      <c r="D58" t="s">
        <v>858</v>
      </c>
      <c r="E58" t="s">
        <v>50</v>
      </c>
      <c r="F58" t="s">
        <v>50</v>
      </c>
      <c r="G58" t="s">
        <v>51</v>
      </c>
    </row>
    <row r="59" spans="1:7">
      <c r="A59">
        <v>237</v>
      </c>
      <c r="B59" t="s">
        <v>929</v>
      </c>
      <c r="C59" t="s">
        <v>930</v>
      </c>
      <c r="D59" t="s">
        <v>856</v>
      </c>
      <c r="E59" t="s">
        <v>132</v>
      </c>
      <c r="F59" t="s">
        <v>132</v>
      </c>
      <c r="G59" t="s">
        <v>51</v>
      </c>
    </row>
    <row r="60" spans="1:7">
      <c r="A60">
        <v>143</v>
      </c>
      <c r="B60" t="s">
        <v>929</v>
      </c>
      <c r="C60" t="s">
        <v>931</v>
      </c>
      <c r="D60" t="s">
        <v>856</v>
      </c>
      <c r="E60" t="s">
        <v>132</v>
      </c>
      <c r="F60" t="s">
        <v>132</v>
      </c>
      <c r="G60" t="s">
        <v>51</v>
      </c>
    </row>
    <row r="61" spans="1:7">
      <c r="A61">
        <v>99</v>
      </c>
      <c r="B61" t="s">
        <v>929</v>
      </c>
      <c r="C61" t="s">
        <v>932</v>
      </c>
      <c r="D61" t="s">
        <v>856</v>
      </c>
      <c r="E61" t="s">
        <v>132</v>
      </c>
      <c r="F61" t="s">
        <v>132</v>
      </c>
      <c r="G61" t="s">
        <v>51</v>
      </c>
    </row>
    <row r="62" spans="1:7">
      <c r="A62">
        <v>176</v>
      </c>
      <c r="B62" t="s">
        <v>929</v>
      </c>
      <c r="C62" t="s">
        <v>933</v>
      </c>
      <c r="D62" t="s">
        <v>856</v>
      </c>
      <c r="E62" t="s">
        <v>132</v>
      </c>
      <c r="F62" t="s">
        <v>132</v>
      </c>
      <c r="G62" t="s">
        <v>51</v>
      </c>
    </row>
    <row r="63" spans="1:7">
      <c r="A63">
        <v>218</v>
      </c>
      <c r="B63" t="s">
        <v>929</v>
      </c>
      <c r="C63" t="s">
        <v>934</v>
      </c>
      <c r="D63" t="s">
        <v>856</v>
      </c>
      <c r="E63" t="s">
        <v>132</v>
      </c>
      <c r="F63" t="s">
        <v>132</v>
      </c>
      <c r="G63" t="s">
        <v>51</v>
      </c>
    </row>
    <row r="64" spans="1:7">
      <c r="A64">
        <v>178</v>
      </c>
      <c r="B64" t="s">
        <v>929</v>
      </c>
      <c r="C64" t="s">
        <v>935</v>
      </c>
      <c r="D64" t="s">
        <v>856</v>
      </c>
      <c r="E64" t="s">
        <v>132</v>
      </c>
      <c r="F64" t="s">
        <v>132</v>
      </c>
      <c r="G64" t="s">
        <v>51</v>
      </c>
    </row>
    <row r="65" spans="1:7">
      <c r="A65">
        <v>116</v>
      </c>
      <c r="B65" t="s">
        <v>936</v>
      </c>
      <c r="C65" t="s">
        <v>200</v>
      </c>
      <c r="D65" t="s">
        <v>852</v>
      </c>
      <c r="E65" t="s">
        <v>75</v>
      </c>
      <c r="F65" t="s">
        <v>75</v>
      </c>
      <c r="G65" t="s">
        <v>76</v>
      </c>
    </row>
    <row r="66" spans="1:7">
      <c r="A66">
        <v>253</v>
      </c>
      <c r="B66" t="s">
        <v>936</v>
      </c>
      <c r="C66" t="s">
        <v>937</v>
      </c>
      <c r="D66" t="s">
        <v>916</v>
      </c>
      <c r="E66" t="s">
        <v>97</v>
      </c>
      <c r="F66" t="s">
        <v>97</v>
      </c>
      <c r="G66" t="s">
        <v>42</v>
      </c>
    </row>
    <row r="67" spans="1:7">
      <c r="A67">
        <v>23</v>
      </c>
      <c r="B67" t="s">
        <v>875</v>
      </c>
      <c r="C67" t="s">
        <v>154</v>
      </c>
      <c r="D67" t="s">
        <v>875</v>
      </c>
      <c r="E67" t="s">
        <v>154</v>
      </c>
      <c r="F67" t="s">
        <v>154</v>
      </c>
      <c r="G67" t="s">
        <v>51</v>
      </c>
    </row>
    <row r="68" spans="1:7">
      <c r="A68">
        <v>33</v>
      </c>
      <c r="B68" t="s">
        <v>875</v>
      </c>
      <c r="C68" t="s">
        <v>633</v>
      </c>
      <c r="D68" t="s">
        <v>858</v>
      </c>
      <c r="E68" t="s">
        <v>50</v>
      </c>
      <c r="F68" t="s">
        <v>50</v>
      </c>
      <c r="G68" t="s">
        <v>51</v>
      </c>
    </row>
    <row r="69" spans="1:7">
      <c r="A69">
        <v>50</v>
      </c>
      <c r="B69" t="s">
        <v>938</v>
      </c>
      <c r="C69" t="s">
        <v>939</v>
      </c>
      <c r="D69" t="s">
        <v>852</v>
      </c>
      <c r="E69" t="s">
        <v>75</v>
      </c>
      <c r="F69" t="s">
        <v>75</v>
      </c>
      <c r="G69" t="s">
        <v>76</v>
      </c>
    </row>
    <row r="70" spans="1:7">
      <c r="A70">
        <v>72</v>
      </c>
      <c r="B70" t="s">
        <v>940</v>
      </c>
      <c r="C70" t="s">
        <v>588</v>
      </c>
      <c r="D70" t="s">
        <v>852</v>
      </c>
      <c r="E70" t="s">
        <v>75</v>
      </c>
      <c r="F70" t="s">
        <v>75</v>
      </c>
      <c r="G70" t="s">
        <v>76</v>
      </c>
    </row>
    <row r="71" spans="1:7">
      <c r="A71">
        <v>113</v>
      </c>
      <c r="B71" t="s">
        <v>941</v>
      </c>
      <c r="C71" t="s">
        <v>409</v>
      </c>
      <c r="D71" t="s">
        <v>858</v>
      </c>
      <c r="E71" t="s">
        <v>50</v>
      </c>
      <c r="F71" t="s">
        <v>50</v>
      </c>
      <c r="G71" t="s">
        <v>51</v>
      </c>
    </row>
    <row r="72" spans="1:7">
      <c r="A72">
        <v>225</v>
      </c>
      <c r="B72" t="s">
        <v>941</v>
      </c>
      <c r="C72" t="s">
        <v>942</v>
      </c>
      <c r="D72" t="s">
        <v>858</v>
      </c>
      <c r="E72" t="s">
        <v>50</v>
      </c>
      <c r="F72" t="s">
        <v>50</v>
      </c>
      <c r="G72" t="s">
        <v>51</v>
      </c>
    </row>
    <row r="73" spans="1:7">
      <c r="A73">
        <v>12</v>
      </c>
      <c r="B73" t="s">
        <v>943</v>
      </c>
      <c r="C73" t="s">
        <v>944</v>
      </c>
      <c r="D73" t="s">
        <v>916</v>
      </c>
      <c r="E73" t="s">
        <v>97</v>
      </c>
      <c r="F73" t="s">
        <v>97</v>
      </c>
      <c r="G73" t="s">
        <v>42</v>
      </c>
    </row>
    <row r="74" spans="1:7">
      <c r="A74">
        <v>41</v>
      </c>
      <c r="B74" t="s">
        <v>943</v>
      </c>
      <c r="C74" t="s">
        <v>945</v>
      </c>
      <c r="D74" t="s">
        <v>850</v>
      </c>
      <c r="E74" t="s">
        <v>336</v>
      </c>
      <c r="F74" t="s">
        <v>336</v>
      </c>
      <c r="G74" t="s">
        <v>76</v>
      </c>
    </row>
    <row r="75" spans="1:7">
      <c r="A75">
        <v>80</v>
      </c>
      <c r="B75" t="s">
        <v>946</v>
      </c>
      <c r="C75" t="s">
        <v>947</v>
      </c>
      <c r="D75" t="s">
        <v>847</v>
      </c>
      <c r="E75" t="s">
        <v>223</v>
      </c>
      <c r="F75" t="s">
        <v>223</v>
      </c>
      <c r="G75" t="s">
        <v>51</v>
      </c>
    </row>
    <row r="76" spans="1:7">
      <c r="A76">
        <v>74</v>
      </c>
      <c r="B76" t="s">
        <v>852</v>
      </c>
      <c r="C76" t="s">
        <v>75</v>
      </c>
      <c r="D76" t="s">
        <v>852</v>
      </c>
      <c r="E76" t="s">
        <v>75</v>
      </c>
      <c r="F76" t="s">
        <v>75</v>
      </c>
      <c r="G76" t="s">
        <v>76</v>
      </c>
    </row>
    <row r="77" spans="1:7">
      <c r="A77">
        <v>84</v>
      </c>
      <c r="B77" t="s">
        <v>844</v>
      </c>
      <c r="C77" t="s">
        <v>210</v>
      </c>
      <c r="D77" t="s">
        <v>844</v>
      </c>
      <c r="E77" t="s">
        <v>210</v>
      </c>
      <c r="F77" t="s">
        <v>210</v>
      </c>
      <c r="G77" t="s">
        <v>42</v>
      </c>
    </row>
    <row r="78" spans="1:7">
      <c r="A78">
        <v>75</v>
      </c>
      <c r="B78" t="s">
        <v>948</v>
      </c>
      <c r="C78" t="s">
        <v>540</v>
      </c>
      <c r="D78" t="s">
        <v>844</v>
      </c>
      <c r="E78" t="s">
        <v>210</v>
      </c>
      <c r="F78" t="s">
        <v>210</v>
      </c>
      <c r="G78" t="s">
        <v>42</v>
      </c>
    </row>
    <row r="79" spans="1:7">
      <c r="A79">
        <v>139</v>
      </c>
      <c r="B79" t="s">
        <v>949</v>
      </c>
      <c r="C79" t="s">
        <v>950</v>
      </c>
      <c r="D79" t="s">
        <v>860</v>
      </c>
      <c r="E79" t="s">
        <v>192</v>
      </c>
      <c r="F79" t="s">
        <v>449</v>
      </c>
      <c r="G79" t="s">
        <v>76</v>
      </c>
    </row>
    <row r="80" spans="1:7">
      <c r="A80">
        <v>76</v>
      </c>
      <c r="B80" t="s">
        <v>951</v>
      </c>
      <c r="C80" t="s">
        <v>335</v>
      </c>
      <c r="D80" t="s">
        <v>850</v>
      </c>
      <c r="E80" t="s">
        <v>336</v>
      </c>
      <c r="F80" t="s">
        <v>336</v>
      </c>
      <c r="G80" t="s">
        <v>76</v>
      </c>
    </row>
    <row r="81" spans="1:7">
      <c r="A81">
        <v>188</v>
      </c>
      <c r="B81" t="s">
        <v>952</v>
      </c>
      <c r="C81" t="s">
        <v>953</v>
      </c>
      <c r="D81" t="s">
        <v>908</v>
      </c>
      <c r="E81" t="s">
        <v>41</v>
      </c>
      <c r="F81" t="s">
        <v>41</v>
      </c>
      <c r="G81" t="s">
        <v>42</v>
      </c>
    </row>
    <row r="82" spans="1:7">
      <c r="A82">
        <v>134</v>
      </c>
      <c r="B82" t="s">
        <v>954</v>
      </c>
      <c r="C82" t="s">
        <v>131</v>
      </c>
      <c r="D82" t="s">
        <v>856</v>
      </c>
      <c r="E82" t="s">
        <v>132</v>
      </c>
      <c r="F82" t="s">
        <v>132</v>
      </c>
      <c r="G82" t="s">
        <v>51</v>
      </c>
    </row>
    <row r="83" spans="1:7">
      <c r="A83">
        <v>44</v>
      </c>
      <c r="B83" t="s">
        <v>955</v>
      </c>
      <c r="C83" t="s">
        <v>956</v>
      </c>
      <c r="D83" t="s">
        <v>908</v>
      </c>
      <c r="E83" t="s">
        <v>41</v>
      </c>
      <c r="F83" t="s">
        <v>41</v>
      </c>
      <c r="G83" t="s">
        <v>42</v>
      </c>
    </row>
    <row r="84" spans="1:7">
      <c r="A84">
        <v>47</v>
      </c>
      <c r="B84" t="s">
        <v>957</v>
      </c>
      <c r="C84" t="s">
        <v>191</v>
      </c>
      <c r="D84" t="s">
        <v>860</v>
      </c>
      <c r="E84" t="s">
        <v>192</v>
      </c>
      <c r="F84" t="s">
        <v>449</v>
      </c>
      <c r="G84" t="s">
        <v>76</v>
      </c>
    </row>
    <row r="85" spans="1:7">
      <c r="A85">
        <v>19</v>
      </c>
      <c r="B85" t="s">
        <v>958</v>
      </c>
      <c r="C85" t="s">
        <v>959</v>
      </c>
      <c r="D85" t="s">
        <v>872</v>
      </c>
      <c r="E85" t="s">
        <v>57</v>
      </c>
      <c r="F85" t="s">
        <v>57</v>
      </c>
      <c r="G85" t="s">
        <v>51</v>
      </c>
    </row>
    <row r="86" spans="1:7">
      <c r="A86">
        <v>184</v>
      </c>
      <c r="B86" t="s">
        <v>960</v>
      </c>
      <c r="C86" t="s">
        <v>961</v>
      </c>
      <c r="D86" t="s">
        <v>847</v>
      </c>
      <c r="E86" t="s">
        <v>223</v>
      </c>
      <c r="F86" t="s">
        <v>57</v>
      </c>
      <c r="G86" t="s">
        <v>51</v>
      </c>
    </row>
    <row r="87" spans="1:7">
      <c r="A87">
        <v>169</v>
      </c>
      <c r="B87" t="s">
        <v>962</v>
      </c>
      <c r="C87" t="s">
        <v>963</v>
      </c>
      <c r="D87" t="s">
        <v>847</v>
      </c>
      <c r="E87" t="s">
        <v>223</v>
      </c>
      <c r="F87" t="s">
        <v>223</v>
      </c>
      <c r="G87" t="s">
        <v>51</v>
      </c>
    </row>
    <row r="88" spans="1:7">
      <c r="A88">
        <v>214</v>
      </c>
      <c r="B88" t="s">
        <v>962</v>
      </c>
      <c r="C88" t="s">
        <v>964</v>
      </c>
      <c r="D88" t="s">
        <v>856</v>
      </c>
      <c r="E88" t="s">
        <v>132</v>
      </c>
      <c r="F88" t="s">
        <v>132</v>
      </c>
      <c r="G88" t="s">
        <v>51</v>
      </c>
    </row>
    <row r="89" spans="1:7">
      <c r="A89">
        <v>52</v>
      </c>
      <c r="B89" t="s">
        <v>860</v>
      </c>
      <c r="C89" t="s">
        <v>192</v>
      </c>
      <c r="D89" t="s">
        <v>860</v>
      </c>
      <c r="E89" t="s">
        <v>192</v>
      </c>
      <c r="F89" t="s">
        <v>449</v>
      </c>
      <c r="G89" t="s">
        <v>76</v>
      </c>
    </row>
    <row r="90" spans="1:7">
      <c r="A90">
        <v>48</v>
      </c>
      <c r="B90" t="s">
        <v>860</v>
      </c>
      <c r="C90" t="s">
        <v>965</v>
      </c>
      <c r="D90" t="s">
        <v>858</v>
      </c>
      <c r="E90" t="s">
        <v>50</v>
      </c>
      <c r="F90" t="s">
        <v>50</v>
      </c>
      <c r="G90" t="s">
        <v>51</v>
      </c>
    </row>
    <row r="91" spans="1:7">
      <c r="A91">
        <v>231</v>
      </c>
      <c r="B91" t="s">
        <v>966</v>
      </c>
      <c r="C91" t="s">
        <v>967</v>
      </c>
      <c r="D91" t="s">
        <v>856</v>
      </c>
      <c r="E91" t="s">
        <v>132</v>
      </c>
      <c r="F91" t="s">
        <v>132</v>
      </c>
      <c r="G91" t="s">
        <v>51</v>
      </c>
    </row>
    <row r="92" spans="1:7">
      <c r="A92">
        <v>87</v>
      </c>
      <c r="B92" t="s">
        <v>968</v>
      </c>
      <c r="C92" t="s">
        <v>91</v>
      </c>
      <c r="D92" t="s">
        <v>858</v>
      </c>
      <c r="E92" t="s">
        <v>50</v>
      </c>
      <c r="F92" t="s">
        <v>50</v>
      </c>
      <c r="G92" t="s">
        <v>51</v>
      </c>
    </row>
    <row r="93" spans="1:7">
      <c r="A93">
        <v>112</v>
      </c>
      <c r="B93" t="s">
        <v>968</v>
      </c>
      <c r="C93" t="s">
        <v>969</v>
      </c>
      <c r="D93" t="s">
        <v>858</v>
      </c>
      <c r="E93" t="s">
        <v>50</v>
      </c>
      <c r="F93" t="s">
        <v>50</v>
      </c>
      <c r="G93" t="s">
        <v>51</v>
      </c>
    </row>
    <row r="94" spans="1:7">
      <c r="A94">
        <v>77</v>
      </c>
      <c r="B94" t="s">
        <v>968</v>
      </c>
      <c r="C94" t="s">
        <v>144</v>
      </c>
      <c r="D94" t="s">
        <v>872</v>
      </c>
      <c r="E94" t="s">
        <v>57</v>
      </c>
      <c r="F94" t="s">
        <v>57</v>
      </c>
      <c r="G94" t="s">
        <v>51</v>
      </c>
    </row>
    <row r="95" spans="1:7">
      <c r="A95">
        <v>162</v>
      </c>
      <c r="B95" t="s">
        <v>970</v>
      </c>
      <c r="C95" t="s">
        <v>971</v>
      </c>
      <c r="D95" t="s">
        <v>856</v>
      </c>
      <c r="E95" t="s">
        <v>132</v>
      </c>
      <c r="F95" t="s">
        <v>132</v>
      </c>
      <c r="G95" t="s">
        <v>51</v>
      </c>
    </row>
    <row r="96" spans="1:7">
      <c r="A96">
        <v>140</v>
      </c>
      <c r="B96" t="s">
        <v>970</v>
      </c>
      <c r="C96" t="s">
        <v>972</v>
      </c>
      <c r="D96" t="s">
        <v>856</v>
      </c>
      <c r="E96" t="s">
        <v>132</v>
      </c>
      <c r="F96" t="s">
        <v>132</v>
      </c>
      <c r="G96" t="s">
        <v>51</v>
      </c>
    </row>
    <row r="97" spans="1:7">
      <c r="A97">
        <v>179</v>
      </c>
      <c r="B97" t="s">
        <v>970</v>
      </c>
      <c r="C97" t="s">
        <v>973</v>
      </c>
      <c r="D97" t="s">
        <v>847</v>
      </c>
      <c r="E97" t="s">
        <v>223</v>
      </c>
      <c r="F97" t="s">
        <v>223</v>
      </c>
      <c r="G97" t="s">
        <v>51</v>
      </c>
    </row>
    <row r="98" spans="1:7">
      <c r="A98">
        <v>219</v>
      </c>
      <c r="B98" t="s">
        <v>970</v>
      </c>
      <c r="C98" t="s">
        <v>974</v>
      </c>
      <c r="D98" t="s">
        <v>856</v>
      </c>
      <c r="E98" t="s">
        <v>132</v>
      </c>
      <c r="F98" t="s">
        <v>132</v>
      </c>
      <c r="G98" t="s">
        <v>51</v>
      </c>
    </row>
    <row r="99" spans="1:7">
      <c r="A99">
        <v>9</v>
      </c>
      <c r="B99" t="s">
        <v>858</v>
      </c>
      <c r="C99" t="s">
        <v>50</v>
      </c>
      <c r="D99" t="s">
        <v>858</v>
      </c>
      <c r="E99" t="s">
        <v>50</v>
      </c>
      <c r="F99" t="s">
        <v>50</v>
      </c>
      <c r="G99" t="s">
        <v>51</v>
      </c>
    </row>
    <row r="100" spans="1:7">
      <c r="A100">
        <v>3</v>
      </c>
      <c r="B100" t="s">
        <v>850</v>
      </c>
      <c r="C100" t="s">
        <v>336</v>
      </c>
      <c r="D100" t="s">
        <v>850</v>
      </c>
      <c r="E100" t="s">
        <v>336</v>
      </c>
      <c r="F100" t="s">
        <v>336</v>
      </c>
      <c r="G100" t="s">
        <v>76</v>
      </c>
    </row>
    <row r="101" spans="1:7">
      <c r="A101">
        <v>275</v>
      </c>
      <c r="B101" t="s">
        <v>975</v>
      </c>
      <c r="C101" t="s">
        <v>976</v>
      </c>
      <c r="D101" t="s">
        <v>860</v>
      </c>
      <c r="E101" t="s">
        <v>192</v>
      </c>
      <c r="F101" t="s">
        <v>336</v>
      </c>
      <c r="G101" t="s">
        <v>76</v>
      </c>
    </row>
    <row r="102" spans="1:7">
      <c r="A102">
        <v>250</v>
      </c>
      <c r="B102" t="s">
        <v>977</v>
      </c>
      <c r="C102" t="s">
        <v>978</v>
      </c>
      <c r="D102" t="s">
        <v>908</v>
      </c>
      <c r="E102" t="s">
        <v>41</v>
      </c>
      <c r="F102" t="s">
        <v>41</v>
      </c>
      <c r="G102" t="s">
        <v>42</v>
      </c>
    </row>
    <row r="103" spans="1:7">
      <c r="A103">
        <v>78</v>
      </c>
      <c r="B103" t="s">
        <v>979</v>
      </c>
      <c r="C103" t="s">
        <v>980</v>
      </c>
      <c r="D103" t="s">
        <v>858</v>
      </c>
      <c r="E103" t="s">
        <v>50</v>
      </c>
      <c r="F103" t="s">
        <v>50</v>
      </c>
      <c r="G103" t="s">
        <v>51</v>
      </c>
    </row>
    <row r="104" spans="1:7">
      <c r="A104">
        <v>81</v>
      </c>
      <c r="B104" t="s">
        <v>979</v>
      </c>
      <c r="C104" t="s">
        <v>981</v>
      </c>
      <c r="D104" t="s">
        <v>856</v>
      </c>
      <c r="E104" t="s">
        <v>132</v>
      </c>
      <c r="F104" t="s">
        <v>132</v>
      </c>
      <c r="G104" t="s">
        <v>51</v>
      </c>
    </row>
    <row r="105" spans="1:7">
      <c r="A105">
        <v>79</v>
      </c>
      <c r="B105" t="s">
        <v>979</v>
      </c>
      <c r="C105" t="s">
        <v>376</v>
      </c>
      <c r="D105" t="s">
        <v>858</v>
      </c>
      <c r="E105" t="s">
        <v>50</v>
      </c>
      <c r="F105" t="s">
        <v>50</v>
      </c>
      <c r="G105" t="s">
        <v>51</v>
      </c>
    </row>
    <row r="106" spans="1:7">
      <c r="A106">
        <v>24</v>
      </c>
      <c r="B106" t="s">
        <v>979</v>
      </c>
      <c r="C106" t="s">
        <v>982</v>
      </c>
      <c r="D106" t="s">
        <v>858</v>
      </c>
      <c r="E106" t="s">
        <v>50</v>
      </c>
      <c r="F106" t="s">
        <v>50</v>
      </c>
      <c r="G106" t="s">
        <v>51</v>
      </c>
    </row>
    <row r="107" spans="1:7">
      <c r="A107">
        <v>144</v>
      </c>
      <c r="B107" t="s">
        <v>979</v>
      </c>
      <c r="C107" t="s">
        <v>983</v>
      </c>
      <c r="D107" t="s">
        <v>856</v>
      </c>
      <c r="E107" t="s">
        <v>132</v>
      </c>
      <c r="F107" t="s">
        <v>132</v>
      </c>
      <c r="G107" t="s">
        <v>51</v>
      </c>
    </row>
    <row r="108" spans="1:7">
      <c r="A108">
        <v>160</v>
      </c>
      <c r="B108" t="s">
        <v>984</v>
      </c>
      <c r="C108" t="s">
        <v>985</v>
      </c>
      <c r="D108" t="s">
        <v>872</v>
      </c>
      <c r="E108" t="s">
        <v>57</v>
      </c>
      <c r="F108" t="s">
        <v>57</v>
      </c>
      <c r="G108" t="s">
        <v>51</v>
      </c>
    </row>
    <row r="109" spans="1:7">
      <c r="A109">
        <v>186</v>
      </c>
      <c r="B109" t="s">
        <v>986</v>
      </c>
      <c r="C109" t="s">
        <v>987</v>
      </c>
      <c r="D109" t="s">
        <v>871</v>
      </c>
      <c r="E109" t="s">
        <v>177</v>
      </c>
      <c r="F109" t="s">
        <v>177</v>
      </c>
      <c r="G109" t="s">
        <v>76</v>
      </c>
    </row>
    <row r="110" spans="1:7">
      <c r="A110">
        <v>154</v>
      </c>
      <c r="B110" t="s">
        <v>988</v>
      </c>
      <c r="C110" t="s">
        <v>989</v>
      </c>
      <c r="D110" t="s">
        <v>875</v>
      </c>
      <c r="E110" t="s">
        <v>154</v>
      </c>
      <c r="F110" t="s">
        <v>154</v>
      </c>
      <c r="G110" t="s">
        <v>51</v>
      </c>
    </row>
    <row r="111" spans="1:7">
      <c r="A111">
        <v>228</v>
      </c>
      <c r="B111" t="s">
        <v>990</v>
      </c>
      <c r="C111" t="s">
        <v>991</v>
      </c>
      <c r="D111" t="s">
        <v>856</v>
      </c>
      <c r="E111" t="s">
        <v>132</v>
      </c>
      <c r="F111" t="s">
        <v>132</v>
      </c>
      <c r="G111" t="s">
        <v>51</v>
      </c>
    </row>
    <row r="112" spans="1:7">
      <c r="A112">
        <v>220</v>
      </c>
      <c r="B112" t="s">
        <v>992</v>
      </c>
      <c r="C112" t="s">
        <v>993</v>
      </c>
      <c r="D112" t="s">
        <v>856</v>
      </c>
      <c r="E112" t="s">
        <v>132</v>
      </c>
      <c r="F112" t="s">
        <v>132</v>
      </c>
      <c r="G112" t="s">
        <v>51</v>
      </c>
    </row>
    <row r="113" spans="1:7">
      <c r="A113">
        <v>73</v>
      </c>
      <c r="B113" t="s">
        <v>992</v>
      </c>
      <c r="C113" t="s">
        <v>994</v>
      </c>
      <c r="D113" t="s">
        <v>916</v>
      </c>
      <c r="E113" t="s">
        <v>97</v>
      </c>
      <c r="F113" t="s">
        <v>97</v>
      </c>
      <c r="G113" t="s">
        <v>42</v>
      </c>
    </row>
    <row r="114" spans="1:7">
      <c r="A114">
        <v>242</v>
      </c>
      <c r="B114" t="s">
        <v>992</v>
      </c>
      <c r="C114" t="s">
        <v>995</v>
      </c>
      <c r="D114" t="s">
        <v>852</v>
      </c>
      <c r="E114" t="s">
        <v>75</v>
      </c>
      <c r="F114" t="s">
        <v>75</v>
      </c>
      <c r="G114" t="s">
        <v>76</v>
      </c>
    </row>
    <row r="115" spans="1:7">
      <c r="A115">
        <v>266</v>
      </c>
      <c r="B115" t="s">
        <v>992</v>
      </c>
      <c r="C115" t="s">
        <v>996</v>
      </c>
      <c r="D115" t="s">
        <v>871</v>
      </c>
      <c r="E115" t="s">
        <v>177</v>
      </c>
      <c r="F115" t="s">
        <v>177</v>
      </c>
      <c r="G115" t="s">
        <v>76</v>
      </c>
    </row>
    <row r="116" spans="1:7">
      <c r="A116">
        <v>196</v>
      </c>
      <c r="B116" t="s">
        <v>992</v>
      </c>
      <c r="C116" t="s">
        <v>546</v>
      </c>
      <c r="D116" t="s">
        <v>868</v>
      </c>
      <c r="E116" t="s">
        <v>62</v>
      </c>
      <c r="F116" t="s">
        <v>62</v>
      </c>
      <c r="G116" t="s">
        <v>42</v>
      </c>
    </row>
    <row r="117" spans="1:7">
      <c r="A117">
        <v>222</v>
      </c>
      <c r="B117" t="s">
        <v>992</v>
      </c>
      <c r="C117" t="s">
        <v>997</v>
      </c>
      <c r="D117" t="s">
        <v>856</v>
      </c>
      <c r="E117" t="s">
        <v>132</v>
      </c>
      <c r="F117" t="s">
        <v>132</v>
      </c>
      <c r="G117" t="s">
        <v>51</v>
      </c>
    </row>
    <row r="118" spans="1:7">
      <c r="A118">
        <v>10</v>
      </c>
      <c r="B118" t="s">
        <v>998</v>
      </c>
      <c r="C118" t="s">
        <v>999</v>
      </c>
      <c r="D118" t="s">
        <v>890</v>
      </c>
      <c r="E118" t="s">
        <v>186</v>
      </c>
      <c r="F118" t="s">
        <v>68</v>
      </c>
      <c r="G118" t="s">
        <v>42</v>
      </c>
    </row>
    <row r="119" spans="1:7">
      <c r="A119">
        <v>51</v>
      </c>
      <c r="B119" t="s">
        <v>1000</v>
      </c>
      <c r="C119" t="s">
        <v>1001</v>
      </c>
      <c r="D119" t="s">
        <v>852</v>
      </c>
      <c r="E119" t="s">
        <v>75</v>
      </c>
      <c r="F119" t="s">
        <v>75</v>
      </c>
      <c r="G119" t="s">
        <v>76</v>
      </c>
    </row>
    <row r="120" spans="1:7">
      <c r="A120">
        <v>82</v>
      </c>
      <c r="B120" t="s">
        <v>1002</v>
      </c>
      <c r="C120" t="s">
        <v>1003</v>
      </c>
      <c r="D120" t="s">
        <v>868</v>
      </c>
      <c r="E120" t="s">
        <v>62</v>
      </c>
      <c r="F120" t="s">
        <v>62</v>
      </c>
      <c r="G120" t="s">
        <v>42</v>
      </c>
    </row>
    <row r="121" spans="1:7">
      <c r="A121">
        <v>171</v>
      </c>
      <c r="B121" t="s">
        <v>1004</v>
      </c>
      <c r="C121" t="s">
        <v>1005</v>
      </c>
      <c r="D121" t="s">
        <v>847</v>
      </c>
      <c r="E121" t="s">
        <v>223</v>
      </c>
      <c r="F121" t="s">
        <v>223</v>
      </c>
      <c r="G121" t="s">
        <v>51</v>
      </c>
    </row>
    <row r="122" spans="1:7">
      <c r="A122">
        <v>164</v>
      </c>
      <c r="B122" t="s">
        <v>1006</v>
      </c>
      <c r="C122" t="s">
        <v>1007</v>
      </c>
      <c r="D122" t="s">
        <v>856</v>
      </c>
      <c r="E122" t="s">
        <v>132</v>
      </c>
      <c r="F122" t="s">
        <v>132</v>
      </c>
      <c r="G122" t="s">
        <v>51</v>
      </c>
    </row>
    <row r="123" spans="1:7">
      <c r="A123">
        <v>163</v>
      </c>
      <c r="B123" t="s">
        <v>1008</v>
      </c>
      <c r="C123" t="s">
        <v>1009</v>
      </c>
      <c r="D123" t="s">
        <v>856</v>
      </c>
      <c r="E123" t="s">
        <v>132</v>
      </c>
      <c r="F123" t="s">
        <v>132</v>
      </c>
      <c r="G123" t="s">
        <v>51</v>
      </c>
    </row>
    <row r="124" spans="1:7">
      <c r="A124">
        <v>187</v>
      </c>
      <c r="B124" t="s">
        <v>1008</v>
      </c>
      <c r="C124" t="s">
        <v>1010</v>
      </c>
      <c r="D124" t="s">
        <v>920</v>
      </c>
      <c r="E124" t="s">
        <v>68</v>
      </c>
      <c r="F124" t="s">
        <v>68</v>
      </c>
      <c r="G124" t="s">
        <v>42</v>
      </c>
    </row>
    <row r="125" spans="1:7">
      <c r="A125">
        <v>174</v>
      </c>
      <c r="B125" t="s">
        <v>1011</v>
      </c>
      <c r="C125" t="s">
        <v>1012</v>
      </c>
      <c r="D125" t="s">
        <v>858</v>
      </c>
      <c r="E125" t="s">
        <v>50</v>
      </c>
      <c r="F125" t="s">
        <v>50</v>
      </c>
      <c r="G125" t="s">
        <v>51</v>
      </c>
    </row>
    <row r="126" spans="1:7">
      <c r="A126">
        <v>86</v>
      </c>
      <c r="B126" t="s">
        <v>1011</v>
      </c>
      <c r="C126" t="s">
        <v>209</v>
      </c>
      <c r="D126" t="s">
        <v>844</v>
      </c>
      <c r="E126" t="s">
        <v>210</v>
      </c>
      <c r="F126" t="s">
        <v>210</v>
      </c>
      <c r="G126" t="s">
        <v>42</v>
      </c>
    </row>
    <row r="127" spans="1:7">
      <c r="A127">
        <v>118</v>
      </c>
      <c r="B127" t="s">
        <v>1011</v>
      </c>
      <c r="C127" t="s">
        <v>1013</v>
      </c>
      <c r="D127" t="s">
        <v>860</v>
      </c>
      <c r="E127" t="s">
        <v>192</v>
      </c>
      <c r="F127" t="s">
        <v>449</v>
      </c>
      <c r="G127" t="s">
        <v>76</v>
      </c>
    </row>
    <row r="128" spans="1:7">
      <c r="A128">
        <v>185</v>
      </c>
      <c r="B128" t="s">
        <v>1011</v>
      </c>
      <c r="C128" t="s">
        <v>1014</v>
      </c>
      <c r="D128" t="s">
        <v>875</v>
      </c>
      <c r="E128" t="s">
        <v>154</v>
      </c>
      <c r="F128" t="s">
        <v>154</v>
      </c>
      <c r="G128" t="s">
        <v>51</v>
      </c>
    </row>
    <row r="129" spans="1:7">
      <c r="A129">
        <v>256</v>
      </c>
      <c r="B129" t="s">
        <v>1015</v>
      </c>
      <c r="C129" t="s">
        <v>107</v>
      </c>
      <c r="D129" t="s">
        <v>1016</v>
      </c>
      <c r="E129" t="s">
        <v>108</v>
      </c>
      <c r="F129" t="s">
        <v>108</v>
      </c>
      <c r="G129" t="s">
        <v>42</v>
      </c>
    </row>
    <row r="130" spans="1:7">
      <c r="A130">
        <v>120</v>
      </c>
      <c r="B130" t="s">
        <v>1015</v>
      </c>
      <c r="C130" t="s">
        <v>1017</v>
      </c>
      <c r="D130" t="s">
        <v>847</v>
      </c>
      <c r="E130" t="s">
        <v>223</v>
      </c>
      <c r="F130" t="s">
        <v>223</v>
      </c>
      <c r="G130" t="s">
        <v>51</v>
      </c>
    </row>
    <row r="131" spans="1:7">
      <c r="A131">
        <v>145</v>
      </c>
      <c r="B131" t="s">
        <v>1018</v>
      </c>
      <c r="C131" t="s">
        <v>380</v>
      </c>
      <c r="D131" t="s">
        <v>856</v>
      </c>
      <c r="E131" t="s">
        <v>132</v>
      </c>
      <c r="F131" t="s">
        <v>132</v>
      </c>
      <c r="G131" t="s">
        <v>51</v>
      </c>
    </row>
    <row r="132" spans="1:7">
      <c r="A132">
        <v>268</v>
      </c>
      <c r="B132" t="s">
        <v>1019</v>
      </c>
      <c r="C132" t="s">
        <v>1020</v>
      </c>
      <c r="D132" t="s">
        <v>852</v>
      </c>
      <c r="E132" t="s">
        <v>75</v>
      </c>
      <c r="F132" t="s">
        <v>75</v>
      </c>
      <c r="G132" t="s">
        <v>76</v>
      </c>
    </row>
    <row r="133" spans="1:7">
      <c r="A133">
        <v>106</v>
      </c>
      <c r="B133" t="s">
        <v>1021</v>
      </c>
      <c r="C133" t="s">
        <v>1022</v>
      </c>
      <c r="D133" t="s">
        <v>860</v>
      </c>
      <c r="E133" t="s">
        <v>192</v>
      </c>
      <c r="F133" t="s">
        <v>449</v>
      </c>
      <c r="G133" t="s">
        <v>76</v>
      </c>
    </row>
    <row r="134" spans="1:7">
      <c r="A134">
        <v>7</v>
      </c>
      <c r="B134" t="s">
        <v>890</v>
      </c>
      <c r="C134" t="s">
        <v>186</v>
      </c>
      <c r="D134" t="s">
        <v>890</v>
      </c>
      <c r="E134" t="s">
        <v>186</v>
      </c>
      <c r="F134" t="s">
        <v>186</v>
      </c>
      <c r="G134" t="s">
        <v>42</v>
      </c>
    </row>
    <row r="135" spans="1:7">
      <c r="A135">
        <v>224</v>
      </c>
      <c r="B135" t="s">
        <v>890</v>
      </c>
      <c r="C135" t="s">
        <v>1023</v>
      </c>
      <c r="D135" t="s">
        <v>858</v>
      </c>
      <c r="E135" t="s">
        <v>50</v>
      </c>
      <c r="F135" t="s">
        <v>50</v>
      </c>
      <c r="G135" t="s">
        <v>51</v>
      </c>
    </row>
    <row r="136" spans="1:7">
      <c r="A136">
        <v>8</v>
      </c>
      <c r="B136" t="s">
        <v>890</v>
      </c>
      <c r="C136" t="s">
        <v>1024</v>
      </c>
      <c r="D136" t="s">
        <v>890</v>
      </c>
      <c r="E136" t="s">
        <v>186</v>
      </c>
      <c r="F136" t="s">
        <v>186</v>
      </c>
      <c r="G136" t="s">
        <v>42</v>
      </c>
    </row>
    <row r="137" spans="1:7">
      <c r="A137">
        <v>35</v>
      </c>
      <c r="B137" t="s">
        <v>1025</v>
      </c>
      <c r="C137" t="s">
        <v>234</v>
      </c>
      <c r="D137" t="s">
        <v>1016</v>
      </c>
      <c r="E137" t="s">
        <v>108</v>
      </c>
      <c r="F137" t="s">
        <v>108</v>
      </c>
      <c r="G137" t="s">
        <v>42</v>
      </c>
    </row>
    <row r="138" spans="1:7">
      <c r="A138">
        <v>85</v>
      </c>
      <c r="B138" t="s">
        <v>1025</v>
      </c>
      <c r="C138" t="s">
        <v>528</v>
      </c>
      <c r="D138" t="s">
        <v>916</v>
      </c>
      <c r="E138" t="s">
        <v>97</v>
      </c>
      <c r="F138" t="s">
        <v>97</v>
      </c>
      <c r="G138" t="s">
        <v>42</v>
      </c>
    </row>
    <row r="139" spans="1:7">
      <c r="A139">
        <v>117</v>
      </c>
      <c r="B139" t="s">
        <v>1026</v>
      </c>
      <c r="C139" t="s">
        <v>1027</v>
      </c>
      <c r="D139" t="s">
        <v>856</v>
      </c>
      <c r="E139" t="s">
        <v>132</v>
      </c>
      <c r="F139" t="s">
        <v>132</v>
      </c>
      <c r="G139" t="s">
        <v>51</v>
      </c>
    </row>
    <row r="140" spans="1:7">
      <c r="A140">
        <v>269</v>
      </c>
      <c r="B140" t="s">
        <v>1026</v>
      </c>
      <c r="C140" t="s">
        <v>1028</v>
      </c>
      <c r="D140" t="s">
        <v>908</v>
      </c>
      <c r="E140" t="s">
        <v>41</v>
      </c>
      <c r="F140" t="s">
        <v>41</v>
      </c>
      <c r="G140" t="s">
        <v>42</v>
      </c>
    </row>
    <row r="141" spans="1:7">
      <c r="A141">
        <v>159</v>
      </c>
      <c r="B141" t="s">
        <v>1029</v>
      </c>
      <c r="C141" t="s">
        <v>1030</v>
      </c>
      <c r="D141" t="s">
        <v>872</v>
      </c>
      <c r="E141" t="s">
        <v>57</v>
      </c>
      <c r="F141" t="s">
        <v>57</v>
      </c>
      <c r="G141" t="s">
        <v>51</v>
      </c>
    </row>
    <row r="142" spans="1:7">
      <c r="A142">
        <v>28</v>
      </c>
      <c r="B142" t="s">
        <v>1031</v>
      </c>
      <c r="C142" t="s">
        <v>502</v>
      </c>
      <c r="D142" t="s">
        <v>852</v>
      </c>
      <c r="E142" t="s">
        <v>75</v>
      </c>
      <c r="F142" t="s">
        <v>75</v>
      </c>
      <c r="G142" t="s">
        <v>76</v>
      </c>
    </row>
    <row r="143" spans="1:7">
      <c r="A143">
        <v>90</v>
      </c>
      <c r="B143" t="s">
        <v>1032</v>
      </c>
      <c r="C143" t="s">
        <v>1033</v>
      </c>
      <c r="D143" t="s">
        <v>847</v>
      </c>
      <c r="E143" t="s">
        <v>223</v>
      </c>
      <c r="F143" t="s">
        <v>223</v>
      </c>
      <c r="G143" t="s">
        <v>51</v>
      </c>
    </row>
    <row r="144" spans="1:7">
      <c r="A144">
        <v>60</v>
      </c>
      <c r="B144" t="s">
        <v>1034</v>
      </c>
      <c r="C144" t="s">
        <v>533</v>
      </c>
      <c r="D144" t="s">
        <v>875</v>
      </c>
      <c r="E144" t="s">
        <v>154</v>
      </c>
      <c r="F144" t="s">
        <v>154</v>
      </c>
      <c r="G144" t="s">
        <v>51</v>
      </c>
    </row>
    <row r="145" spans="1:7">
      <c r="A145">
        <v>189</v>
      </c>
      <c r="B145" t="s">
        <v>1034</v>
      </c>
      <c r="C145" t="s">
        <v>1035</v>
      </c>
      <c r="D145" t="s">
        <v>908</v>
      </c>
      <c r="E145" t="s">
        <v>41</v>
      </c>
      <c r="F145" t="s">
        <v>41</v>
      </c>
      <c r="G145" t="s">
        <v>42</v>
      </c>
    </row>
    <row r="146" spans="1:7">
      <c r="A146">
        <v>46</v>
      </c>
      <c r="B146" t="s">
        <v>1034</v>
      </c>
      <c r="C146" t="s">
        <v>1036</v>
      </c>
      <c r="D146" t="s">
        <v>916</v>
      </c>
      <c r="E146" t="s">
        <v>97</v>
      </c>
      <c r="F146" t="s">
        <v>97</v>
      </c>
      <c r="G146" t="s">
        <v>42</v>
      </c>
    </row>
    <row r="147" spans="1:7">
      <c r="A147">
        <v>92</v>
      </c>
      <c r="B147" t="s">
        <v>1034</v>
      </c>
      <c r="C147" t="s">
        <v>611</v>
      </c>
      <c r="D147" t="s">
        <v>868</v>
      </c>
      <c r="E147" t="s">
        <v>62</v>
      </c>
      <c r="F147" t="s">
        <v>62</v>
      </c>
      <c r="G147" t="s">
        <v>42</v>
      </c>
    </row>
    <row r="148" spans="1:7">
      <c r="A148">
        <v>20</v>
      </c>
      <c r="B148" t="s">
        <v>1034</v>
      </c>
      <c r="C148" t="s">
        <v>1037</v>
      </c>
      <c r="D148" t="s">
        <v>852</v>
      </c>
      <c r="E148" t="s">
        <v>75</v>
      </c>
      <c r="F148" t="s">
        <v>75</v>
      </c>
      <c r="G148" t="s">
        <v>76</v>
      </c>
    </row>
    <row r="149" spans="1:7">
      <c r="A149">
        <v>57</v>
      </c>
      <c r="B149" t="s">
        <v>1034</v>
      </c>
      <c r="C149" t="s">
        <v>1038</v>
      </c>
      <c r="D149" t="s">
        <v>872</v>
      </c>
      <c r="E149" t="s">
        <v>57</v>
      </c>
      <c r="F149" t="s">
        <v>57</v>
      </c>
      <c r="G149" t="s">
        <v>51</v>
      </c>
    </row>
    <row r="150" spans="1:7">
      <c r="A150">
        <v>236</v>
      </c>
      <c r="B150" t="s">
        <v>1034</v>
      </c>
      <c r="C150" t="s">
        <v>1039</v>
      </c>
      <c r="D150" t="s">
        <v>871</v>
      </c>
      <c r="E150" t="s">
        <v>177</v>
      </c>
      <c r="F150" t="s">
        <v>177</v>
      </c>
      <c r="G150" t="s">
        <v>76</v>
      </c>
    </row>
    <row r="151" spans="1:7">
      <c r="A151">
        <v>252</v>
      </c>
      <c r="B151" t="s">
        <v>1034</v>
      </c>
      <c r="C151" t="s">
        <v>1040</v>
      </c>
      <c r="D151" t="s">
        <v>868</v>
      </c>
      <c r="E151" t="s">
        <v>62</v>
      </c>
      <c r="F151" t="s">
        <v>62</v>
      </c>
      <c r="G151" t="s">
        <v>42</v>
      </c>
    </row>
    <row r="152" spans="1:7">
      <c r="A152">
        <v>190</v>
      </c>
      <c r="B152" t="s">
        <v>1034</v>
      </c>
      <c r="C152" t="s">
        <v>530</v>
      </c>
      <c r="D152" t="s">
        <v>852</v>
      </c>
      <c r="E152" t="s">
        <v>75</v>
      </c>
      <c r="F152" t="s">
        <v>75</v>
      </c>
      <c r="G152" t="s">
        <v>76</v>
      </c>
    </row>
    <row r="153" spans="1:7">
      <c r="A153">
        <v>191</v>
      </c>
      <c r="B153" t="s">
        <v>1034</v>
      </c>
      <c r="C153" t="s">
        <v>1041</v>
      </c>
      <c r="D153" t="s">
        <v>858</v>
      </c>
      <c r="E153" t="s">
        <v>50</v>
      </c>
      <c r="F153" t="s">
        <v>50</v>
      </c>
      <c r="G153" t="s">
        <v>51</v>
      </c>
    </row>
    <row r="154" spans="1:7">
      <c r="A154">
        <v>141</v>
      </c>
      <c r="B154" t="s">
        <v>1042</v>
      </c>
      <c r="C154" t="s">
        <v>1043</v>
      </c>
      <c r="D154" t="s">
        <v>856</v>
      </c>
      <c r="E154" t="s">
        <v>132</v>
      </c>
      <c r="F154" t="s">
        <v>132</v>
      </c>
      <c r="G154" t="s">
        <v>51</v>
      </c>
    </row>
    <row r="155" spans="1:7">
      <c r="A155">
        <v>105</v>
      </c>
      <c r="B155" t="s">
        <v>1044</v>
      </c>
      <c r="C155" t="s">
        <v>1045</v>
      </c>
      <c r="D155" t="s">
        <v>908</v>
      </c>
      <c r="E155" t="s">
        <v>41</v>
      </c>
      <c r="F155" t="s">
        <v>41</v>
      </c>
      <c r="G155" t="s">
        <v>42</v>
      </c>
    </row>
    <row r="156" spans="1:7">
      <c r="A156">
        <v>122</v>
      </c>
      <c r="B156" t="s">
        <v>920</v>
      </c>
      <c r="C156" t="s">
        <v>68</v>
      </c>
      <c r="D156" t="s">
        <v>920</v>
      </c>
      <c r="E156" t="s">
        <v>68</v>
      </c>
      <c r="F156" t="s">
        <v>68</v>
      </c>
      <c r="G156" t="s">
        <v>42</v>
      </c>
    </row>
    <row r="157" spans="1:7">
      <c r="A157">
        <v>155</v>
      </c>
      <c r="B157" t="s">
        <v>920</v>
      </c>
      <c r="C157" t="s">
        <v>153</v>
      </c>
      <c r="D157" t="s">
        <v>875</v>
      </c>
      <c r="E157" t="s">
        <v>154</v>
      </c>
      <c r="F157" t="s">
        <v>154</v>
      </c>
      <c r="G157" t="s">
        <v>51</v>
      </c>
    </row>
    <row r="158" spans="1:7">
      <c r="A158">
        <v>127</v>
      </c>
      <c r="B158" t="s">
        <v>920</v>
      </c>
      <c r="C158" t="s">
        <v>222</v>
      </c>
      <c r="D158" t="s">
        <v>847</v>
      </c>
      <c r="E158" t="s">
        <v>223</v>
      </c>
      <c r="F158" t="s">
        <v>223</v>
      </c>
      <c r="G158" t="s">
        <v>51</v>
      </c>
    </row>
    <row r="159" spans="1:7">
      <c r="A159">
        <v>29</v>
      </c>
      <c r="B159" t="s">
        <v>920</v>
      </c>
      <c r="C159" t="s">
        <v>1046</v>
      </c>
      <c r="D159" t="s">
        <v>871</v>
      </c>
      <c r="E159" t="s">
        <v>177</v>
      </c>
      <c r="F159" t="s">
        <v>177</v>
      </c>
      <c r="G159" t="s">
        <v>76</v>
      </c>
    </row>
    <row r="160" spans="1:7">
      <c r="A160">
        <v>13</v>
      </c>
      <c r="B160" t="s">
        <v>916</v>
      </c>
      <c r="C160" t="s">
        <v>97</v>
      </c>
      <c r="D160" t="s">
        <v>916</v>
      </c>
      <c r="E160" t="s">
        <v>97</v>
      </c>
      <c r="F160" t="s">
        <v>97</v>
      </c>
      <c r="G160" t="s">
        <v>42</v>
      </c>
    </row>
    <row r="161" spans="1:7">
      <c r="A161">
        <v>21</v>
      </c>
      <c r="B161" t="s">
        <v>916</v>
      </c>
      <c r="C161" t="s">
        <v>176</v>
      </c>
      <c r="D161" t="s">
        <v>871</v>
      </c>
      <c r="E161" t="s">
        <v>177</v>
      </c>
      <c r="F161" t="s">
        <v>177</v>
      </c>
      <c r="G161" t="s">
        <v>76</v>
      </c>
    </row>
    <row r="162" spans="1:7">
      <c r="A162">
        <v>136</v>
      </c>
      <c r="B162" t="s">
        <v>1047</v>
      </c>
      <c r="C162" t="s">
        <v>1048</v>
      </c>
      <c r="D162" t="s">
        <v>875</v>
      </c>
      <c r="E162" t="s">
        <v>154</v>
      </c>
      <c r="F162" t="s">
        <v>154</v>
      </c>
      <c r="G162" t="s">
        <v>51</v>
      </c>
    </row>
    <row r="163" spans="1:7">
      <c r="A163">
        <v>135</v>
      </c>
      <c r="B163" t="s">
        <v>1049</v>
      </c>
      <c r="C163" t="s">
        <v>1050</v>
      </c>
      <c r="D163" t="s">
        <v>856</v>
      </c>
      <c r="E163" t="s">
        <v>132</v>
      </c>
      <c r="F163" t="s">
        <v>132</v>
      </c>
      <c r="G163" t="s">
        <v>51</v>
      </c>
    </row>
    <row r="164" spans="1:7">
      <c r="A164">
        <v>15</v>
      </c>
      <c r="B164" t="s">
        <v>1049</v>
      </c>
      <c r="C164" t="s">
        <v>283</v>
      </c>
      <c r="D164" t="s">
        <v>858</v>
      </c>
      <c r="E164" t="s">
        <v>50</v>
      </c>
      <c r="F164" t="s">
        <v>50</v>
      </c>
      <c r="G164" t="s">
        <v>51</v>
      </c>
    </row>
    <row r="165" spans="1:7">
      <c r="A165">
        <v>94</v>
      </c>
      <c r="B165" t="s">
        <v>871</v>
      </c>
      <c r="C165" t="s">
        <v>177</v>
      </c>
      <c r="D165" t="s">
        <v>871</v>
      </c>
      <c r="E165" t="s">
        <v>177</v>
      </c>
      <c r="F165" t="s">
        <v>177</v>
      </c>
      <c r="G165" t="s">
        <v>76</v>
      </c>
    </row>
    <row r="166" spans="1:7">
      <c r="A166">
        <v>121</v>
      </c>
      <c r="B166" t="s">
        <v>871</v>
      </c>
      <c r="C166" t="s">
        <v>1051</v>
      </c>
      <c r="D166" t="s">
        <v>858</v>
      </c>
      <c r="E166" t="s">
        <v>50</v>
      </c>
      <c r="F166" t="s">
        <v>50</v>
      </c>
      <c r="G166" t="s">
        <v>51</v>
      </c>
    </row>
    <row r="167" spans="1:7">
      <c r="A167">
        <v>111</v>
      </c>
      <c r="B167" t="s">
        <v>1052</v>
      </c>
      <c r="C167" t="s">
        <v>600</v>
      </c>
      <c r="D167" t="s">
        <v>858</v>
      </c>
      <c r="E167" t="s">
        <v>50</v>
      </c>
      <c r="F167" t="s">
        <v>50</v>
      </c>
      <c r="G167" t="s">
        <v>51</v>
      </c>
    </row>
    <row r="168" spans="1:7">
      <c r="A168">
        <v>221</v>
      </c>
      <c r="B168" t="s">
        <v>1052</v>
      </c>
      <c r="C168" t="s">
        <v>1053</v>
      </c>
      <c r="D168" t="s">
        <v>856</v>
      </c>
      <c r="E168" t="s">
        <v>132</v>
      </c>
      <c r="F168" t="s">
        <v>132</v>
      </c>
      <c r="G168" t="s">
        <v>51</v>
      </c>
    </row>
    <row r="169" spans="1:7">
      <c r="A169">
        <v>126</v>
      </c>
      <c r="B169" t="s">
        <v>1054</v>
      </c>
      <c r="C169" t="s">
        <v>1055</v>
      </c>
      <c r="D169" t="s">
        <v>847</v>
      </c>
      <c r="E169" t="s">
        <v>223</v>
      </c>
      <c r="F169" t="s">
        <v>223</v>
      </c>
      <c r="G169" t="s">
        <v>51</v>
      </c>
    </row>
    <row r="170" spans="1:7">
      <c r="A170">
        <v>96</v>
      </c>
      <c r="B170" t="s">
        <v>1056</v>
      </c>
      <c r="C170" t="s">
        <v>316</v>
      </c>
      <c r="D170" t="s">
        <v>1016</v>
      </c>
      <c r="E170" t="s">
        <v>108</v>
      </c>
      <c r="F170" t="s">
        <v>108</v>
      </c>
      <c r="G170" t="s">
        <v>42</v>
      </c>
    </row>
    <row r="171" spans="1:7">
      <c r="A171">
        <v>53</v>
      </c>
      <c r="B171" t="s">
        <v>1057</v>
      </c>
      <c r="C171" t="s">
        <v>560</v>
      </c>
      <c r="D171" t="s">
        <v>847</v>
      </c>
      <c r="E171" t="s">
        <v>223</v>
      </c>
      <c r="F171" t="s">
        <v>223</v>
      </c>
      <c r="G171" t="s">
        <v>51</v>
      </c>
    </row>
    <row r="172" spans="1:7">
      <c r="A172">
        <v>14</v>
      </c>
      <c r="B172" t="s">
        <v>1058</v>
      </c>
      <c r="C172" t="s">
        <v>126</v>
      </c>
      <c r="D172" t="s">
        <v>916</v>
      </c>
      <c r="E172" t="s">
        <v>97</v>
      </c>
      <c r="F172" t="s">
        <v>97</v>
      </c>
      <c r="G172" t="s">
        <v>42</v>
      </c>
    </row>
    <row r="173" spans="1:7">
      <c r="A173">
        <v>183</v>
      </c>
      <c r="B173" t="s">
        <v>1016</v>
      </c>
      <c r="C173" t="s">
        <v>1059</v>
      </c>
      <c r="D173" t="s">
        <v>847</v>
      </c>
      <c r="E173" t="s">
        <v>223</v>
      </c>
      <c r="F173" t="s">
        <v>223</v>
      </c>
      <c r="G173" t="s">
        <v>51</v>
      </c>
    </row>
    <row r="174" spans="1:7">
      <c r="A174">
        <v>27</v>
      </c>
      <c r="B174" t="s">
        <v>1016</v>
      </c>
      <c r="C174" t="s">
        <v>620</v>
      </c>
      <c r="D174" t="s">
        <v>852</v>
      </c>
      <c r="E174" t="s">
        <v>75</v>
      </c>
      <c r="F174" t="s">
        <v>75</v>
      </c>
      <c r="G174" t="s">
        <v>76</v>
      </c>
    </row>
    <row r="175" spans="1:7">
      <c r="A175">
        <v>26</v>
      </c>
      <c r="B175" t="s">
        <v>1016</v>
      </c>
      <c r="C175" t="s">
        <v>108</v>
      </c>
      <c r="D175" t="s">
        <v>1016</v>
      </c>
      <c r="E175" t="s">
        <v>108</v>
      </c>
      <c r="F175" t="s">
        <v>108</v>
      </c>
      <c r="G175" t="s">
        <v>42</v>
      </c>
    </row>
    <row r="176" spans="1:7">
      <c r="A176">
        <v>101</v>
      </c>
      <c r="B176" t="s">
        <v>908</v>
      </c>
      <c r="C176" t="s">
        <v>1060</v>
      </c>
      <c r="D176" t="s">
        <v>852</v>
      </c>
      <c r="E176" t="s">
        <v>75</v>
      </c>
      <c r="F176" t="s">
        <v>75</v>
      </c>
      <c r="G176" t="s">
        <v>76</v>
      </c>
    </row>
    <row r="177" spans="1:7">
      <c r="A177">
        <v>137</v>
      </c>
      <c r="B177" t="s">
        <v>908</v>
      </c>
      <c r="C177" t="s">
        <v>1061</v>
      </c>
      <c r="D177" t="s">
        <v>872</v>
      </c>
      <c r="E177" t="s">
        <v>57</v>
      </c>
      <c r="F177" t="s">
        <v>57</v>
      </c>
      <c r="G177" t="s">
        <v>51</v>
      </c>
    </row>
    <row r="178" spans="1:7">
      <c r="A178">
        <v>1</v>
      </c>
      <c r="B178" t="s">
        <v>908</v>
      </c>
      <c r="C178" t="s">
        <v>41</v>
      </c>
      <c r="D178" t="s">
        <v>908</v>
      </c>
      <c r="E178" t="s">
        <v>41</v>
      </c>
      <c r="F178" t="s">
        <v>41</v>
      </c>
      <c r="G178" t="s">
        <v>42</v>
      </c>
    </row>
    <row r="179" spans="1:7">
      <c r="A179">
        <v>198</v>
      </c>
      <c r="B179" t="s">
        <v>1062</v>
      </c>
      <c r="C179" t="s">
        <v>1063</v>
      </c>
      <c r="D179" t="s">
        <v>847</v>
      </c>
      <c r="E179" t="s">
        <v>223</v>
      </c>
      <c r="F179" t="s">
        <v>223</v>
      </c>
      <c r="G179" t="s">
        <v>51</v>
      </c>
    </row>
    <row r="180" spans="1:7">
      <c r="A180">
        <v>239</v>
      </c>
      <c r="B180" t="s">
        <v>1062</v>
      </c>
      <c r="C180" t="s">
        <v>1064</v>
      </c>
      <c r="D180" t="s">
        <v>856</v>
      </c>
      <c r="E180" t="s">
        <v>132</v>
      </c>
      <c r="F180" t="s">
        <v>132</v>
      </c>
      <c r="G180" t="s">
        <v>51</v>
      </c>
    </row>
    <row r="181" spans="1:7">
      <c r="A181">
        <v>248</v>
      </c>
      <c r="B181" t="s">
        <v>1062</v>
      </c>
      <c r="C181" t="s">
        <v>1065</v>
      </c>
      <c r="D181" t="s">
        <v>858</v>
      </c>
      <c r="E181" t="s">
        <v>50</v>
      </c>
      <c r="F181" t="s">
        <v>50</v>
      </c>
      <c r="G181" t="s">
        <v>51</v>
      </c>
    </row>
    <row r="182" spans="1:7">
      <c r="A182">
        <v>234</v>
      </c>
      <c r="B182" t="s">
        <v>1062</v>
      </c>
      <c r="C182" t="s">
        <v>1066</v>
      </c>
      <c r="D182" t="s">
        <v>852</v>
      </c>
      <c r="E182" t="s">
        <v>75</v>
      </c>
      <c r="F182" t="s">
        <v>75</v>
      </c>
      <c r="G182" t="s">
        <v>76</v>
      </c>
    </row>
    <row r="183" spans="1:7">
      <c r="A183">
        <v>247</v>
      </c>
      <c r="B183" t="s">
        <v>1062</v>
      </c>
      <c r="C183" t="s">
        <v>1067</v>
      </c>
      <c r="D183" t="s">
        <v>847</v>
      </c>
      <c r="E183" t="s">
        <v>223</v>
      </c>
      <c r="F183" t="s">
        <v>223</v>
      </c>
      <c r="G183" t="s">
        <v>51</v>
      </c>
    </row>
    <row r="184" spans="1:7">
      <c r="A184">
        <v>230</v>
      </c>
      <c r="B184" t="s">
        <v>1062</v>
      </c>
      <c r="C184" t="s">
        <v>1068</v>
      </c>
      <c r="D184" t="s">
        <v>856</v>
      </c>
      <c r="E184" t="s">
        <v>132</v>
      </c>
      <c r="F184" t="s">
        <v>132</v>
      </c>
      <c r="G184" t="s">
        <v>51</v>
      </c>
    </row>
    <row r="185" spans="1:7">
      <c r="A185">
        <v>201</v>
      </c>
      <c r="B185" t="s">
        <v>1062</v>
      </c>
      <c r="C185" t="s">
        <v>1069</v>
      </c>
      <c r="D185" t="s">
        <v>872</v>
      </c>
      <c r="E185" t="s">
        <v>57</v>
      </c>
      <c r="F185" t="s">
        <v>57</v>
      </c>
      <c r="G185" t="s">
        <v>51</v>
      </c>
    </row>
    <row r="186" spans="1:7">
      <c r="A186">
        <v>205</v>
      </c>
      <c r="B186" t="s">
        <v>1062</v>
      </c>
      <c r="C186" t="s">
        <v>1070</v>
      </c>
      <c r="D186" t="s">
        <v>847</v>
      </c>
      <c r="E186" t="s">
        <v>223</v>
      </c>
      <c r="F186" t="s">
        <v>223</v>
      </c>
      <c r="G186" t="s">
        <v>51</v>
      </c>
    </row>
    <row r="187" spans="1:7">
      <c r="A187">
        <v>194</v>
      </c>
      <c r="B187" t="s">
        <v>1062</v>
      </c>
      <c r="C187" t="s">
        <v>1071</v>
      </c>
      <c r="D187" t="s">
        <v>875</v>
      </c>
      <c r="E187" t="s">
        <v>154</v>
      </c>
      <c r="F187" t="s">
        <v>154</v>
      </c>
      <c r="G187" t="s">
        <v>51</v>
      </c>
    </row>
    <row r="188" spans="1:7">
      <c r="A188">
        <v>172</v>
      </c>
      <c r="B188" t="s">
        <v>1062</v>
      </c>
      <c r="C188" t="s">
        <v>1072</v>
      </c>
      <c r="D188" t="s">
        <v>847</v>
      </c>
      <c r="E188" t="s">
        <v>223</v>
      </c>
      <c r="F188" t="s">
        <v>223</v>
      </c>
      <c r="G188" t="s">
        <v>51</v>
      </c>
    </row>
    <row r="189" spans="1:7">
      <c r="A189">
        <v>173</v>
      </c>
      <c r="B189" t="s">
        <v>1062</v>
      </c>
      <c r="C189" t="s">
        <v>1073</v>
      </c>
      <c r="D189" t="s">
        <v>872</v>
      </c>
      <c r="E189" t="s">
        <v>57</v>
      </c>
      <c r="F189" t="s">
        <v>57</v>
      </c>
      <c r="G189" t="s">
        <v>51</v>
      </c>
    </row>
    <row r="190" spans="1:7">
      <c r="A190">
        <v>177</v>
      </c>
      <c r="B190" t="s">
        <v>1062</v>
      </c>
      <c r="C190" t="s">
        <v>1074</v>
      </c>
      <c r="D190" t="s">
        <v>872</v>
      </c>
      <c r="E190" t="s">
        <v>57</v>
      </c>
      <c r="F190" t="s">
        <v>57</v>
      </c>
      <c r="G190" t="s">
        <v>51</v>
      </c>
    </row>
    <row r="191" spans="1:7">
      <c r="A191">
        <v>208</v>
      </c>
      <c r="B191" t="s">
        <v>1062</v>
      </c>
      <c r="C191" t="s">
        <v>1075</v>
      </c>
      <c r="D191" t="s">
        <v>847</v>
      </c>
      <c r="E191" t="s">
        <v>223</v>
      </c>
      <c r="F191" t="s">
        <v>223</v>
      </c>
      <c r="G191" t="s">
        <v>51</v>
      </c>
    </row>
    <row r="192" spans="1:7">
      <c r="A192">
        <v>213</v>
      </c>
      <c r="B192" t="s">
        <v>1062</v>
      </c>
      <c r="C192" t="s">
        <v>1076</v>
      </c>
      <c r="D192" t="s">
        <v>847</v>
      </c>
      <c r="E192" t="s">
        <v>223</v>
      </c>
      <c r="F192" t="s">
        <v>223</v>
      </c>
      <c r="G192" t="s">
        <v>51</v>
      </c>
    </row>
    <row r="193" spans="1:7">
      <c r="A193">
        <v>235</v>
      </c>
      <c r="B193" t="s">
        <v>1062</v>
      </c>
      <c r="C193" t="s">
        <v>1077</v>
      </c>
      <c r="D193" t="s">
        <v>852</v>
      </c>
      <c r="E193" t="s">
        <v>75</v>
      </c>
      <c r="F193" t="s">
        <v>75</v>
      </c>
      <c r="G193" t="s">
        <v>76</v>
      </c>
    </row>
    <row r="194" spans="1:7">
      <c r="A194">
        <v>212</v>
      </c>
      <c r="B194" t="s">
        <v>1062</v>
      </c>
      <c r="C194" t="s">
        <v>1078</v>
      </c>
      <c r="D194" t="s">
        <v>847</v>
      </c>
      <c r="E194" t="s">
        <v>223</v>
      </c>
      <c r="F194" t="s">
        <v>223</v>
      </c>
      <c r="G194" t="s">
        <v>51</v>
      </c>
    </row>
    <row r="195" spans="1:7">
      <c r="A195">
        <v>223</v>
      </c>
      <c r="B195" t="s">
        <v>1062</v>
      </c>
      <c r="C195" t="s">
        <v>1079</v>
      </c>
      <c r="D195" t="s">
        <v>858</v>
      </c>
      <c r="E195" t="s">
        <v>50</v>
      </c>
      <c r="F195" t="s">
        <v>50</v>
      </c>
      <c r="G195" t="s">
        <v>51</v>
      </c>
    </row>
    <row r="196" spans="1:7">
      <c r="A196">
        <v>206</v>
      </c>
      <c r="B196" t="s">
        <v>1062</v>
      </c>
      <c r="C196" t="s">
        <v>1080</v>
      </c>
      <c r="D196" t="s">
        <v>847</v>
      </c>
      <c r="E196" t="s">
        <v>223</v>
      </c>
      <c r="F196" t="s">
        <v>223</v>
      </c>
      <c r="G196" t="s">
        <v>51</v>
      </c>
    </row>
    <row r="197" spans="1:7">
      <c r="A197">
        <v>209</v>
      </c>
      <c r="B197" t="s">
        <v>1062</v>
      </c>
      <c r="C197" t="s">
        <v>1081</v>
      </c>
      <c r="D197" t="s">
        <v>847</v>
      </c>
      <c r="E197" t="s">
        <v>223</v>
      </c>
      <c r="F197" t="s">
        <v>223</v>
      </c>
      <c r="G197" t="s">
        <v>51</v>
      </c>
    </row>
    <row r="198" spans="1:7">
      <c r="A198">
        <v>210</v>
      </c>
      <c r="B198" t="s">
        <v>1062</v>
      </c>
      <c r="C198" t="s">
        <v>1082</v>
      </c>
      <c r="D198" t="s">
        <v>847</v>
      </c>
      <c r="E198" t="s">
        <v>223</v>
      </c>
      <c r="F198" t="s">
        <v>223</v>
      </c>
      <c r="G198" t="s">
        <v>51</v>
      </c>
    </row>
    <row r="199" spans="1:7">
      <c r="A199">
        <v>204</v>
      </c>
      <c r="B199" t="s">
        <v>1062</v>
      </c>
      <c r="C199" t="s">
        <v>1083</v>
      </c>
      <c r="D199" t="s">
        <v>847</v>
      </c>
      <c r="E199" t="s">
        <v>223</v>
      </c>
      <c r="F199" t="s">
        <v>223</v>
      </c>
      <c r="G199" t="s">
        <v>51</v>
      </c>
    </row>
    <row r="200" spans="1:7">
      <c r="A200">
        <v>207</v>
      </c>
      <c r="B200" t="s">
        <v>1062</v>
      </c>
      <c r="C200" t="s">
        <v>1084</v>
      </c>
      <c r="D200" t="s">
        <v>847</v>
      </c>
      <c r="E200" t="s">
        <v>223</v>
      </c>
      <c r="F200" t="s">
        <v>223</v>
      </c>
      <c r="G200" t="s">
        <v>51</v>
      </c>
    </row>
    <row r="201" spans="1:7">
      <c r="A201">
        <v>175</v>
      </c>
      <c r="B201" t="s">
        <v>1062</v>
      </c>
      <c r="C201" t="s">
        <v>1085</v>
      </c>
      <c r="D201" t="s">
        <v>872</v>
      </c>
      <c r="E201" t="s">
        <v>57</v>
      </c>
      <c r="F201" t="s">
        <v>57</v>
      </c>
      <c r="G201" t="s">
        <v>51</v>
      </c>
    </row>
    <row r="202" spans="1:7">
      <c r="A202">
        <v>202</v>
      </c>
      <c r="B202" t="s">
        <v>1062</v>
      </c>
      <c r="C202" t="s">
        <v>1086</v>
      </c>
      <c r="D202" t="s">
        <v>847</v>
      </c>
      <c r="E202" t="s">
        <v>223</v>
      </c>
      <c r="F202" t="s">
        <v>223</v>
      </c>
      <c r="G202" t="s">
        <v>51</v>
      </c>
    </row>
    <row r="203" spans="1:7">
      <c r="A203">
        <v>203</v>
      </c>
      <c r="B203" t="s">
        <v>1062</v>
      </c>
      <c r="C203" t="s">
        <v>1087</v>
      </c>
      <c r="D203" t="s">
        <v>847</v>
      </c>
      <c r="E203" t="s">
        <v>223</v>
      </c>
      <c r="F203" t="s">
        <v>223</v>
      </c>
      <c r="G203" t="s">
        <v>51</v>
      </c>
    </row>
    <row r="204" spans="1:7">
      <c r="A204">
        <v>211</v>
      </c>
      <c r="B204" t="s">
        <v>1062</v>
      </c>
      <c r="C204" t="s">
        <v>1088</v>
      </c>
      <c r="D204" t="s">
        <v>847</v>
      </c>
      <c r="E204" t="s">
        <v>223</v>
      </c>
      <c r="F204" t="s">
        <v>223</v>
      </c>
      <c r="G204" t="s">
        <v>51</v>
      </c>
    </row>
    <row r="205" spans="1:7">
      <c r="A205">
        <v>238</v>
      </c>
      <c r="B205" t="s">
        <v>1062</v>
      </c>
      <c r="C205" t="s">
        <v>1089</v>
      </c>
      <c r="D205" t="s">
        <v>856</v>
      </c>
      <c r="E205" t="s">
        <v>132</v>
      </c>
      <c r="F205" t="s">
        <v>132</v>
      </c>
      <c r="G205" t="s">
        <v>51</v>
      </c>
    </row>
    <row r="206" spans="1:7">
      <c r="A206">
        <v>273</v>
      </c>
      <c r="B206" t="s">
        <v>1062</v>
      </c>
      <c r="C206" t="s">
        <v>1090</v>
      </c>
      <c r="D206" t="s">
        <v>908</v>
      </c>
      <c r="E206" t="s">
        <v>41</v>
      </c>
      <c r="F206" t="s">
        <v>41</v>
      </c>
      <c r="G206" t="s">
        <v>42</v>
      </c>
    </row>
    <row r="207" spans="1:7">
      <c r="A207">
        <v>229</v>
      </c>
      <c r="B207" t="s">
        <v>1062</v>
      </c>
      <c r="C207" t="s">
        <v>1091</v>
      </c>
      <c r="D207" t="s">
        <v>856</v>
      </c>
      <c r="E207" t="s">
        <v>132</v>
      </c>
      <c r="F207" t="s">
        <v>132</v>
      </c>
      <c r="G207" t="s">
        <v>51</v>
      </c>
    </row>
    <row r="208" spans="1:7">
      <c r="A208">
        <v>246</v>
      </c>
      <c r="B208" t="s">
        <v>1062</v>
      </c>
      <c r="C208" t="s">
        <v>1092</v>
      </c>
      <c r="D208" t="s">
        <v>847</v>
      </c>
      <c r="E208" t="s">
        <v>223</v>
      </c>
      <c r="F208" t="s">
        <v>223</v>
      </c>
      <c r="G208" t="s">
        <v>51</v>
      </c>
    </row>
    <row r="209" spans="1:7">
      <c r="A209">
        <v>131</v>
      </c>
      <c r="B209" t="s">
        <v>1093</v>
      </c>
      <c r="C209" t="s">
        <v>1094</v>
      </c>
      <c r="D209" t="s">
        <v>856</v>
      </c>
      <c r="E209" t="s">
        <v>132</v>
      </c>
      <c r="F209" t="s">
        <v>132</v>
      </c>
      <c r="G209" t="s">
        <v>51</v>
      </c>
    </row>
    <row r="210" spans="1:7">
      <c r="A210">
        <v>34</v>
      </c>
      <c r="B210" t="s">
        <v>1095</v>
      </c>
      <c r="C210" t="s">
        <v>1096</v>
      </c>
      <c r="D210" t="s">
        <v>858</v>
      </c>
      <c r="E210" t="s">
        <v>50</v>
      </c>
      <c r="F210" t="s">
        <v>50</v>
      </c>
      <c r="G210" t="s">
        <v>51</v>
      </c>
    </row>
    <row r="211" spans="1:7">
      <c r="A211">
        <v>245</v>
      </c>
      <c r="B211" t="s">
        <v>1097</v>
      </c>
      <c r="C211" t="s">
        <v>1098</v>
      </c>
      <c r="D211" t="s">
        <v>852</v>
      </c>
      <c r="E211" t="s">
        <v>75</v>
      </c>
      <c r="F211" t="s">
        <v>75</v>
      </c>
      <c r="G211" t="s">
        <v>76</v>
      </c>
    </row>
    <row r="212" spans="1:7">
      <c r="A212">
        <v>54</v>
      </c>
      <c r="B212" t="s">
        <v>1099</v>
      </c>
      <c r="C212" t="s">
        <v>243</v>
      </c>
      <c r="D212" t="s">
        <v>916</v>
      </c>
      <c r="E212" t="s">
        <v>97</v>
      </c>
      <c r="F212" t="s">
        <v>97</v>
      </c>
      <c r="G212" t="s">
        <v>42</v>
      </c>
    </row>
    <row r="213" spans="1:7">
      <c r="A213">
        <v>95</v>
      </c>
      <c r="B213" t="s">
        <v>1100</v>
      </c>
      <c r="C213" t="s">
        <v>1101</v>
      </c>
      <c r="D213" t="s">
        <v>850</v>
      </c>
      <c r="E213" t="s">
        <v>336</v>
      </c>
      <c r="F213" t="s">
        <v>336</v>
      </c>
      <c r="G213" t="s">
        <v>76</v>
      </c>
    </row>
    <row r="214" spans="1:7">
      <c r="A214">
        <v>227</v>
      </c>
      <c r="B214" t="s">
        <v>1102</v>
      </c>
      <c r="C214" t="s">
        <v>1103</v>
      </c>
      <c r="D214" t="s">
        <v>858</v>
      </c>
      <c r="E214" t="s">
        <v>50</v>
      </c>
      <c r="F214" t="s">
        <v>50</v>
      </c>
      <c r="G214" t="s">
        <v>51</v>
      </c>
    </row>
    <row r="215" spans="1:7">
      <c r="A215">
        <v>258</v>
      </c>
      <c r="B215" t="s">
        <v>1104</v>
      </c>
      <c r="C215" t="s">
        <v>1105</v>
      </c>
      <c r="D215" t="s">
        <v>871</v>
      </c>
      <c r="E215" t="s">
        <v>177</v>
      </c>
      <c r="F215" t="s">
        <v>177</v>
      </c>
      <c r="G215" t="s">
        <v>76</v>
      </c>
    </row>
    <row r="216" spans="1:7">
      <c r="A216">
        <v>124</v>
      </c>
      <c r="B216" t="s">
        <v>1106</v>
      </c>
      <c r="C216" t="s">
        <v>1107</v>
      </c>
      <c r="D216" t="s">
        <v>847</v>
      </c>
      <c r="E216" t="s">
        <v>223</v>
      </c>
      <c r="F216" t="s">
        <v>223</v>
      </c>
      <c r="G216" t="s">
        <v>51</v>
      </c>
    </row>
    <row r="217" spans="1:7">
      <c r="A217">
        <v>168</v>
      </c>
      <c r="B217" t="s">
        <v>1108</v>
      </c>
      <c r="C217" t="s">
        <v>1109</v>
      </c>
      <c r="D217" t="s">
        <v>847</v>
      </c>
      <c r="E217" t="s">
        <v>223</v>
      </c>
      <c r="F217" t="s">
        <v>223</v>
      </c>
      <c r="G217" t="s">
        <v>51</v>
      </c>
    </row>
    <row r="218" spans="1:7">
      <c r="A218">
        <v>263</v>
      </c>
      <c r="B218" t="s">
        <v>1110</v>
      </c>
      <c r="C218" t="s">
        <v>1111</v>
      </c>
      <c r="D218" t="s">
        <v>852</v>
      </c>
      <c r="E218" t="s">
        <v>75</v>
      </c>
      <c r="F218" t="s">
        <v>75</v>
      </c>
      <c r="G218" t="s">
        <v>76</v>
      </c>
    </row>
    <row r="219" spans="1:7">
      <c r="A219">
        <v>31</v>
      </c>
      <c r="B219" t="s">
        <v>1110</v>
      </c>
      <c r="C219" t="s">
        <v>476</v>
      </c>
      <c r="D219" t="s">
        <v>890</v>
      </c>
      <c r="E219" t="s">
        <v>186</v>
      </c>
      <c r="F219" t="s">
        <v>186</v>
      </c>
      <c r="G219" t="s">
        <v>42</v>
      </c>
    </row>
    <row r="220" spans="1:7">
      <c r="A220">
        <v>70</v>
      </c>
      <c r="B220" t="s">
        <v>1110</v>
      </c>
      <c r="C220" t="s">
        <v>81</v>
      </c>
      <c r="D220" t="s">
        <v>868</v>
      </c>
      <c r="E220" t="s">
        <v>62</v>
      </c>
      <c r="F220" t="s">
        <v>68</v>
      </c>
      <c r="G220" t="s">
        <v>42</v>
      </c>
    </row>
    <row r="221" spans="1:7">
      <c r="A221">
        <v>226</v>
      </c>
      <c r="B221" t="s">
        <v>1112</v>
      </c>
      <c r="C221" t="s">
        <v>1113</v>
      </c>
      <c r="D221" t="s">
        <v>916</v>
      </c>
      <c r="E221" t="s">
        <v>97</v>
      </c>
      <c r="F221" t="s">
        <v>97</v>
      </c>
      <c r="G221" t="s">
        <v>42</v>
      </c>
    </row>
    <row r="222" spans="1:7">
      <c r="A222">
        <v>232</v>
      </c>
      <c r="B222" t="s">
        <v>1114</v>
      </c>
      <c r="C222" t="s">
        <v>1115</v>
      </c>
      <c r="D222" t="s">
        <v>860</v>
      </c>
      <c r="E222" t="s">
        <v>192</v>
      </c>
      <c r="F222" t="s">
        <v>449</v>
      </c>
      <c r="G222" t="s">
        <v>76</v>
      </c>
    </row>
    <row r="223" spans="1:7">
      <c r="A223">
        <v>132</v>
      </c>
      <c r="B223" t="s">
        <v>1116</v>
      </c>
      <c r="C223" t="s">
        <v>1117</v>
      </c>
      <c r="D223" t="s">
        <v>856</v>
      </c>
      <c r="E223" t="s">
        <v>132</v>
      </c>
      <c r="F223" t="s">
        <v>132</v>
      </c>
      <c r="G223" t="s">
        <v>51</v>
      </c>
    </row>
    <row r="224" spans="1:7">
      <c r="A224">
        <v>107</v>
      </c>
      <c r="B224" t="s">
        <v>1118</v>
      </c>
      <c r="C224" t="s">
        <v>1119</v>
      </c>
      <c r="D224" t="s">
        <v>860</v>
      </c>
      <c r="E224" t="s">
        <v>192</v>
      </c>
      <c r="F224" t="s">
        <v>449</v>
      </c>
      <c r="G224" t="s">
        <v>76</v>
      </c>
    </row>
    <row r="225" spans="1:7">
      <c r="A225">
        <v>241</v>
      </c>
      <c r="B225" t="s">
        <v>1118</v>
      </c>
      <c r="C225" t="s">
        <v>1120</v>
      </c>
      <c r="D225" t="s">
        <v>852</v>
      </c>
      <c r="E225" t="s">
        <v>75</v>
      </c>
      <c r="F225" t="s">
        <v>75</v>
      </c>
      <c r="G225" t="s">
        <v>76</v>
      </c>
    </row>
    <row r="226" spans="1:7">
      <c r="A226">
        <v>58</v>
      </c>
      <c r="B226" t="s">
        <v>1118</v>
      </c>
      <c r="C226" t="s">
        <v>248</v>
      </c>
      <c r="D226" t="s">
        <v>872</v>
      </c>
      <c r="E226" t="s">
        <v>57</v>
      </c>
      <c r="F226" t="s">
        <v>57</v>
      </c>
      <c r="G226" t="s">
        <v>51</v>
      </c>
    </row>
    <row r="227" spans="1:7">
      <c r="A227">
        <v>165</v>
      </c>
      <c r="B227" t="s">
        <v>1118</v>
      </c>
      <c r="C227" t="s">
        <v>1121</v>
      </c>
      <c r="D227" t="s">
        <v>856</v>
      </c>
      <c r="E227" t="s">
        <v>132</v>
      </c>
      <c r="F227" t="s">
        <v>132</v>
      </c>
      <c r="G227" t="s">
        <v>51</v>
      </c>
    </row>
    <row r="228" spans="1:7">
      <c r="A228">
        <v>104</v>
      </c>
      <c r="B228" t="s">
        <v>1118</v>
      </c>
      <c r="C228" t="s">
        <v>1122</v>
      </c>
      <c r="D228" t="s">
        <v>858</v>
      </c>
      <c r="E228" t="s">
        <v>50</v>
      </c>
      <c r="F228" t="s">
        <v>50</v>
      </c>
      <c r="G228" t="s">
        <v>51</v>
      </c>
    </row>
    <row r="229" spans="1:7">
      <c r="A229">
        <v>110</v>
      </c>
      <c r="B229" t="s">
        <v>1118</v>
      </c>
      <c r="C229" t="s">
        <v>137</v>
      </c>
      <c r="D229" t="s">
        <v>908</v>
      </c>
      <c r="E229" t="s">
        <v>41</v>
      </c>
      <c r="F229" t="s">
        <v>41</v>
      </c>
      <c r="G229" t="s">
        <v>42</v>
      </c>
    </row>
    <row r="230" spans="1:7">
      <c r="A230">
        <v>152</v>
      </c>
      <c r="B230" t="s">
        <v>1118</v>
      </c>
      <c r="C230" t="s">
        <v>291</v>
      </c>
      <c r="D230" t="s">
        <v>908</v>
      </c>
      <c r="E230" t="s">
        <v>41</v>
      </c>
      <c r="F230" t="s">
        <v>41</v>
      </c>
      <c r="G230" t="s">
        <v>42</v>
      </c>
    </row>
    <row r="231" spans="1:7">
      <c r="A231">
        <v>93</v>
      </c>
      <c r="B231" t="s">
        <v>1118</v>
      </c>
      <c r="C231" t="s">
        <v>1123</v>
      </c>
      <c r="D231" t="s">
        <v>916</v>
      </c>
      <c r="E231" t="s">
        <v>97</v>
      </c>
      <c r="F231" t="s">
        <v>97</v>
      </c>
      <c r="G231" t="s">
        <v>42</v>
      </c>
    </row>
    <row r="232" spans="1:7">
      <c r="A232">
        <v>151</v>
      </c>
      <c r="B232" t="s">
        <v>1118</v>
      </c>
      <c r="C232" t="s">
        <v>1124</v>
      </c>
      <c r="D232" t="s">
        <v>868</v>
      </c>
      <c r="E232" t="s">
        <v>62</v>
      </c>
      <c r="F232" t="s">
        <v>62</v>
      </c>
      <c r="G232" t="s">
        <v>42</v>
      </c>
    </row>
    <row r="233" spans="1:7">
      <c r="A233">
        <v>129</v>
      </c>
      <c r="B233" t="s">
        <v>1118</v>
      </c>
      <c r="C233" t="s">
        <v>1125</v>
      </c>
      <c r="D233" t="s">
        <v>847</v>
      </c>
      <c r="E233" t="s">
        <v>223</v>
      </c>
      <c r="F233" t="s">
        <v>223</v>
      </c>
      <c r="G233" t="s">
        <v>51</v>
      </c>
    </row>
    <row r="234" spans="1:7">
      <c r="A234">
        <v>180</v>
      </c>
      <c r="B234" t="s">
        <v>1118</v>
      </c>
      <c r="C234" t="s">
        <v>1126</v>
      </c>
      <c r="D234" t="s">
        <v>916</v>
      </c>
      <c r="E234" t="s">
        <v>97</v>
      </c>
      <c r="F234" t="s">
        <v>97</v>
      </c>
      <c r="G234" t="s">
        <v>42</v>
      </c>
    </row>
    <row r="235" spans="1:7">
      <c r="A235">
        <v>119</v>
      </c>
      <c r="B235" t="s">
        <v>1127</v>
      </c>
      <c r="C235" t="s">
        <v>361</v>
      </c>
      <c r="D235" t="s">
        <v>847</v>
      </c>
      <c r="E235" t="s">
        <v>223</v>
      </c>
      <c r="F235" t="s">
        <v>223</v>
      </c>
      <c r="G235" t="s">
        <v>51</v>
      </c>
    </row>
    <row r="236" spans="1:7">
      <c r="A236">
        <v>257</v>
      </c>
      <c r="B236" t="s">
        <v>1127</v>
      </c>
      <c r="C236" t="s">
        <v>1128</v>
      </c>
      <c r="D236" t="s">
        <v>1016</v>
      </c>
      <c r="E236" t="s">
        <v>108</v>
      </c>
      <c r="F236" t="s">
        <v>108</v>
      </c>
      <c r="G236" t="s">
        <v>42</v>
      </c>
    </row>
    <row r="237" spans="1:7">
      <c r="A237">
        <v>251</v>
      </c>
      <c r="B237" t="s">
        <v>1127</v>
      </c>
      <c r="C237" t="s">
        <v>1129</v>
      </c>
      <c r="D237" t="s">
        <v>908</v>
      </c>
      <c r="E237" t="s">
        <v>41</v>
      </c>
      <c r="F237" t="s">
        <v>41</v>
      </c>
      <c r="G237" t="s">
        <v>42</v>
      </c>
    </row>
    <row r="238" spans="1:7">
      <c r="A238">
        <v>161</v>
      </c>
      <c r="B238" t="s">
        <v>1127</v>
      </c>
      <c r="C238" t="s">
        <v>1130</v>
      </c>
      <c r="D238" t="s">
        <v>856</v>
      </c>
      <c r="E238" t="s">
        <v>132</v>
      </c>
      <c r="F238" t="s">
        <v>132</v>
      </c>
      <c r="G238" t="s">
        <v>51</v>
      </c>
    </row>
    <row r="239" spans="1:7">
      <c r="A239">
        <v>255</v>
      </c>
      <c r="B239" t="s">
        <v>1127</v>
      </c>
      <c r="C239" t="s">
        <v>1131</v>
      </c>
      <c r="D239" t="s">
        <v>847</v>
      </c>
      <c r="E239" t="s">
        <v>223</v>
      </c>
      <c r="F239" t="s">
        <v>223</v>
      </c>
      <c r="G239" t="s">
        <v>51</v>
      </c>
    </row>
    <row r="240" spans="1:7">
      <c r="A240">
        <v>262</v>
      </c>
      <c r="B240" t="s">
        <v>1127</v>
      </c>
      <c r="C240" t="s">
        <v>1132</v>
      </c>
      <c r="D240" t="s">
        <v>860</v>
      </c>
      <c r="E240" t="s">
        <v>192</v>
      </c>
      <c r="F240" t="s">
        <v>449</v>
      </c>
      <c r="G240" t="s">
        <v>76</v>
      </c>
    </row>
    <row r="241" spans="1:7">
      <c r="A241">
        <v>181</v>
      </c>
      <c r="B241" t="s">
        <v>1127</v>
      </c>
      <c r="C241" t="s">
        <v>1133</v>
      </c>
      <c r="D241" t="s">
        <v>856</v>
      </c>
      <c r="E241" t="s">
        <v>132</v>
      </c>
      <c r="F241" t="s">
        <v>132</v>
      </c>
      <c r="G241" t="s">
        <v>51</v>
      </c>
    </row>
    <row r="242" spans="1:7">
      <c r="A242">
        <v>103</v>
      </c>
      <c r="B242" t="s">
        <v>1127</v>
      </c>
      <c r="C242" t="s">
        <v>1134</v>
      </c>
      <c r="D242" t="s">
        <v>856</v>
      </c>
      <c r="E242" t="s">
        <v>132</v>
      </c>
      <c r="F242" t="s">
        <v>132</v>
      </c>
      <c r="G242" t="s">
        <v>51</v>
      </c>
    </row>
    <row r="243" spans="1:7">
      <c r="A243">
        <v>125</v>
      </c>
      <c r="B243" t="s">
        <v>1127</v>
      </c>
      <c r="C243" t="s">
        <v>1135</v>
      </c>
      <c r="D243" t="s">
        <v>847</v>
      </c>
      <c r="E243" t="s">
        <v>223</v>
      </c>
      <c r="F243" t="s">
        <v>223</v>
      </c>
      <c r="G243" t="s">
        <v>51</v>
      </c>
    </row>
    <row r="244" spans="1:7">
      <c r="A244">
        <v>200</v>
      </c>
      <c r="B244" t="s">
        <v>1127</v>
      </c>
      <c r="C244" t="s">
        <v>327</v>
      </c>
      <c r="D244" t="s">
        <v>871</v>
      </c>
      <c r="E244" t="s">
        <v>177</v>
      </c>
      <c r="F244" t="s">
        <v>177</v>
      </c>
      <c r="G244" t="s">
        <v>76</v>
      </c>
    </row>
    <row r="245" spans="1:7">
      <c r="A245">
        <v>192</v>
      </c>
      <c r="B245" t="s">
        <v>1127</v>
      </c>
      <c r="C245" t="s">
        <v>1136</v>
      </c>
      <c r="D245" t="s">
        <v>858</v>
      </c>
      <c r="E245" t="s">
        <v>50</v>
      </c>
      <c r="F245" t="s">
        <v>50</v>
      </c>
      <c r="G245" t="s">
        <v>51</v>
      </c>
    </row>
    <row r="246" spans="1:7">
      <c r="A246">
        <v>69</v>
      </c>
      <c r="B246" t="s">
        <v>1127</v>
      </c>
      <c r="C246" t="s">
        <v>1137</v>
      </c>
      <c r="D246" t="s">
        <v>856</v>
      </c>
      <c r="E246" t="s">
        <v>132</v>
      </c>
      <c r="F246" t="s">
        <v>132</v>
      </c>
      <c r="G246" t="s">
        <v>51</v>
      </c>
    </row>
    <row r="247" spans="1:7">
      <c r="A247">
        <v>148</v>
      </c>
      <c r="B247" t="s">
        <v>1127</v>
      </c>
      <c r="C247" t="s">
        <v>262</v>
      </c>
      <c r="D247" t="s">
        <v>871</v>
      </c>
      <c r="E247" t="s">
        <v>177</v>
      </c>
      <c r="F247" t="s">
        <v>177</v>
      </c>
      <c r="G247" t="s">
        <v>76</v>
      </c>
    </row>
    <row r="248" spans="1:7">
      <c r="A248">
        <v>259</v>
      </c>
      <c r="B248" t="s">
        <v>1138</v>
      </c>
      <c r="C248" t="s">
        <v>1139</v>
      </c>
      <c r="D248" t="s">
        <v>871</v>
      </c>
      <c r="E248" t="s">
        <v>177</v>
      </c>
      <c r="F248" t="s">
        <v>177</v>
      </c>
      <c r="G248" t="s">
        <v>76</v>
      </c>
    </row>
    <row r="249" spans="1:7">
      <c r="A249">
        <v>43</v>
      </c>
      <c r="B249" t="s">
        <v>1140</v>
      </c>
      <c r="C249" t="s">
        <v>40</v>
      </c>
      <c r="D249" t="s">
        <v>908</v>
      </c>
      <c r="E249" t="s">
        <v>41</v>
      </c>
      <c r="F249" t="s">
        <v>41</v>
      </c>
      <c r="G249" t="s">
        <v>42</v>
      </c>
    </row>
    <row r="250" spans="1:7">
      <c r="A250">
        <v>88</v>
      </c>
      <c r="B250" t="s">
        <v>1141</v>
      </c>
      <c r="C250" t="s">
        <v>1142</v>
      </c>
      <c r="D250" t="s">
        <v>856</v>
      </c>
      <c r="E250" t="s">
        <v>132</v>
      </c>
      <c r="F250" t="s">
        <v>132</v>
      </c>
      <c r="G250" t="s">
        <v>51</v>
      </c>
    </row>
    <row r="251" spans="1:7">
      <c r="A251">
        <v>102</v>
      </c>
      <c r="B251" t="s">
        <v>1143</v>
      </c>
      <c r="C251" t="s">
        <v>1144</v>
      </c>
      <c r="D251" t="s">
        <v>852</v>
      </c>
      <c r="E251" t="s">
        <v>75</v>
      </c>
      <c r="F251" t="s">
        <v>75</v>
      </c>
      <c r="G251" t="s">
        <v>76</v>
      </c>
    </row>
    <row r="252" spans="1:7">
      <c r="A252">
        <v>89</v>
      </c>
      <c r="B252" t="s">
        <v>1145</v>
      </c>
      <c r="C252" t="s">
        <v>1146</v>
      </c>
      <c r="D252" t="s">
        <v>850</v>
      </c>
      <c r="E252" t="s">
        <v>336</v>
      </c>
      <c r="F252" t="s">
        <v>336</v>
      </c>
      <c r="G252" t="s">
        <v>76</v>
      </c>
    </row>
    <row r="253" spans="1:7">
      <c r="A253">
        <v>215</v>
      </c>
      <c r="B253" t="s">
        <v>1147</v>
      </c>
      <c r="C253" t="s">
        <v>1148</v>
      </c>
      <c r="D253" t="s">
        <v>856</v>
      </c>
      <c r="E253" t="s">
        <v>132</v>
      </c>
      <c r="F253" t="s">
        <v>132</v>
      </c>
      <c r="G253" t="s">
        <v>51</v>
      </c>
    </row>
    <row r="254" spans="1:7">
      <c r="A254">
        <v>38</v>
      </c>
      <c r="B254" t="s">
        <v>1149</v>
      </c>
      <c r="C254" t="s">
        <v>564</v>
      </c>
      <c r="D254" t="s">
        <v>852</v>
      </c>
      <c r="E254" t="s">
        <v>75</v>
      </c>
      <c r="F254" t="s">
        <v>75</v>
      </c>
      <c r="G254" t="s">
        <v>76</v>
      </c>
    </row>
    <row r="255" spans="1:7">
      <c r="A255">
        <v>147</v>
      </c>
      <c r="B255" t="s">
        <v>1150</v>
      </c>
      <c r="C255" t="s">
        <v>506</v>
      </c>
      <c r="D255" t="s">
        <v>852</v>
      </c>
      <c r="E255" t="s">
        <v>75</v>
      </c>
      <c r="F255" t="s">
        <v>75</v>
      </c>
      <c r="G255" t="s">
        <v>76</v>
      </c>
    </row>
    <row r="256" spans="1:7">
      <c r="A256">
        <v>97</v>
      </c>
      <c r="B256" t="s">
        <v>1151</v>
      </c>
      <c r="C256" t="s">
        <v>1152</v>
      </c>
      <c r="D256" t="s">
        <v>860</v>
      </c>
      <c r="E256" t="s">
        <v>192</v>
      </c>
      <c r="F256" t="s">
        <v>449</v>
      </c>
      <c r="G256" t="s">
        <v>76</v>
      </c>
    </row>
    <row r="257" spans="1:7">
      <c r="A257">
        <v>59</v>
      </c>
      <c r="B257" t="s">
        <v>868</v>
      </c>
      <c r="C257" t="s">
        <v>62</v>
      </c>
      <c r="D257" t="s">
        <v>868</v>
      </c>
      <c r="E257" t="s">
        <v>62</v>
      </c>
      <c r="F257" t="s">
        <v>62</v>
      </c>
      <c r="G257" t="s">
        <v>42</v>
      </c>
    </row>
    <row r="258" spans="1:7">
      <c r="A258">
        <v>100</v>
      </c>
      <c r="B258" t="s">
        <v>868</v>
      </c>
      <c r="C258" t="s">
        <v>1153</v>
      </c>
      <c r="D258" t="s">
        <v>868</v>
      </c>
      <c r="E258" t="s">
        <v>62</v>
      </c>
      <c r="F258" t="s">
        <v>62</v>
      </c>
      <c r="G258" t="s">
        <v>42</v>
      </c>
    </row>
    <row r="259" spans="1:7">
      <c r="A259">
        <v>6</v>
      </c>
      <c r="B259" t="s">
        <v>847</v>
      </c>
      <c r="C259" t="s">
        <v>1154</v>
      </c>
      <c r="D259" t="s">
        <v>890</v>
      </c>
      <c r="E259" t="s">
        <v>186</v>
      </c>
      <c r="F259" t="s">
        <v>68</v>
      </c>
      <c r="G259" t="s">
        <v>42</v>
      </c>
    </row>
    <row r="260" spans="1:7">
      <c r="A260">
        <v>2</v>
      </c>
      <c r="B260" t="s">
        <v>847</v>
      </c>
      <c r="C260" t="s">
        <v>223</v>
      </c>
      <c r="D260" t="s">
        <v>847</v>
      </c>
      <c r="E260" t="s">
        <v>223</v>
      </c>
      <c r="F260" t="s">
        <v>223</v>
      </c>
      <c r="G260" t="s">
        <v>51</v>
      </c>
    </row>
    <row r="261" spans="1:7">
      <c r="A261">
        <v>61</v>
      </c>
      <c r="B261" t="s">
        <v>1155</v>
      </c>
      <c r="C261" t="s">
        <v>1156</v>
      </c>
      <c r="D261" t="s">
        <v>856</v>
      </c>
      <c r="E261" t="s">
        <v>132</v>
      </c>
      <c r="F261" t="s">
        <v>132</v>
      </c>
      <c r="G261" t="s">
        <v>51</v>
      </c>
    </row>
    <row r="262" spans="1:7">
      <c r="A262">
        <v>243</v>
      </c>
      <c r="B262" t="s">
        <v>1157</v>
      </c>
      <c r="C262" t="s">
        <v>1158</v>
      </c>
      <c r="D262" t="s">
        <v>850</v>
      </c>
      <c r="E262" t="s">
        <v>336</v>
      </c>
      <c r="F262" t="s">
        <v>336</v>
      </c>
      <c r="G262" t="s">
        <v>76</v>
      </c>
    </row>
    <row r="263" spans="1:7">
      <c r="A263">
        <v>216</v>
      </c>
      <c r="B263" t="s">
        <v>1159</v>
      </c>
      <c r="C263" t="s">
        <v>1160</v>
      </c>
      <c r="D263" t="s">
        <v>847</v>
      </c>
      <c r="E263" t="s">
        <v>223</v>
      </c>
      <c r="F263" t="s">
        <v>223</v>
      </c>
      <c r="G263" t="s">
        <v>51</v>
      </c>
    </row>
    <row r="264" spans="1:7">
      <c r="A264">
        <v>11</v>
      </c>
      <c r="B264" t="s">
        <v>1161</v>
      </c>
      <c r="C264" t="s">
        <v>49</v>
      </c>
      <c r="D264" t="s">
        <v>858</v>
      </c>
      <c r="E264" t="s">
        <v>50</v>
      </c>
      <c r="F264" t="s">
        <v>50</v>
      </c>
      <c r="G264" t="s">
        <v>51</v>
      </c>
    </row>
    <row r="265" spans="1:7">
      <c r="A265">
        <v>67</v>
      </c>
      <c r="B265" t="s">
        <v>1161</v>
      </c>
      <c r="C265" t="s">
        <v>1162</v>
      </c>
      <c r="D265" t="s">
        <v>875</v>
      </c>
      <c r="E265" t="s">
        <v>154</v>
      </c>
      <c r="F265" t="s">
        <v>154</v>
      </c>
      <c r="G265" t="s">
        <v>51</v>
      </c>
    </row>
    <row r="266" spans="1:7">
      <c r="A266">
        <v>66</v>
      </c>
      <c r="B266" t="s">
        <v>1161</v>
      </c>
      <c r="C266" t="s">
        <v>1163</v>
      </c>
      <c r="D266" t="s">
        <v>858</v>
      </c>
      <c r="E266" t="s">
        <v>50</v>
      </c>
      <c r="F266" t="s">
        <v>50</v>
      </c>
      <c r="G266" t="s">
        <v>51</v>
      </c>
    </row>
    <row r="267" spans="1:7">
      <c r="A267">
        <v>261</v>
      </c>
      <c r="B267" t="s">
        <v>1164</v>
      </c>
      <c r="C267" t="s">
        <v>1165</v>
      </c>
      <c r="D267" t="s">
        <v>852</v>
      </c>
      <c r="E267" t="s">
        <v>75</v>
      </c>
      <c r="F267" t="s">
        <v>75</v>
      </c>
      <c r="G267" t="s">
        <v>76</v>
      </c>
    </row>
    <row r="268" spans="1:7">
      <c r="A268">
        <v>271</v>
      </c>
      <c r="B268" t="s">
        <v>1164</v>
      </c>
      <c r="C268" t="s">
        <v>1166</v>
      </c>
      <c r="D268" t="s">
        <v>920</v>
      </c>
      <c r="E268" t="s">
        <v>68</v>
      </c>
      <c r="F268" t="s">
        <v>68</v>
      </c>
      <c r="G268" t="s">
        <v>42</v>
      </c>
    </row>
    <row r="269" spans="1:7">
      <c r="A269">
        <v>270</v>
      </c>
      <c r="B269" t="s">
        <v>1164</v>
      </c>
      <c r="C269" t="s">
        <v>1167</v>
      </c>
      <c r="D269" t="s">
        <v>871</v>
      </c>
      <c r="E269" t="s">
        <v>177</v>
      </c>
      <c r="F269" t="s">
        <v>177</v>
      </c>
      <c r="G269" t="s">
        <v>76</v>
      </c>
    </row>
    <row r="270" spans="1:7">
      <c r="A270">
        <v>108</v>
      </c>
      <c r="B270" t="s">
        <v>1164</v>
      </c>
      <c r="C270" t="s">
        <v>1168</v>
      </c>
      <c r="D270" t="s">
        <v>856</v>
      </c>
      <c r="E270" t="s">
        <v>132</v>
      </c>
      <c r="F270" t="s">
        <v>132</v>
      </c>
      <c r="G270" t="s">
        <v>51</v>
      </c>
    </row>
    <row r="271" spans="1:7">
      <c r="A271">
        <v>267</v>
      </c>
      <c r="B271" t="s">
        <v>1164</v>
      </c>
      <c r="C271" t="s">
        <v>1169</v>
      </c>
      <c r="D271" t="s">
        <v>860</v>
      </c>
      <c r="E271" t="s">
        <v>192</v>
      </c>
      <c r="F271" t="s">
        <v>449</v>
      </c>
      <c r="G271" t="s">
        <v>76</v>
      </c>
    </row>
    <row r="272" spans="1:7">
      <c r="A272">
        <v>142</v>
      </c>
      <c r="B272" t="s">
        <v>1170</v>
      </c>
      <c r="C272" t="s">
        <v>1171</v>
      </c>
      <c r="D272" t="s">
        <v>856</v>
      </c>
      <c r="E272" t="s">
        <v>132</v>
      </c>
      <c r="F272" t="s">
        <v>132</v>
      </c>
      <c r="G272" t="s">
        <v>51</v>
      </c>
    </row>
    <row r="273" spans="1:7">
      <c r="A273">
        <v>272</v>
      </c>
      <c r="B273" t="s">
        <v>1170</v>
      </c>
      <c r="C273" t="s">
        <v>1172</v>
      </c>
      <c r="D273" t="s">
        <v>856</v>
      </c>
      <c r="E273" t="s">
        <v>132</v>
      </c>
      <c r="F273" t="s">
        <v>132</v>
      </c>
      <c r="G273" t="s">
        <v>51</v>
      </c>
    </row>
    <row r="274" spans="1:7">
      <c r="A274">
        <v>274</v>
      </c>
      <c r="B274" t="s">
        <v>1170</v>
      </c>
      <c r="C274" t="s">
        <v>1173</v>
      </c>
      <c r="D274" t="s">
        <v>856</v>
      </c>
      <c r="E274" t="s">
        <v>132</v>
      </c>
      <c r="F274" t="s">
        <v>132</v>
      </c>
      <c r="G274" t="s">
        <v>51</v>
      </c>
    </row>
    <row r="275" spans="1:7">
      <c r="A275">
        <v>16</v>
      </c>
      <c r="B275" t="s">
        <v>1174</v>
      </c>
      <c r="C275" t="s">
        <v>500</v>
      </c>
      <c r="D275" t="s">
        <v>847</v>
      </c>
      <c r="E275" t="s">
        <v>223</v>
      </c>
      <c r="F275" t="s">
        <v>223</v>
      </c>
      <c r="G275" t="s">
        <v>51</v>
      </c>
    </row>
    <row r="276" spans="1:7">
      <c r="A276">
        <v>30</v>
      </c>
      <c r="B276" t="s">
        <v>1175</v>
      </c>
      <c r="C276" t="s">
        <v>1176</v>
      </c>
      <c r="D276" t="s">
        <v>847</v>
      </c>
      <c r="E276" t="s">
        <v>223</v>
      </c>
      <c r="F276" t="s">
        <v>223</v>
      </c>
      <c r="G276" t="s">
        <v>51</v>
      </c>
    </row>
  </sheetData>
  <pageMargins left="0.511811024" right="0.511811024" top="0.78740157499999996" bottom="0.78740157499999996" header="0.31496062000000002" footer="0.31496062000000002"/>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000F1-A446-49D1-A101-18454822D61D}">
  <dimension ref="A1:J33"/>
  <sheetViews>
    <sheetView showGridLines="0" zoomScale="85" zoomScaleNormal="85" workbookViewId="0">
      <selection activeCell="B5" sqref="B5:C5"/>
    </sheetView>
  </sheetViews>
  <sheetFormatPr defaultRowHeight="15"/>
  <cols>
    <col min="1" max="1" width="10.85546875" bestFit="1" customWidth="1"/>
    <col min="2" max="5" width="13.7109375" customWidth="1"/>
    <col min="7" max="7" width="10.85546875" bestFit="1" customWidth="1"/>
    <col min="8" max="8" width="13.7109375" customWidth="1"/>
    <col min="9" max="9" width="17.28515625" bestFit="1" customWidth="1"/>
    <col min="10" max="10" width="13.7109375" customWidth="1"/>
  </cols>
  <sheetData>
    <row r="1" spans="1:10">
      <c r="A1" s="58" t="s">
        <v>1177</v>
      </c>
      <c r="B1" s="58"/>
      <c r="C1" s="58"/>
      <c r="D1" s="58"/>
      <c r="E1" s="58"/>
      <c r="G1" s="58" t="s">
        <v>1178</v>
      </c>
      <c r="H1" s="58"/>
      <c r="I1" s="58"/>
      <c r="J1" s="58"/>
    </row>
    <row r="3" spans="1:10">
      <c r="A3" s="1" t="s">
        <v>1179</v>
      </c>
      <c r="B3" s="27" t="s">
        <v>1180</v>
      </c>
      <c r="G3" s="1" t="s">
        <v>1179</v>
      </c>
      <c r="H3" s="2" t="s">
        <v>1181</v>
      </c>
    </row>
    <row r="4" spans="1:10">
      <c r="A4" s="3" t="s">
        <v>1182</v>
      </c>
      <c r="B4" s="4" t="s">
        <v>1183</v>
      </c>
      <c r="C4" s="4" t="s">
        <v>1184</v>
      </c>
      <c r="G4" s="3" t="s">
        <v>1182</v>
      </c>
      <c r="H4" s="4" t="s">
        <v>1185</v>
      </c>
      <c r="I4" s="4" t="s">
        <v>1186</v>
      </c>
      <c r="J4" s="4" t="s">
        <v>1187</v>
      </c>
    </row>
    <row r="5" spans="1:10">
      <c r="A5" s="3" t="s">
        <v>1188</v>
      </c>
      <c r="B5" s="4">
        <v>15</v>
      </c>
      <c r="C5" s="4">
        <v>5</v>
      </c>
      <c r="G5" s="3" t="s">
        <v>1188</v>
      </c>
      <c r="H5" s="4">
        <v>40</v>
      </c>
      <c r="I5" s="4">
        <v>0</v>
      </c>
      <c r="J5" s="4">
        <v>20</v>
      </c>
    </row>
    <row r="7" spans="1:10">
      <c r="A7" s="1" t="s">
        <v>1189</v>
      </c>
      <c r="B7" s="27" t="s">
        <v>1190</v>
      </c>
      <c r="G7" s="1" t="s">
        <v>1189</v>
      </c>
      <c r="H7" s="2" t="s">
        <v>1191</v>
      </c>
    </row>
    <row r="8" spans="1:10">
      <c r="A8" s="3" t="s">
        <v>1182</v>
      </c>
      <c r="B8" s="4" t="s">
        <v>1192</v>
      </c>
      <c r="C8" s="4" t="s">
        <v>1193</v>
      </c>
      <c r="D8" s="4" t="s">
        <v>1194</v>
      </c>
      <c r="E8" s="4" t="s">
        <v>1195</v>
      </c>
      <c r="G8" s="3" t="s">
        <v>1182</v>
      </c>
      <c r="H8" s="4" t="s">
        <v>1186</v>
      </c>
      <c r="I8" s="4" t="s">
        <v>1196</v>
      </c>
      <c r="J8" s="4"/>
    </row>
    <row r="9" spans="1:10">
      <c r="A9" s="3" t="s">
        <v>1188</v>
      </c>
      <c r="B9" s="4">
        <v>20</v>
      </c>
      <c r="C9" s="4">
        <v>10</v>
      </c>
      <c r="D9" s="4">
        <v>10</v>
      </c>
      <c r="E9" s="4">
        <v>5</v>
      </c>
      <c r="G9" s="3" t="s">
        <v>1188</v>
      </c>
      <c r="H9" s="4">
        <v>20</v>
      </c>
      <c r="I9" s="4">
        <v>0</v>
      </c>
      <c r="J9" s="4"/>
    </row>
    <row r="11" spans="1:10">
      <c r="A11" s="1" t="s">
        <v>1197</v>
      </c>
      <c r="B11" s="27" t="s">
        <v>1198</v>
      </c>
      <c r="G11" s="1" t="s">
        <v>1197</v>
      </c>
      <c r="H11" s="2" t="s">
        <v>1199</v>
      </c>
    </row>
    <row r="12" spans="1:10">
      <c r="A12" s="3" t="s">
        <v>1182</v>
      </c>
      <c r="B12" t="s">
        <v>1200</v>
      </c>
      <c r="C12" s="4" t="s">
        <v>1201</v>
      </c>
      <c r="D12" s="4" t="s">
        <v>1202</v>
      </c>
      <c r="G12" s="3" t="s">
        <v>1182</v>
      </c>
      <c r="H12" s="4" t="s">
        <v>1186</v>
      </c>
      <c r="I12" s="4" t="s">
        <v>1196</v>
      </c>
    </row>
    <row r="13" spans="1:10">
      <c r="A13" s="3" t="s">
        <v>1188</v>
      </c>
      <c r="B13" s="4">
        <v>15</v>
      </c>
      <c r="C13" s="4">
        <v>5</v>
      </c>
      <c r="D13" s="4">
        <v>0</v>
      </c>
      <c r="G13" s="3" t="s">
        <v>1188</v>
      </c>
      <c r="H13" s="4">
        <v>20</v>
      </c>
      <c r="I13" s="4">
        <v>0</v>
      </c>
    </row>
    <row r="15" spans="1:10">
      <c r="A15" s="1" t="s">
        <v>1203</v>
      </c>
      <c r="B15" s="2" t="s">
        <v>1204</v>
      </c>
      <c r="G15" s="1" t="s">
        <v>1203</v>
      </c>
      <c r="H15" s="2" t="s">
        <v>1198</v>
      </c>
    </row>
    <row r="16" spans="1:10">
      <c r="A16" s="3" t="s">
        <v>1182</v>
      </c>
      <c r="B16" s="4" t="s">
        <v>1186</v>
      </c>
      <c r="C16" s="4" t="s">
        <v>1196</v>
      </c>
      <c r="D16" s="4"/>
      <c r="G16" s="3" t="s">
        <v>1182</v>
      </c>
      <c r="H16" s="4" t="s">
        <v>1200</v>
      </c>
      <c r="I16" s="4" t="s">
        <v>1201</v>
      </c>
      <c r="J16" s="4" t="s">
        <v>1202</v>
      </c>
    </row>
    <row r="17" spans="1:10">
      <c r="A17" s="3" t="s">
        <v>1188</v>
      </c>
      <c r="B17" s="4">
        <v>15</v>
      </c>
      <c r="C17" s="4">
        <v>0</v>
      </c>
      <c r="D17" s="4"/>
      <c r="G17" s="3" t="s">
        <v>1188</v>
      </c>
      <c r="H17" s="4">
        <v>20</v>
      </c>
      <c r="I17" s="4">
        <v>10</v>
      </c>
      <c r="J17" s="4">
        <v>0</v>
      </c>
    </row>
    <row r="19" spans="1:10">
      <c r="A19" s="1" t="s">
        <v>1205</v>
      </c>
      <c r="B19" s="2" t="s">
        <v>1206</v>
      </c>
      <c r="G19" s="1" t="s">
        <v>1205</v>
      </c>
      <c r="H19" s="2" t="s">
        <v>1207</v>
      </c>
    </row>
    <row r="20" spans="1:10">
      <c r="A20" s="3" t="s">
        <v>1182</v>
      </c>
      <c r="B20" s="4" t="s">
        <v>1186</v>
      </c>
      <c r="C20" s="4" t="s">
        <v>1196</v>
      </c>
      <c r="G20" s="3" t="s">
        <v>1182</v>
      </c>
      <c r="H20" s="4" t="s">
        <v>13</v>
      </c>
      <c r="I20" s="4" t="s">
        <v>1208</v>
      </c>
      <c r="J20" s="4" t="s">
        <v>15</v>
      </c>
    </row>
    <row r="21" spans="1:10">
      <c r="A21" s="3" t="s">
        <v>1188</v>
      </c>
      <c r="B21" s="4">
        <v>15</v>
      </c>
      <c r="C21" s="4">
        <v>0</v>
      </c>
      <c r="G21" s="3" t="s">
        <v>1188</v>
      </c>
      <c r="H21" s="4">
        <v>20</v>
      </c>
      <c r="I21" s="4">
        <v>10</v>
      </c>
      <c r="J21" s="4">
        <v>0</v>
      </c>
    </row>
    <row r="23" spans="1:10">
      <c r="A23" s="1" t="s">
        <v>1209</v>
      </c>
      <c r="B23" s="2" t="s">
        <v>1210</v>
      </c>
    </row>
    <row r="24" spans="1:10">
      <c r="A24" s="3" t="s">
        <v>1182</v>
      </c>
      <c r="B24" s="4" t="s">
        <v>1186</v>
      </c>
      <c r="C24" s="4" t="s">
        <v>1196</v>
      </c>
      <c r="D24" s="4"/>
      <c r="J24" s="4"/>
    </row>
    <row r="25" spans="1:10">
      <c r="A25" s="3" t="s">
        <v>1188</v>
      </c>
      <c r="B25" s="4">
        <v>10</v>
      </c>
      <c r="C25" s="4">
        <v>0</v>
      </c>
      <c r="D25" s="4"/>
      <c r="J25" s="4"/>
    </row>
    <row r="27" spans="1:10">
      <c r="A27" s="1" t="s">
        <v>1211</v>
      </c>
      <c r="B27" s="2" t="s">
        <v>1212</v>
      </c>
    </row>
    <row r="28" spans="1:10">
      <c r="A28" s="3" t="s">
        <v>1182</v>
      </c>
      <c r="B28" s="4" t="s">
        <v>1186</v>
      </c>
      <c r="C28" s="4" t="s">
        <v>1196</v>
      </c>
    </row>
    <row r="29" spans="1:10">
      <c r="A29" s="3" t="s">
        <v>1188</v>
      </c>
      <c r="B29" s="4">
        <v>10</v>
      </c>
      <c r="C29" s="4">
        <v>0</v>
      </c>
    </row>
    <row r="31" spans="1:10">
      <c r="A31" s="1" t="s">
        <v>1213</v>
      </c>
      <c r="B31" s="2" t="s">
        <v>1207</v>
      </c>
    </row>
    <row r="32" spans="1:10">
      <c r="A32" s="3" t="s">
        <v>1182</v>
      </c>
      <c r="B32" s="4" t="s">
        <v>13</v>
      </c>
      <c r="C32" s="4" t="s">
        <v>15</v>
      </c>
    </row>
    <row r="33" spans="1:3">
      <c r="A33" s="3" t="s">
        <v>1188</v>
      </c>
      <c r="B33" s="4">
        <v>15</v>
      </c>
      <c r="C33" s="4">
        <v>0</v>
      </c>
    </row>
  </sheetData>
  <mergeCells count="2">
    <mergeCell ref="G1:J1"/>
    <mergeCell ref="A1:E1"/>
  </mergeCells>
  <pageMargins left="0.511811024" right="0.511811024" top="0.78740157499999996" bottom="0.78740157499999996" header="0.31496062000000002" footer="0.3149606200000000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5320B-7D16-4FEB-8FEB-22E07DFA6955}">
  <dimension ref="A2:C8"/>
  <sheetViews>
    <sheetView workbookViewId="0">
      <selection activeCell="A6" sqref="A6:C6"/>
    </sheetView>
  </sheetViews>
  <sheetFormatPr defaultRowHeight="15"/>
  <cols>
    <col min="1" max="3" width="15.140625" customWidth="1"/>
  </cols>
  <sheetData>
    <row r="2" spans="1:3">
      <c r="A2" s="58" t="s">
        <v>1214</v>
      </c>
      <c r="B2" s="58"/>
      <c r="C2" s="58"/>
    </row>
    <row r="3" spans="1:3">
      <c r="A3" s="60" t="s">
        <v>1215</v>
      </c>
      <c r="B3" s="59" t="s">
        <v>1216</v>
      </c>
      <c r="C3" s="59"/>
    </row>
    <row r="4" spans="1:3">
      <c r="A4" s="61"/>
      <c r="B4" s="6" t="s">
        <v>5</v>
      </c>
      <c r="C4" s="6" t="s">
        <v>6</v>
      </c>
    </row>
    <row r="5" spans="1:3">
      <c r="A5" s="4" t="s">
        <v>9</v>
      </c>
      <c r="B5" s="4" t="s">
        <v>1217</v>
      </c>
      <c r="C5" s="4" t="s">
        <v>1218</v>
      </c>
    </row>
    <row r="6" spans="1:3">
      <c r="A6" s="4" t="s">
        <v>13</v>
      </c>
      <c r="B6" s="4" t="s">
        <v>1219</v>
      </c>
      <c r="C6" s="4" t="s">
        <v>1220</v>
      </c>
    </row>
    <row r="7" spans="1:3">
      <c r="A7" s="4" t="s">
        <v>14</v>
      </c>
      <c r="B7" s="4" t="s">
        <v>1221</v>
      </c>
      <c r="C7" s="4" t="s">
        <v>1222</v>
      </c>
    </row>
    <row r="8" spans="1:3">
      <c r="A8" s="4" t="s">
        <v>15</v>
      </c>
      <c r="B8" s="4" t="s">
        <v>1223</v>
      </c>
      <c r="C8" s="4" t="s">
        <v>1224</v>
      </c>
    </row>
  </sheetData>
  <mergeCells count="3">
    <mergeCell ref="B3:C3"/>
    <mergeCell ref="A2:C2"/>
    <mergeCell ref="A3:A4"/>
  </mergeCells>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6C61C35405610D4F935833E55DC15577" ma:contentTypeVersion="15" ma:contentTypeDescription="Crie um novo documento." ma:contentTypeScope="" ma:versionID="47d50944208328d624b4b5dde74ef3f9">
  <xsd:schema xmlns:xsd="http://www.w3.org/2001/XMLSchema" xmlns:xs="http://www.w3.org/2001/XMLSchema" xmlns:p="http://schemas.microsoft.com/office/2006/metadata/properties" xmlns:ns3="adc70cac-8545-47b7-a261-82d69e6fcca6" xmlns:ns4="5d55b19c-0386-4dff-a730-2149a0284772" targetNamespace="http://schemas.microsoft.com/office/2006/metadata/properties" ma:root="true" ma:fieldsID="f12b118c3348c9ecda710c15958ab482" ns3:_="" ns4:_="">
    <xsd:import namespace="adc70cac-8545-47b7-a261-82d69e6fcca6"/>
    <xsd:import namespace="5d55b19c-0386-4dff-a730-2149a0284772"/>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_activity" minOccurs="0"/>
                <xsd:element ref="ns4:SharedWithUsers" minOccurs="0"/>
                <xsd:element ref="ns4:SharedWithDetails" minOccurs="0"/>
                <xsd:element ref="ns4:SharingHintHash" minOccurs="0"/>
                <xsd:element ref="ns3:MediaServiceSearchProperties" minOccurs="0"/>
                <xsd:element ref="ns3:MediaServiceDateTaken" minOccurs="0"/>
                <xsd:element ref="ns3:MediaLengthInSecond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dc70cac-8545-47b7-a261-82d69e6fcca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ystemTags" ma:index="11" nillable="true" ma:displayName="MediaServiceSystemTags" ma:hidden="true" ma:internalName="MediaServiceSystemTags" ma:readOnly="true">
      <xsd:simpleType>
        <xsd:restriction base="dms:Note"/>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_activity" ma:index="15" nillable="true" ma:displayName="_activity" ma:hidden="true" ma:internalName="_activity">
      <xsd:simpleType>
        <xsd:restriction base="dms:Note"/>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d55b19c-0386-4dff-a730-2149a0284772" elementFormDefault="qualified">
    <xsd:import namespace="http://schemas.microsoft.com/office/2006/documentManagement/types"/>
    <xsd:import namespace="http://schemas.microsoft.com/office/infopath/2007/PartnerControls"/>
    <xsd:element name="SharedWithUsers" ma:index="16"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hes de Compartilhado Com" ma:internalName="SharedWithDetails" ma:readOnly="true">
      <xsd:simpleType>
        <xsd:restriction base="dms:Note">
          <xsd:maxLength value="255"/>
        </xsd:restriction>
      </xsd:simpleType>
    </xsd:element>
    <xsd:element name="SharingHintHash" ma:index="18" nillable="true" ma:displayName="Hash de Dica de Compartilhamento"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adc70cac-8545-47b7-a261-82d69e6fcca6" xsi:nil="true"/>
  </documentManagement>
</p:properties>
</file>

<file path=customXml/item4.xml>��
</file>

<file path=customXml/itemProps1.xml><?xml version="1.0" encoding="utf-8"?>
<ds:datastoreItem xmlns:ds="http://schemas.openxmlformats.org/officeDocument/2006/customXml" ds:itemID="{34FFCA0C-2673-4C68-B141-93FFE53670D1}"/>
</file>

<file path=customXml/itemProps2.xml><?xml version="1.0" encoding="utf-8"?>
<ds:datastoreItem xmlns:ds="http://schemas.openxmlformats.org/officeDocument/2006/customXml" ds:itemID="{8A9E584F-9AEE-48EF-A9DF-D30AE344C7BD}"/>
</file>

<file path=customXml/itemProps3.xml><?xml version="1.0" encoding="utf-8"?>
<ds:datastoreItem xmlns:ds="http://schemas.openxmlformats.org/officeDocument/2006/customXml" ds:itemID="{3F613A65-F910-4F47-A469-4F35A755E83B}"/>
</file>

<file path=customXml/itemProps4.xml><?xml version="1.0" encoding="utf-8"?>
<ds:datastoreItem xmlns:ds="http://schemas.openxmlformats.org/officeDocument/2006/customXml" ds:itemID="{E0189B59-06FC-466A-AC9B-DE7E0549CB9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Power BI</dc:creator>
  <cp:keywords/>
  <dc:description/>
  <cp:lastModifiedBy/>
  <cp:revision/>
  <dcterms:created xsi:type="dcterms:W3CDTF">2016-07-06T08:22:49Z</dcterms:created>
  <dcterms:modified xsi:type="dcterms:W3CDTF">2026-08-13T04:29:07Z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0x0101006C61C35405610D4F935833E55DC15577</vt:lpwstr>
  </property>
</Properties>
</file>